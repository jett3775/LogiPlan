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Route_Master" sheetId="3" state="visible" r:id="rId5"/>
    <sheet name="Model_Calc" sheetId="4" state="visible" r:id="rId6"/>
    <sheet name="Cost_Facts" sheetId="5" state="visible" r:id="rId7"/>
    <sheet name="Fixed_Costs" sheetId="6" state="visible" r:id="rId8"/>
    <sheet name="GMV_Facts" sheetId="7" state="visible" r:id="rId9"/>
    <sheet name="Service_Facts" sheetId="8" state="visible" r:id="rId10"/>
    <sheet name="Monthly_Summary" sheetId="9" state="visible" r:id="rId11"/>
    <sheet name="Country_Summary" sheetId="10" state="visible" r:id="rId12"/>
    <sheet name="Attribution" sheetId="11" state="visible" r:id="rId13"/>
    <sheet name="Scenarios" sheetId="12" state="visible" r:id="rId14"/>
    <sheet name="Evaluation" sheetId="13" state="visible" r:id="rId15"/>
    <sheet name="Checks" sheetId="14" state="visible" r:id="rId16"/>
    <sheet name="Sources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<sst xmlns="http://schemas.openxmlformats.org/spreadsheetml/2006/main" count="40018" uniqueCount="2926">
  <si>
    <r>
      <rPr>
        <b val="true"/>
        <sz val="18"/>
        <color rgb="FFFFFFFF"/>
        <rFont val="Aptos Display"/>
        <family val="0"/>
        <charset val="1"/>
      </rPr>
      <t xml:space="preserve">LogiPlan AI</t>
    </r>
    <r>
      <rPr>
        <b val="true"/>
        <sz val="18"/>
        <color rgb="FFFFFFFF"/>
        <rFont val="思源黑体"/>
        <family val="2"/>
        <charset val="134"/>
      </rPr>
      <t xml:space="preserve">｜</t>
    </r>
    <r>
      <rPr>
        <b val="true"/>
        <sz val="18"/>
        <color rgb="FFFFFFFF"/>
        <rFont val="Aptos Display"/>
        <family val="0"/>
        <charset val="1"/>
      </rPr>
      <t xml:space="preserve">2026 </t>
    </r>
    <r>
      <rPr>
        <b val="true"/>
        <sz val="18"/>
        <color rgb="FFFFFFFF"/>
        <rFont val="思源黑体"/>
        <family val="2"/>
        <charset val="134"/>
      </rPr>
      <t xml:space="preserve">物流财务演示数据</t>
    </r>
  </si>
  <si>
    <r>
      <rPr>
        <i val="true"/>
        <sz val="9"/>
        <color rgb="FF667085"/>
        <rFont val="思源黑体"/>
        <family val="2"/>
        <charset val="134"/>
      </rPr>
      <t xml:space="preserve">虚构求职作品集数据｜</t>
    </r>
    <r>
      <rPr>
        <i val="true"/>
        <sz val="9"/>
        <color rgb="FF667085"/>
        <rFont val="Aptos"/>
        <family val="0"/>
        <charset val="1"/>
      </rPr>
      <t xml:space="preserve">Budget 2026 V1</t>
    </r>
    <r>
      <rPr>
        <i val="true"/>
        <sz val="9"/>
        <color rgb="FF667085"/>
        <rFont val="思源黑体"/>
        <family val="2"/>
        <charset val="134"/>
      </rPr>
      <t xml:space="preserve">｜</t>
    </r>
    <r>
      <rPr>
        <i val="true"/>
        <sz val="9"/>
        <color rgb="FF667085"/>
        <rFont val="Aptos"/>
        <family val="0"/>
        <charset val="1"/>
      </rPr>
      <t xml:space="preserve">Actual </t>
    </r>
    <r>
      <rPr>
        <i val="true"/>
        <sz val="9"/>
        <color rgb="FF667085"/>
        <rFont val="思源黑体"/>
        <family val="2"/>
        <charset val="134"/>
      </rPr>
      <t xml:space="preserve">截至 </t>
    </r>
    <r>
      <rPr>
        <i val="true"/>
        <sz val="9"/>
        <color rgb="FF667085"/>
        <rFont val="Aptos"/>
        <family val="0"/>
        <charset val="1"/>
      </rPr>
      <t xml:space="preserve">2026-08</t>
    </r>
    <r>
      <rPr>
        <i val="true"/>
        <sz val="9"/>
        <color rgb="FF667085"/>
        <rFont val="思源黑体"/>
        <family val="2"/>
        <charset val="134"/>
      </rPr>
      <t xml:space="preserve">｜</t>
    </r>
    <r>
      <rPr>
        <i val="true"/>
        <sz val="9"/>
        <color rgb="FF667085"/>
        <rFont val="Aptos"/>
        <family val="0"/>
        <charset val="1"/>
      </rPr>
      <t xml:space="preserve">Forecast 2026-08 V1</t>
    </r>
    <r>
      <rPr>
        <i val="true"/>
        <sz val="9"/>
        <color rgb="FF667085"/>
        <rFont val="思源黑体"/>
        <family val="2"/>
        <charset val="134"/>
      </rPr>
      <t xml:space="preserve">｜报告币种 </t>
    </r>
    <r>
      <rPr>
        <i val="true"/>
        <sz val="9"/>
        <color rgb="FF667085"/>
        <rFont val="Aptos"/>
        <family val="0"/>
        <charset val="1"/>
      </rPr>
      <t xml:space="preserve">CNY</t>
    </r>
  </si>
  <si>
    <r>
      <rPr>
        <b val="true"/>
        <sz val="9"/>
        <color rgb="FF667085"/>
        <rFont val="思源黑体"/>
        <family val="2"/>
        <charset val="134"/>
      </rPr>
      <t xml:space="preserve">年度 </t>
    </r>
    <r>
      <rPr>
        <b val="true"/>
        <sz val="9"/>
        <color rgb="FF667085"/>
        <rFont val="Calibri"/>
        <family val="0"/>
        <charset val="1"/>
      </rPr>
      <t xml:space="preserve">Budget </t>
    </r>
    <r>
      <rPr>
        <b val="true"/>
        <sz val="9"/>
        <color rgb="FF667085"/>
        <rFont val="思源黑体"/>
        <family val="2"/>
        <charset val="134"/>
      </rPr>
      <t xml:space="preserve">物流总成本</t>
    </r>
  </si>
  <si>
    <r>
      <rPr>
        <b val="true"/>
        <sz val="9"/>
        <color rgb="FF667085"/>
        <rFont val="Calibri"/>
        <family val="0"/>
        <charset val="1"/>
      </rPr>
      <t xml:space="preserve">Latest Outlook </t>
    </r>
    <r>
      <rPr>
        <b val="true"/>
        <sz val="9"/>
        <color rgb="FF667085"/>
        <rFont val="思源黑体"/>
        <family val="2"/>
        <charset val="134"/>
      </rPr>
      <t xml:space="preserve">物流总成本</t>
    </r>
  </si>
  <si>
    <t xml:space="preserve">全年不利差异</t>
  </si>
  <si>
    <r>
      <rPr>
        <b val="true"/>
        <sz val="9"/>
        <color rgb="FF667085"/>
        <rFont val="Calibri"/>
        <family val="0"/>
        <charset val="1"/>
      </rPr>
      <t xml:space="preserve">Cost Saving 9—12 </t>
    </r>
    <r>
      <rPr>
        <b val="true"/>
        <sz val="9"/>
        <color rgb="FF667085"/>
        <rFont val="思源黑体"/>
        <family val="2"/>
        <charset val="134"/>
      </rPr>
      <t xml:space="preserve">月节省</t>
    </r>
  </si>
  <si>
    <r>
      <rPr>
        <sz val="10"/>
        <color rgb="FF101828"/>
        <rFont val="思源黑体"/>
        <family val="2"/>
        <charset val="134"/>
      </rPr>
      <t xml:space="preserve">核心结论：</t>
    </r>
    <r>
      <rPr>
        <sz val="10"/>
        <color rgb="FF101828"/>
        <rFont val="Calibri"/>
        <family val="0"/>
        <charset val="1"/>
      </rPr>
      <t xml:space="preserve">2026 </t>
    </r>
    <r>
      <rPr>
        <sz val="10"/>
        <color rgb="FF101828"/>
        <rFont val="思源黑体"/>
        <family val="2"/>
        <charset val="134"/>
      </rPr>
      <t xml:space="preserve">年 </t>
    </r>
    <r>
      <rPr>
        <sz val="10"/>
        <color rgb="FF101828"/>
        <rFont val="Calibri"/>
        <family val="0"/>
        <charset val="1"/>
      </rPr>
      <t xml:space="preserve">8 </t>
    </r>
    <r>
      <rPr>
        <sz val="10"/>
        <color rgb="FF101828"/>
        <rFont val="思源黑体"/>
        <family val="2"/>
        <charset val="134"/>
      </rPr>
      <t xml:space="preserve">月英国为最大单月不利异常。促销拉动订单量，同时德国仓至英国的空运和 </t>
    </r>
    <r>
      <rPr>
        <sz val="10"/>
        <color rgb="FF101828"/>
        <rFont val="Calibri"/>
        <family val="0"/>
        <charset val="1"/>
      </rPr>
      <t xml:space="preserve">Carrier C </t>
    </r>
    <r>
      <rPr>
        <sz val="10"/>
        <color rgb="FF101828"/>
        <rFont val="思源黑体"/>
        <family val="2"/>
        <charset val="134"/>
      </rPr>
      <t xml:space="preserve">份额上升；五因素中结构影响最大、量影响其次。</t>
    </r>
    <r>
      <rPr>
        <sz val="10"/>
        <color rgb="FF101828"/>
        <rFont val="Calibri"/>
        <family val="0"/>
        <charset val="1"/>
      </rPr>
      <t xml:space="preserve">Cost Saving </t>
    </r>
    <r>
      <rPr>
        <sz val="10"/>
        <color rgb="FF101828"/>
        <rFont val="思源黑体"/>
        <family val="2"/>
        <charset val="134"/>
      </rPr>
      <t xml:space="preserve">仅在现有线路内调整，准时率约下降 </t>
    </r>
    <r>
      <rPr>
        <sz val="10"/>
        <color rgb="FF101828"/>
        <rFont val="Calibri"/>
        <family val="0"/>
        <charset val="1"/>
      </rPr>
      <t xml:space="preserve">0.19 </t>
    </r>
    <r>
      <rPr>
        <sz val="10"/>
        <color rgb="FF101828"/>
        <rFont val="思源黑体"/>
        <family val="2"/>
        <charset val="134"/>
      </rPr>
      <t xml:space="preserve">个百分点并触发软提示，承运能力仍未验证。</t>
    </r>
  </si>
  <si>
    <t xml:space="preserve">月份</t>
  </si>
  <si>
    <t xml:space="preserve">Budget</t>
  </si>
  <si>
    <t xml:space="preserve">Latest Outlook</t>
  </si>
  <si>
    <t xml:space="preserve">因素</t>
  </si>
  <si>
    <r>
      <rPr>
        <b val="true"/>
        <sz val="9"/>
        <color rgb="FFFFFFFF"/>
        <rFont val="Aptos"/>
        <family val="0"/>
        <charset val="1"/>
      </rPr>
      <t xml:space="preserve">8 </t>
    </r>
    <r>
      <rPr>
        <b val="true"/>
        <sz val="9"/>
        <color rgb="FFFFFFFF"/>
        <rFont val="思源黑体"/>
        <family val="2"/>
        <charset val="134"/>
      </rPr>
      <t xml:space="preserve">月英国差异</t>
    </r>
  </si>
  <si>
    <t xml:space="preserve">Forecast</t>
  </si>
  <si>
    <t xml:space="preserve">Cost Saving</t>
  </si>
  <si>
    <t xml:space="preserve">差异</t>
  </si>
  <si>
    <r>
      <rPr>
        <sz val="9"/>
        <color rgb="FF101828"/>
        <rFont val="Aptos"/>
        <family val="0"/>
        <charset val="1"/>
      </rPr>
      <t xml:space="preserve">1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</si>
  <si>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量</t>
  </si>
  <si>
    <r>
      <rPr>
        <sz val="9"/>
        <color rgb="FF101828"/>
        <rFont val="Aptos"/>
        <family val="0"/>
        <charset val="1"/>
      </rPr>
      <t xml:space="preserve">9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</si>
  <si>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2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</si>
  <si>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结构</t>
  </si>
  <si>
    <r>
      <rPr>
        <sz val="9"/>
        <color rgb="FF101828"/>
        <rFont val="Aptos"/>
        <family val="0"/>
        <charset val="1"/>
      </rPr>
      <t xml:space="preserve">10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</si>
  <si>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3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</si>
  <si>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效率</t>
  </si>
  <si>
    <r>
      <rPr>
        <sz val="9"/>
        <color rgb="FF101828"/>
        <rFont val="Aptos"/>
        <family val="0"/>
        <charset val="1"/>
      </rPr>
      <t xml:space="preserve">11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</si>
  <si>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4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</si>
  <si>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价</t>
  </si>
  <si>
    <r>
      <rPr>
        <sz val="9"/>
        <color rgb="FF101828"/>
        <rFont val="Aptos"/>
        <family val="0"/>
        <charset val="1"/>
      </rPr>
      <t xml:space="preserve">12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</si>
  <si>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5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</si>
  <si>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汇率</t>
  </si>
  <si>
    <r>
      <rPr>
        <sz val="9"/>
        <color rgb="FF101828"/>
        <rFont val="Aptos"/>
        <family val="0"/>
        <charset val="1"/>
      </rPr>
      <t xml:space="preserve">6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</si>
  <si>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7</t>
    </r>
    <r>
      <rPr>
        <sz val="9"/>
        <color rgb="FF101828"/>
        <rFont val="思源黑体"/>
        <family val="2"/>
        <charset val="134"/>
      </rPr>
      <t xml:space="preserve">月</t>
    </r>
  </si>
  <si>
    <r>
      <rPr>
        <sz val="9"/>
        <color rgb="FF101828"/>
        <rFont val="Aptos"/>
        <family val="0"/>
        <charset val="1"/>
      </rPr>
      <t xml:space="preserve">8</t>
    </r>
    <r>
      <rPr>
        <sz val="9"/>
        <color rgb="FF101828"/>
        <rFont val="思源黑体"/>
        <family val="2"/>
        <charset val="134"/>
      </rPr>
      <t xml:space="preserve">月</t>
    </r>
  </si>
  <si>
    <t xml:space="preserve">模型假设与版本边界</t>
  </si>
  <si>
    <r>
      <rPr>
        <i val="true"/>
        <sz val="9"/>
        <color rgb="FF667085"/>
        <rFont val="思源黑体"/>
        <family val="2"/>
        <charset val="134"/>
      </rPr>
      <t xml:space="preserve">蓝色为冻结规则；黄色为本次虚构数据的演示参数。任何新业务定义应先进入 </t>
    </r>
    <r>
      <rPr>
        <i val="true"/>
        <sz val="9"/>
        <color rgb="FF667085"/>
        <rFont val="Aptos"/>
        <family val="0"/>
        <charset val="1"/>
      </rPr>
      <t xml:space="preserve">decisions.md</t>
    </r>
    <r>
      <rPr>
        <i val="true"/>
        <sz val="9"/>
        <color rgb="FF667085"/>
        <rFont val="思源黑体"/>
        <family val="2"/>
        <charset val="134"/>
      </rPr>
      <t xml:space="preserve">。</t>
    </r>
  </si>
  <si>
    <t xml:space="preserve">类别</t>
  </si>
  <si>
    <t xml:space="preserve">项目</t>
  </si>
  <si>
    <t xml:space="preserve">取值</t>
  </si>
  <si>
    <t xml:space="preserve">说明</t>
  </si>
  <si>
    <t xml:space="preserve">冻结规则</t>
  </si>
  <si>
    <t xml:space="preserve">事实粒度</t>
  </si>
  <si>
    <t xml:space="preserve">month x destination_country x fulfillment_center x carrier x transport_mode</t>
  </si>
  <si>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目的国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发货仓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承运商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运输方式</t>
    </r>
  </si>
  <si>
    <t xml:space="preserve">报告币种</t>
  </si>
  <si>
    <t xml:space="preserve">CNY</t>
  </si>
  <si>
    <t xml:space="preserve">保留原币、币种和汇率字段</t>
  </si>
  <si>
    <t xml:space="preserve">最新结账月</t>
  </si>
  <si>
    <t xml:space="preserve">2026-08</t>
  </si>
  <si>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Actual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Forecast</t>
    </r>
  </si>
  <si>
    <t xml:space="preserve">归因顺序</t>
  </si>
  <si>
    <t xml:space="preserve">VOLUME → MIX → EFFICIENCY → PRICE → FX</t>
  </si>
  <si>
    <r>
      <rPr>
        <sz val="9"/>
        <color rgb="FF101828"/>
        <rFont val="Aptos"/>
        <family val="0"/>
        <charset val="1"/>
      </rPr>
      <t xml:space="preserve">Shapley 32 </t>
    </r>
    <r>
      <rPr>
        <sz val="9"/>
        <color rgb="FF101828"/>
        <rFont val="思源黑体"/>
        <family val="2"/>
        <charset val="134"/>
      </rPr>
      <t xml:space="preserve">个组合仅作后台参考</t>
    </r>
  </si>
  <si>
    <t xml:space="preserve">变动成本范围</t>
  </si>
  <si>
    <r>
      <rPr>
        <sz val="9"/>
        <color rgb="FF101828"/>
        <rFont val="Aptos"/>
        <family val="0"/>
        <charset val="1"/>
      </rPr>
      <t xml:space="preserve">6 </t>
    </r>
    <r>
      <rPr>
        <sz val="9"/>
        <color rgb="FF101828"/>
        <rFont val="思源黑体"/>
        <family val="2"/>
        <charset val="134"/>
      </rPr>
      <t xml:space="preserve">类</t>
    </r>
  </si>
  <si>
    <t xml:space="preserve">基础运费、燃油附加费、一线作业弹性人工、包装、退货物流、异常配送</t>
  </si>
  <si>
    <t xml:space="preserve">固定成本范围</t>
  </si>
  <si>
    <r>
      <rPr>
        <sz val="9"/>
        <color rgb="FF101828"/>
        <rFont val="Aptos"/>
        <family val="0"/>
        <charset val="1"/>
      </rPr>
      <t xml:space="preserve">4 </t>
    </r>
    <r>
      <rPr>
        <sz val="9"/>
        <color rgb="FF101828"/>
        <rFont val="思源黑体"/>
        <family val="2"/>
        <charset val="134"/>
      </rPr>
      <t xml:space="preserve">类</t>
    </r>
  </si>
  <si>
    <t xml:space="preserve">仓租、一线作业基础人工、仓库管理人工、系统费用单独展示</t>
  </si>
  <si>
    <t xml:space="preserve">人工成本口径</t>
  </si>
  <si>
    <t xml:space="preserve">D-092</t>
  </si>
  <si>
    <t xml:space="preserve">计件、加班和临时用工为变动成本；一线底薪及管理人工为固定成本</t>
  </si>
  <si>
    <t xml:space="preserve">订单—仓库关系</t>
  </si>
  <si>
    <t xml:space="preserve">单订单单发货仓</t>
  </si>
  <si>
    <t xml:space="preserve">仓内允许拆包并分配不同线路</t>
  </si>
  <si>
    <t xml:space="preserve">情景服务约束</t>
  </si>
  <si>
    <t xml:space="preserve">软提示</t>
  </si>
  <si>
    <t xml:space="preserve">允许用户保留极端情景；不作为硬阻断</t>
  </si>
  <si>
    <t xml:space="preserve">承运能力</t>
  </si>
  <si>
    <r>
      <rPr>
        <sz val="9"/>
        <color rgb="FF101828"/>
        <rFont val="Aptos"/>
        <family val="0"/>
        <charset val="1"/>
      </rPr>
      <t xml:space="preserve">MVP </t>
    </r>
    <r>
      <rPr>
        <sz val="9"/>
        <color rgb="FF101828"/>
        <rFont val="思源黑体"/>
        <family val="2"/>
        <charset val="134"/>
      </rPr>
      <t xml:space="preserve">未验证</t>
    </r>
  </si>
  <si>
    <t xml:space="preserve">数学计算暂按无限容量，不代表供应商确认</t>
  </si>
  <si>
    <t xml:space="preserve">演示参数</t>
  </si>
  <si>
    <t xml:space="preserve">Growth Case</t>
  </si>
  <si>
    <r>
      <rPr>
        <sz val="9"/>
        <color rgb="FF101828"/>
        <rFont val="思源黑体"/>
        <family val="2"/>
        <charset val="134"/>
      </rPr>
      <t xml:space="preserve">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+10%</t>
    </r>
  </si>
  <si>
    <r>
      <rPr>
        <sz val="9"/>
        <color rgb="FF101828"/>
        <rFont val="思源黑体"/>
        <family val="2"/>
        <charset val="134"/>
      </rPr>
      <t xml:space="preserve">各月相对自身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独立调整，不复利</t>
    </r>
  </si>
  <si>
    <r>
      <rPr>
        <sz val="9"/>
        <color rgb="FF101828"/>
        <rFont val="Aptos"/>
        <family val="0"/>
        <charset val="1"/>
      </rPr>
      <t xml:space="preserve">Cost Saving </t>
    </r>
    <r>
      <rPr>
        <sz val="9"/>
        <color rgb="FF101828"/>
        <rFont val="思源黑体"/>
        <family val="2"/>
        <charset val="134"/>
      </rPr>
      <t xml:space="preserve">节奏</t>
    </r>
  </si>
  <si>
    <r>
      <rPr>
        <sz val="9"/>
        <color rgb="FF101828"/>
        <rFont val="Aptos"/>
        <family val="0"/>
        <charset val="1"/>
      </rPr>
      <t xml:space="preserve">9 </t>
    </r>
    <r>
      <rPr>
        <sz val="9"/>
        <color rgb="FF101828"/>
        <rFont val="思源黑体"/>
        <family val="2"/>
        <charset val="134"/>
      </rPr>
      <t xml:space="preserve">月准备；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月部分；</t>
    </r>
    <r>
      <rPr>
        <sz val="9"/>
        <color rgb="FF101828"/>
        <rFont val="Aptos"/>
        <family val="0"/>
        <charset val="1"/>
      </rPr>
      <t xml:space="preserve">11—12 </t>
    </r>
    <r>
      <rPr>
        <sz val="9"/>
        <color rgb="FF101828"/>
        <rFont val="思源黑体"/>
        <family val="2"/>
        <charset val="134"/>
      </rPr>
      <t xml:space="preserve">月完全</t>
    </r>
  </si>
  <si>
    <t xml:space="preserve">仅在现有承运商与有效线路内调整</t>
  </si>
  <si>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月英国背景</t>
    </r>
  </si>
  <si>
    <t xml:space="preserve">UK promotion</t>
  </si>
  <si>
    <r>
      <rPr>
        <sz val="9"/>
        <color rgb="FF101828"/>
        <rFont val="思源黑体"/>
        <family val="2"/>
        <charset val="134"/>
      </rPr>
      <t xml:space="preserve">管理动作注释：提高德国仓至英国空运和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份额</t>
    </r>
  </si>
  <si>
    <t xml:space="preserve">税费</t>
  </si>
  <si>
    <r>
      <rPr>
        <sz val="9"/>
        <color rgb="FF101828"/>
        <rFont val="思源黑体"/>
        <family val="2"/>
        <charset val="134"/>
      </rPr>
      <t xml:space="preserve">不含 </t>
    </r>
    <r>
      <rPr>
        <sz val="9"/>
        <color rgb="FF101828"/>
        <rFont val="Aptos"/>
        <family val="0"/>
        <charset val="1"/>
      </rPr>
      <t xml:space="preserve">VAT/</t>
    </r>
    <r>
      <rPr>
        <sz val="9"/>
        <color rgb="FF101828"/>
        <rFont val="思源黑体"/>
        <family val="2"/>
        <charset val="134"/>
      </rPr>
      <t xml:space="preserve">销售税</t>
    </r>
  </si>
  <si>
    <t xml:space="preserve">正常清关在基础运费，异常清关在异常配送费</t>
  </si>
  <si>
    <t xml:space="preserve">技术规则</t>
  </si>
  <si>
    <t xml:space="preserve">高精度权威数据</t>
  </si>
  <si>
    <t xml:space="preserve">Decimal / numeric(50,24)</t>
  </si>
  <si>
    <r>
      <rPr>
        <sz val="9"/>
        <color rgb="FF101828"/>
        <rFont val="思源黑体"/>
        <family val="2"/>
        <charset val="134"/>
      </rPr>
      <t xml:space="preserve">工作簿公式用于审阅；</t>
    </r>
    <r>
      <rPr>
        <sz val="9"/>
        <color rgb="FF101828"/>
        <rFont val="Aptos"/>
        <family val="0"/>
        <charset val="1"/>
      </rPr>
      <t xml:space="preserve">JSON </t>
    </r>
    <r>
      <rPr>
        <sz val="9"/>
        <color rgb="FF101828"/>
        <rFont val="思源黑体"/>
        <family val="2"/>
        <charset val="134"/>
      </rPr>
      <t xml:space="preserve">保留高精度计算结果</t>
    </r>
  </si>
  <si>
    <t xml:space="preserve">有效履约线路主数据</t>
  </si>
  <si>
    <r>
      <rPr>
        <i val="true"/>
        <sz val="9"/>
        <color rgb="FF667085"/>
        <rFont val="思源黑体"/>
        <family val="2"/>
        <charset val="134"/>
      </rPr>
      <t xml:space="preserve">只允许白名单线路；承运能力状态为 </t>
    </r>
    <r>
      <rPr>
        <i val="true"/>
        <sz val="9"/>
        <color rgb="FF667085"/>
        <rFont val="Aptos"/>
        <family val="0"/>
        <charset val="1"/>
      </rPr>
      <t xml:space="preserve">MVP </t>
    </r>
    <r>
      <rPr>
        <i val="true"/>
        <sz val="9"/>
        <color rgb="FF667085"/>
        <rFont val="思源黑体"/>
        <family val="2"/>
        <charset val="134"/>
      </rPr>
      <t xml:space="preserve">未验证。</t>
    </r>
  </si>
  <si>
    <t xml:space="preserve">Route ID</t>
  </si>
  <si>
    <t xml:space="preserve">目的国</t>
  </si>
  <si>
    <t xml:space="preserve">发货仓</t>
  </si>
  <si>
    <t xml:space="preserve">承运商</t>
  </si>
  <si>
    <t xml:space="preserve">运输方式</t>
  </si>
  <si>
    <t xml:space="preserve">启用日期</t>
  </si>
  <si>
    <t xml:space="preserve">停用日期</t>
  </si>
  <si>
    <t xml:space="preserve">容量状态</t>
  </si>
  <si>
    <t xml:space="preserve">目的国名称</t>
  </si>
  <si>
    <t xml:space="preserve">线路说明</t>
  </si>
  <si>
    <t xml:space="preserve">R_DE_DE_A_ROAD</t>
  </si>
  <si>
    <t xml:space="preserve">DE</t>
  </si>
  <si>
    <t xml:space="preserve">DE_FC</t>
  </si>
  <si>
    <t xml:space="preserve">CARRIER_A</t>
  </si>
  <si>
    <t xml:space="preserve">ROAD</t>
  </si>
  <si>
    <t xml:space="preserve">NOT_VALIDATED_MVP</t>
  </si>
  <si>
    <t xml:space="preserve">德国</t>
  </si>
  <si>
    <r>
      <rPr>
        <sz val="9"/>
        <color rgb="FF101828"/>
        <rFont val="Aptos"/>
        <family val="0"/>
        <charset val="1"/>
      </rPr>
      <t xml:space="preserve">DE_FC → DE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CARRIER_A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</si>
  <si>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R_DE_DE_B_ROAD</t>
  </si>
  <si>
    <t xml:space="preserve">CARRIER_B</t>
  </si>
  <si>
    <r>
      <rPr>
        <sz val="9"/>
        <color rgb="FF101828"/>
        <rFont val="Aptos"/>
        <family val="0"/>
        <charset val="1"/>
      </rPr>
      <t xml:space="preserve">DE_FC → DE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</si>
  <si>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R_DE_FR_B_ROAD</t>
  </si>
  <si>
    <t xml:space="preserve">FR_FC</t>
  </si>
  <si>
    <r>
      <rPr>
        <sz val="9"/>
        <color rgb="FF101828"/>
        <rFont val="Aptos"/>
        <family val="0"/>
        <charset val="1"/>
      </rPr>
      <t xml:space="preserve">FR_FC → DE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</si>
  <si>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R_FR_FR_A_ROAD</t>
  </si>
  <si>
    <t xml:space="preserve">FR</t>
  </si>
  <si>
    <t xml:space="preserve">法国</t>
  </si>
  <si>
    <r>
      <rPr>
        <sz val="9"/>
        <color rgb="FF101828"/>
        <rFont val="Aptos"/>
        <family val="0"/>
        <charset val="1"/>
      </rPr>
      <t xml:space="preserve">FR_FC → FR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CARRIER_A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</si>
  <si>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R_FR_FR_B_ROAD</t>
  </si>
  <si>
    <r>
      <rPr>
        <sz val="9"/>
        <color rgb="FF101828"/>
        <rFont val="Aptos"/>
        <family val="0"/>
        <charset val="1"/>
      </rPr>
      <t xml:space="preserve">FR_FC → FR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</si>
  <si>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R_GB_DE_A_ROAD</t>
  </si>
  <si>
    <t xml:space="preserve">GB</t>
  </si>
  <si>
    <t xml:space="preserve">英国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</si>
  <si>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CARRIER_A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</si>
  <si>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R_GB_DE_B_ROAD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</si>
  <si>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ROAD</t>
    </r>
  </si>
  <si>
    <t xml:space="preserve">R_GB_DE_B_AIR</t>
  </si>
  <si>
    <t xml:space="preserve">AIR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</si>
  <si>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AIR</t>
    </r>
  </si>
  <si>
    <t xml:space="preserve">R_GB_DE_C_AIR</t>
  </si>
  <si>
    <t xml:space="preserve">CARRIER_C</t>
  </si>
  <si>
    <r>
      <rPr>
        <sz val="9"/>
        <color rgb="FF101828"/>
        <rFont val="Aptos"/>
        <family val="0"/>
        <charset val="1"/>
      </rPr>
      <t xml:space="preserve">DE_FC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CARRIER_C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AIR</t>
    </r>
  </si>
  <si>
    <t xml:space="preserve">R_GB_FR_B_AIR</t>
  </si>
  <si>
    <r>
      <rPr>
        <sz val="9"/>
        <color rgb="FF101828"/>
        <rFont val="Aptos"/>
        <family val="0"/>
        <charset val="1"/>
      </rPr>
      <t xml:space="preserve">FR_FC → GB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CARRIER_B</t>
    </r>
    <r>
      <rPr>
        <sz val="9"/>
        <color rgb="FF101828"/>
        <rFont val="思源黑体"/>
        <family val="2"/>
        <charset val="134"/>
      </rPr>
      <t xml:space="preserve">｜</t>
    </r>
    <r>
      <rPr>
        <sz val="9"/>
        <color rgb="FF101828"/>
        <rFont val="Aptos"/>
        <family val="0"/>
        <charset val="1"/>
      </rPr>
      <t xml:space="preserve">AIR</t>
    </r>
  </si>
  <si>
    <t xml:space="preserve">线路驱动与公式计算</t>
  </si>
  <si>
    <r>
      <rPr>
        <i val="true"/>
        <sz val="9"/>
        <color rgb="FF667085"/>
        <rFont val="思源黑体"/>
        <family val="2"/>
        <charset val="134"/>
      </rPr>
      <t xml:space="preserve">浅黄色列为输入；浅蓝色列为公式结果。工作簿公式用于审阅，权威高精度结果保存在生成 </t>
    </r>
    <r>
      <rPr>
        <i val="true"/>
        <sz val="9"/>
        <color rgb="FF667085"/>
        <rFont val="Aptos"/>
        <family val="0"/>
        <charset val="1"/>
      </rPr>
      <t xml:space="preserve">JSON</t>
    </r>
    <r>
      <rPr>
        <i val="true"/>
        <sz val="9"/>
        <color rgb="FF667085"/>
        <rFont val="思源黑体"/>
        <family val="2"/>
        <charset val="134"/>
      </rPr>
      <t xml:space="preserve">。</t>
    </r>
  </si>
  <si>
    <t xml:space="preserve">Version</t>
  </si>
  <si>
    <t xml:space="preserve">Type</t>
  </si>
  <si>
    <t xml:space="preserve">Scenario</t>
  </si>
  <si>
    <t xml:space="preserve">Month</t>
  </si>
  <si>
    <t xml:space="preserve">Route</t>
  </si>
  <si>
    <t xml:space="preserve">Destination</t>
  </si>
  <si>
    <t xml:space="preserve">FC</t>
  </si>
  <si>
    <t xml:space="preserve">Carrier</t>
  </si>
  <si>
    <t xml:space="preserve">Mode</t>
  </si>
  <si>
    <t xml:space="preserve">Total Orders</t>
  </si>
  <si>
    <t xml:space="preserve">Destination Share</t>
  </si>
  <si>
    <t xml:space="preserve">Warehouse Share</t>
  </si>
  <si>
    <t xml:space="preserve">Route Package Share</t>
  </si>
  <si>
    <t xml:space="preserve">Equivalent Orders</t>
  </si>
  <si>
    <t xml:space="preserve">Avg Packages/Order</t>
  </si>
  <si>
    <t xml:space="preserve">Packages</t>
  </si>
  <si>
    <t xml:space="preserve">Avg Chargeable Weight kg</t>
  </si>
  <si>
    <t xml:space="preserve">Chargeable Weight kg</t>
  </si>
  <si>
    <t xml:space="preserve">Return Rate</t>
  </si>
  <si>
    <t xml:space="preserve">Return Packages</t>
  </si>
  <si>
    <t xml:space="preserve">Events/Package</t>
  </si>
  <si>
    <t xml:space="preserve">Billable Events</t>
  </si>
  <si>
    <t xml:space="preserve">Transport Currency</t>
  </si>
  <si>
    <t xml:space="preserve">Base Rate/kg</t>
  </si>
  <si>
    <t xml:space="preserve">Fuel Basis</t>
  </si>
  <si>
    <t xml:space="preserve">Fuel Rate/Unit</t>
  </si>
  <si>
    <t xml:space="preserve">EUR/CNY</t>
  </si>
  <si>
    <t xml:space="preserve">GBP/CNY</t>
  </si>
  <si>
    <t xml:space="preserve">Transport FX</t>
  </si>
  <si>
    <t xml:space="preserve">Base Freight Original</t>
  </si>
  <si>
    <t xml:space="preserve">Fuel Original</t>
  </si>
  <si>
    <t xml:space="preserve">Base Freight CNY</t>
  </si>
  <si>
    <t xml:space="preserve">Fuel CNY</t>
  </si>
  <si>
    <t xml:space="preserve">Variable Labor Currency</t>
  </si>
  <si>
    <t xml:space="preserve">Variable Labor Unit Price</t>
  </si>
  <si>
    <t xml:space="preserve">Variable Labor FX</t>
  </si>
  <si>
    <t xml:space="preserve">Variable Labor Original</t>
  </si>
  <si>
    <t xml:space="preserve">Variable Labor CNY</t>
  </si>
  <si>
    <t xml:space="preserve">Packaging Currency</t>
  </si>
  <si>
    <t xml:space="preserve">Packaging Unit Price</t>
  </si>
  <si>
    <t xml:space="preserve">Packaging FX</t>
  </si>
  <si>
    <t xml:space="preserve">Packaging Original</t>
  </si>
  <si>
    <t xml:space="preserve">Packaging CNY</t>
  </si>
  <si>
    <t xml:space="preserve">Return Currency</t>
  </si>
  <si>
    <t xml:space="preserve">Return Unit Price</t>
  </si>
  <si>
    <t xml:space="preserve">Return FX</t>
  </si>
  <si>
    <t xml:space="preserve">Return Original</t>
  </si>
  <si>
    <t xml:space="preserve">Return CNY</t>
  </si>
  <si>
    <t xml:space="preserve">Exception Currency</t>
  </si>
  <si>
    <t xml:space="preserve">Exception Unit Price</t>
  </si>
  <si>
    <t xml:space="preserve">Exception FX</t>
  </si>
  <si>
    <t xml:space="preserve">Exception Original</t>
  </si>
  <si>
    <t xml:space="preserve">Exception CNY</t>
  </si>
  <si>
    <t xml:space="preserve">Variable Cost CNY</t>
  </si>
  <si>
    <t xml:space="preserve">Expected On-time Rate</t>
  </si>
  <si>
    <t xml:space="preserve">Event Note</t>
  </si>
  <si>
    <t xml:space="preserve">Management Action Note</t>
  </si>
  <si>
    <t xml:space="preserve">Scenario Note</t>
  </si>
  <si>
    <t xml:space="preserve">Capacity Assumption</t>
  </si>
  <si>
    <t xml:space="preserve">BUDGET_2026_V1</t>
  </si>
  <si>
    <t xml:space="preserve">BUDGET</t>
  </si>
  <si>
    <t xml:space="preserve">EUR</t>
  </si>
  <si>
    <t xml:space="preserve">PERCENTAGE_OF_BASE_FREIGHT</t>
  </si>
  <si>
    <t xml:space="preserve">UNVERIFIED_UNLIMITED_FOR_MVP</t>
  </si>
  <si>
    <t xml:space="preserve">PER_CHARGEABLE_KG</t>
  </si>
  <si>
    <t xml:space="preserve">GBP</t>
  </si>
  <si>
    <t xml:space="preserve">ACTUAL_2026_08_CLOSE_V1</t>
  </si>
  <si>
    <t xml:space="preserve">ACTUAL</t>
  </si>
  <si>
    <r>
      <rPr>
        <sz val="9"/>
        <color rgb="FF101828"/>
        <rFont val="思源黑体"/>
        <family val="2"/>
        <charset val="134"/>
      </rPr>
      <t xml:space="preserve">为维持促销期间履约时效，提高德国仓至英国的空运和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份额</t>
    </r>
  </si>
  <si>
    <t xml:space="preserve">FORECAST_2026_08_V1</t>
  </si>
  <si>
    <t xml:space="preserve">FORECAST</t>
  </si>
  <si>
    <r>
      <rPr>
        <sz val="9"/>
        <color rgb="FF101828"/>
        <rFont val="思源黑体"/>
        <family val="2"/>
        <charset val="134"/>
      </rPr>
      <t xml:space="preserve">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逐月降低英国空运及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份额，但仍高于 </t>
    </r>
    <r>
      <rPr>
        <sz val="9"/>
        <color rgb="FF101828"/>
        <rFont val="Aptos"/>
        <family val="0"/>
        <charset val="1"/>
      </rPr>
      <t xml:space="preserve">Budget</t>
    </r>
  </si>
  <si>
    <t xml:space="preserve">SCENARIO_BASE_2026_08</t>
  </si>
  <si>
    <t xml:space="preserve">SCENARIO</t>
  </si>
  <si>
    <t xml:space="preserve">BASE</t>
  </si>
  <si>
    <r>
      <rPr>
        <sz val="9"/>
        <color rgb="FF101828"/>
        <rFont val="思源黑体"/>
        <family val="2"/>
        <charset val="134"/>
      </rPr>
      <t xml:space="preserve">沿用当前正式 </t>
    </r>
    <r>
      <rPr>
        <sz val="9"/>
        <color rgb="FF101828"/>
        <rFont val="Aptos"/>
        <family val="0"/>
        <charset val="1"/>
      </rPr>
      <t xml:space="preserve">Forecast</t>
    </r>
  </si>
  <si>
    <t xml:space="preserve">SCENARIO_GROWTH_2026_08</t>
  </si>
  <si>
    <t xml:space="preserve">GROWTH</t>
  </si>
  <si>
    <r>
      <rPr>
        <sz val="9"/>
        <color rgb="FF101828"/>
        <rFont val="思源黑体"/>
        <family val="2"/>
        <charset val="134"/>
      </rPr>
      <t xml:space="preserve">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月订单量分别相对各月正式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增加 </t>
    </r>
    <r>
      <rPr>
        <sz val="9"/>
        <color rgb="FF101828"/>
        <rFont val="Aptos"/>
        <family val="0"/>
        <charset val="1"/>
      </rPr>
      <t xml:space="preserve">10%</t>
    </r>
    <r>
      <rPr>
        <sz val="9"/>
        <color rgb="FF101828"/>
        <rFont val="思源黑体"/>
        <family val="2"/>
        <charset val="134"/>
      </rPr>
      <t xml:space="preserve">，不复利</t>
    </r>
  </si>
  <si>
    <t xml:space="preserve">SCENARIO_COST_SAVING_2026_08</t>
  </si>
  <si>
    <t xml:space="preserve">COST_SAVING</t>
  </si>
  <si>
    <r>
      <rPr>
        <sz val="9"/>
        <color rgb="FF101828"/>
        <rFont val="思源黑体"/>
        <family val="2"/>
        <charset val="134"/>
      </rPr>
      <t xml:space="preserve">准备期：沿用正式 </t>
    </r>
    <r>
      <rPr>
        <sz val="9"/>
        <color rgb="FF101828"/>
        <rFont val="Aptos"/>
        <family val="0"/>
        <charset val="1"/>
      </rPr>
      <t xml:space="preserve">Forecast</t>
    </r>
  </si>
  <si>
    <t xml:space="preserve">仅在现有承运商与有效线路内调整英国运输结构；承运能力未验证；一次性切换成本不适用</t>
  </si>
  <si>
    <t xml:space="preserve">履约变动成本事实</t>
  </si>
  <si>
    <r>
      <rPr>
        <i val="true"/>
        <sz val="9"/>
        <color rgb="FF667085"/>
        <rFont val="思源黑体"/>
        <family val="2"/>
        <charset val="134"/>
      </rPr>
      <t xml:space="preserve">每条成本事实与 </t>
    </r>
    <r>
      <rPr>
        <i val="true"/>
        <sz val="9"/>
        <color rgb="FF667085"/>
        <rFont val="Aptos"/>
        <family val="0"/>
        <charset val="1"/>
      </rPr>
      <t xml:space="preserve">Model_Calc </t>
    </r>
    <r>
      <rPr>
        <i val="true"/>
        <sz val="9"/>
        <color rgb="FF667085"/>
        <rFont val="思源黑体"/>
        <family val="2"/>
        <charset val="134"/>
      </rPr>
      <t xml:space="preserve">的线路公式列直接勾稽；</t>
    </r>
    <r>
      <rPr>
        <i val="true"/>
        <sz val="9"/>
        <color rgb="FF667085"/>
        <rFont val="Aptos"/>
        <family val="0"/>
        <charset val="1"/>
      </rPr>
      <t xml:space="preserve">Actual </t>
    </r>
    <r>
      <rPr>
        <i val="true"/>
        <sz val="9"/>
        <color rgb="FF667085"/>
        <rFont val="思源黑体"/>
        <family val="2"/>
        <charset val="134"/>
      </rPr>
      <t xml:space="preserve">权威金额差异必须为零。</t>
    </r>
  </si>
  <si>
    <t xml:space="preserve">Cost Component</t>
  </si>
  <si>
    <t xml:space="preserve">Currency</t>
  </si>
  <si>
    <t xml:space="preserve">Original Amount</t>
  </si>
  <si>
    <t xml:space="preserve">FX</t>
  </si>
  <si>
    <t xml:space="preserve">High Precision CNY (text)</t>
  </si>
  <si>
    <t xml:space="preserve">Report CNY</t>
  </si>
  <si>
    <t xml:space="preserve">Authority CNY</t>
  </si>
  <si>
    <t xml:space="preserve">Authority Delta</t>
  </si>
  <si>
    <t xml:space="preserve">Posting Basis</t>
  </si>
  <si>
    <t xml:space="preserve">Model Recalc CNY</t>
  </si>
  <si>
    <t xml:space="preserve">Recalc Delta</t>
  </si>
  <si>
    <t xml:space="preserve">BASE_FREIGHT</t>
  </si>
  <si>
    <t xml:space="preserve">48095.17352640000000</t>
  </si>
  <si>
    <t xml:space="preserve">INVOICE_OR_PLAN</t>
  </si>
  <si>
    <t xml:space="preserve">FUEL_SURCHARGE</t>
  </si>
  <si>
    <t xml:space="preserve">4569.04148500800000000</t>
  </si>
  <si>
    <t xml:space="preserve">FRONTLINE_VARIABLE_LABOR</t>
  </si>
  <si>
    <t xml:space="preserve">31497.5606400000</t>
  </si>
  <si>
    <t xml:space="preserve">PACKAGING</t>
  </si>
  <si>
    <t xml:space="preserve">11771.545968000000</t>
  </si>
  <si>
    <t xml:space="preserve">RETURN_LOGISTICS</t>
  </si>
  <si>
    <t xml:space="preserve">4270.8556800000000</t>
  </si>
  <si>
    <t xml:space="preserve">BILLABLE_EXCEPTION</t>
  </si>
  <si>
    <t xml:space="preserve">1031.411646720000000</t>
  </si>
  <si>
    <t xml:space="preserve">41106.98592000000000</t>
  </si>
  <si>
    <t xml:space="preserve">3139.07892480000000</t>
  </si>
  <si>
    <t xml:space="preserve">20998.3737600000</t>
  </si>
  <si>
    <t xml:space="preserve">7847.697312000000</t>
  </si>
  <si>
    <t xml:space="preserve">2847.2371200000000</t>
  </si>
  <si>
    <t xml:space="preserve">558.681308640000000</t>
  </si>
  <si>
    <t xml:space="preserve">4217.249836800000</t>
  </si>
  <si>
    <t xml:space="preserve">306.709079040000</t>
  </si>
  <si>
    <t xml:space="preserve">1444.71600000</t>
  </si>
  <si>
    <t xml:space="preserve">564.6775680000</t>
  </si>
  <si>
    <t xml:space="preserve">261.42480000000</t>
  </si>
  <si>
    <t xml:space="preserve">47.8489939200000</t>
  </si>
  <si>
    <t xml:space="preserve">20690.901504000000</t>
  </si>
  <si>
    <t xml:space="preserve">1862.181135360000000</t>
  </si>
  <si>
    <t xml:space="preserve">12841.92000000</t>
  </si>
  <si>
    <t xml:space="preserve">4926.4051200000</t>
  </si>
  <si>
    <t xml:space="preserve">2201.47200000000</t>
  </si>
  <si>
    <t xml:space="preserve">506.9011584000000</t>
  </si>
  <si>
    <t xml:space="preserve">49452.958464000000</t>
  </si>
  <si>
    <t xml:space="preserve">3804.073728000000</t>
  </si>
  <si>
    <t xml:space="preserve">23849.28000000</t>
  </si>
  <si>
    <t xml:space="preserve">9149.0380800000</t>
  </si>
  <si>
    <t xml:space="preserve">4088.44800000000</t>
  </si>
  <si>
    <t xml:space="preserve">775.2605952000000</t>
  </si>
  <si>
    <t xml:space="preserve">93412.85990400000000</t>
  </si>
  <si>
    <t xml:space="preserve">9341.28599040000000000</t>
  </si>
  <si>
    <t xml:space="preserve">20905.5974400000</t>
  </si>
  <si>
    <t xml:space="preserve">8333.892403200000</t>
  </si>
  <si>
    <t xml:space="preserve">7849.8201600000000</t>
  </si>
  <si>
    <t xml:space="preserve">1158.502625280000000</t>
  </si>
  <si>
    <t xml:space="preserve">41387.67360000000000</t>
  </si>
  <si>
    <t xml:space="preserve">2905.94304000000000</t>
  </si>
  <si>
    <t xml:space="preserve">8040.6144000000</t>
  </si>
  <si>
    <t xml:space="preserve">3205.343232000000</t>
  </si>
  <si>
    <t xml:space="preserve">3019.1616000000000</t>
  </si>
  <si>
    <t xml:space="preserve">344.310220800000000</t>
  </si>
  <si>
    <t xml:space="preserve">14369.80027392000000</t>
  </si>
  <si>
    <t xml:space="preserve">1652.52703150080000000</t>
  </si>
  <si>
    <t xml:space="preserve">2251.3720320000</t>
  </si>
  <si>
    <t xml:space="preserve">897.496104960000</t>
  </si>
  <si>
    <t xml:space="preserve">845.3652480000000</t>
  </si>
  <si>
    <t xml:space="preserve">89.749610496000000</t>
  </si>
  <si>
    <t xml:space="preserve">7291.27526400000000</t>
  </si>
  <si>
    <t xml:space="preserve">563.85862041600000</t>
  </si>
  <si>
    <t xml:space="preserve">964.8737280000</t>
  </si>
  <si>
    <t xml:space="preserve">384.641187840000</t>
  </si>
  <si>
    <t xml:space="preserve">362.2993920000000</t>
  </si>
  <si>
    <t xml:space="preserve">34.237292544000000</t>
  </si>
  <si>
    <t xml:space="preserve">7875.372960000000</t>
  </si>
  <si>
    <t xml:space="preserve">826.914160800000000</t>
  </si>
  <si>
    <t xml:space="preserve">1192.46400000</t>
  </si>
  <si>
    <t xml:space="preserve">496.2921600000</t>
  </si>
  <si>
    <t xml:space="preserve">472.44288000000</t>
  </si>
  <si>
    <t xml:space="preserve">43.8826752000000</t>
  </si>
  <si>
    <t xml:space="preserve">46377.48875760000000</t>
  </si>
  <si>
    <t xml:space="preserve">4405.86143197200000000</t>
  </si>
  <si>
    <t xml:space="preserve">30372.6477600000</t>
  </si>
  <si>
    <t xml:space="preserve">11351.133612000000</t>
  </si>
  <si>
    <t xml:space="preserve">4118.3251200000000</t>
  </si>
  <si>
    <t xml:space="preserve">994.575516480000000</t>
  </si>
  <si>
    <t xml:space="preserve">39638.87928000000000</t>
  </si>
  <si>
    <t xml:space="preserve">3026.96896320000000</t>
  </si>
  <si>
    <t xml:space="preserve">20248.4318400000</t>
  </si>
  <si>
    <t xml:space="preserve">7567.422408000000</t>
  </si>
  <si>
    <t xml:space="preserve">2745.5500800000000</t>
  </si>
  <si>
    <t xml:space="preserve">538.728404760000000</t>
  </si>
  <si>
    <t xml:space="preserve">4066.633771200000</t>
  </si>
  <si>
    <t xml:space="preserve">295.755183360000</t>
  </si>
  <si>
    <t xml:space="preserve">1393.11900000</t>
  </si>
  <si>
    <t xml:space="preserve">544.5105120000</t>
  </si>
  <si>
    <t xml:space="preserve">252.08820000000</t>
  </si>
  <si>
    <t xml:space="preserve">46.1401012800000</t>
  </si>
  <si>
    <t xml:space="preserve">19951.940736000000</t>
  </si>
  <si>
    <t xml:space="preserve">1795.674666240000000</t>
  </si>
  <si>
    <t xml:space="preserve">12383.28000000</t>
  </si>
  <si>
    <t xml:space="preserve">4750.4620800000</t>
  </si>
  <si>
    <t xml:space="preserve">2122.84800000000</t>
  </si>
  <si>
    <t xml:space="preserve">488.7975456000000</t>
  </si>
  <si>
    <t xml:space="preserve">47686.781376000000</t>
  </si>
  <si>
    <t xml:space="preserve">3668.213952000000</t>
  </si>
  <si>
    <t xml:space="preserve">22997.52000000</t>
  </si>
  <si>
    <t xml:space="preserve">8822.2867200000</t>
  </si>
  <si>
    <t xml:space="preserve">3942.43200000000</t>
  </si>
  <si>
    <t xml:space="preserve">747.5727168000000</t>
  </si>
  <si>
    <t xml:space="preserve">90076.68633600000000</t>
  </si>
  <si>
    <t xml:space="preserve">9007.66863360000000000</t>
  </si>
  <si>
    <t xml:space="preserve">20158.9689600000</t>
  </si>
  <si>
    <t xml:space="preserve">8036.253388800000</t>
  </si>
  <si>
    <t xml:space="preserve">7569.4694400000000</t>
  </si>
  <si>
    <t xml:space="preserve">1117.127531520000000</t>
  </si>
  <si>
    <t xml:space="preserve">39909.54240000000000</t>
  </si>
  <si>
    <t xml:space="preserve">2802.15936000000000</t>
  </si>
  <si>
    <t xml:space="preserve">7753.4496000000</t>
  </si>
  <si>
    <t xml:space="preserve">3090.866688000000</t>
  </si>
  <si>
    <t xml:space="preserve">2911.3344000000000</t>
  </si>
  <si>
    <t xml:space="preserve">332.013427200000000</t>
  </si>
  <si>
    <t xml:space="preserve">13856.59312128000000</t>
  </si>
  <si>
    <t xml:space="preserve">1593.50820894720000000</t>
  </si>
  <si>
    <t xml:space="preserve">2170.9658880000</t>
  </si>
  <si>
    <t xml:space="preserve">865.442672640000</t>
  </si>
  <si>
    <t xml:space="preserve">815.1736320000000</t>
  </si>
  <si>
    <t xml:space="preserve">86.544267264000000</t>
  </si>
  <si>
    <t xml:space="preserve">7030.87257600000000</t>
  </si>
  <si>
    <t xml:space="preserve">543.72081254400000</t>
  </si>
  <si>
    <t xml:space="preserve">930.4139520000</t>
  </si>
  <si>
    <t xml:space="preserve">370.904002560000</t>
  </si>
  <si>
    <t xml:space="preserve">349.3601280000000</t>
  </si>
  <si>
    <t xml:space="preserve">33.014532096000000</t>
  </si>
  <si>
    <t xml:space="preserve">7594.109640000000</t>
  </si>
  <si>
    <t xml:space="preserve">797.381512200000000</t>
  </si>
  <si>
    <t xml:space="preserve">1149.87600000</t>
  </si>
  <si>
    <t xml:space="preserve">478.5674400000</t>
  </si>
  <si>
    <t xml:space="preserve">455.56992000000</t>
  </si>
  <si>
    <t xml:space="preserve">42.3154368000000</t>
  </si>
  <si>
    <t xml:space="preserve">49076.70768000000000</t>
  </si>
  <si>
    <t xml:space="preserve">4662.28722960000000000</t>
  </si>
  <si>
    <t xml:space="preserve">32140.3680000000</t>
  </si>
  <si>
    <t xml:space="preserve">12011.781600000000</t>
  </si>
  <si>
    <t xml:space="preserve">4358.0160000000000</t>
  </si>
  <si>
    <t xml:space="preserve">1052.460864000000000</t>
  </si>
  <si>
    <t xml:space="preserve">41945.90400000000000</t>
  </si>
  <si>
    <t xml:space="preserve">3203.14176000000000</t>
  </si>
  <si>
    <t xml:space="preserve">21426.9120000000</t>
  </si>
  <si>
    <t xml:space="preserve">8007.854400000000</t>
  </si>
  <si>
    <t xml:space="preserve">2905.3440000000000</t>
  </si>
  <si>
    <t xml:space="preserve">570.082968000000000</t>
  </si>
  <si>
    <t xml:space="preserve">4303.316160000000</t>
  </si>
  <si>
    <t xml:space="preserve">312.968448000000</t>
  </si>
  <si>
    <t xml:space="preserve">1474.20000000</t>
  </si>
  <si>
    <t xml:space="preserve">576.2016000000</t>
  </si>
  <si>
    <t xml:space="preserve">266.76000000000</t>
  </si>
  <si>
    <t xml:space="preserve">48.8255040000000</t>
  </si>
  <si>
    <t xml:space="preserve">22168.823040000000</t>
  </si>
  <si>
    <t xml:space="preserve">1995.194073600000000</t>
  </si>
  <si>
    <t xml:space="preserve">13759.20000000</t>
  </si>
  <si>
    <t xml:space="preserve">5278.2912000000</t>
  </si>
  <si>
    <t xml:space="preserve">2358.72000000000</t>
  </si>
  <si>
    <t xml:space="preserve">543.1083840000000</t>
  </si>
  <si>
    <t xml:space="preserve">52985.312640000000</t>
  </si>
  <si>
    <t xml:space="preserve">4075.793280000000</t>
  </si>
  <si>
    <t xml:space="preserve">25552.80000000</t>
  </si>
  <si>
    <t xml:space="preserve">9802.5408000000</t>
  </si>
  <si>
    <t xml:space="preserve">4380.48000000000</t>
  </si>
  <si>
    <t xml:space="preserve">830.6363520000000</t>
  </si>
  <si>
    <t xml:space="preserve">107784.06912000000000</t>
  </si>
  <si>
    <t xml:space="preserve">10778.40691200000000000</t>
  </si>
  <si>
    <t xml:space="preserve">24121.8432000000</t>
  </si>
  <si>
    <t xml:space="preserve">9616.029696000000</t>
  </si>
  <si>
    <t xml:space="preserve">9057.4848000000000</t>
  </si>
  <si>
    <t xml:space="preserve">1336.733798400000000</t>
  </si>
  <si>
    <t xml:space="preserve">47755.00800000000000</t>
  </si>
  <si>
    <t xml:space="preserve">3353.01120000000000</t>
  </si>
  <si>
    <t xml:space="preserve">9277.6320000000</t>
  </si>
  <si>
    <t xml:space="preserve">3698.472960000000</t>
  </si>
  <si>
    <t xml:space="preserve">3483.6480000000000</t>
  </si>
  <si>
    <t xml:space="preserve">397.281024000000000</t>
  </si>
  <si>
    <t xml:space="preserve">16580.53877760000000</t>
  </si>
  <si>
    <t xml:space="preserve">1906.76195942400000000</t>
  </si>
  <si>
    <t xml:space="preserve">2597.7369600000</t>
  </si>
  <si>
    <t xml:space="preserve">1035.572428800000</t>
  </si>
  <si>
    <t xml:space="preserve">975.4214400000000</t>
  </si>
  <si>
    <t xml:space="preserve">103.557242880000000</t>
  </si>
  <si>
    <t xml:space="preserve">8413.00992000000000</t>
  </si>
  <si>
    <t xml:space="preserve">650.60610048000000</t>
  </si>
  <si>
    <t xml:space="preserve">1113.3158400000</t>
  </si>
  <si>
    <t xml:space="preserve">443.816755200000</t>
  </si>
  <si>
    <t xml:space="preserve">418.0377600000000</t>
  </si>
  <si>
    <t xml:space="preserve">39.504568320000000</t>
  </si>
  <si>
    <t xml:space="preserve">9086.968800000000</t>
  </si>
  <si>
    <t xml:space="preserve">954.131724000000000</t>
  </si>
  <si>
    <t xml:space="preserve">1375.92000000</t>
  </si>
  <si>
    <t xml:space="preserve">572.6448000000</t>
  </si>
  <si>
    <t xml:space="preserve">545.12640000000</t>
  </si>
  <si>
    <t xml:space="preserve">50.6338560000000</t>
  </si>
  <si>
    <t xml:space="preserve">50712.59793600000000</t>
  </si>
  <si>
    <t xml:space="preserve">4817.69680392000000000</t>
  </si>
  <si>
    <t xml:space="preserve">33211.7136000000</t>
  </si>
  <si>
    <t xml:space="preserve">12412.174320000000</t>
  </si>
  <si>
    <t xml:space="preserve">4503.2832000000000</t>
  </si>
  <si>
    <t xml:space="preserve">1087.542892800000000</t>
  </si>
  <si>
    <t xml:space="preserve">43344.10080000000000</t>
  </si>
  <si>
    <t xml:space="preserve">3309.91315200000000</t>
  </si>
  <si>
    <t xml:space="preserve">22141.1424000000</t>
  </si>
  <si>
    <t xml:space="preserve">8274.782880000000</t>
  </si>
  <si>
    <t xml:space="preserve">3002.1888000000000</t>
  </si>
  <si>
    <t xml:space="preserve">589.085733600000000</t>
  </si>
  <si>
    <t xml:space="preserve">4446.760032000000</t>
  </si>
  <si>
    <t xml:space="preserve">323.400729600000</t>
  </si>
  <si>
    <t xml:space="preserve">1523.34000000</t>
  </si>
  <si>
    <t xml:space="preserve">595.4083200000</t>
  </si>
  <si>
    <t xml:space="preserve">275.65200000000</t>
  </si>
  <si>
    <t xml:space="preserve">50.4530208000000</t>
  </si>
  <si>
    <t xml:space="preserve">22907.783808000000</t>
  </si>
  <si>
    <t xml:space="preserve">2061.700542720000000</t>
  </si>
  <si>
    <t xml:space="preserve">14217.84000000</t>
  </si>
  <si>
    <t xml:space="preserve">5454.2342400000</t>
  </si>
  <si>
    <t xml:space="preserve">2437.34400000000</t>
  </si>
  <si>
    <t xml:space="preserve">561.2119968000000</t>
  </si>
  <si>
    <t xml:space="preserve">54751.489728000000</t>
  </si>
  <si>
    <t xml:space="preserve">4211.653056000000</t>
  </si>
  <si>
    <t xml:space="preserve">26404.56000000</t>
  </si>
  <si>
    <t xml:space="preserve">10129.2921600000</t>
  </si>
  <si>
    <t xml:space="preserve">4526.49600000000</t>
  </si>
  <si>
    <t xml:space="preserve">858.3242304000000</t>
  </si>
  <si>
    <t xml:space="preserve">111376.87142400000000</t>
  </si>
  <si>
    <t xml:space="preserve">11137.68714240000000000</t>
  </si>
  <si>
    <t xml:space="preserve">24925.9046400000</t>
  </si>
  <si>
    <t xml:space="preserve">9936.564019200000</t>
  </si>
  <si>
    <t xml:space="preserve">9359.4009600000000</t>
  </si>
  <si>
    <t xml:space="preserve">1381.291591680000000</t>
  </si>
  <si>
    <t xml:space="preserve">49346.84160000000000</t>
  </si>
  <si>
    <t xml:space="preserve">3464.77824000000000</t>
  </si>
  <si>
    <t xml:space="preserve">9586.8864000000</t>
  </si>
  <si>
    <t xml:space="preserve">3821.755392000000</t>
  </si>
  <si>
    <t xml:space="preserve">3599.7696000000000</t>
  </si>
  <si>
    <t xml:space="preserve">410.523724800000000</t>
  </si>
  <si>
    <t xml:space="preserve">17133.22340352000000</t>
  </si>
  <si>
    <t xml:space="preserve">1970.32069140480000000</t>
  </si>
  <si>
    <t xml:space="preserve">2684.3281920000</t>
  </si>
  <si>
    <t xml:space="preserve">1070.091509760000</t>
  </si>
  <si>
    <t xml:space="preserve">1007.9354880000000</t>
  </si>
  <si>
    <t xml:space="preserve">107.009150976000000</t>
  </si>
  <si>
    <t xml:space="preserve">8693.44358400000000</t>
  </si>
  <si>
    <t xml:space="preserve">672.29297049600000</t>
  </si>
  <si>
    <t xml:space="preserve">1150.4263680000</t>
  </si>
  <si>
    <t xml:space="preserve">458.610647040000</t>
  </si>
  <si>
    <t xml:space="preserve">431.9723520000000</t>
  </si>
  <si>
    <t xml:space="preserve">40.821387264000000</t>
  </si>
  <si>
    <t xml:space="preserve">9389.867760000000</t>
  </si>
  <si>
    <t xml:space="preserve">985.936114800000000</t>
  </si>
  <si>
    <t xml:space="preserve">1421.78400000</t>
  </si>
  <si>
    <t xml:space="preserve">591.7329600000</t>
  </si>
  <si>
    <t xml:space="preserve">563.29728000000</t>
  </si>
  <si>
    <t xml:space="preserve">52.3216512000000</t>
  </si>
  <si>
    <t xml:space="preserve">51039.77598720000000</t>
  </si>
  <si>
    <t xml:space="preserve">4848.77871878400000000</t>
  </si>
  <si>
    <t xml:space="preserve">33425.9827200000</t>
  </si>
  <si>
    <t xml:space="preserve">12492.252864000000</t>
  </si>
  <si>
    <t xml:space="preserve">4532.3366400000000</t>
  </si>
  <si>
    <t xml:space="preserve">1094.559298560000000</t>
  </si>
  <si>
    <t xml:space="preserve">43623.74016000000000</t>
  </si>
  <si>
    <t xml:space="preserve">3331.26743040000000</t>
  </si>
  <si>
    <t xml:space="preserve">22283.9884800000</t>
  </si>
  <si>
    <t xml:space="preserve">8328.168576000000</t>
  </si>
  <si>
    <t xml:space="preserve">3021.5577600000000</t>
  </si>
  <si>
    <t xml:space="preserve">592.886286720000000</t>
  </si>
  <si>
    <t xml:space="preserve">4475.448806400000</t>
  </si>
  <si>
    <t xml:space="preserve">325.487185920000</t>
  </si>
  <si>
    <t xml:space="preserve">1533.16800000</t>
  </si>
  <si>
    <t xml:space="preserve">599.2496640000</t>
  </si>
  <si>
    <t xml:space="preserve">277.43040000000</t>
  </si>
  <si>
    <t xml:space="preserve">50.7785241600000</t>
  </si>
  <si>
    <t xml:space="preserve">23646.744576000000</t>
  </si>
  <si>
    <t xml:space="preserve">2128.207011840000000</t>
  </si>
  <si>
    <t xml:space="preserve">14676.48000000</t>
  </si>
  <si>
    <t xml:space="preserve">5630.1772800000</t>
  </si>
  <si>
    <t xml:space="preserve">2515.96800000000</t>
  </si>
  <si>
    <t xml:space="preserve">579.3156096000000</t>
  </si>
  <si>
    <t xml:space="preserve">56517.666816000000</t>
  </si>
  <si>
    <t xml:space="preserve">4347.512832000000</t>
  </si>
  <si>
    <t xml:space="preserve">27256.32000000</t>
  </si>
  <si>
    <t xml:space="preserve">10456.0435200000</t>
  </si>
  <si>
    <t xml:space="preserve">4672.51200000000</t>
  </si>
  <si>
    <t xml:space="preserve">886.0121088000000</t>
  </si>
  <si>
    <t xml:space="preserve">119075.73350400000000</t>
  </si>
  <si>
    <t xml:space="preserve">11907.57335040000000000</t>
  </si>
  <si>
    <t xml:space="preserve">26648.8934400000</t>
  </si>
  <si>
    <t xml:space="preserve">10623.423283200000</t>
  </si>
  <si>
    <t xml:space="preserve">10006.3641600000000</t>
  </si>
  <si>
    <t xml:space="preserve">1476.772577280000000</t>
  </si>
  <si>
    <t xml:space="preserve">52757.91360000000000</t>
  </si>
  <si>
    <t xml:space="preserve">3704.27904000000000</t>
  </si>
  <si>
    <t xml:space="preserve">10249.5744000000</t>
  </si>
  <si>
    <t xml:space="preserve">4085.932032000000</t>
  </si>
  <si>
    <t xml:space="preserve">3848.6016000000000</t>
  </si>
  <si>
    <t xml:space="preserve">438.900940800000000</t>
  </si>
  <si>
    <t xml:space="preserve">18317.54760192000000</t>
  </si>
  <si>
    <t xml:space="preserve">2106.51797422080000000</t>
  </si>
  <si>
    <t xml:space="preserve">2869.8808320000</t>
  </si>
  <si>
    <t xml:space="preserve">1144.060968960000</t>
  </si>
  <si>
    <t xml:space="preserve">1077.6084480000000</t>
  </si>
  <si>
    <t xml:space="preserve">114.406096896000000</t>
  </si>
  <si>
    <t xml:space="preserve">9294.37286400000000</t>
  </si>
  <si>
    <t xml:space="preserve">718.76483481600000</t>
  </si>
  <si>
    <t xml:space="preserve">1229.9489280000</t>
  </si>
  <si>
    <t xml:space="preserve">490.311843840000</t>
  </si>
  <si>
    <t xml:space="preserve">461.8321920000000</t>
  </si>
  <si>
    <t xml:space="preserve">43.643142144000000</t>
  </si>
  <si>
    <t xml:space="preserve">10038.936960000000</t>
  </si>
  <si>
    <t xml:space="preserve">1054.088380800000000</t>
  </si>
  <si>
    <t xml:space="preserve">1520.06400000</t>
  </si>
  <si>
    <t xml:space="preserve">632.6361600000</t>
  </si>
  <si>
    <t xml:space="preserve">602.23488000000</t>
  </si>
  <si>
    <t xml:space="preserve">55.9383552000000</t>
  </si>
  <si>
    <t xml:space="preserve">52634.76898680000000</t>
  </si>
  <si>
    <t xml:space="preserve">5000.30305374600000000</t>
  </si>
  <si>
    <t xml:space="preserve">34470.5446800000</t>
  </si>
  <si>
    <t xml:space="preserve">12882.635766000000</t>
  </si>
  <si>
    <t xml:space="preserve">4673.9721600000000</t>
  </si>
  <si>
    <t xml:space="preserve">1128.764276640000000</t>
  </si>
  <si>
    <t xml:space="preserve">44986.98204000000000</t>
  </si>
  <si>
    <t xml:space="preserve">3435.36953760000000</t>
  </si>
  <si>
    <t xml:space="preserve">22980.3631200000</t>
  </si>
  <si>
    <t xml:space="preserve">8588.423844000000</t>
  </si>
  <si>
    <t xml:space="preserve">3115.9814400000000</t>
  </si>
  <si>
    <t xml:space="preserve">611.413983180000000</t>
  </si>
  <si>
    <t xml:space="preserve">4615.306581600000</t>
  </si>
  <si>
    <t xml:space="preserve">335.658660480000</t>
  </si>
  <si>
    <t xml:space="preserve">1581.07950000</t>
  </si>
  <si>
    <t xml:space="preserve">617.9762160000</t>
  </si>
  <si>
    <t xml:space="preserve">286.10010000000</t>
  </si>
  <si>
    <t xml:space="preserve">52.3653530400000</t>
  </si>
  <si>
    <t xml:space="preserve">24385.705344000000</t>
  </si>
  <si>
    <t xml:space="preserve">2194.713480960000000</t>
  </si>
  <si>
    <t xml:space="preserve">15135.12000000</t>
  </si>
  <si>
    <t xml:space="preserve">5806.1203200000</t>
  </si>
  <si>
    <t xml:space="preserve">2594.59200000000</t>
  </si>
  <si>
    <t xml:space="preserve">597.4192224000000</t>
  </si>
  <si>
    <t xml:space="preserve">58283.843904000000</t>
  </si>
  <si>
    <t xml:space="preserve">4483.372608000000</t>
  </si>
  <si>
    <t xml:space="preserve">28108.08000000</t>
  </si>
  <si>
    <t xml:space="preserve">10782.7948800000</t>
  </si>
  <si>
    <t xml:space="preserve">4818.52800000000</t>
  </si>
  <si>
    <t xml:space="preserve">913.6999872000000</t>
  </si>
  <si>
    <t xml:space="preserve">122796.85017600000000</t>
  </si>
  <si>
    <t xml:space="preserve">12279.68501760000000000</t>
  </si>
  <si>
    <t xml:space="preserve">27481.6713600000</t>
  </si>
  <si>
    <t xml:space="preserve">10955.405260800000</t>
  </si>
  <si>
    <t xml:space="preserve">10319.0630400000000</t>
  </si>
  <si>
    <t xml:space="preserve">1522.921720320000000</t>
  </si>
  <si>
    <t xml:space="preserve">54406.59840000000000</t>
  </si>
  <si>
    <t xml:space="preserve">3820.03776000000000</t>
  </si>
  <si>
    <t xml:space="preserve">10569.8736000000</t>
  </si>
  <si>
    <t xml:space="preserve">4213.617408000000</t>
  </si>
  <si>
    <t xml:space="preserve">3968.8704000000000</t>
  </si>
  <si>
    <t xml:space="preserve">452.616595200000000</t>
  </si>
  <si>
    <t xml:space="preserve">18889.97096448000000</t>
  </si>
  <si>
    <t xml:space="preserve">2172.34666091520000000</t>
  </si>
  <si>
    <t xml:space="preserve">2959.5646080000</t>
  </si>
  <si>
    <t xml:space="preserve">1179.812874240000</t>
  </si>
  <si>
    <t xml:space="preserve">1111.2837120000000</t>
  </si>
  <si>
    <t xml:space="preserve">117.981287424000000</t>
  </si>
  <si>
    <t xml:space="preserve">9584.82201600000000</t>
  </si>
  <si>
    <t xml:space="preserve">741.22623590400000</t>
  </si>
  <si>
    <t xml:space="preserve">1268.3848320000</t>
  </si>
  <si>
    <t xml:space="preserve">505.634088960000</t>
  </si>
  <si>
    <t xml:space="preserve">476.2644480000000</t>
  </si>
  <si>
    <t xml:space="preserve">45.006990336000000</t>
  </si>
  <si>
    <t xml:space="preserve">10352.653740000000</t>
  </si>
  <si>
    <t xml:space="preserve">1087.028642700000000</t>
  </si>
  <si>
    <t xml:space="preserve">1567.56600000</t>
  </si>
  <si>
    <t xml:space="preserve">652.4060400000</t>
  </si>
  <si>
    <t xml:space="preserve">621.05472000000</t>
  </si>
  <si>
    <t xml:space="preserve">57.6864288000000</t>
  </si>
  <si>
    <t xml:space="preserve">52839.25526880000000</t>
  </si>
  <si>
    <t xml:space="preserve">5019.72925053600000000</t>
  </si>
  <si>
    <t xml:space="preserve">34604.4628800000</t>
  </si>
  <si>
    <t xml:space="preserve">12932.684856000000</t>
  </si>
  <si>
    <t xml:space="preserve">4692.1305600000000</t>
  </si>
  <si>
    <t xml:space="preserve">1133.149530240000000</t>
  </si>
  <si>
    <t xml:space="preserve">45161.75664000000000</t>
  </si>
  <si>
    <t xml:space="preserve">3448.71596160000000</t>
  </si>
  <si>
    <t xml:space="preserve">23069.6419200000</t>
  </si>
  <si>
    <t xml:space="preserve">8621.789904000000</t>
  </si>
  <si>
    <t xml:space="preserve">3128.0870400000000</t>
  </si>
  <si>
    <t xml:space="preserve">613.789328880000000</t>
  </si>
  <si>
    <t xml:space="preserve">4633.237065600000</t>
  </si>
  <si>
    <t xml:space="preserve">336.962695680000</t>
  </si>
  <si>
    <t xml:space="preserve">1587.22200000</t>
  </si>
  <si>
    <t xml:space="preserve">620.3770560000</t>
  </si>
  <si>
    <t xml:space="preserve">287.21160000000</t>
  </si>
  <si>
    <t xml:space="preserve">52.5687926400000</t>
  </si>
  <si>
    <t xml:space="preserve">25124.666112000000</t>
  </si>
  <si>
    <t xml:space="preserve">2261.219950080000000</t>
  </si>
  <si>
    <t xml:space="preserve">15593.76000000</t>
  </si>
  <si>
    <t xml:space="preserve">5982.0633600000</t>
  </si>
  <si>
    <t xml:space="preserve">2673.21600000000</t>
  </si>
  <si>
    <t xml:space="preserve">615.5228352000000</t>
  </si>
  <si>
    <t xml:space="preserve">60050.020992000000</t>
  </si>
  <si>
    <t xml:space="preserve">4619.232384000000</t>
  </si>
  <si>
    <t xml:space="preserve">28959.84000000</t>
  </si>
  <si>
    <t xml:space="preserve">11109.5462400000</t>
  </si>
  <si>
    <t xml:space="preserve">4964.54400000000</t>
  </si>
  <si>
    <t xml:space="preserve">941.3878656000000</t>
  </si>
  <si>
    <t xml:space="preserve">130880.65536000000000</t>
  </si>
  <si>
    <t xml:space="preserve">13088.06553600000000000</t>
  </si>
  <si>
    <t xml:space="preserve">29290.8096000000</t>
  </si>
  <si>
    <t xml:space="preserve">11676.607488000000</t>
  </si>
  <si>
    <t xml:space="preserve">10998.3744000000000</t>
  </si>
  <si>
    <t xml:space="preserve">1623.176755200000000</t>
  </si>
  <si>
    <t xml:space="preserve">57988.22400000000000</t>
  </si>
  <si>
    <t xml:space="preserve">4071.51360000000000</t>
  </si>
  <si>
    <t xml:space="preserve">11265.6960000000</t>
  </si>
  <si>
    <t xml:space="preserve">4491.002880000000</t>
  </si>
  <si>
    <t xml:space="preserve">4230.1440000000000</t>
  </si>
  <si>
    <t xml:space="preserve">482.412672000000000</t>
  </si>
  <si>
    <t xml:space="preserve">20133.51137280000000</t>
  </si>
  <si>
    <t xml:space="preserve">2315.35380787200000000</t>
  </si>
  <si>
    <t xml:space="preserve">3154.3948800000</t>
  </si>
  <si>
    <t xml:space="preserve">1257.480806400000</t>
  </si>
  <si>
    <t xml:space="preserve">1184.4403200000000</t>
  </si>
  <si>
    <t xml:space="preserve">125.748080640000000</t>
  </si>
  <si>
    <t xml:space="preserve">10215.79776000000000</t>
  </si>
  <si>
    <t xml:space="preserve">790.02169344000000</t>
  </si>
  <si>
    <t xml:space="preserve">1351.8835200000</t>
  </si>
  <si>
    <t xml:space="preserve">538.920345600000</t>
  </si>
  <si>
    <t xml:space="preserve">507.6172800000000</t>
  </si>
  <si>
    <t xml:space="preserve">47.969832960000000</t>
  </si>
  <si>
    <t xml:space="preserve">11034.176400000000</t>
  </si>
  <si>
    <t xml:space="preserve">1158.588522000000000</t>
  </si>
  <si>
    <t xml:space="preserve">1670.76000000</t>
  </si>
  <si>
    <t xml:space="preserve">695.3544000000</t>
  </si>
  <si>
    <t xml:space="preserve">661.93920000000</t>
  </si>
  <si>
    <t xml:space="preserve">61.4839680000000</t>
  </si>
  <si>
    <t xml:space="preserve">49731.06378240000000</t>
  </si>
  <si>
    <t xml:space="preserve">4724.45105932800000000</t>
  </si>
  <si>
    <t xml:space="preserve">32568.9062400000</t>
  </si>
  <si>
    <t xml:space="preserve">12171.938688000000</t>
  </si>
  <si>
    <t xml:space="preserve">4416.1228800000000</t>
  </si>
  <si>
    <t xml:space="preserve">1066.493675520000000</t>
  </si>
  <si>
    <t xml:space="preserve">42505.18272000000000</t>
  </si>
  <si>
    <t xml:space="preserve">3245.85031680000000</t>
  </si>
  <si>
    <t xml:space="preserve">21712.6041600000</t>
  </si>
  <si>
    <t xml:space="preserve">8114.625792000000</t>
  </si>
  <si>
    <t xml:space="preserve">2944.0819200000000</t>
  </si>
  <si>
    <t xml:space="preserve">577.684074240000000</t>
  </si>
  <si>
    <t xml:space="preserve">4360.693708800000</t>
  </si>
  <si>
    <t xml:space="preserve">317.141360640000</t>
  </si>
  <si>
    <t xml:space="preserve">1493.85600000</t>
  </si>
  <si>
    <t xml:space="preserve">583.8842880000</t>
  </si>
  <si>
    <t xml:space="preserve">270.31680000000</t>
  </si>
  <si>
    <t xml:space="preserve">49.4765107200000</t>
  </si>
  <si>
    <t xml:space="preserve">123181.79328000000000</t>
  </si>
  <si>
    <t xml:space="preserve">12318.17932800000000000</t>
  </si>
  <si>
    <t xml:space="preserve">27567.8208000000</t>
  </si>
  <si>
    <t xml:space="preserve">10989.748224000000</t>
  </si>
  <si>
    <t xml:space="preserve">10351.4112000000000</t>
  </si>
  <si>
    <t xml:space="preserve">1527.695769600000000</t>
  </si>
  <si>
    <t xml:space="preserve">54577.15200000000000</t>
  </si>
  <si>
    <t xml:space="preserve">3832.01280000000000</t>
  </si>
  <si>
    <t xml:space="preserve">10603.0080000000</t>
  </si>
  <si>
    <t xml:space="preserve">4226.826240000000</t>
  </si>
  <si>
    <t xml:space="preserve">3981.3120000000000</t>
  </si>
  <si>
    <t xml:space="preserve">454.035456000000000</t>
  </si>
  <si>
    <t xml:space="preserve">18949.18717440000000</t>
  </si>
  <si>
    <t xml:space="preserve">2179.15652505600000000</t>
  </si>
  <si>
    <t xml:space="preserve">2968.8422400000</t>
  </si>
  <si>
    <t xml:space="preserve">1183.511347200000</t>
  </si>
  <si>
    <t xml:space="preserve">1114.7673600000000</t>
  </si>
  <si>
    <t xml:space="preserve">118.351134720000000</t>
  </si>
  <si>
    <t xml:space="preserve">9614.86848000000000</t>
  </si>
  <si>
    <t xml:space="preserve">743.54982912000000</t>
  </si>
  <si>
    <t xml:space="preserve">1272.3609600000</t>
  </si>
  <si>
    <t xml:space="preserve">507.219148800000</t>
  </si>
  <si>
    <t xml:space="preserve">477.7574400000000</t>
  </si>
  <si>
    <t xml:space="preserve">45.148078080000000</t>
  </si>
  <si>
    <t xml:space="preserve">10385.107200000000</t>
  </si>
  <si>
    <t xml:space="preserve">1090.436256000000000</t>
  </si>
  <si>
    <t xml:space="preserve">1572.48000000</t>
  </si>
  <si>
    <t xml:space="preserve">654.4512000000</t>
  </si>
  <si>
    <t xml:space="preserve">623.00160000000</t>
  </si>
  <si>
    <t xml:space="preserve">57.8672640000000</t>
  </si>
  <si>
    <t xml:space="preserve">127287.85305600000000</t>
  </si>
  <si>
    <t xml:space="preserve">12728.78530560000000000</t>
  </si>
  <si>
    <t xml:space="preserve">28486.7481600000</t>
  </si>
  <si>
    <t xml:space="preserve">11356.073164800000</t>
  </si>
  <si>
    <t xml:space="preserve">10696.4582400000000</t>
  </si>
  <si>
    <t xml:space="preserve">1578.618961920000000</t>
  </si>
  <si>
    <t xml:space="preserve">56396.39040000000000</t>
  </si>
  <si>
    <t xml:space="preserve">3959.74656000000000</t>
  </si>
  <si>
    <t xml:space="preserve">10956.4416000000</t>
  </si>
  <si>
    <t xml:space="preserve">4367.720448000000</t>
  </si>
  <si>
    <t xml:space="preserve">4114.0224000000000</t>
  </si>
  <si>
    <t xml:space="preserve">469.169971200000000</t>
  </si>
  <si>
    <t xml:space="preserve">19580.82674688000000</t>
  </si>
  <si>
    <t xml:space="preserve">2251.79507589120000000</t>
  </si>
  <si>
    <t xml:space="preserve">3067.8036480000</t>
  </si>
  <si>
    <t xml:space="preserve">1222.961725440000</t>
  </si>
  <si>
    <t xml:space="preserve">1151.9262720000000</t>
  </si>
  <si>
    <t xml:space="preserve">122.296172544000000</t>
  </si>
  <si>
    <t xml:space="preserve">9935.36409600000000</t>
  </si>
  <si>
    <t xml:space="preserve">768.33482342400000</t>
  </si>
  <si>
    <t xml:space="preserve">1314.7729920000</t>
  </si>
  <si>
    <t xml:space="preserve">524.126453760000</t>
  </si>
  <si>
    <t xml:space="preserve">493.6826880000000</t>
  </si>
  <si>
    <t xml:space="preserve">46.653014016000000</t>
  </si>
  <si>
    <t xml:space="preserve">10731.277440000000</t>
  </si>
  <si>
    <t xml:space="preserve">1126.784131200000000</t>
  </si>
  <si>
    <t xml:space="preserve">1624.89600000</t>
  </si>
  <si>
    <t xml:space="preserve">676.2662400000</t>
  </si>
  <si>
    <t xml:space="preserve">643.76832000000</t>
  </si>
  <si>
    <t xml:space="preserve">59.7961728000000</t>
  </si>
  <si>
    <t xml:space="preserve">53532.8727373440000000</t>
  </si>
  <si>
    <t xml:space="preserve">5085.6229100476800000000</t>
  </si>
  <si>
    <t xml:space="preserve">34711.5974400000</t>
  </si>
  <si>
    <t xml:space="preserve">12972.724128000000</t>
  </si>
  <si>
    <t xml:space="preserve">4706.6572800000000</t>
  </si>
  <si>
    <t xml:space="preserve">1136.657733120000000</t>
  </si>
  <si>
    <t xml:space="preserve">45754.5920832000000000</t>
  </si>
  <si>
    <t xml:space="preserve">3493.9870318080000000</t>
  </si>
  <si>
    <t xml:space="preserve">23141.0649600000</t>
  </si>
  <si>
    <t xml:space="preserve">8648.482752000000</t>
  </si>
  <si>
    <t xml:space="preserve">3137.7715200000000</t>
  </si>
  <si>
    <t xml:space="preserve">615.689605440000000</t>
  </si>
  <si>
    <t xml:space="preserve">4694.05726732800000</t>
  </si>
  <si>
    <t xml:space="preserve">341.38598307840000</t>
  </si>
  <si>
    <t xml:space="preserve">1592.13600000</t>
  </si>
  <si>
    <t xml:space="preserve">622.2977280000</t>
  </si>
  <si>
    <t xml:space="preserve">288.10080000000</t>
  </si>
  <si>
    <t xml:space="preserve">52.7315443200000</t>
  </si>
  <si>
    <t xml:space="preserve">26028.96935184000000</t>
  </si>
  <si>
    <t xml:space="preserve">2342.60724166560000000</t>
  </si>
  <si>
    <t xml:space="preserve">15995.07000000</t>
  </si>
  <si>
    <t xml:space="preserve">6136.0135200000</t>
  </si>
  <si>
    <t xml:space="preserve">2742.01200000000</t>
  </si>
  <si>
    <t xml:space="preserve">631.3634964000000</t>
  </si>
  <si>
    <t xml:space="preserve">62211.38020344000000</t>
  </si>
  <si>
    <t xml:space="preserve">4785.49078488000000</t>
  </si>
  <si>
    <t xml:space="preserve">29705.13000000</t>
  </si>
  <si>
    <t xml:space="preserve">11395.4536800000</t>
  </si>
  <si>
    <t xml:space="preserve">5092.30800000000</t>
  </si>
  <si>
    <t xml:space="preserve">965.6147592000000</t>
  </si>
  <si>
    <t xml:space="preserve">153961.8438758400000000</t>
  </si>
  <si>
    <t xml:space="preserve">15396.1843875840000000000</t>
  </si>
  <si>
    <t xml:space="preserve">34115.1782400000</t>
  </si>
  <si>
    <t xml:space="preserve">13599.813427200000</t>
  </si>
  <si>
    <t xml:space="preserve">12809.8713600000000</t>
  </si>
  <si>
    <t xml:space="preserve">1890.523514880000000</t>
  </si>
  <si>
    <t xml:space="preserve">68214.6178560000000000</t>
  </si>
  <si>
    <t xml:space="preserve">4789.5369984000000000</t>
  </si>
  <si>
    <t xml:space="preserve">13121.2224000000</t>
  </si>
  <si>
    <t xml:space="preserve">5230.697472000000</t>
  </si>
  <si>
    <t xml:space="preserve">4926.8736000000000</t>
  </si>
  <si>
    <t xml:space="preserve">561.868876800000000</t>
  </si>
  <si>
    <t xml:space="preserve">23684.1153196032000000</t>
  </si>
  <si>
    <t xml:space="preserve">2723.6732617543680000000</t>
  </si>
  <si>
    <t xml:space="preserve">3673.9422720000</t>
  </si>
  <si>
    <t xml:space="preserve">1464.595292160000</t>
  </si>
  <si>
    <t xml:space="preserve">1379.5246080000000</t>
  </si>
  <si>
    <t xml:space="preserve">146.459529216000000</t>
  </si>
  <si>
    <t xml:space="preserve">12017.3837414400000000</t>
  </si>
  <si>
    <t xml:space="preserve">929.3443426713600000</t>
  </si>
  <si>
    <t xml:space="preserve">1574.5466880000</t>
  </si>
  <si>
    <t xml:space="preserve">627.683696640000</t>
  </si>
  <si>
    <t xml:space="preserve">591.2248320000000</t>
  </si>
  <si>
    <t xml:space="preserve">55.870746624000000</t>
  </si>
  <si>
    <t xml:space="preserve">12980.08586160000000</t>
  </si>
  <si>
    <t xml:space="preserve">1362.90901546800000000</t>
  </si>
  <si>
    <t xml:space="preserve">1945.94400000</t>
  </si>
  <si>
    <t xml:space="preserve">809.8833600000</t>
  </si>
  <si>
    <t xml:space="preserve">770.96448000000</t>
  </si>
  <si>
    <t xml:space="preserve">71.6107392000000</t>
  </si>
  <si>
    <t xml:space="preserve">61794.1185301440000000</t>
  </si>
  <si>
    <t xml:space="preserve">5870.4412603636800000000</t>
  </si>
  <si>
    <t xml:space="preserve">40068.3254400000</t>
  </si>
  <si>
    <t xml:space="preserve">14974.687728000000</t>
  </si>
  <si>
    <t xml:space="preserve">5432.9932800000000</t>
  </si>
  <si>
    <t xml:space="preserve">1312.067877120000000</t>
  </si>
  <si>
    <t xml:space="preserve">52815.4859232000000000</t>
  </si>
  <si>
    <t xml:space="preserve">4033.1825614080000000</t>
  </si>
  <si>
    <t xml:space="preserve">26712.2169600000</t>
  </si>
  <si>
    <t xml:space="preserve">9983.125152000000</t>
  </si>
  <si>
    <t xml:space="preserve">3621.9955200000000</t>
  </si>
  <si>
    <t xml:space="preserve">710.703433440000000</t>
  </si>
  <si>
    <t xml:space="preserve">5418.44882092800000</t>
  </si>
  <si>
    <t xml:space="preserve">394.06900515840000</t>
  </si>
  <si>
    <t xml:space="preserve">1837.83600000</t>
  </si>
  <si>
    <t xml:space="preserve">718.3313280000</t>
  </si>
  <si>
    <t xml:space="preserve">332.56080000000</t>
  </si>
  <si>
    <t xml:space="preserve">60.8691283200000</t>
  </si>
  <si>
    <t xml:space="preserve">30786.95299680000000</t>
  </si>
  <si>
    <t xml:space="preserve">2770.82576971200000000</t>
  </si>
  <si>
    <t xml:space="preserve">18918.90000000</t>
  </si>
  <si>
    <t xml:space="preserve">7257.6504000000</t>
  </si>
  <si>
    <t xml:space="preserve">3243.24000000000</t>
  </si>
  <si>
    <t xml:space="preserve">746.7740280000000</t>
  </si>
  <si>
    <t xml:space="preserve">73583.35292880000000</t>
  </si>
  <si>
    <t xml:space="preserve">5660.25791760000000</t>
  </si>
  <si>
    <t xml:space="preserve">35135.10000000</t>
  </si>
  <si>
    <t xml:space="preserve">13478.4936000000</t>
  </si>
  <si>
    <t xml:space="preserve">6023.16000000000</t>
  </si>
  <si>
    <t xml:space="preserve">1142.1249840000000</t>
  </si>
  <si>
    <t xml:space="preserve">205282.4585011200000000</t>
  </si>
  <si>
    <t xml:space="preserve">20528.2458501120000000000</t>
  </si>
  <si>
    <t xml:space="preserve">45486.9043200000</t>
  </si>
  <si>
    <t xml:space="preserve">18133.084569600000</t>
  </si>
  <si>
    <t xml:space="preserve">17079.8284800000000</t>
  </si>
  <si>
    <t xml:space="preserve">2520.698019840000000</t>
  </si>
  <si>
    <t xml:space="preserve">90952.8238080000000000</t>
  </si>
  <si>
    <t xml:space="preserve">6386.0493312000000000</t>
  </si>
  <si>
    <t xml:space="preserve">17494.9632000000</t>
  </si>
  <si>
    <t xml:space="preserve">6974.263296000000</t>
  </si>
  <si>
    <t xml:space="preserve">6569.1648000000000</t>
  </si>
  <si>
    <t xml:space="preserve">749.158502400000000</t>
  </si>
  <si>
    <t xml:space="preserve">31578.8204261376000000</t>
  </si>
  <si>
    <t xml:space="preserve">3631.5643490058240000000</t>
  </si>
  <si>
    <t xml:space="preserve">4898.5896960000</t>
  </si>
  <si>
    <t xml:space="preserve">1952.793722880000</t>
  </si>
  <si>
    <t xml:space="preserve">1839.3661440000000</t>
  </si>
  <si>
    <t xml:space="preserve">195.279372288000000</t>
  </si>
  <si>
    <t xml:space="preserve">16023.1783219200000000</t>
  </si>
  <si>
    <t xml:space="preserve">1239.1257902284800000</t>
  </si>
  <si>
    <t xml:space="preserve">2099.3955840000</t>
  </si>
  <si>
    <t xml:space="preserve">836.911595520000</t>
  </si>
  <si>
    <t xml:space="preserve">788.2997760000000</t>
  </si>
  <si>
    <t xml:space="preserve">74.494328832000000</t>
  </si>
  <si>
    <t xml:space="preserve">17306.78114880000000</t>
  </si>
  <si>
    <t xml:space="preserve">1817.21202062400000000</t>
  </si>
  <si>
    <t xml:space="preserve">2594.59200000</t>
  </si>
  <si>
    <t xml:space="preserve">1079.8444800000</t>
  </si>
  <si>
    <t xml:space="preserve">1027.95264000000</t>
  </si>
  <si>
    <t xml:space="preserve">95.4809856000000</t>
  </si>
  <si>
    <t xml:space="preserve">73029.4128083520000000</t>
  </si>
  <si>
    <t xml:space="preserve">6937.7942167934400000000</t>
  </si>
  <si>
    <t xml:space="preserve">47353.4755200000</t>
  </si>
  <si>
    <t xml:space="preserve">17697.358224000000</t>
  </si>
  <si>
    <t xml:space="preserve">6420.8102400000000</t>
  </si>
  <si>
    <t xml:space="preserve">1550.625672960000000</t>
  </si>
  <si>
    <t xml:space="preserve">62418.3015456000000000</t>
  </si>
  <si>
    <t xml:space="preserve">4766.4884816640000000</t>
  </si>
  <si>
    <t xml:space="preserve">31568.9836800000</t>
  </si>
  <si>
    <t xml:space="preserve">11798.238816000000</t>
  </si>
  <si>
    <t xml:space="preserve">4280.5401600000000</t>
  </si>
  <si>
    <t xml:space="preserve">839.922239520000000</t>
  </si>
  <si>
    <t xml:space="preserve">6403.62133382400000</t>
  </si>
  <si>
    <t xml:space="preserve">465.71791518720000</t>
  </si>
  <si>
    <t xml:space="preserve">2171.98800000</t>
  </si>
  <si>
    <t xml:space="preserve">848.9370240000</t>
  </si>
  <si>
    <t xml:space="preserve">393.02640000000</t>
  </si>
  <si>
    <t xml:space="preserve">71.9362425600000</t>
  </si>
  <si>
    <t xml:space="preserve">35171.76145392000000</t>
  </si>
  <si>
    <t xml:space="preserve">3165.45853085280000000</t>
  </si>
  <si>
    <t xml:space="preserve">21613.41000000</t>
  </si>
  <si>
    <t xml:space="preserve">8291.3157600000</t>
  </si>
  <si>
    <t xml:space="preserve">3705.15600000000</t>
  </si>
  <si>
    <t xml:space="preserve">853.1327532000000</t>
  </si>
  <si>
    <t xml:space="preserve">84063.40622472000000</t>
  </si>
  <si>
    <t xml:space="preserve">6466.41586344000000</t>
  </si>
  <si>
    <t xml:space="preserve">40139.19000000</t>
  </si>
  <si>
    <t xml:space="preserve">15398.1578400000</t>
  </si>
  <si>
    <t xml:space="preserve">6881.00400000000</t>
  </si>
  <si>
    <t xml:space="preserve">1304.7912696000000</t>
  </si>
  <si>
    <t xml:space="preserve">249345.6124723200000000</t>
  </si>
  <si>
    <t xml:space="preserve">24934.5612472320000000000</t>
  </si>
  <si>
    <t xml:space="preserve">55250.5075200000</t>
  </si>
  <si>
    <t xml:space="preserve">22025.287065600000</t>
  </si>
  <si>
    <t xml:space="preserve">20745.9532800000000</t>
  </si>
  <si>
    <t xml:space="preserve">3061.756938240000000</t>
  </si>
  <si>
    <t xml:space="preserve">110475.5258880000000000</t>
  </si>
  <si>
    <t xml:space="preserve">7756.7922432000000000</t>
  </si>
  <si>
    <t xml:space="preserve">21250.1952000000</t>
  </si>
  <si>
    <t xml:space="preserve">8471.264256000000</t>
  </si>
  <si>
    <t xml:space="preserve">7979.2128000000000</t>
  </si>
  <si>
    <t xml:space="preserve">909.962726400000000</t>
  </si>
  <si>
    <t xml:space="preserve">38357.1025883136000000</t>
  </si>
  <si>
    <t xml:space="preserve">4411.0667976560640000000</t>
  </si>
  <si>
    <t xml:space="preserve">5950.0546560000</t>
  </si>
  <si>
    <t xml:space="preserve">2371.953991680000</t>
  </si>
  <si>
    <t xml:space="preserve">2234.1795840000000</t>
  </si>
  <si>
    <t xml:space="preserve">237.195399168000000</t>
  </si>
  <si>
    <t xml:space="preserve">19462.4969011200000000</t>
  </si>
  <si>
    <t xml:space="preserve">1505.0997603532800000</t>
  </si>
  <si>
    <t xml:space="preserve">2550.0234240000</t>
  </si>
  <si>
    <t xml:space="preserve">1016.551710720000</t>
  </si>
  <si>
    <t xml:space="preserve">957.5055360000000</t>
  </si>
  <si>
    <t xml:space="preserve">90.484273152000000</t>
  </si>
  <si>
    <t xml:space="preserve">21021.62053680000000</t>
  </si>
  <si>
    <t xml:space="preserve">2207.27015636400000000</t>
  </si>
  <si>
    <t xml:space="preserve">3151.51200000</t>
  </si>
  <si>
    <t xml:space="preserve">1311.6292800000</t>
  </si>
  <si>
    <t xml:space="preserve">1248.59904000000</t>
  </si>
  <si>
    <t xml:space="preserve">115.9756416000000</t>
  </si>
  <si>
    <t xml:space="preserve">47904.335110964119788000000000</t>
  </si>
  <si>
    <t xml:space="preserve">4560.013659212674562619720000000000</t>
  </si>
  <si>
    <t xml:space="preserve">31216.49794701576000</t>
  </si>
  <si>
    <t xml:space="preserve">11666.5047412152120000000</t>
  </si>
  <si>
    <t xml:space="preserve">4232.74548434112000000</t>
  </si>
  <si>
    <t xml:space="preserve">1042.652195157748089600000000</t>
  </si>
  <si>
    <t xml:space="preserve">40943.876163217196400000000000</t>
  </si>
  <si>
    <t xml:space="preserve">3126.623270645676816000000000</t>
  </si>
  <si>
    <t xml:space="preserve">20810.99863134384000</t>
  </si>
  <si>
    <t xml:space="preserve">7777.6698274768080000000</t>
  </si>
  <si>
    <t xml:space="preserve">2821.83032289408000000</t>
  </si>
  <si>
    <t xml:space="preserve">564.769939043780215200000000</t>
  </si>
  <si>
    <t xml:space="preserve">4200.5160729450808560000000</t>
  </si>
  <si>
    <t xml:space="preserve">305.4920780323695168000000</t>
  </si>
  <si>
    <t xml:space="preserve">1431.824342319000</t>
  </si>
  <si>
    <t xml:space="preserve">559.63877151211200000</t>
  </si>
  <si>
    <t xml:space="preserve">259.092023848200000</t>
  </si>
  <si>
    <t xml:space="preserve">48.3704626619573856000000</t>
  </si>
  <si>
    <t xml:space="preserve">20495.5998461224441200000000</t>
  </si>
  <si>
    <t xml:space="preserve">1848.2931941233220107416000000000</t>
  </si>
  <si>
    <t xml:space="preserve">12657.417879645000</t>
  </si>
  <si>
    <t xml:space="preserve">4855.62659230572000000</t>
  </si>
  <si>
    <t xml:space="preserve">2169.843065082000000</t>
  </si>
  <si>
    <t xml:space="preserve">509.6107888272019080000000</t>
  </si>
  <si>
    <t xml:space="preserve">48986.1714188293504200000000</t>
  </si>
  <si>
    <t xml:space="preserve">3768.1670322176423400000000</t>
  </si>
  <si>
    <t xml:space="preserve">23506.633205055000</t>
  </si>
  <si>
    <t xml:space="preserve">9017.59224285348000000</t>
  </si>
  <si>
    <t xml:space="preserve">4029.708549438000000</t>
  </si>
  <si>
    <t xml:space="preserve">779.4047358533676240000000</t>
  </si>
  <si>
    <t xml:space="preserve">89257.885063892213760000000000</t>
  </si>
  <si>
    <t xml:space="preserve">8943.640083401999818752000000000000</t>
  </si>
  <si>
    <t xml:space="preserve">19715.84384380416000</t>
  </si>
  <si>
    <t xml:space="preserve">7859.6041899368448000000</t>
  </si>
  <si>
    <t xml:space="preserve">7463.34588100608000000</t>
  </si>
  <si>
    <t xml:space="preserve">1123.494772197250252800000000</t>
  </si>
  <si>
    <t xml:space="preserve">41460.315840478080000000000000</t>
  </si>
  <si>
    <t xml:space="preserve">2911.043452629312000000000000</t>
  </si>
  <si>
    <t xml:space="preserve">7949.93703379200000</t>
  </si>
  <si>
    <t xml:space="preserve">3169.1952378777600000000</t>
  </si>
  <si>
    <t xml:space="preserve">3009.41366169600000000</t>
  </si>
  <si>
    <t xml:space="preserve">350.062520662632960000000000</t>
  </si>
  <si>
    <t xml:space="preserve">18507.884991189414912000000000</t>
  </si>
  <si>
    <t xml:space="preserve">2132.663587534756280309760000000000</t>
  </si>
  <si>
    <t xml:space="preserve">2861.97733216512000</t>
  </si>
  <si>
    <t xml:space="preserve">1140.9102856359936000000</t>
  </si>
  <si>
    <t xml:space="preserve">1083.38891821056000000</t>
  </si>
  <si>
    <t xml:space="preserve">117.320185953021542400000000</t>
  </si>
  <si>
    <t xml:space="preserve">9738.763550614425600000000000</t>
  </si>
  <si>
    <t xml:space="preserve">753.131047914182246400000000</t>
  </si>
  <si>
    <t xml:space="preserve">1271.98992540672000</t>
  </si>
  <si>
    <t xml:space="preserve">507.0712380604416000000</t>
  </si>
  <si>
    <t xml:space="preserve">481.50618587136000000</t>
  </si>
  <si>
    <t xml:space="preserve">46.412381256140390400000000</t>
  </si>
  <si>
    <t xml:space="preserve">7825.4918859653640000000000</t>
  </si>
  <si>
    <t xml:space="preserve">823.3200013224159464400000000000</t>
  </si>
  <si>
    <t xml:space="preserve">1179.016085520000</t>
  </si>
  <si>
    <t xml:space="preserve">490.69526606880000000</t>
  </si>
  <si>
    <t xml:space="preserve">467.114944358400000</t>
  </si>
  <si>
    <t xml:space="preserve">44.2555477860787200000000</t>
  </si>
  <si>
    <t xml:space="preserve">46549.131134101809563750400000</t>
  </si>
  <si>
    <t xml:space="preserve">4439.856127570630596190513152000000</t>
  </si>
  <si>
    <t xml:space="preserve">30303.08643076300800</t>
  </si>
  <si>
    <t xml:space="preserve">11336.4616754936042496000</t>
  </si>
  <si>
    <t xml:space="preserve">4108.89307535769600000</t>
  </si>
  <si>
    <t xml:space="preserve">1013.155774884114116935680000</t>
  </si>
  <si>
    <t xml:space="preserve">39785.582165898982533120000000</t>
  </si>
  <si>
    <t xml:space="preserve">3038.171729032285938892800000</t>
  </si>
  <si>
    <t xml:space="preserve">20202.05762050867200</t>
  </si>
  <si>
    <t xml:space="preserve">7557.6411169957361664000</t>
  </si>
  <si>
    <t xml:space="preserve">2739.26205023846400000</t>
  </si>
  <si>
    <t xml:space="preserve">548.792711395561813340160000</t>
  </si>
  <si>
    <t xml:space="preserve">4081.6843205839810357248000</t>
  </si>
  <si>
    <t xml:space="preserve">296.8497687697440753254400</t>
  </si>
  <si>
    <t xml:space="preserve">1389.928392115200</t>
  </si>
  <si>
    <t xml:space="preserve">543.80670355828776960</t>
  </si>
  <si>
    <t xml:space="preserve">251.510851906560000</t>
  </si>
  <si>
    <t xml:space="preserve">47.0020720307063250124800</t>
  </si>
  <si>
    <t xml:space="preserve">20506.4739021857487252480000</t>
  </si>
  <si>
    <t xml:space="preserve">1852.9649818015042548134092800000</t>
  </si>
  <si>
    <t xml:space="preserve">12651.481862208000</t>
  </si>
  <si>
    <t xml:space="preserve">4858.20277237283788800</t>
  </si>
  <si>
    <t xml:space="preserve">2168.825462092800000</t>
  </si>
  <si>
    <t xml:space="preserve">509.8811657046671596032000</t>
  </si>
  <si>
    <t xml:space="preserve">49012.1613082853439367680000</t>
  </si>
  <si>
    <t xml:space="preserve">3770.1662544834879951360000</t>
  </si>
  <si>
    <t xml:space="preserve">23495.609172672000</t>
  </si>
  <si>
    <t xml:space="preserve">9022.37657726384179200</t>
  </si>
  <si>
    <t xml:space="preserve">4027.818715315200000</t>
  </si>
  <si>
    <t xml:space="preserve">779.8182534306674205696000</t>
  </si>
  <si>
    <t xml:space="preserve">89150.409781492632185733120000</t>
  </si>
  <si>
    <t xml:space="preserve">8950.701142061860271447605248000000</t>
  </si>
  <si>
    <t xml:space="preserve">19687.12096578600960</t>
  </si>
  <si>
    <t xml:space="preserve">7856.0021389898683514880</t>
  </si>
  <si>
    <t xml:space="preserve">7446.91236532125696000</t>
  </si>
  <si>
    <t xml:space="preserve">1122.141973866549051890073600</t>
  </si>
  <si>
    <t xml:space="preserve">41410.393537813821480960000000</t>
  </si>
  <si>
    <t xml:space="preserve">2907.538269676289593344000000</t>
  </si>
  <si>
    <t xml:space="preserve">7938.35522813952000</t>
  </si>
  <si>
    <t xml:space="preserve">3167.7427979797856256000</t>
  </si>
  <si>
    <t xml:space="preserve">3002.78724408115200000</t>
  </si>
  <si>
    <t xml:space="preserve">349.641010918829433323520000</t>
  </si>
  <si>
    <t xml:space="preserve">18485.599675280089909100544000</t>
  </si>
  <si>
    <t xml:space="preserve">2134.347338507839180904748810240000</t>
  </si>
  <si>
    <t xml:space="preserve">2857.80788213022720</t>
  </si>
  <si>
    <t xml:space="preserve">1140.3874072727228252160</t>
  </si>
  <si>
    <t xml:space="preserve">1081.00340786921472000</t>
  </si>
  <si>
    <t xml:space="preserve">117.178920897195419290828800</t>
  </si>
  <si>
    <t xml:space="preserve">9727.037120371587003187200000</t>
  </si>
  <si>
    <t xml:space="preserve">752.224203975402728246476800</t>
  </si>
  <si>
    <t xml:space="preserve">1270.13683650232320</t>
  </si>
  <si>
    <t xml:space="preserve">506.8388476767657000960</t>
  </si>
  <si>
    <t xml:space="preserve">480.44595905298432000</t>
  </si>
  <si>
    <t xml:space="preserve">46.356496179110275763404800</t>
  </si>
  <si>
    <t xml:space="preserve">7821.9054686627613158400000</t>
  </si>
  <si>
    <t xml:space="preserve">824.5852745064282979158528000000</t>
  </si>
  <si>
    <t xml:space="preserve">1177.298444851200</t>
  </si>
  <si>
    <t xml:space="preserve">490.47038078130892800</t>
  </si>
  <si>
    <t xml:space="preserve">466.434431483904000</t>
  </si>
  <si>
    <t xml:space="preserve">44.2352655003605778432000</t>
  </si>
  <si>
    <t xml:space="preserve">50460.322505196729997872000000</t>
  </si>
  <si>
    <t xml:space="preserve">4822.493021821651485896627040000000</t>
  </si>
  <si>
    <t xml:space="preserve">32816.45490625872000</t>
  </si>
  <si>
    <t xml:space="preserve">12288.9836668537421280000</t>
  </si>
  <si>
    <t xml:space="preserve">4449.68880084864000000</t>
  </si>
  <si>
    <t xml:space="preserve">1098.284025997671582182400000</t>
  </si>
  <si>
    <t xml:space="preserve">43128.480773672418801600000000</t>
  </si>
  <si>
    <t xml:space="preserve">3293.447622716802890304000000</t>
  </si>
  <si>
    <t xml:space="preserve">21877.63660417248000</t>
  </si>
  <si>
    <t xml:space="preserve">8192.6557779024947520000</t>
  </si>
  <si>
    <t xml:space="preserve">2966.45920056576000000</t>
  </si>
  <si>
    <t xml:space="preserve">594.903847415405440348800000</t>
  </si>
  <si>
    <t xml:space="preserve">4424.6391320972322440640000</t>
  </si>
  <si>
    <t xml:space="preserve">321.7919368797987086592000</t>
  </si>
  <si>
    <t xml:space="preserve">1505.210451318000</t>
  </si>
  <si>
    <t xml:space="preserve">589.49890091366572800</t>
  </si>
  <si>
    <t xml:space="preserve">272.371415000400000</t>
  </si>
  <si>
    <t xml:space="preserve">50.9513207937064136064000</t>
  </si>
  <si>
    <t xml:space="preserve">22894.3030674255096830400000</t>
  </si>
  <si>
    <t xml:space="preserve">2072.8501997247056467024416000000</t>
  </si>
  <si>
    <t xml:space="preserve">14110.558093170000</t>
  </si>
  <si>
    <t xml:space="preserve">5423.90501478927024000</t>
  </si>
  <si>
    <t xml:space="preserve">2418.952815972000000</t>
  </si>
  <si>
    <t xml:space="preserve">569.2531047363833571360000</t>
  </si>
  <si>
    <t xml:space="preserve">54719.2696479051163226400000</t>
  </si>
  <si>
    <t xml:space="preserve">4209.1745883003935632800000</t>
  </si>
  <si>
    <t xml:space="preserve">26205.322173030000</t>
  </si>
  <si>
    <t xml:space="preserve">10072.96645603721616000</t>
  </si>
  <si>
    <t xml:space="preserve">4492.340943948000000</t>
  </si>
  <si>
    <t xml:space="preserve">870.6223954791745462080000</t>
  </si>
  <si>
    <t xml:space="preserve">108709.748672101086737203200000</t>
  </si>
  <si>
    <t xml:space="preserve">10936.200716413369325762641920000000</t>
  </si>
  <si>
    <t xml:space="preserve">24008.19083287142400</t>
  </si>
  <si>
    <t xml:space="preserve">9589.8642997612570214400</t>
  </si>
  <si>
    <t xml:space="preserve">9071.68051722977280000</t>
  </si>
  <si>
    <t xml:space="preserve">1368.336637514506216144896000</t>
  </si>
  <si>
    <t xml:space="preserve">50495.712638250623385600000000</t>
  </si>
  <si>
    <t xml:space="preserve">3545.443653323979939840000000</t>
  </si>
  <si>
    <t xml:space="preserve">9680.72211002880000</t>
  </si>
  <si>
    <t xml:space="preserve">3866.8807660327649280000</t>
  </si>
  <si>
    <t xml:space="preserve">3657.93569243136000000</t>
  </si>
  <si>
    <t xml:space="preserve">426.351225032012567347200000</t>
  </si>
  <si>
    <t xml:space="preserve">22541.286121715078279331840000</t>
  </si>
  <si>
    <t xml:space="preserve">2607.801391421217406135900569600000</t>
  </si>
  <si>
    <t xml:space="preserve">3485.05995961036800</t>
  </si>
  <si>
    <t xml:space="preserve">1392.0770757717953740800</t>
  </si>
  <si>
    <t xml:space="preserve">1316.85684927528960000</t>
  </si>
  <si>
    <t xml:space="preserve">142.887633064437153005568000</t>
  </si>
  <si>
    <t xml:space="preserve">11861.120585665678344192000000</t>
  </si>
  <si>
    <t xml:space="preserve">917.259991958145791950848000</t>
  </si>
  <si>
    <t xml:space="preserve">1548.91553760460800</t>
  </si>
  <si>
    <t xml:space="preserve">618.7009225652423884800</t>
  </si>
  <si>
    <t xml:space="preserve">585.26971078901760000</t>
  </si>
  <si>
    <t xml:space="preserve">56.526975717799313276928000</t>
  </si>
  <si>
    <t xml:space="preserve">9548.2423098832480992000000</t>
  </si>
  <si>
    <t xml:space="preserve">1008.5808351929674967184960000000</t>
  </si>
  <si>
    <t xml:space="preserve">1435.700312928000</t>
  </si>
  <si>
    <t xml:space="preserve">598.71984649812864000</t>
  </si>
  <si>
    <t xml:space="preserve">568.810790645760000</t>
  </si>
  <si>
    <t xml:space="preserve">53.9982278399575388160000</t>
  </si>
  <si>
    <t xml:space="preserve">52530.715455917633206272000000</t>
  </si>
  <si>
    <t xml:space="preserve">5030.341312058672555832606720000000</t>
  </si>
  <si>
    <t xml:space="preserve">34128.85716430848000</t>
  </si>
  <si>
    <t xml:space="preserve">12793.2021080410337280000</t>
  </si>
  <si>
    <t xml:space="preserve">4627.64164939776000000</t>
  </si>
  <si>
    <t xml:space="preserve">ACCRUAL</t>
  </si>
  <si>
    <t xml:space="preserve">1143.346748398638671462400000</t>
  </si>
  <si>
    <t xml:space="preserve">44898.047398220199321600000000</t>
  </si>
  <si>
    <t xml:space="preserve">3428.578164954997039104000000</t>
  </si>
  <si>
    <t xml:space="preserve">22752.57144287232000</t>
  </si>
  <si>
    <t xml:space="preserve">8528.8014053606891520000</t>
  </si>
  <si>
    <t xml:space="preserve">3085.09443293184000000</t>
  </si>
  <si>
    <t xml:space="preserve">619.312822049262613708800000</t>
  </si>
  <si>
    <t xml:space="preserve">4606.1825946392033648640000</t>
  </si>
  <si>
    <t xml:space="preserve">334.9950977919420628992000</t>
  </si>
  <si>
    <t xml:space="preserve">1565.407130112000</t>
  </si>
  <si>
    <t xml:space="preserve">613.68610995862732800</t>
  </si>
  <si>
    <t xml:space="preserve">283.264147353600000</t>
  </si>
  <si>
    <t xml:space="preserve">53.0418594617925156864000</t>
  </si>
  <si>
    <t xml:space="preserve">23922.8273257871817830400000</t>
  </si>
  <si>
    <t xml:space="preserve">2170.2788949954131313573888000000</t>
  </si>
  <si>
    <t xml:space="preserve">14729.773121280000</t>
  </si>
  <si>
    <t xml:space="preserve">5667.57340103937024000</t>
  </si>
  <si>
    <t xml:space="preserve">2525.103963648000000</t>
  </si>
  <si>
    <t xml:space="preserve">594.8267431059267471360000</t>
  </si>
  <si>
    <t xml:space="preserve">57177.5273230548986726400000</t>
  </si>
  <si>
    <t xml:space="preserve">4398.2713325426845132800000</t>
  </si>
  <si>
    <t xml:space="preserve">27355.292939520000</t>
  </si>
  <si>
    <t xml:space="preserve">10525.49345907311616000</t>
  </si>
  <si>
    <t xml:space="preserve">4689.478789632000000</t>
  </si>
  <si>
    <t xml:space="preserve">909.7350188678879662080000</t>
  </si>
  <si>
    <t xml:space="preserve">111776.477444581490963251200000</t>
  </si>
  <si>
    <t xml:space="preserve">11267.068926413814289095720960000000</t>
  </si>
  <si>
    <t xml:space="preserve">24642.50943445401600</t>
  </si>
  <si>
    <t xml:space="preserve">9853.0609722720937574400</t>
  </si>
  <si>
    <t xml:space="preserve">9318.29516213944320000</t>
  </si>
  <si>
    <t xml:space="preserve">1406.937750919359065358336000</t>
  </si>
  <si>
    <t xml:space="preserve">51920.209122937718169600000000</t>
  </si>
  <si>
    <t xml:space="preserve">3645.461491610520637440000000</t>
  </si>
  <si>
    <t xml:space="preserve">9936.49573969920000</t>
  </si>
  <si>
    <t xml:space="preserve">3973.0084565613281280000</t>
  </si>
  <si>
    <t xml:space="preserve">3757.37708150784000000</t>
  </si>
  <si>
    <t xml:space="preserve">438.378698050386805555200000</t>
  </si>
  <si>
    <t xml:space="preserve">23177.181352479397390909440000</t>
  </si>
  <si>
    <t xml:space="preserve">2686.698862379411745554222284800000</t>
  </si>
  <si>
    <t xml:space="preserve">3577.13846629171200</t>
  </si>
  <si>
    <t xml:space="preserve">1430.2830443620781260800</t>
  </si>
  <si>
    <t xml:space="preserve">1352.65574934282240000</t>
  </si>
  <si>
    <t xml:space="preserve">146.918528369623240409088000</t>
  </si>
  <si>
    <t xml:space="preserve">12195.725717387923587072000000</t>
  </si>
  <si>
    <t xml:space="preserve">943.136122144666090733568000</t>
  </si>
  <si>
    <t xml:space="preserve">1589.83931835187200</t>
  </si>
  <si>
    <t xml:space="preserve">635.6813530498125004800</t>
  </si>
  <si>
    <t xml:space="preserve">601.18033304125440000</t>
  </si>
  <si>
    <t xml:space="preserve">58.121615618752051150848000</t>
  </si>
  <si>
    <t xml:space="preserve">9810.2966545261665792000000</t>
  </si>
  <si>
    <t xml:space="preserve">1038.3217979150494707425280000000</t>
  </si>
  <si>
    <t xml:space="preserve">1473.632842752000</t>
  </si>
  <si>
    <t xml:space="preserve">615.15189041854464000</t>
  </si>
  <si>
    <t xml:space="preserve">583.839297699840000</t>
  </si>
  <si>
    <t xml:space="preserve">55.4802252326956892160000</t>
  </si>
  <si>
    <t xml:space="preserve">53891.570590208953842240000000</t>
  </si>
  <si>
    <t xml:space="preserve">5170.896198130549121162928000000000</t>
  </si>
  <si>
    <t xml:space="preserve">34978.12221081120000</t>
  </si>
  <si>
    <t xml:space="preserve">13124.6214428369577600000</t>
  </si>
  <si>
    <t xml:space="preserve">4742.79623197440000000</t>
  </si>
  <si>
    <t xml:space="preserve">1172.966167805542967808000000</t>
  </si>
  <si>
    <t xml:space="preserve">46061.171444623037472000000000</t>
  </si>
  <si>
    <t xml:space="preserve">3517.398546680304679680000000</t>
  </si>
  <si>
    <t xml:space="preserve">23318.74814054080000</t>
  </si>
  <si>
    <t xml:space="preserve">8749.7476285579718400000</t>
  </si>
  <si>
    <t xml:space="preserve">3161.86415464960000000</t>
  </si>
  <si>
    <t xml:space="preserve">635.356674228002440896000000</t>
  </si>
  <si>
    <t xml:space="preserve">4725.5098716236241388800000</t>
  </si>
  <si>
    <t xml:space="preserve">343.6734452089908464640000</t>
  </si>
  <si>
    <t xml:space="preserve">1604.360838780000</t>
  </si>
  <si>
    <t xml:space="preserve">629.58419713166976000</t>
  </si>
  <si>
    <t xml:space="preserve">290.312913684000000</t>
  </si>
  <si>
    <t xml:space="preserve">54.4159562384014778880000</t>
  </si>
  <si>
    <t xml:space="preserve">25147.8840016059129936000000</t>
  </si>
  <si>
    <t xml:space="preserve">2285.9426557459774911182400000000</t>
  </si>
  <si>
    <t xml:space="preserve">15468.643147650000</t>
  </si>
  <si>
    <t xml:space="preserve">5957.80241686944160000</t>
  </si>
  <si>
    <t xml:space="preserve">2651.767396740000000</t>
  </si>
  <si>
    <t xml:space="preserve">625.2870420778607102400000</t>
  </si>
  <si>
    <t xml:space="preserve">60105.5136601218303576000000</t>
  </si>
  <si>
    <t xml:space="preserve">4623.5010507786023352000000</t>
  </si>
  <si>
    <t xml:space="preserve">28727.480131350000</t>
  </si>
  <si>
    <t xml:space="preserve">11064.49020275753440000</t>
  </si>
  <si>
    <t xml:space="preserve">4924.710879660000000</t>
  </si>
  <si>
    <t xml:space="preserve">956.3213584720222627200000</t>
  </si>
  <si>
    <t xml:space="preserve">123926.201497609783050240000000</t>
  </si>
  <si>
    <t xml:space="preserve">12516.546351258588088074240000000000</t>
  </si>
  <si>
    <t xml:space="preserve">27338.27702519040000</t>
  </si>
  <si>
    <t xml:space="preserve">10941.8349277120020480000</t>
  </si>
  <si>
    <t xml:space="preserve">10320.87224475648000000</t>
  </si>
  <si>
    <t xml:space="preserve">1559.867113377874383667200000</t>
  </si>
  <si>
    <t xml:space="preserve">57563.759787986833920000000000</t>
  </si>
  <si>
    <t xml:space="preserve">4041.710793624607488000000000</t>
  </si>
  <si>
    <t xml:space="preserve">11023.49880048000000</t>
  </si>
  <si>
    <t xml:space="preserve">4412.0302127870976000000</t>
  </si>
  <si>
    <t xml:space="preserve">4161.64203417600000000</t>
  </si>
  <si>
    <t xml:space="preserve">486.028975942519511040000000</t>
  </si>
  <si>
    <t xml:space="preserve">25696.462369357322661888000000</t>
  </si>
  <si>
    <t xml:space="preserve">2984.644104200853027178291200000000</t>
  </si>
  <si>
    <t xml:space="preserve">3968.45956817280000</t>
  </si>
  <si>
    <t xml:space="preserve">1588.3308766033551360000</t>
  </si>
  <si>
    <t xml:space="preserve">1498.19113230336000000</t>
  </si>
  <si>
    <t xml:space="preserve">162.888074187999377817600000</t>
  </si>
  <si>
    <t xml:space="preserve">13521.359745944141414400000000</t>
  </si>
  <si>
    <t xml:space="preserve">1045.651820353013602713600000</t>
  </si>
  <si>
    <t xml:space="preserve">1763.75980807680000</t>
  </si>
  <si>
    <t xml:space="preserve">705.9248340459356160000</t>
  </si>
  <si>
    <t xml:space="preserve">665.86272546816000000</t>
  </si>
  <si>
    <t xml:space="preserve">64.439238140307446169600000</t>
  </si>
  <si>
    <t xml:space="preserve">10894.3451063368016400000000</t>
  </si>
  <si>
    <t xml:space="preserve">1155.3452985270178139220000000000</t>
  </si>
  <si>
    <t xml:space="preserve">1634.840923800000</t>
  </si>
  <si>
    <t xml:space="preserve">683.12684346228800000</t>
  </si>
  <si>
    <t xml:space="preserve">647.708404096000000</t>
  </si>
  <si>
    <t xml:space="preserve">61.6108504714198272000000</t>
  </si>
  <si>
    <t xml:space="preserve">55566.240754513512703680000000</t>
  </si>
  <si>
    <t xml:space="preserve">5342.138386138929111331795200000000</t>
  </si>
  <si>
    <t xml:space="preserve">36029.17498131072000</t>
  </si>
  <si>
    <t xml:space="preserve">13532.4665233828963200000</t>
  </si>
  <si>
    <t xml:space="preserve">4885.31186187264000000</t>
  </si>
  <si>
    <t xml:space="preserve">1209.415865289762848256000000</t>
  </si>
  <si>
    <t xml:space="preserve">47492.513465396164704000000000</t>
  </si>
  <si>
    <t xml:space="preserve">3626.701028266616213760000000</t>
  </si>
  <si>
    <t xml:space="preserve">24019.44998754048000</t>
  </si>
  <si>
    <t xml:space="preserve">9021.6443489219308800000</t>
  </si>
  <si>
    <t xml:space="preserve">3256.87457458176000000</t>
  </si>
  <si>
    <t xml:space="preserve">655.100260365288209472000000</t>
  </si>
  <si>
    <t xml:space="preserve">4872.3541796752530681600000</t>
  </si>
  <si>
    <t xml:space="preserve">354.3530312491093140480000</t>
  </si>
  <si>
    <t xml:space="preserve">1652.570056368000</t>
  </si>
  <si>
    <t xml:space="preserve">649.14840465628032000</t>
  </si>
  <si>
    <t xml:space="preserve">299.036486390400000</t>
  </si>
  <si>
    <t xml:space="preserve">56.1069215856075548160000</t>
  </si>
  <si>
    <t xml:space="preserve">25872.3237183415194960000000</t>
  </si>
  <si>
    <t xml:space="preserve">2356.4512442665455956956800000000</t>
  </si>
  <si>
    <t xml:space="preserve">15898.416118200000</t>
  </si>
  <si>
    <t xml:space="preserve">6129.42992616477600000</t>
  </si>
  <si>
    <t xml:space="preserve">2725.442763120000000</t>
  </si>
  <si>
    <t xml:space="preserve">643.2998008297463064000000</t>
  </si>
  <si>
    <t xml:space="preserve">61836.9842398098150360000000</t>
  </si>
  <si>
    <t xml:space="preserve">4756.6910953699857720000000</t>
  </si>
  <si>
    <t xml:space="preserve">29525.629933800000</t>
  </si>
  <si>
    <t xml:space="preserve">11383.22700573458400000</t>
  </si>
  <si>
    <t xml:space="preserve">5061.536560080000000</t>
  </si>
  <si>
    <t xml:space="preserve">983.8702836219649392000000</t>
  </si>
  <si>
    <t xml:space="preserve">132715.086172472472109056000000</t>
  </si>
  <si>
    <t xml:space="preserve">13430.766720654214177436467200000000</t>
  </si>
  <si>
    <t xml:space="preserve">29226.27867216076800</t>
  </si>
  <si>
    <t xml:space="preserve">11709.1370295096164352000</t>
  </si>
  <si>
    <t xml:space="preserve">11041.83386528808960000</t>
  </si>
  <si>
    <t xml:space="preserve">1670.493373215698280775680000</t>
  </si>
  <si>
    <t xml:space="preserve">61646.199498993973248000000000</t>
  </si>
  <si>
    <t xml:space="preserve">4328.350177588938547200000000</t>
  </si>
  <si>
    <t xml:space="preserve">11784.78978716160000</t>
  </si>
  <si>
    <t xml:space="preserve">4721.4262215764582400000</t>
  </si>
  <si>
    <t xml:space="preserve">4452.35236503552000000</t>
  </si>
  <si>
    <t xml:space="preserve">520.498301771753496576000000</t>
  </si>
  <si>
    <t xml:space="preserve">27518.863456350909657907200000</t>
  </si>
  <si>
    <t xml:space="preserve">3202.645329050118865987239936000000</t>
  </si>
  <si>
    <t xml:space="preserve">4242.52432337817600</t>
  </si>
  <si>
    <t xml:space="preserve">1699.7134397675249664000</t>
  </si>
  <si>
    <t xml:space="preserve">1602.84685141278720000</t>
  </si>
  <si>
    <t xml:space="preserve">174.440146967188179517440000</t>
  </si>
  <si>
    <t xml:space="preserve">14480.298775933903503360000000</t>
  </si>
  <si>
    <t xml:space="preserve">1119.809772005555204259840000</t>
  </si>
  <si>
    <t xml:space="preserve">1885.56636594585600</t>
  </si>
  <si>
    <t xml:space="preserve">755.4281954522333184000</t>
  </si>
  <si>
    <t xml:space="preserve">712.37637840568320000</t>
  </si>
  <si>
    <t xml:space="preserve">69.009288910096422666240000</t>
  </si>
  <si>
    <t xml:space="preserve">11658.3169586839425360000000</t>
  </si>
  <si>
    <t xml:space="preserve">1238.8127600297557338753600000000</t>
  </si>
  <si>
    <t xml:space="preserve">1747.744248096000</t>
  </si>
  <si>
    <t xml:space="preserve">731.03148342861120000</t>
  </si>
  <si>
    <t xml:space="preserve">692.439625912320000</t>
  </si>
  <si>
    <t xml:space="preserve">65.9313447370141132800000</t>
  </si>
  <si>
    <t xml:space="preserve">55869.324152916604730400000000</t>
  </si>
  <si>
    <t xml:space="preserve">5381.891995650456533679432000000000</t>
  </si>
  <si>
    <t xml:space="preserve">36189.68475376800000</t>
  </si>
  <si>
    <t xml:space="preserve">13606.2787137882696000000</t>
  </si>
  <si>
    <t xml:space="preserve">4907.07589881600000000</t>
  </si>
  <si>
    <t xml:space="preserve">1216.012566192277351680000000</t>
  </si>
  <si>
    <t xml:space="preserve">47751.559105056927120000000000</t>
  </si>
  <si>
    <t xml:space="preserve">3646.482695295256252800000000</t>
  </si>
  <si>
    <t xml:space="preserve">24126.45650251200000</t>
  </si>
  <si>
    <t xml:space="preserve">9070.8524758588464000000</t>
  </si>
  <si>
    <t xml:space="preserve">3271.38393254400000000</t>
  </si>
  <si>
    <t xml:space="preserve">658.673473354150232160000000</t>
  </si>
  <si>
    <t xml:space="preserve">4898.9302021476664848000000</t>
  </si>
  <si>
    <t xml:space="preserve">356.2858328834666534400000</t>
  </si>
  <si>
    <t xml:space="preserve">1659.932246700000</t>
  </si>
  <si>
    <t xml:space="preserve">652.68915353328960000</t>
  </si>
  <si>
    <t xml:space="preserve">300.368692260000000</t>
  </si>
  <si>
    <t xml:space="preserve">56.4129541017035884800000</t>
  </si>
  <si>
    <t xml:space="preserve">26360.7414823590954480000000</t>
  </si>
  <si>
    <t xml:space="preserve">2405.6812676800910505844800000000</t>
  </si>
  <si>
    <t xml:space="preserve">16182.444505500000</t>
  </si>
  <si>
    <t xml:space="preserve">6245.14131304408800000</t>
  </si>
  <si>
    <t xml:space="preserve">2774.133343800000000</t>
  </si>
  <si>
    <t xml:space="preserve">655.4440153863797832000000</t>
  </si>
  <si>
    <t xml:space="preserve">63004.3429163938924680000000</t>
  </si>
  <si>
    <t xml:space="preserve">4846.4879166456840360000000</t>
  </si>
  <si>
    <t xml:space="preserve">30053.111224500000</t>
  </si>
  <si>
    <t xml:space="preserve">11598.11958136759200000</t>
  </si>
  <si>
    <t xml:space="preserve">5151.961924200000000</t>
  </si>
  <si>
    <t xml:space="preserve">1002.4437882379926096000000</t>
  </si>
  <si>
    <t xml:space="preserve">139783.335101801759047680000000</t>
  </si>
  <si>
    <t xml:space="preserve">14174.030179322698367434752000000000</t>
  </si>
  <si>
    <t xml:space="preserve">30763.02082613760000</t>
  </si>
  <si>
    <t xml:space="preserve">12337.0767344023879680000</t>
  </si>
  <si>
    <t xml:space="preserve">11618.34836557824000000</t>
  </si>
  <si>
    <t xml:space="preserve">1759.461879639594280550400000</t>
  </si>
  <si>
    <t xml:space="preserve">73449.963662883449241600000000</t>
  </si>
  <si>
    <t xml:space="preserve">5157.125108245008138240000000</t>
  </si>
  <si>
    <t xml:space="preserve">14032.25511367680000</t>
  </si>
  <si>
    <t xml:space="preserve">5627.4385104291594240000</t>
  </si>
  <si>
    <t xml:space="preserve">5299.59750008832000000</t>
  </si>
  <si>
    <t xml:space="preserve">620.161204785247744819200000</t>
  </si>
  <si>
    <t xml:space="preserve">38532.980936989624909824000000</t>
  </si>
  <si>
    <t xml:space="preserve">4493.330907062360160734576640000000</t>
  </si>
  <si>
    <t xml:space="preserve">5936.72331732480000</t>
  </si>
  <si>
    <t xml:space="preserve">2380.8393697969520640000</t>
  </si>
  <si>
    <t xml:space="preserve">2242.13740388352000000</t>
  </si>
  <si>
    <t xml:space="preserve">244.257865823345659084800000</t>
  </si>
  <si>
    <t xml:space="preserve">24884.030242580808499200000000</t>
  </si>
  <si>
    <t xml:space="preserve">1924.365005426249190604800000</t>
  </si>
  <si>
    <t xml:space="preserve">3238.21271854080000</t>
  </si>
  <si>
    <t xml:space="preserve">1298.6396562528829440000</t>
  </si>
  <si>
    <t xml:space="preserve">1222.98403848192000000</t>
  </si>
  <si>
    <t xml:space="preserve">118.590732058087902412800000</t>
  </si>
  <si>
    <t xml:space="preserve">13361.0340191666738400000000</t>
  </si>
  <si>
    <t xml:space="preserve">1422.5492920206757637448000000000</t>
  </si>
  <si>
    <t xml:space="preserve">2001.014215200000</t>
  </si>
  <si>
    <t xml:space="preserve">837.79987744252800000</t>
  </si>
  <si>
    <t xml:space="preserve">792.782774784000000</t>
  </si>
  <si>
    <t xml:space="preserve">75.5607299992376832000000</t>
  </si>
  <si>
    <t xml:space="preserve">53302.568331972960000000</t>
  </si>
  <si>
    <t xml:space="preserve">5144.763895402030099200000000</t>
  </si>
  <si>
    <t xml:space="preserve">40428.366908496000000000000000000000000000000000000000000000000000000000000000001</t>
  </si>
  <si>
    <t xml:space="preserve">13046.0831581752000000</t>
  </si>
  <si>
    <t xml:space="preserve">4733.27280115200000000</t>
  </si>
  <si>
    <t xml:space="preserve">1143.0853814782080000000</t>
  </si>
  <si>
    <t xml:space="preserve">45557.750711088000000000</t>
  </si>
  <si>
    <t xml:space="preserve">3478.955508846720000000</t>
  </si>
  <si>
    <t xml:space="preserve">26952.244605664000000000000000000000000000000000000000000000000000000000000000001</t>
  </si>
  <si>
    <t xml:space="preserve">8697.3887721168000000</t>
  </si>
  <si>
    <t xml:space="preserve">3155.51520076800000000</t>
  </si>
  <si>
    <t xml:space="preserve">619.1712483006960000000</t>
  </si>
  <si>
    <t xml:space="preserve">4673.8629080035200000</t>
  </si>
  <si>
    <t xml:space="preserve">339.9173024002560000</t>
  </si>
  <si>
    <t xml:space="preserve">1601.139317400000</t>
  </si>
  <si>
    <t xml:space="preserve">625.81673891520000</t>
  </si>
  <si>
    <t xml:space="preserve">289.729971720000000</t>
  </si>
  <si>
    <t xml:space="preserve">53.02973419228800000</t>
  </si>
  <si>
    <t xml:space="preserve">24271.8947276400000000</t>
  </si>
  <si>
    <t xml:space="preserve">2219.4220538954016000000000</t>
  </si>
  <si>
    <t xml:space="preserve">15064.482825000000</t>
  </si>
  <si>
    <t xml:space="preserve">5779.02255420000000</t>
  </si>
  <si>
    <t xml:space="preserve">2582.482770000000000</t>
  </si>
  <si>
    <t xml:space="preserve">594.63100491900000000</t>
  </si>
  <si>
    <t xml:space="preserve">58011.8271587400000000</t>
  </si>
  <si>
    <t xml:space="preserve">4462.4482429800000000</t>
  </si>
  <si>
    <t xml:space="preserve">27976.896675000000</t>
  </si>
  <si>
    <t xml:space="preserve">10732.47045780000000</t>
  </si>
  <si>
    <t xml:space="preserve">4796.039430000000000</t>
  </si>
  <si>
    <t xml:space="preserve">909.43565458200000000</t>
  </si>
  <si>
    <t xml:space="preserve">93373.8247741640708505600000</t>
  </si>
  <si>
    <t xml:space="preserve">9676.516208996170990385233920000000</t>
  </si>
  <si>
    <t xml:space="preserve">21040.139337324800000000000000000000000000000000000000000000000000000000000000000</t>
  </si>
  <si>
    <t xml:space="preserve">7888.8388973264640000</t>
  </si>
  <si>
    <t xml:space="preserve">8999.08377771110400000</t>
  </si>
  <si>
    <t xml:space="preserve">1503.0612547772236800000</t>
  </si>
  <si>
    <t xml:space="preserve">64183.0820588286353024000000</t>
  </si>
  <si>
    <t xml:space="preserve">4506.4717190241382233600000</t>
  </si>
  <si>
    <t xml:space="preserve">12432.809608419200000000000000000000000000000000000000000000000000000000000000000</t>
  </si>
  <si>
    <t xml:space="preserve">4661.5866211474560000</t>
  </si>
  <si>
    <t xml:space="preserve">5317.64041410201600000</t>
  </si>
  <si>
    <t xml:space="preserve">651.3265437367969280000</t>
  </si>
  <si>
    <t xml:space="preserve">160481.6719439568864768000000</t>
  </si>
  <si>
    <t xml:space="preserve">20250.732833926476425225256960000000</t>
  </si>
  <si>
    <t xml:space="preserve">23909.249246960000000000000000000000000000000000000000000000000000000000000000000</t>
  </si>
  <si>
    <t xml:space="preserve">8964.5896560528000000</t>
  </si>
  <si>
    <t xml:space="preserve">10226.23156558080000000</t>
  </si>
  <si>
    <t xml:space="preserve">1178.2891259452544000000</t>
  </si>
  <si>
    <t xml:space="preserve">315260.2660929100431360000000</t>
  </si>
  <si>
    <t xml:space="preserve">24380.1272445183766691840000</t>
  </si>
  <si>
    <t xml:space="preserve">38254.798795136000000000000000000000000000000000000000000000000000000000000000001</t>
  </si>
  <si>
    <t xml:space="preserve">14343.3434496844800000</t>
  </si>
  <si>
    <t xml:space="preserve">16361.97050492928000000</t>
  </si>
  <si>
    <t xml:space="preserve">1710.9946299440332800000</t>
  </si>
  <si>
    <t xml:space="preserve">15862.343483869344000000</t>
  </si>
  <si>
    <t xml:space="preserve">1692.194802859181617920000000</t>
  </si>
  <si>
    <t xml:space="preserve">2272.584837600000</t>
  </si>
  <si>
    <t xml:space="preserve">970.50194398080000</t>
  </si>
  <si>
    <t xml:space="preserve">1181.744115552000000</t>
  </si>
  <si>
    <t xml:space="preserve">107.26600433472000000</t>
  </si>
  <si>
    <t xml:space="preserve">53226.27166881024000000</t>
  </si>
  <si>
    <t xml:space="preserve">5233.47316183576684800000000</t>
  </si>
  <si>
    <t xml:space="preserve">39279.052678264497335701598579040852575488454706927175843694493783303730017761991</t>
  </si>
  <si>
    <t xml:space="preserve">13027.409149708800000</t>
  </si>
  <si>
    <t xml:space="preserve">4726.4976506880000000</t>
  </si>
  <si>
    <t xml:space="preserve">1141.449182641152000000</t>
  </si>
  <si>
    <t xml:space="preserve">45492.53988787200000000</t>
  </si>
  <si>
    <t xml:space="preserve">3473.97577325568000000</t>
  </si>
  <si>
    <t xml:space="preserve">26186.035118842998223801065719360568383658969804618117229129662522202486678507994</t>
  </si>
  <si>
    <t xml:space="preserve">8684.939433139200000</t>
  </si>
  <si>
    <t xml:space="preserve">3150.9984337920000000</t>
  </si>
  <si>
    <t xml:space="preserve">618.284973930624000000</t>
  </si>
  <si>
    <t xml:space="preserve">4667.172796154880000</t>
  </si>
  <si>
    <t xml:space="preserve">339.430748811264000</t>
  </si>
  <si>
    <t xml:space="preserve">1598.84746560000</t>
  </si>
  <si>
    <t xml:space="preserve">624.9209522688000</t>
  </si>
  <si>
    <t xml:space="preserve">289.31525568000000</t>
  </si>
  <si>
    <t xml:space="preserve">52.9538280606720000</t>
  </si>
  <si>
    <t xml:space="preserve">25045.057300032000000</t>
  </si>
  <si>
    <t xml:space="preserve">2332.947087497980800000000</t>
  </si>
  <si>
    <t xml:space="preserve">15544.35036000000</t>
  </si>
  <si>
    <t xml:space="preserve">5963.1088809600000</t>
  </si>
  <si>
    <t xml:space="preserve">2664.74577600000000</t>
  </si>
  <si>
    <t xml:space="preserve">613.5725190672000000</t>
  </si>
  <si>
    <t xml:space="preserve">59859.749375712000000</t>
  </si>
  <si>
    <t xml:space="preserve">4604.596105824000000</t>
  </si>
  <si>
    <t xml:space="preserve">28868.07924000000</t>
  </si>
  <si>
    <t xml:space="preserve">11074.3450646400000</t>
  </si>
  <si>
    <t xml:space="preserve">4948.81358400000000</t>
  </si>
  <si>
    <t xml:space="preserve">938.4050291616000000</t>
  </si>
  <si>
    <t xml:space="preserve">78989.3594146621440000000</t>
  </si>
  <si>
    <t xml:space="preserve">8175.3986994175319040000000000</t>
  </si>
  <si>
    <t xml:space="preserve">18357.220495683751332149200710479573712255772646536412078152753108348134991119006</t>
  </si>
  <si>
    <t xml:space="preserve">6900.199302205440000</t>
  </si>
  <si>
    <t xml:space="preserve">7273.2101852160000000</t>
  </si>
  <si>
    <t xml:space="preserve">1178.690700608064000000</t>
  </si>
  <si>
    <t xml:space="preserve">51562.4985067933440000000</t>
  </si>
  <si>
    <t xml:space="preserve">3620.3456398386816000000</t>
  </si>
  <si>
    <t xml:space="preserve">10402.424947554125754884547069271758436944937833037300177619893428063943161634104</t>
  </si>
  <si>
    <t xml:space="preserve">3910.112937916416000</t>
  </si>
  <si>
    <t xml:space="preserve">4121.4857716224000000</t>
  </si>
  <si>
    <t xml:space="preserve">494.759059514496000000</t>
  </si>
  <si>
    <t xml:space="preserve">97786.761874059847680000000</t>
  </si>
  <si>
    <t xml:space="preserve">12104.63210534237230491648000000000</t>
  </si>
  <si>
    <t xml:space="preserve">15297.683746403126110124333925399644760213143872113676731793960923623445825932505</t>
  </si>
  <si>
    <t xml:space="preserve">5750.166085171200000</t>
  </si>
  <si>
    <t xml:space="preserve">6061.0084876800000000</t>
  </si>
  <si>
    <t xml:space="preserve">708.606325647360000000</t>
  </si>
  <si>
    <t xml:space="preserve">132160.039977512171520000000</t>
  </si>
  <si>
    <t xml:space="preserve">10220.376424927607930880000</t>
  </si>
  <si>
    <t xml:space="preserve">17133.405795971501243339253996447602131438721136767317939609236234458259325044406</t>
  </si>
  <si>
    <t xml:space="preserve">6440.186015391744000</t>
  </si>
  <si>
    <t xml:space="preserve">6788.3295062016000000</t>
  </si>
  <si>
    <t xml:space="preserve">701.520262390886400000</t>
  </si>
  <si>
    <t xml:space="preserve">13798.63834948684800000</t>
  </si>
  <si>
    <t xml:space="preserve">1499.56702263048320640000000</t>
  </si>
  <si>
    <t xml:space="preserve">2013.36347520000</t>
  </si>
  <si>
    <t xml:space="preserve">852.5156200704000</t>
  </si>
  <si>
    <t xml:space="preserve">947.23957785600000</t>
  </si>
  <si>
    <t xml:space="preserve">87.9437165967360000</t>
  </si>
  <si>
    <t xml:space="preserve">57415.8647911048200000000</t>
  </si>
  <si>
    <t xml:space="preserve">5645.4149055853814265000000000</t>
  </si>
  <si>
    <t xml:space="preserve">41395.596657080663310630737340835060704767545158424637251998815516730826177080249</t>
  </si>
  <si>
    <t xml:space="preserve">13913.697069090000000</t>
  </si>
  <si>
    <t xml:space="preserve">5048.0533584000000000</t>
  </si>
  <si>
    <t xml:space="preserve">1219.104886053600000000</t>
  </si>
  <si>
    <t xml:space="preserve">49073.3887103460000000000</t>
  </si>
  <si>
    <t xml:space="preserve">3747.4224106082400000000</t>
  </si>
  <si>
    <t xml:space="preserve">27597.064438053775540420491560556707136511696772283091501332543677820550784720166</t>
  </si>
  <si>
    <t xml:space="preserve">9275.798046060000000</t>
  </si>
  <si>
    <t xml:space="preserve">3365.3689056000000000</t>
  </si>
  <si>
    <t xml:space="preserve">660.348479945700000000</t>
  </si>
  <si>
    <t xml:space="preserve">5034.53940730884000000</t>
  </si>
  <si>
    <t xml:space="preserve">366.14832053155200000</t>
  </si>
  <si>
    <t xml:space="preserve">1707.62114250000</t>
  </si>
  <si>
    <t xml:space="preserve">667.4359208400000</t>
  </si>
  <si>
    <t xml:space="preserve">308.99811150000000</t>
  </si>
  <si>
    <t xml:space="preserve">56.5564122396000000</t>
  </si>
  <si>
    <t xml:space="preserve">28605.62740662900000000</t>
  </si>
  <si>
    <t xml:space="preserve">2664.61419292749135000000000</t>
  </si>
  <si>
    <t xml:space="preserve">17578.45293750000</t>
  </si>
  <si>
    <t xml:space="preserve">6743.4293745000000</t>
  </si>
  <si>
    <t xml:space="preserve">3013.44907500000000</t>
  </si>
  <si>
    <t xml:space="preserve">693.8633909025000000</t>
  </si>
  <si>
    <t xml:space="preserve">68369.80513890150000000</t>
  </si>
  <si>
    <t xml:space="preserve">5259.21577991550000000</t>
  </si>
  <si>
    <t xml:space="preserve">32645.69831250000</t>
  </si>
  <si>
    <t xml:space="preserve">12523.5116955000000</t>
  </si>
  <si>
    <t xml:space="preserve">5596.40542500000000</t>
  </si>
  <si>
    <t xml:space="preserve">1061.2028331450000000</t>
  </si>
  <si>
    <t xml:space="preserve">112372.529890800291840000000</t>
  </si>
  <si>
    <t xml:space="preserve">11630.556843697830205440000000000</t>
  </si>
  <si>
    <t xml:space="preserve">26027.261742911602013621557595498963577139472904945217648800710689961504293751851</t>
  </si>
  <si>
    <t xml:space="preserve">9747.953282995200000</t>
  </si>
  <si>
    <t xml:space="preserve">9871.3450967040000000</t>
  </si>
  <si>
    <t xml:space="preserve">1660.236853451904000000</t>
  </si>
  <si>
    <t xml:space="preserve">71915.970926846592000000000</t>
  </si>
  <si>
    <t xml:space="preserve">5049.419235289228800000000</t>
  </si>
  <si>
    <t xml:space="preserve">14459.589857173112229789754219721646431744151613858454249333728161089724607639917</t>
  </si>
  <si>
    <t xml:space="preserve">5415.529601664000000</t>
  </si>
  <si>
    <t xml:space="preserve">5484.0806092800000000</t>
  </si>
  <si>
    <t xml:space="preserve">683.225042572800000000</t>
  </si>
  <si>
    <t xml:space="preserve">111291.40332871363805184000000</t>
  </si>
  <si>
    <t xml:space="preserve">13776.3176524481463998850662400000000</t>
  </si>
  <si>
    <t xml:space="preserve">17351.507828607734675747705063665975718092981936630145099200473793307669529167900</t>
  </si>
  <si>
    <t xml:space="preserve">6498.635521996800000</t>
  </si>
  <si>
    <t xml:space="preserve">6580.8967311360000000</t>
  </si>
  <si>
    <t xml:space="preserve">798.482136711168000000</t>
  </si>
  <si>
    <t xml:space="preserve">111913.49177850127104000000000</t>
  </si>
  <si>
    <t xml:space="preserve">8654.64336420409829376000000</t>
  </si>
  <si>
    <t xml:space="preserve">588.167645345280000000</t>
  </si>
  <si>
    <t xml:space="preserve">16687.4225851560240000000</t>
  </si>
  <si>
    <t xml:space="preserve">1813.5056494418309082000000000</t>
  </si>
  <si>
    <t xml:space="preserve">2410.75926000000</t>
  </si>
  <si>
    <t xml:space="preserve">1020.7843495200000</t>
  </si>
  <si>
    <t xml:space="preserve">1074.50984160000000</t>
  </si>
  <si>
    <t xml:space="preserve">105.3019644768000000</t>
  </si>
  <si>
    <t xml:space="preserve">68551.8480917157888000000</t>
  </si>
  <si>
    <t xml:space="preserve">6740.3604636179549337600000000</t>
  </si>
  <si>
    <t xml:space="preserve">46164.601059136598130841121495327102803738317757009345794392523364485981308411216</t>
  </si>
  <si>
    <t xml:space="preserve">16612.301344665600000</t>
  </si>
  <si>
    <t xml:space="preserve">6027.1388098560000000</t>
  </si>
  <si>
    <t xml:space="preserve">1455.554022580224000000</t>
  </si>
  <si>
    <t xml:space="preserve">58591.3231553126400000000</t>
  </si>
  <si>
    <t xml:space="preserve">4474.2464954966016000000</t>
  </si>
  <si>
    <t xml:space="preserve">30776.400706091065420560747663551401869158878504672897196261682242990654205607478</t>
  </si>
  <si>
    <t xml:space="preserve">11074.867563110400000</t>
  </si>
  <si>
    <t xml:space="preserve">4018.0925399040000000</t>
  </si>
  <si>
    <t xml:space="preserve">788.425095564288000000</t>
  </si>
  <si>
    <t xml:space="preserve">6011.00378644930560000</t>
  </si>
  <si>
    <t xml:space="preserve">437.16391174176768000</t>
  </si>
  <si>
    <t xml:space="preserve">2038.81950720000</t>
  </si>
  <si>
    <t xml:space="preserve">796.8871673856000</t>
  </si>
  <si>
    <t xml:space="preserve">368.92924416000000</t>
  </si>
  <si>
    <t xml:space="preserve">67.5257020784640000</t>
  </si>
  <si>
    <t xml:space="preserve">35078.77480884537600000</t>
  </si>
  <si>
    <t xml:space="preserve">3267.58787344394677440000000</t>
  </si>
  <si>
    <t xml:space="preserve">21556.26874800000</t>
  </si>
  <si>
    <t xml:space="preserve">8269.3952873280000</t>
  </si>
  <si>
    <t xml:space="preserve">3695.36035680000000</t>
  </si>
  <si>
    <t xml:space="preserve">850.8772519329600000</t>
  </si>
  <si>
    <t xml:space="preserve">83841.16048565961600000</t>
  </si>
  <si>
    <t xml:space="preserve">6449.32003735843200000</t>
  </si>
  <si>
    <t xml:space="preserve">40033.07053200000</t>
  </si>
  <si>
    <t xml:space="preserve">15357.4483907520000</t>
  </si>
  <si>
    <t xml:space="preserve">6862.81209120000000</t>
  </si>
  <si>
    <t xml:space="preserve">1301.3416794268800000</t>
  </si>
  <si>
    <t xml:space="preserve">179635.972996376193024000000</t>
  </si>
  <si>
    <t xml:space="preserve">18592.323205124935977984000000000</t>
  </si>
  <si>
    <t xml:space="preserve">38978.152853023581308411214953271028037383177570093457943925233644859813084112150</t>
  </si>
  <si>
    <t xml:space="preserve">15629.264131074048000</t>
  </si>
  <si>
    <t xml:space="preserve">15780.0904095744000000</t>
  </si>
  <si>
    <t xml:space="preserve">2654.013955760294400000</t>
  </si>
  <si>
    <t xml:space="preserve">113320.778950211639040000000</t>
  </si>
  <si>
    <t xml:space="preserve">7956.565330546774656000000</t>
  </si>
  <si>
    <t xml:space="preserve">21345.178943322437383177570093457943925233644859813084112149532710280373831775701</t>
  </si>
  <si>
    <t xml:space="preserve">8558.882738445312000</t>
  </si>
  <si>
    <t xml:space="preserve">8641.4780814336000000</t>
  </si>
  <si>
    <t xml:space="preserve">1076.584144311936000000</t>
  </si>
  <si>
    <t xml:space="preserve">139784.62972835845450137600000</t>
  </si>
  <si>
    <t xml:space="preserve">17303.3801755545796489073295360000000</t>
  </si>
  <si>
    <t xml:space="preserve">20417.127684917114018691588785046728971962616822429906542056074766355140186915889</t>
  </si>
  <si>
    <t xml:space="preserve">8186.757401991168000</t>
  </si>
  <si>
    <t xml:space="preserve">8265.7616431104000000</t>
  </si>
  <si>
    <t xml:space="preserve">1002.912412697395200000</t>
  </si>
  <si>
    <t xml:space="preserve">99674.06386812232250880000000</t>
  </si>
  <si>
    <t xml:space="preserve">7708.12760580145960734720000</t>
  </si>
  <si>
    <t xml:space="preserve">12064.666359269203738317757009345794392523364485981308411214953271028037383177570</t>
  </si>
  <si>
    <t xml:space="preserve">4837.629373903872000</t>
  </si>
  <si>
    <t xml:space="preserve">4884.3136982016000000</t>
  </si>
  <si>
    <t xml:space="preserve">523.842644132121600000</t>
  </si>
  <si>
    <t xml:space="preserve">22933.3535251865740800000</t>
  </si>
  <si>
    <t xml:space="preserve">2492.2821943496509381440000000</t>
  </si>
  <si>
    <t xml:space="preserve">3313.08169920000</t>
  </si>
  <si>
    <t xml:space="preserve">1402.8534509184000</t>
  </si>
  <si>
    <t xml:space="preserve">1476.68784307200000</t>
  </si>
  <si>
    <t xml:space="preserve">144.7154086210560000</t>
  </si>
  <si>
    <t xml:space="preserve">78855.1111615018752000000</t>
  </si>
  <si>
    <t xml:space="preserve">7753.4288049546718790400000000</t>
  </si>
  <si>
    <t xml:space="preserve">52817.413384127115207373271889400921658986175115207373271889400921658986175115205</t>
  </si>
  <si>
    <t xml:space="preserve">19109.110923302400000</t>
  </si>
  <si>
    <t xml:space="preserve">6933.0107658240000000</t>
  </si>
  <si>
    <t xml:space="preserve">1674.322099946496000000</t>
  </si>
  <si>
    <t xml:space="preserve">67397.5309072665600000000</t>
  </si>
  <si>
    <t xml:space="preserve">5146.7205420094464000000</t>
  </si>
  <si>
    <t xml:space="preserve">35211.608922751410138248847926267281105990783410138248847926267281105990783410137</t>
  </si>
  <si>
    <t xml:space="preserve">12739.407282201600000</t>
  </si>
  <si>
    <t xml:space="preserve">4622.0071772160000000</t>
  </si>
  <si>
    <t xml:space="preserve">906.924470804352000000</t>
  </si>
  <si>
    <t xml:space="preserve">6914.45066715786240000</t>
  </si>
  <si>
    <t xml:space="preserve">502.86913942966272000</t>
  </si>
  <si>
    <t xml:space="preserve">2345.25170880000</t>
  </si>
  <si>
    <t xml:space="preserve">916.6583821824000</t>
  </si>
  <si>
    <t xml:space="preserve">424.37888064000000</t>
  </si>
  <si>
    <t xml:space="preserve">77.6747365954560000</t>
  </si>
  <si>
    <t xml:space="preserve">38959.65753933052800000</t>
  </si>
  <si>
    <t xml:space="preserve">3629.09209978863868320000000</t>
  </si>
  <si>
    <t xml:space="preserve">23941.11119400000</t>
  </si>
  <si>
    <t xml:space="preserve">9184.2662751840000</t>
  </si>
  <si>
    <t xml:space="preserve">4104.19049040000000</t>
  </si>
  <si>
    <t xml:space="preserve">945.0126614728800000</t>
  </si>
  <si>
    <t xml:space="preserve">93116.78979727924800000</t>
  </si>
  <si>
    <t xml:space="preserve">7162.82998440609600000</t>
  </si>
  <si>
    <t xml:space="preserve">44462.06364600000</t>
  </si>
  <si>
    <t xml:space="preserve">17056.4945110560000</t>
  </si>
  <si>
    <t xml:space="preserve">7622.06805360000000</t>
  </si>
  <si>
    <t xml:space="preserve">1445.3134822526400000</t>
  </si>
  <si>
    <t xml:space="preserve">241484.313318447513600000000</t>
  </si>
  <si>
    <t xml:space="preserve">24993.626428459317657600000000000</t>
  </si>
  <si>
    <t xml:space="preserve">52272.903967795907834101382488479262672811059907834101382488479262672811059907832</t>
  </si>
  <si>
    <t xml:space="preserve">21073.493754593280000</t>
  </si>
  <si>
    <t xml:space="preserve">21213.1469721600000000</t>
  </si>
  <si>
    <t xml:space="preserve">3567.786156380160000000</t>
  </si>
  <si>
    <t xml:space="preserve">144885.655713427200000000000</t>
  </si>
  <si>
    <t xml:space="preserve">10172.822635198080000000000</t>
  </si>
  <si>
    <t xml:space="preserve">27225.470816560368663594470046082949308755760368663594470046082949308755760368663</t>
  </si>
  <si>
    <t xml:space="preserve">10975.777997184000000</t>
  </si>
  <si>
    <t xml:space="preserve">11048.5140480000000000</t>
  </si>
  <si>
    <t xml:space="preserve">1376.460708480000000000</t>
  </si>
  <si>
    <t xml:space="preserve">142001.85162210714501120000000</t>
  </si>
  <si>
    <t xml:space="preserve">17577.8412048941550523564032000000000</t>
  </si>
  <si>
    <t xml:space="preserve">20691.357820585880184331797235023041474654377880184331797235023041474654377880183</t>
  </si>
  <si>
    <t xml:space="preserve">8341.591277859840000</t>
  </si>
  <si>
    <t xml:space="preserve">8396.8706764800000000</t>
  </si>
  <si>
    <t xml:space="preserve">1018.820308746240000000</t>
  </si>
  <si>
    <t xml:space="preserve">72149.35733705576448000000000</t>
  </si>
  <si>
    <t xml:space="preserve">5579.55030073231245312000000</t>
  </si>
  <si>
    <t xml:space="preserve">8712.1506612993179723502304147465437788018433179723502304147465437788018433179719</t>
  </si>
  <si>
    <t xml:space="preserve">3512.248959098880000</t>
  </si>
  <si>
    <t xml:space="preserve">3535.5244953600000000</t>
  </si>
  <si>
    <t xml:space="preserve">379.185002127360000000</t>
  </si>
  <si>
    <t xml:space="preserve">27056.6255361010752000000</t>
  </si>
  <si>
    <t xml:space="preserve">2940.3787801357843473600000000</t>
  </si>
  <si>
    <t xml:space="preserve">3908.75284800000</t>
  </si>
  <si>
    <t xml:space="preserve">1655.0776344960000</t>
  </si>
  <si>
    <t xml:space="preserve">1742.18698368000000</t>
  </si>
  <si>
    <t xml:space="preserve">170.7343244006400000</t>
  </si>
  <si>
    <t xml:space="preserve">53226.271668810240000000000000000000000000000000000000000000000000000000000000000</t>
  </si>
  <si>
    <t xml:space="preserve">5233.4731618357668480000000000000000000000000000000000000000000000000000000000000</t>
  </si>
  <si>
    <t xml:space="preserve">13027.409149708800000000000000000000000000000000000000000000000000000000000000000</t>
  </si>
  <si>
    <t xml:space="preserve">4726.4976506880000000000000000000000000000000000000000000000000000000000000000000</t>
  </si>
  <si>
    <t xml:space="preserve">1141.4491826411520000000000000000000000000000000000000000000000000000000000000000</t>
  </si>
  <si>
    <t xml:space="preserve">45492.539887872000000000000000000000000000000000000000000000000000000000000000000</t>
  </si>
  <si>
    <t xml:space="preserve">3473.9757732556800000000000000000000000000000000000000000000000000000000000000000</t>
  </si>
  <si>
    <t xml:space="preserve">8684.9394331392000000000000000000000000000000000000000000000000000000000000000000</t>
  </si>
  <si>
    <t xml:space="preserve">3150.9984337920000000000000000000000000000000000000000000000000000000000000000000</t>
  </si>
  <si>
    <t xml:space="preserve">618.28497393062400000000000000000000000000000000000000000000000000000000000000000</t>
  </si>
  <si>
    <t xml:space="preserve">4667.1727961548800000000000000000000000000000000000000000000000000000000000000000</t>
  </si>
  <si>
    <t xml:space="preserve">339.43074881126400000000000000000000000000000000000000000000000000000000000000000</t>
  </si>
  <si>
    <t xml:space="preserve">1598.8474656000000000000000000000000000000000000000000000000000000000000000000000</t>
  </si>
  <si>
    <t xml:space="preserve">624.92095226880000000000000000000000000000000000000000000000000000000000000000000</t>
  </si>
  <si>
    <t xml:space="preserve">289.31525568000000000000000000000000000000000000000000000000000000000000000000000</t>
  </si>
  <si>
    <t xml:space="preserve">52.953828060672000000000000000000000000000000000000000000000000000000000000000000</t>
  </si>
  <si>
    <t xml:space="preserve">25045.057300032000000000000000000000000000000000000000000000000000000000000000000</t>
  </si>
  <si>
    <t xml:space="preserve">2332.9470874979808000000000000000000000000000000000000000000000000000000000000000</t>
  </si>
  <si>
    <t xml:space="preserve">15544.350360000000000000000000000000000000000000000000000000000000000000000000000</t>
  </si>
  <si>
    <t xml:space="preserve">5963.1088809600000000000000000000000000000000000000000000000000000000000000000000</t>
  </si>
  <si>
    <t xml:space="preserve">2664.7457760000000000000000000000000000000000000000000000000000000000000000000000</t>
  </si>
  <si>
    <t xml:space="preserve">613.57251906720000000000000000000000000000000000000000000000000000000000000000000</t>
  </si>
  <si>
    <t xml:space="preserve">59859.749375712000000000000000000000000000000000000000000000000000000000000000000</t>
  </si>
  <si>
    <t xml:space="preserve">4604.5961058240000000000000000000000000000000000000000000000000000000000000000000</t>
  </si>
  <si>
    <t xml:space="preserve">28868.079240000000000000000000000000000000000000000000000000000000000000000000000</t>
  </si>
  <si>
    <t xml:space="preserve">11074.345064640000000000000000000000000000000000000000000000000000000000000000000</t>
  </si>
  <si>
    <t xml:space="preserve">4948.8135840000000000000000000000000000000000000000000000000000000000000000000000</t>
  </si>
  <si>
    <t xml:space="preserve">938.40502916160000000000000000000000000000000000000000000000000000000000000000000</t>
  </si>
  <si>
    <t xml:space="preserve">86888.295356128358400000000000000000000000000000000000000000000000000000000000000</t>
  </si>
  <si>
    <t xml:space="preserve">8992.9385693592850944000000000000000000000000000000000000000000000000000000000000</t>
  </si>
  <si>
    <t xml:space="preserve">20192.942545252126465364120781527531083481349911190053285968028419182948490230907</t>
  </si>
  <si>
    <t xml:space="preserve">7590.2192324259840000000000000000000000000000000000000000000000000000000000000000</t>
  </si>
  <si>
    <t xml:space="preserve">8000.5312037376000000000000000000000000000000000000000000000000000000000000000000</t>
  </si>
  <si>
    <t xml:space="preserve">1296.5597706688704000000000000000000000000000000000000000000000000000000000000000</t>
  </si>
  <si>
    <t xml:space="preserve">56718.748357472678400000000000000000000000000000000000000000000000000000000000000</t>
  </si>
  <si>
    <t xml:space="preserve">3982.3802038225497600000000000000000000000000000000000000000000000000000000000000</t>
  </si>
  <si>
    <t xml:space="preserve">11442.667442309538330373001776198934280639431616341030195381882770870337477797514</t>
  </si>
  <si>
    <t xml:space="preserve">4301.1242317080576000000000000000000000000000000000000000000000000000000000000000</t>
  </si>
  <si>
    <t xml:space="preserve">4533.6343487846400000000000000000000000000000000000000000000000000000000000000000</t>
  </si>
  <si>
    <t xml:space="preserve">544.23496546594560000000000000000000000000000000000000000000000000000000000000000</t>
  </si>
  <si>
    <t xml:space="preserve">107565.43806146583244800000000000000000000000000000000000000000000000000000000000</t>
  </si>
  <si>
    <t xml:space="preserve">13315.095315876609535408128000000000000000000000000000000000000000000000000000000</t>
  </si>
  <si>
    <t xml:space="preserve">16827.452121043438721136767317939609236234458259325044404973357015985790408525756</t>
  </si>
  <si>
    <t xml:space="preserve">6325.1826936883200000000000000000000000000000000000000000000000000000000000000000</t>
  </si>
  <si>
    <t xml:space="preserve">6667.1093364480000000000000000000000000000000000000000000000000000000000000000000</t>
  </si>
  <si>
    <t xml:space="preserve">779.46695821209600000000000000000000000000000000000000000000000000000000000000000</t>
  </si>
  <si>
    <t xml:space="preserve">145376.04397526338867200000000000000000000000000000000000000000000000000000000000</t>
  </si>
  <si>
    <t xml:space="preserve">11242.414067420368723968000000000000000000000000000000000000000000000000000000000</t>
  </si>
  <si>
    <t xml:space="preserve">18846.746375568651367673179396092362344582593250444049733570159857904085257548846</t>
  </si>
  <si>
    <t xml:space="preserve">7084.2046169309184000000000000000000000000000000000000000000000000000000000000000</t>
  </si>
  <si>
    <t xml:space="preserve">7467.1624568217600000000000000000000000000000000000000000000000000000000000000000</t>
  </si>
  <si>
    <t xml:space="preserve">771.67228862997504000000000000000000000000000000000000000000000000000000000000000</t>
  </si>
  <si>
    <t xml:space="preserve">15178.502184435532800000000000000000000000000000000000000000000000000000000000000</t>
  </si>
  <si>
    <t xml:space="preserve">1649.5237248935315270400000000000000000000000000000000000000000000000000000000000</t>
  </si>
  <si>
    <t xml:space="preserve">2214.6998227200000000000000000000000000000000000000000000000000000000000000000000</t>
  </si>
  <si>
    <t xml:space="preserve">937.76718207744000000000000000000000000000000000000000000000000000000000000000000</t>
  </si>
  <si>
    <t xml:space="preserve">1041.9635356416000000000000000000000000000000000000000000000000000000000000000000</t>
  </si>
  <si>
    <t xml:space="preserve">96.738088256409600000000000000000000000000000000000000000000000000000000000000000</t>
  </si>
  <si>
    <t xml:space="preserve">57415.864791104820000000000000000000000000000000000000000000000000000000000000000</t>
  </si>
  <si>
    <t xml:space="preserve">5645.4149055853814265000000000000000000000000000000000000000000000000000000000000</t>
  </si>
  <si>
    <t xml:space="preserve">13913.697069090000000000000000000000000000000000000000000000000000000000000000000</t>
  </si>
  <si>
    <t xml:space="preserve">5048.0533584000000000000000000000000000000000000000000000000000000000000000000000</t>
  </si>
  <si>
    <t xml:space="preserve">1219.1048860536000000000000000000000000000000000000000000000000000000000000000000</t>
  </si>
  <si>
    <t xml:space="preserve">49073.388710346000000000000000000000000000000000000000000000000000000000000000000</t>
  </si>
  <si>
    <t xml:space="preserve">3747.4224106082400000000000000000000000000000000000000000000000000000000000000000</t>
  </si>
  <si>
    <t xml:space="preserve">9275.7980460600000000000000000000000000000000000000000000000000000000000000000000</t>
  </si>
  <si>
    <t xml:space="preserve">3365.3689056000000000000000000000000000000000000000000000000000000000000000000000</t>
  </si>
  <si>
    <t xml:space="preserve">660.34847994570000000000000000000000000000000000000000000000000000000000000000000</t>
  </si>
  <si>
    <t xml:space="preserve">5034.5394073088400000000000000000000000000000000000000000000000000000000000000000</t>
  </si>
  <si>
    <t xml:space="preserve">366.14832053155200000000000000000000000000000000000000000000000000000000000000000</t>
  </si>
  <si>
    <t xml:space="preserve">1707.6211425000000000000000000000000000000000000000000000000000000000000000000000</t>
  </si>
  <si>
    <t xml:space="preserve">667.43592084000000000000000000000000000000000000000000000000000000000000000000000</t>
  </si>
  <si>
    <t xml:space="preserve">308.99811150000000000000000000000000000000000000000000000000000000000000000000000</t>
  </si>
  <si>
    <t xml:space="preserve">56.556412239600000000000000000000000000000000000000000000000000000000000000000000</t>
  </si>
  <si>
    <t xml:space="preserve">28605.627406629000000000000000000000000000000000000000000000000000000000000000000</t>
  </si>
  <si>
    <t xml:space="preserve">2664.6141929274913500000000000000000000000000000000000000000000000000000000000000</t>
  </si>
  <si>
    <t xml:space="preserve">17578.452937500000000000000000000000000000000000000000000000000000000000000000000</t>
  </si>
  <si>
    <t xml:space="preserve">6743.4293745000000000000000000000000000000000000000000000000000000000000000000000</t>
  </si>
  <si>
    <t xml:space="preserve">3013.4490750000000000000000000000000000000000000000000000000000000000000000000000</t>
  </si>
  <si>
    <t xml:space="preserve">693.86339090250000000000000000000000000000000000000000000000000000000000000000000</t>
  </si>
  <si>
    <t xml:space="preserve">68369.805138901500000000000000000000000000000000000000000000000000000000000000000</t>
  </si>
  <si>
    <t xml:space="preserve">5259.2157799155000000000000000000000000000000000000000000000000000000000000000000</t>
  </si>
  <si>
    <t xml:space="preserve">32645.698312500000000000000000000000000000000000000000000000000000000000000000000</t>
  </si>
  <si>
    <t xml:space="preserve">12523.511695500000000000000000000000000000000000000000000000000000000000000000000</t>
  </si>
  <si>
    <t xml:space="preserve">5596.4054250000000000000000000000000000000000000000000000000000000000000000000000</t>
  </si>
  <si>
    <t xml:space="preserve">1061.2028331450000000000000000000000000000000000000000000000000000000000000000000</t>
  </si>
  <si>
    <t xml:space="preserve">123609.78287988032102400000000000000000000000000000000000000000000000000000000000</t>
  </si>
  <si>
    <t xml:space="preserve">12793.612528067613225984000000000000000000000000000000000000000000000000000000000</t>
  </si>
  <si>
    <t xml:space="preserve">28629.987917202762214983713355048859934853420195439739413680781758957654723127036</t>
  </si>
  <si>
    <t xml:space="preserve">10722.748611294720000000000000000000000000000000000000000000000000000000000000000</t>
  </si>
  <si>
    <t xml:space="preserve">10858.479606374400000000000000000000000000000000000000000000000000000000000000000</t>
  </si>
  <si>
    <t xml:space="preserve">1826.2605387970944000000000000000000000000000000000000000000000000000000000000000</t>
  </si>
  <si>
    <t xml:space="preserve">79107.568019531251200000000000000000000000000000000000000000000000000000000000000</t>
  </si>
  <si>
    <t xml:space="preserve">5554.3611588181516800000000000000000000000000000000000000000000000000000000000000</t>
  </si>
  <si>
    <t xml:space="preserve">15905.548842890423452768729641693811074918566775244299674267100977198697068403909</t>
  </si>
  <si>
    <t xml:space="preserve">5957.0825618304000000000000000000000000000000000000000000000000000000000000000000</t>
  </si>
  <si>
    <t xml:space="preserve">6032.4886702080000000000000000000000000000000000000000000000000000000000000000000</t>
  </si>
  <si>
    <t xml:space="preserve">751.54754683008000000000000000000000000000000000000000000000000000000000000000000</t>
  </si>
  <si>
    <t xml:space="preserve">122420.54366158500185702400000000000000000000000000000000000000000000000000000000</t>
  </si>
  <si>
    <t xml:space="preserve">15153.949417692961039873572864000000000000000000000000000000000000000000000000000</t>
  </si>
  <si>
    <t xml:space="preserve">19086.658611468508143322475570032573289902280130293159609120521172638436482084691</t>
  </si>
  <si>
    <t xml:space="preserve">7148.4990741964800000000000000000000000000000000000000000000000000000000000000000</t>
  </si>
  <si>
    <t xml:space="preserve">7238.9864042496000000000000000000000000000000000000000000000000000000000000000000</t>
  </si>
  <si>
    <t xml:space="preserve">878.33035038228480000000000000000000000000000000000000000000000000000000000000000</t>
  </si>
  <si>
    <t xml:space="preserve">123104.84095635139814400000000000000000000000000000000000000000000000000000000000</t>
  </si>
  <si>
    <t xml:space="preserve">9520.1077006245081231360000000000000000000000000000000000000000000000000000000000</t>
  </si>
  <si>
    <t xml:space="preserve">646.98440987980800000000000000000000000000000000000000000000000000000000000000000</t>
  </si>
  <si>
    <t xml:space="preserve">18356.164843671626400000000000000000000000000000000000000000000000000000000000000</t>
  </si>
  <si>
    <t xml:space="preserve">1994.8562143860139990200000000000000000000000000000000000000000000000000000000000</t>
  </si>
  <si>
    <t xml:space="preserve">2651.8351860000000000000000000000000000000000000000000000000000000000000000000000</t>
  </si>
  <si>
    <t xml:space="preserve">1122.8627844720000000000000000000000000000000000000000000000000000000000000000000</t>
  </si>
  <si>
    <t xml:space="preserve">1181.9608257600000000000000000000000000000000000000000000000000000000000000000000</t>
  </si>
  <si>
    <t xml:space="preserve">115.83216092448000000000000000000000000000000000000000000000000000000000000000000</t>
  </si>
  <si>
    <t xml:space="preserve">68551.848091715788799999999999999999999999999999999999999999999999999999999999998</t>
  </si>
  <si>
    <t xml:space="preserve">6740.3604636179549337599999999999999999999999999999999999999999999999999999999998</t>
  </si>
  <si>
    <t xml:space="preserve">46164.601059136598130841121495327102803738317757009345794392523364485981308411215</t>
  </si>
  <si>
    <t xml:space="preserve">16612.301344665600000000000000000000000000000000000000000000000000000000000000000</t>
  </si>
  <si>
    <t xml:space="preserve">6027.1388098560000000000000000000000000000000000000000000000000000000000000000000</t>
  </si>
  <si>
    <t xml:space="preserve">1455.5540225802240000000000000000000000000000000000000000000000000000000000000000</t>
  </si>
  <si>
    <t xml:space="preserve">58591.323155312640000000000000000000000000000000000000000000000000000000000000000</t>
  </si>
  <si>
    <t xml:space="preserve">4474.2464954966016000000000000000000000000000000000000000000000000000000000000000</t>
  </si>
  <si>
    <t xml:space="preserve">11074.867563110400000000000000000000000000000000000000000000000000000000000000000</t>
  </si>
  <si>
    <t xml:space="preserve">4018.0925399040000000000000000000000000000000000000000000000000000000000000000000</t>
  </si>
  <si>
    <t xml:space="preserve">788.42509556428800000000000000000000000000000000000000000000000000000000000000000</t>
  </si>
  <si>
    <t xml:space="preserve">6011.0037864493056000000000000000000000000000000000000000000000000000000000000000</t>
  </si>
  <si>
    <t xml:space="preserve">437.16391174176768000000000000000000000000000000000000000000000000000000000000000</t>
  </si>
  <si>
    <t xml:space="preserve">2038.8195072000000000000000000000000000000000000000000000000000000000000000000000</t>
  </si>
  <si>
    <t xml:space="preserve">796.88716738560000000000000000000000000000000000000000000000000000000000000000000</t>
  </si>
  <si>
    <t xml:space="preserve">368.92924416000000000000000000000000000000000000000000000000000000000000000000000</t>
  </si>
  <si>
    <t xml:space="preserve">67.525702078464000000000000000000000000000000000000000000000000000000000000000000</t>
  </si>
  <si>
    <t xml:space="preserve">35078.774808845376000000000000000000000000000000000000000000000000000000000000000</t>
  </si>
  <si>
    <t xml:space="preserve">3267.5878734439467744000000000000000000000000000000000000000000000000000000000000</t>
  </si>
  <si>
    <t xml:space="preserve">21556.268748000000000000000000000000000000000000000000000000000000000000000000000</t>
  </si>
  <si>
    <t xml:space="preserve">8269.3952873280000000000000000000000000000000000000000000000000000000000000000000</t>
  </si>
  <si>
    <t xml:space="preserve">3695.3603568000000000000000000000000000000000000000000000000000000000000000000000</t>
  </si>
  <si>
    <t xml:space="preserve">850.87725193296000000000000000000000000000000000000000000000000000000000000000000</t>
  </si>
  <si>
    <t xml:space="preserve">83841.160485659616000000000000000000000000000000000000000000000000000000000000000</t>
  </si>
  <si>
    <t xml:space="preserve">6449.3200373584320000000000000000000000000000000000000000000000000000000000000000</t>
  </si>
  <si>
    <t xml:space="preserve">40033.070532000000000000000000000000000000000000000000000000000000000000000000000</t>
  </si>
  <si>
    <t xml:space="preserve">15357.448390752000000000000000000000000000000000000000000000000000000000000000000</t>
  </si>
  <si>
    <t xml:space="preserve">6862.8120912000000000000000000000000000000000000000000000000000000000000000000000</t>
  </si>
  <si>
    <t xml:space="preserve">1301.3416794268800000000000000000000000000000000000000000000000000000000000000000</t>
  </si>
  <si>
    <t xml:space="preserve">197599.57029601381232640000000000000000000000000000000000000000000000000000000000</t>
  </si>
  <si>
    <t xml:space="preserve">20451.555525637429575782400000000000000000000000000000000000000000000000000000000</t>
  </si>
  <si>
    <t xml:space="preserve">42875.968138325939439252336448598130841121495327102803738317757009345794392523365</t>
  </si>
  <si>
    <t xml:space="preserve">17192.190544181452800000000000000000000000000000000000000000000000000000000000000</t>
  </si>
  <si>
    <t xml:space="preserve">17358.099450531840000000000000000000000000000000000000000000000000000000000000000</t>
  </si>
  <si>
    <t xml:space="preserve">2919.4153513363238400000000000000000000000000000000000000000000000000000000000000</t>
  </si>
  <si>
    <t xml:space="preserve">124652.85684523280294400000000000000000000000000000000000000000000000000000000000</t>
  </si>
  <si>
    <t xml:space="preserve">8752.2218636014521216000000000000000000000000000000000000000000000000000000000000</t>
  </si>
  <si>
    <t xml:space="preserve">23479.696837654681121495327102803738317757009345794392523364485981308411214953271</t>
  </si>
  <si>
    <t xml:space="preserve">9414.7710122898432000000000000000000000000000000000000000000000000000000000000000</t>
  </si>
  <si>
    <t xml:space="preserve">9505.6258895769600000000000000000000000000000000000000000000000000000000000000000</t>
  </si>
  <si>
    <t xml:space="preserve">1184.2425587431296000000000000000000000000000000000000000000000000000000000000000</t>
  </si>
  <si>
    <t xml:space="preserve">153763.09270119429995151360000000000000000000000000000000000000000000000000000000</t>
  </si>
  <si>
    <t xml:space="preserve">19033.718193110037613798062489600000000000000000000000000000000000000000000000000</t>
  </si>
  <si>
    <t xml:space="preserve">22458.840453408825420560747663551401869158878504672897196261682242990654205607477</t>
  </si>
  <si>
    <t xml:space="preserve">9005.4331421902848000000000000000000000000000000000000000000000000000000000000000</t>
  </si>
  <si>
    <t xml:space="preserve">9092.3378074214400000000000000000000000000000000000000000000000000000000000000000</t>
  </si>
  <si>
    <t xml:space="preserve">1103.2036539671347200000000000000000000000000000000000000000000000000000000000000</t>
  </si>
  <si>
    <t xml:space="preserve">109641.47025493455475968000000000000000000000000000000000000000000000000000000000</t>
  </si>
  <si>
    <t xml:space="preserve">8478.9403663816055680819200000000000000000000000000000000000000000000000000000000</t>
  </si>
  <si>
    <t xml:space="preserve">13271.132995196124112149532710280373831775700934579439252336448598130841121495327</t>
  </si>
  <si>
    <t xml:space="preserve">5321.3923112942592000000000000000000000000000000000000000000000000000000000000000</t>
  </si>
  <si>
    <t xml:space="preserve">5372.7450680217600000000000000000000000000000000000000000000000000000000000000000</t>
  </si>
  <si>
    <t xml:space="preserve">576.22690854533376000000000000000000000000000000000000000000000000000000000000000</t>
  </si>
  <si>
    <t xml:space="preserve">25226.688877705231488000000000000000000000000000000000000000000000000000000000000</t>
  </si>
  <si>
    <t xml:space="preserve">2741.5104137846160319584000000000000000000000000000000000000000000000000000000000</t>
  </si>
  <si>
    <t xml:space="preserve">3644.3898691200000000000000000000000000000000000000000000000000000000000000000000</t>
  </si>
  <si>
    <t xml:space="preserve">1543.1387960102400000000000000000000000000000000000000000000000000000000000000000</t>
  </si>
  <si>
    <t xml:space="preserve">1624.3566273792000000000000000000000000000000000000000000000000000000000000000000</t>
  </si>
  <si>
    <t xml:space="preserve">159.18694948316160000000000000000000000000000000000000000000000000000000000000000</t>
  </si>
  <si>
    <t xml:space="preserve">78855.111161501875200000000000000000000000000000000000000000000000000000000000000</t>
  </si>
  <si>
    <t xml:space="preserve">7753.4288049546718790400000000000000000000000000000000000000000000000000000000000</t>
  </si>
  <si>
    <t xml:space="preserve">52817.413384127115207373271889400921658986175115207373271889400921658986175115207</t>
  </si>
  <si>
    <t xml:space="preserve">19109.110923302400000000000000000000000000000000000000000000000000000000000000000</t>
  </si>
  <si>
    <t xml:space="preserve">6933.0107658240000000000000000000000000000000000000000000000000000000000000000000</t>
  </si>
  <si>
    <t xml:space="preserve">1674.3220999464960000000000000000000000000000000000000000000000000000000000000000</t>
  </si>
  <si>
    <t xml:space="preserve">67397.530907266560000000000000000000000000000000000000000000000000000000000000000</t>
  </si>
  <si>
    <t xml:space="preserve">5146.7205420094464000000000000000000000000000000000000000000000000000000000000000</t>
  </si>
  <si>
    <t xml:space="preserve">12739.407282201600000000000000000000000000000000000000000000000000000000000000000</t>
  </si>
  <si>
    <t xml:space="preserve">4622.0071772160000000000000000000000000000000000000000000000000000000000000000000</t>
  </si>
  <si>
    <t xml:space="preserve">906.92447080435200000000000000000000000000000000000000000000000000000000000000000</t>
  </si>
  <si>
    <t xml:space="preserve">6914.4506671578624000000000000000000000000000000000000000000000000000000000000000</t>
  </si>
  <si>
    <t xml:space="preserve">502.86913942966272000000000000000000000000000000000000000000000000000000000000000</t>
  </si>
  <si>
    <t xml:space="preserve">2345.2517088000000000000000000000000000000000000000000000000000000000000000000000</t>
  </si>
  <si>
    <t xml:space="preserve">916.65838218240000000000000000000000000000000000000000000000000000000000000000000</t>
  </si>
  <si>
    <t xml:space="preserve">424.37888064000000000000000000000000000000000000000000000000000000000000000000000</t>
  </si>
  <si>
    <t xml:space="preserve">77.674736595456000000000000000000000000000000000000000000000000000000000000000000</t>
  </si>
  <si>
    <t xml:space="preserve">38959.657539330528000000000000000000000000000000000000000000000000000000000000000</t>
  </si>
  <si>
    <t xml:space="preserve">3629.0920997886386832000000000000000000000000000000000000000000000000000000000000</t>
  </si>
  <si>
    <t xml:space="preserve">23941.111194000000000000000000000000000000000000000000000000000000000000000000000</t>
  </si>
  <si>
    <t xml:space="preserve">9184.2662751840000000000000000000000000000000000000000000000000000000000000000000</t>
  </si>
  <si>
    <t xml:space="preserve">4104.1904904000000000000000000000000000000000000000000000000000000000000000000000</t>
  </si>
  <si>
    <t xml:space="preserve">945.01266147288000000000000000000000000000000000000000000000000000000000000000000</t>
  </si>
  <si>
    <t xml:space="preserve">93116.789797279248000000000000000000000000000000000000000000000000000000000000000</t>
  </si>
  <si>
    <t xml:space="preserve">7162.8299844060960000000000000000000000000000000000000000000000000000000000000000</t>
  </si>
  <si>
    <t xml:space="preserve">44462.063646000000000000000000000000000000000000000000000000000000000000000000000</t>
  </si>
  <si>
    <t xml:space="preserve">17056.494511056000000000000000000000000000000000000000000000000000000000000000000</t>
  </si>
  <si>
    <t xml:space="preserve">7622.0680536000000000000000000000000000000000000000000000000000000000000000000000</t>
  </si>
  <si>
    <t xml:space="preserve">1445.3134822526400000000000000000000000000000000000000000000000000000000000000000</t>
  </si>
  <si>
    <t xml:space="preserve">265632.74465029226496000000000000000000000000000000000000000000000000000000000000</t>
  </si>
  <si>
    <t xml:space="preserve">27492.989071305249423360000000000000000000000000000000000000000000000000000000000</t>
  </si>
  <si>
    <t xml:space="preserve">57500.194364575498617511520737327188940092165898617511520737327188940092165898615</t>
  </si>
  <si>
    <t xml:space="preserve">23180.843130052608000000000000000000000000000000000000000000000000000000000000000</t>
  </si>
  <si>
    <t xml:space="preserve">23334.461669376000000000000000000000000000000000000000000000000000000000000000000</t>
  </si>
  <si>
    <t xml:space="preserve">3924.5647720181760000000000000000000000000000000000000000000000000000000000000000</t>
  </si>
  <si>
    <t xml:space="preserve">159374.22128476992000000000000000000000000000000000000000000000000000000000000000</t>
  </si>
  <si>
    <t xml:space="preserve">11190.104898717888000000000000000000000000000000000000000000000000000000000000000</t>
  </si>
  <si>
    <t xml:space="preserve">29948.017898216405529953917050691244239631336405529953917050691244239631336405529</t>
  </si>
  <si>
    <t xml:space="preserve">12073.355796902400000000000000000000000000000000000000000000000000000000000000000</t>
  </si>
  <si>
    <t xml:space="preserve">12153.365452800000000000000000000000000000000000000000000000000000000000000000000</t>
  </si>
  <si>
    <t xml:space="preserve">1514.1067793280000000000000000000000000000000000000000000000000000000000000000000</t>
  </si>
  <si>
    <t xml:space="preserve">156202.03678431785951232000000000000000000000000000000000000000000000000000000000</t>
  </si>
  <si>
    <t xml:space="preserve">19335.625325383570557592043520000000000000000000000000000000000000000000000000000</t>
  </si>
  <si>
    <t xml:space="preserve">22760.493602644468202764976958525345622119815668202764976958525345622119815668202</t>
  </si>
  <si>
    <t xml:space="preserve">9175.7504056458240000000000000000000000000000000000000000000000000000000000000000</t>
  </si>
  <si>
    <t xml:space="preserve">9236.5577441280000000000000000000000000000000000000000000000000000000000000000000</t>
  </si>
  <si>
    <t xml:space="preserve">1120.7023396208640000000000000000000000000000000000000000000000000000000000000000</t>
  </si>
  <si>
    <t xml:space="preserve">79364.293070761340928000000000000000000000000000000000000000000000000000000000000</t>
  </si>
  <si>
    <t xml:space="preserve">6137.5053308055436984320000000000000000000000000000000000000000000000000000000000</t>
  </si>
  <si>
    <t xml:space="preserve">9583.3657274292497695852534562211981566820276497695852534562211981566820276497691</t>
  </si>
  <si>
    <t xml:space="preserve">3863.4738550087680000000000000000000000000000000000000000000000000000000000000000</t>
  </si>
  <si>
    <t xml:space="preserve">3889.0769448960000000000000000000000000000000000000000000000000000000000000000000</t>
  </si>
  <si>
    <t xml:space="preserve">417.10350234009600000000000000000000000000000000000000000000000000000000000000000</t>
  </si>
  <si>
    <t xml:space="preserve">29762.288089711182720000000000000000000000000000000000000000000000000000000000000</t>
  </si>
  <si>
    <t xml:space="preserve">3234.4166581493627820960000000000000000000000000000000000000000000000000000000000</t>
  </si>
  <si>
    <t xml:space="preserve">4299.6281328000000000000000000000000000000000000000000000000000000000000000000000</t>
  </si>
  <si>
    <t xml:space="preserve">1820.5853979456000000000000000000000000000000000000000000000000000000000000000000</t>
  </si>
  <si>
    <t xml:space="preserve">1916.4056820480000000000000000000000000000000000000000000000000000000000000000000</t>
  </si>
  <si>
    <t xml:space="preserve">187.80775684070400000000000000000000000000000000000000000000000000000000000000000</t>
  </si>
  <si>
    <t xml:space="preserve">134996.439042604339200000000</t>
  </si>
  <si>
    <t xml:space="preserve">13972.131440909549107200000000000</t>
  </si>
  <si>
    <t xml:space="preserve">31811.097685780846905537459283387622149837133550488599348534201954397394136807818</t>
  </si>
  <si>
    <t xml:space="preserve">11710.504181376000000</t>
  </si>
  <si>
    <t xml:space="preserve">12064.9773404160000000</t>
  </si>
  <si>
    <t xml:space="preserve">1894.76698825814400000000</t>
  </si>
  <si>
    <t xml:space="preserve">84823.965708588288000000000</t>
  </si>
  <si>
    <t xml:space="preserve">5955.725251879603200000000</t>
  </si>
  <si>
    <t xml:space="preserve">6387.547735296000000</t>
  </si>
  <si>
    <t xml:space="preserve">765.56241949824000000000</t>
  </si>
  <si>
    <t xml:space="preserve">91157.48848149621350400000000</t>
  </si>
  <si>
    <t xml:space="preserve">11284.0208691704902848061440000000000</t>
  </si>
  <si>
    <t xml:space="preserve">5322.956446080000000</t>
  </si>
  <si>
    <t xml:space="preserve">621.32602162176000000000</t>
  </si>
  <si>
    <t xml:space="preserve">66000.26438219305728000000000</t>
  </si>
  <si>
    <t xml:space="preserve">5104.02044555626309632000000</t>
  </si>
  <si>
    <t xml:space="preserve">8675.7539143038673378738525318329878590464909683150725496002368966538347645839502</t>
  </si>
  <si>
    <t xml:space="preserve">3193.773867648000000</t>
  </si>
  <si>
    <t xml:space="preserve">3290.4483655680000000</t>
  </si>
  <si>
    <t xml:space="preserve">329.52469361011200000000</t>
  </si>
  <si>
    <t xml:space="preserve">100.036866252960000000</t>
  </si>
  <si>
    <t xml:space="preserve">227195.273132372413440000000</t>
  </si>
  <si>
    <t xml:space="preserve">23514.710769200544791040000000000</t>
  </si>
  <si>
    <t xml:space="preserve">51042.819212292785046728971962616822429906542056074766355140186915887850467289721</t>
  </si>
  <si>
    <t xml:space="preserve">19767.170650106880000</t>
  </si>
  <si>
    <t xml:space="preserve">20664.4041077760000000</t>
  </si>
  <si>
    <t xml:space="preserve">3021.00672803117760000000</t>
  </si>
  <si>
    <t xml:space="preserve">133239.295651605212160000000</t>
  </si>
  <si>
    <t xml:space="preserve">9355.099481921217024000000</t>
  </si>
  <si>
    <t xml:space="preserve">25985.435235349054205607476635514018691588785046728971962616822429906542056074767</t>
  </si>
  <si>
    <t xml:space="preserve">10063.286876418048000</t>
  </si>
  <si>
    <t xml:space="preserve">10520.0602730496000000</t>
  </si>
  <si>
    <t xml:space="preserve">1139.23486040232960000000</t>
  </si>
  <si>
    <t xml:space="preserve">79776.07656214396645785600000</t>
  </si>
  <si>
    <t xml:space="preserve">9875.1614133215530319521628160000000</t>
  </si>
  <si>
    <t xml:space="preserve">4672.240335479808000</t>
  </si>
  <si>
    <t xml:space="preserve">515.13228470366208000000</t>
  </si>
  <si>
    <t xml:space="preserve">29620.43186613497026560000000</t>
  </si>
  <si>
    <t xml:space="preserve">2290.64673098110436720640000</t>
  </si>
  <si>
    <t xml:space="preserve">3712.2050336212934579439252336448598130841121495327102803738317757009345794392525</t>
  </si>
  <si>
    <t xml:space="preserve">1437.612410916864000</t>
  </si>
  <si>
    <t xml:space="preserve">1502.8657532928000000</t>
  </si>
  <si>
    <t xml:space="preserve">140.10465985072128000000</t>
  </si>
  <si>
    <t xml:space="preserve">130.243867758950400000</t>
  </si>
  <si>
    <t xml:space="preserve">281817.697558601318400000000</t>
  </si>
  <si>
    <t xml:space="preserve">29168.131697315236454400000000000</t>
  </si>
  <si>
    <t xml:space="preserve">63163.092294420055299539170506912442396313364055299539170506912442396313364055297</t>
  </si>
  <si>
    <t xml:space="preserve">24593.247519160320000</t>
  </si>
  <si>
    <t xml:space="preserve">25632.5525913600000000</t>
  </si>
  <si>
    <t xml:space="preserve">3747.31898540313600000000</t>
  </si>
  <si>
    <t xml:space="preserve">156724.175958045696000000000</t>
  </si>
  <si>
    <t xml:space="preserve">11004.037886415974400000000</t>
  </si>
  <si>
    <t xml:space="preserve">30492.527314547612903225806451612903225806451612903225806451612903225806451612902</t>
  </si>
  <si>
    <t xml:space="preserve">11872.602250629120000</t>
  </si>
  <si>
    <t xml:space="preserve">12374.3357337600000000</t>
  </si>
  <si>
    <t xml:space="preserve">1340.03744050176000000000</t>
  </si>
  <si>
    <t xml:space="preserve">72182.67761267704627200000000</t>
  </si>
  <si>
    <t xml:space="preserve">8935.2049309628408498257920000000000</t>
  </si>
  <si>
    <t xml:space="preserve">10890.188326624147465437788018433179723502304147465437788018433179723502304147465</t>
  </si>
  <si>
    <t xml:space="preserve">4240.215089510400000</t>
  </si>
  <si>
    <t xml:space="preserve">4419.4056192000000000</t>
  </si>
  <si>
    <t xml:space="preserve">466.09997930496000000000</t>
  </si>
  <si>
    <t xml:space="preserve">34841.35632088590336000000000</t>
  </si>
  <si>
    <t xml:space="preserve">2694.39822214850985984000000</t>
  </si>
  <si>
    <t xml:space="preserve">4356.0753306496589861751152073732718894009216589861751152073732718894009216589860</t>
  </si>
  <si>
    <t xml:space="preserve">1696.086035804160000</t>
  </si>
  <si>
    <t xml:space="preserve">1767.7622476800000000</t>
  </si>
  <si>
    <t xml:space="preserve">164.79963553996800000000</t>
  </si>
  <si>
    <t xml:space="preserve">153.660891960576000000</t>
  </si>
  <si>
    <t xml:space="preserve">固定成本事实</t>
  </si>
  <si>
    <t xml:space="preserve">仓租、一线作业基础人工、仓库管理人工和系统费用按发货仓或共享范围单独展示，不分摊到目的国或线路。</t>
  </si>
  <si>
    <t xml:space="preserve">Scope</t>
  </si>
  <si>
    <t xml:space="preserve">Category</t>
  </si>
  <si>
    <t xml:space="preserve">Recalc CNY</t>
  </si>
  <si>
    <t xml:space="preserve">Delta</t>
  </si>
  <si>
    <t xml:space="preserve">WAREHOUSE_RENT</t>
  </si>
  <si>
    <t xml:space="preserve">195000.00</t>
  </si>
  <si>
    <t xml:space="preserve">FRONTLINE_BASE_LABOR</t>
  </si>
  <si>
    <t xml:space="preserve">109200.00</t>
  </si>
  <si>
    <t xml:space="preserve">WAREHOUSE_MANAGEMENT_LABOR</t>
  </si>
  <si>
    <t xml:space="preserve">31200.00</t>
  </si>
  <si>
    <t xml:space="preserve">140400.00</t>
  </si>
  <si>
    <t xml:space="preserve">85800.00</t>
  </si>
  <si>
    <t xml:space="preserve">23400.00</t>
  </si>
  <si>
    <t xml:space="preserve">SHARED</t>
  </si>
  <si>
    <t xml:space="preserve">SYSTEM_COST</t>
  </si>
  <si>
    <t xml:space="preserve">50000</t>
  </si>
  <si>
    <t xml:space="preserve">194791.750000</t>
  </si>
  <si>
    <t xml:space="preserve">109083.380000</t>
  </si>
  <si>
    <t xml:space="preserve">31166.680000</t>
  </si>
  <si>
    <t xml:space="preserve">140250.060000</t>
  </si>
  <si>
    <t xml:space="preserve">85708.370000</t>
  </si>
  <si>
    <t xml:space="preserve">23375.010000</t>
  </si>
  <si>
    <t xml:space="preserve">50075.0000</t>
  </si>
  <si>
    <t xml:space="preserve">194582.000000</t>
  </si>
  <si>
    <t xml:space="preserve">108965.920000</t>
  </si>
  <si>
    <t xml:space="preserve">31133.120000</t>
  </si>
  <si>
    <t xml:space="preserve">140099.040000</t>
  </si>
  <si>
    <t xml:space="preserve">85616.080000</t>
  </si>
  <si>
    <t xml:space="preserve">23349.840000</t>
  </si>
  <si>
    <t xml:space="preserve">50150.0000</t>
  </si>
  <si>
    <t xml:space="preserve">196379.750000</t>
  </si>
  <si>
    <t xml:space="preserve">109972.660000</t>
  </si>
  <si>
    <t xml:space="preserve">31420.760000</t>
  </si>
  <si>
    <t xml:space="preserve">141393.420000</t>
  </si>
  <si>
    <t xml:space="preserve">86407.090000</t>
  </si>
  <si>
    <t xml:space="preserve">23565.570000</t>
  </si>
  <si>
    <t xml:space="preserve">50225.0000</t>
  </si>
  <si>
    <t xml:space="preserve">197176.000000</t>
  </si>
  <si>
    <t xml:space="preserve">110418.560000</t>
  </si>
  <si>
    <t xml:space="preserve">31548.160000</t>
  </si>
  <si>
    <t xml:space="preserve">141966.720000</t>
  </si>
  <si>
    <t xml:space="preserve">86757.440000</t>
  </si>
  <si>
    <t xml:space="preserve">23661.120000</t>
  </si>
  <si>
    <t xml:space="preserve">50300.0000</t>
  </si>
  <si>
    <t xml:space="preserve">198225.625000</t>
  </si>
  <si>
    <t xml:space="preserve">111006.350000</t>
  </si>
  <si>
    <t xml:space="preserve">31716.100000</t>
  </si>
  <si>
    <t xml:space="preserve">142722.450000</t>
  </si>
  <si>
    <t xml:space="preserve">87219.275000</t>
  </si>
  <si>
    <t xml:space="preserve">23787.075000</t>
  </si>
  <si>
    <t xml:space="preserve">50375.0000</t>
  </si>
  <si>
    <t xml:space="preserve">199025.250000</t>
  </si>
  <si>
    <t xml:space="preserve">111454.140000</t>
  </si>
  <si>
    <t xml:space="preserve">31844.040000</t>
  </si>
  <si>
    <t xml:space="preserve">143298.180000</t>
  </si>
  <si>
    <t xml:space="preserve">87571.110000</t>
  </si>
  <si>
    <t xml:space="preserve">23883.030000</t>
  </si>
  <si>
    <t xml:space="preserve">50450.0000</t>
  </si>
  <si>
    <t xml:space="preserve">199826.375000</t>
  </si>
  <si>
    <t xml:space="preserve">111902.770000</t>
  </si>
  <si>
    <t xml:space="preserve">31972.220000</t>
  </si>
  <si>
    <t xml:space="preserve">143874.990000</t>
  </si>
  <si>
    <t xml:space="preserve">87923.605000</t>
  </si>
  <si>
    <t xml:space="preserve">23979.165000</t>
  </si>
  <si>
    <t xml:space="preserve">50525.0000</t>
  </si>
  <si>
    <t xml:space="preserve">201135.000000</t>
  </si>
  <si>
    <t xml:space="preserve">112635.600000</t>
  </si>
  <si>
    <t xml:space="preserve">32181.600000</t>
  </si>
  <si>
    <t xml:space="preserve">144817.200000</t>
  </si>
  <si>
    <t xml:space="preserve">88499.400000</t>
  </si>
  <si>
    <t xml:space="preserve">24136.200000</t>
  </si>
  <si>
    <t xml:space="preserve">50600.0000</t>
  </si>
  <si>
    <t xml:space="preserve">201564.00000</t>
  </si>
  <si>
    <t xml:space="preserve">112875.84000</t>
  </si>
  <si>
    <t xml:space="preserve">32250.24000</t>
  </si>
  <si>
    <t xml:space="preserve">145126.08000</t>
  </si>
  <si>
    <t xml:space="preserve">88688.16000</t>
  </si>
  <si>
    <t xml:space="preserve">24187.68000</t>
  </si>
  <si>
    <t xml:space="preserve">50900.000</t>
  </si>
  <si>
    <t xml:space="preserve">201055.00000</t>
  </si>
  <si>
    <t xml:space="preserve">112590.80000</t>
  </si>
  <si>
    <t xml:space="preserve">32168.80000</t>
  </si>
  <si>
    <t xml:space="preserve">144759.60000</t>
  </si>
  <si>
    <t xml:space="preserve">88464.20000</t>
  </si>
  <si>
    <t xml:space="preserve">24126.60000</t>
  </si>
  <si>
    <t xml:space="preserve">200546.00000</t>
  </si>
  <si>
    <t xml:space="preserve">112305.76000</t>
  </si>
  <si>
    <t xml:space="preserve">32087.36000</t>
  </si>
  <si>
    <t xml:space="preserve">144393.12000</t>
  </si>
  <si>
    <t xml:space="preserve">88240.24000</t>
  </si>
  <si>
    <t xml:space="preserve">24065.52000</t>
  </si>
  <si>
    <t xml:space="preserve">200037.00000</t>
  </si>
  <si>
    <t xml:space="preserve">112020.72000</t>
  </si>
  <si>
    <t xml:space="preserve">32005.92000</t>
  </si>
  <si>
    <t xml:space="preserve">144026.64000</t>
  </si>
  <si>
    <t xml:space="preserve">88016.28000</t>
  </si>
  <si>
    <t xml:space="preserve">24004.44000</t>
  </si>
  <si>
    <r>
      <rPr>
        <b val="true"/>
        <sz val="18"/>
        <color rgb="FFFFFFFF"/>
        <rFont val="思源黑体"/>
        <family val="2"/>
        <charset val="134"/>
      </rPr>
      <t xml:space="preserve">履约 </t>
    </r>
    <r>
      <rPr>
        <b val="true"/>
        <sz val="18"/>
        <color rgb="FFFFFFFF"/>
        <rFont val="Aptos Display"/>
        <family val="0"/>
        <charset val="1"/>
      </rPr>
      <t xml:space="preserve">GMV </t>
    </r>
    <r>
      <rPr>
        <b val="true"/>
        <sz val="18"/>
        <color rgb="FFFFFFFF"/>
        <rFont val="思源黑体"/>
        <family val="2"/>
        <charset val="134"/>
      </rPr>
      <t xml:space="preserve">事实</t>
    </r>
  </si>
  <si>
    <r>
      <rPr>
        <i val="true"/>
        <sz val="9"/>
        <color rgb="FF667085"/>
        <rFont val="Aptos"/>
        <family val="0"/>
        <charset val="1"/>
      </rPr>
      <t xml:space="preserve">GMV </t>
    </r>
    <r>
      <rPr>
        <i val="true"/>
        <sz val="9"/>
        <color rgb="FF667085"/>
        <rFont val="思源黑体"/>
        <family val="2"/>
        <charset val="134"/>
      </rPr>
      <t xml:space="preserve">粒度为月份 </t>
    </r>
    <r>
      <rPr>
        <i val="true"/>
        <sz val="9"/>
        <color rgb="FF667085"/>
        <rFont val="Aptos"/>
        <family val="0"/>
        <charset val="1"/>
      </rPr>
      <t xml:space="preserve">× </t>
    </r>
    <r>
      <rPr>
        <i val="true"/>
        <sz val="9"/>
        <color rgb="FF667085"/>
        <rFont val="思源黑体"/>
        <family val="2"/>
        <charset val="134"/>
      </rPr>
      <t xml:space="preserve">目的国 </t>
    </r>
    <r>
      <rPr>
        <i val="true"/>
        <sz val="9"/>
        <color rgb="FF667085"/>
        <rFont val="Aptos"/>
        <family val="0"/>
        <charset val="1"/>
      </rPr>
      <t xml:space="preserve">× </t>
    </r>
    <r>
      <rPr>
        <i val="true"/>
        <sz val="9"/>
        <color rgb="FF667085"/>
        <rFont val="思源黑体"/>
        <family val="2"/>
        <charset val="134"/>
      </rPr>
      <t xml:space="preserve">版本，不复制或分摊到线路。</t>
    </r>
  </si>
  <si>
    <t xml:space="preserve">Source Class</t>
  </si>
  <si>
    <t xml:space="preserve">Note</t>
  </si>
  <si>
    <t xml:space="preserve">3760848.0000</t>
  </si>
  <si>
    <t xml:space="preserve">SYNTHETIC_DEMO_DATA</t>
  </si>
  <si>
    <r>
      <rPr>
        <sz val="9"/>
        <color rgb="FF101828"/>
        <rFont val="思源黑体"/>
        <family val="2"/>
        <charset val="134"/>
      </rPr>
      <t xml:space="preserve">履约 </t>
    </r>
    <r>
      <rPr>
        <sz val="9"/>
        <color rgb="FF101828"/>
        <rFont val="Aptos"/>
        <family val="0"/>
        <charset val="1"/>
      </rPr>
      <t xml:space="preserve">GMV</t>
    </r>
    <r>
      <rPr>
        <sz val="9"/>
        <color rgb="FF101828"/>
        <rFont val="思源黑体"/>
        <family val="2"/>
        <charset val="134"/>
      </rPr>
      <t xml:space="preserve">，不含取消订单</t>
    </r>
  </si>
  <si>
    <t xml:space="preserve">3005184.0000</t>
  </si>
  <si>
    <t xml:space="preserve">2555280.0000</t>
  </si>
  <si>
    <t xml:space="preserve">3626532.0000</t>
  </si>
  <si>
    <t xml:space="preserve">2897856.0000</t>
  </si>
  <si>
    <t xml:space="preserve">2464020.0000</t>
  </si>
  <si>
    <t xml:space="preserve">3837600.0000</t>
  </si>
  <si>
    <t xml:space="preserve">3219840.0000</t>
  </si>
  <si>
    <t xml:space="preserve">2948400.0000</t>
  </si>
  <si>
    <t xml:space="preserve">3965520.0000</t>
  </si>
  <si>
    <t xml:space="preserve">3327168.0000</t>
  </si>
  <si>
    <t xml:space="preserve">3046680.0000</t>
  </si>
  <si>
    <t xml:space="preserve">3991104.0000</t>
  </si>
  <si>
    <t xml:space="preserve">3434496.0000</t>
  </si>
  <si>
    <t xml:space="preserve">3257280.0000</t>
  </si>
  <si>
    <t xml:space="preserve">4115826.0000</t>
  </si>
  <si>
    <t xml:space="preserve">3541824.0000</t>
  </si>
  <si>
    <t xml:space="preserve">3359070.0000</t>
  </si>
  <si>
    <t xml:space="preserve">4131816.0000</t>
  </si>
  <si>
    <t xml:space="preserve">3649152.0000</t>
  </si>
  <si>
    <t xml:space="preserve">3580200.0000</t>
  </si>
  <si>
    <t xml:space="preserve">3888768.0000</t>
  </si>
  <si>
    <t xml:space="preserve">3369600.0000</t>
  </si>
  <si>
    <t xml:space="preserve">3481920.0000</t>
  </si>
  <si>
    <t xml:space="preserve">4144608.0000</t>
  </si>
  <si>
    <t xml:space="preserve">3743064.0000</t>
  </si>
  <si>
    <t xml:space="preserve">4169880.0000</t>
  </si>
  <si>
    <t xml:space="preserve">4927734.240000</t>
  </si>
  <si>
    <t xml:space="preserve">4560098.400000</t>
  </si>
  <si>
    <t xml:space="preserve">5726635.200000</t>
  </si>
  <si>
    <t xml:space="preserve">5823685.920000</t>
  </si>
  <si>
    <t xml:space="preserve">5209566.960000</t>
  </si>
  <si>
    <t xml:space="preserve">6955837.200000</t>
  </si>
  <si>
    <t xml:space="preserve">3765213.07900</t>
  </si>
  <si>
    <t xml:space="preserve">2973282.405500</t>
  </si>
  <si>
    <t xml:space="preserve">2509356.85000</t>
  </si>
  <si>
    <t xml:space="preserve">3647759.96160</t>
  </si>
  <si>
    <t xml:space="preserve">2965967.913600</t>
  </si>
  <si>
    <t xml:space="preserve">2498843.79360</t>
  </si>
  <si>
    <t xml:space="preserve">3942455.34600</t>
  </si>
  <si>
    <t xml:space="preserve">3301451.901000</t>
  </si>
  <si>
    <t xml:space="preserve">3037990.03200</t>
  </si>
  <si>
    <t xml:space="preserve">4091987.64800</t>
  </si>
  <si>
    <t xml:space="preserve">3439491.888000</t>
  </si>
  <si>
    <t xml:space="preserve">3114386.50600</t>
  </si>
  <si>
    <t xml:space="preserve">4185508.39600</t>
  </si>
  <si>
    <t xml:space="preserve">3604870.027000</t>
  </si>
  <si>
    <t xml:space="preserve">3442639.97000</t>
  </si>
  <si>
    <t xml:space="preserve">4302757.84800</t>
  </si>
  <si>
    <t xml:space="preserve">3697703.730000</t>
  </si>
  <si>
    <t xml:space="preserve">3675845.71200</t>
  </si>
  <si>
    <t xml:space="preserve">4313402.10000</t>
  </si>
  <si>
    <t xml:space="preserve">3756340.350000</t>
  </si>
  <si>
    <t xml:space="preserve">4198748.40000</t>
  </si>
  <si>
    <t xml:space="preserve">4152436.05000</t>
  </si>
  <si>
    <t xml:space="preserve">3489950.625000</t>
  </si>
  <si>
    <t xml:space="preserve">5929418.88000</t>
  </si>
  <si>
    <t xml:space="preserve">4070373.1200</t>
  </si>
  <si>
    <t xml:space="preserve">3555446.4000</t>
  </si>
  <si>
    <t xml:space="preserve">4066699.2000</t>
  </si>
  <si>
    <t xml:space="preserve">4347291.0000</t>
  </si>
  <si>
    <t xml:space="preserve">4020705.0000</t>
  </si>
  <si>
    <t xml:space="preserve">4855032.0000</t>
  </si>
  <si>
    <t xml:space="preserve">5190461.4400</t>
  </si>
  <si>
    <t xml:space="preserve">4930547.5200</t>
  </si>
  <si>
    <t xml:space="preserve">6652401.6000</t>
  </si>
  <si>
    <t xml:space="preserve">5970581.7600</t>
  </si>
  <si>
    <t xml:space="preserve">5476030.5600</t>
  </si>
  <si>
    <t xml:space="preserve">7824960.0000</t>
  </si>
  <si>
    <t xml:space="preserve">4473369.120000</t>
  </si>
  <si>
    <t xml:space="preserve">5340535.200000</t>
  </si>
  <si>
    <t xml:space="preserve">7317641.760000</t>
  </si>
  <si>
    <t xml:space="preserve">8607456.000000</t>
  </si>
  <si>
    <t xml:space="preserve">服务事实与成熟度</t>
  </si>
  <si>
    <r>
      <rPr>
        <i val="true"/>
        <sz val="9"/>
        <color rgb="FF667085"/>
        <rFont val="Aptos"/>
        <family val="0"/>
        <charset val="1"/>
      </rPr>
      <t xml:space="preserve">Actual </t>
    </r>
    <r>
      <rPr>
        <i val="true"/>
        <sz val="9"/>
        <color rgb="FF667085"/>
        <rFont val="思源黑体"/>
        <family val="2"/>
        <charset val="134"/>
      </rPr>
      <t xml:space="preserve">准时率 </t>
    </r>
    <r>
      <rPr>
        <i val="true"/>
        <sz val="9"/>
        <color rgb="FF667085"/>
        <rFont val="Aptos"/>
        <family val="0"/>
        <charset val="1"/>
      </rPr>
      <t xml:space="preserve">= </t>
    </r>
    <r>
      <rPr>
        <i val="true"/>
        <sz val="9"/>
        <color rgb="FF667085"/>
        <rFont val="思源黑体"/>
        <family val="2"/>
        <charset val="134"/>
      </rPr>
      <t xml:space="preserve">按时妥投包裹 </t>
    </r>
    <r>
      <rPr>
        <i val="true"/>
        <sz val="9"/>
        <color rgb="FF667085"/>
        <rFont val="Aptos"/>
        <family val="0"/>
        <charset val="1"/>
      </rPr>
      <t xml:space="preserve">÷ </t>
    </r>
    <r>
      <rPr>
        <i val="true"/>
        <sz val="9"/>
        <color rgb="FF667085"/>
        <rFont val="思源黑体"/>
        <family val="2"/>
        <charset val="134"/>
      </rPr>
      <t xml:space="preserve">已到承诺截止日期包裹；</t>
    </r>
    <r>
      <rPr>
        <i val="true"/>
        <sz val="9"/>
        <color rgb="FF667085"/>
        <rFont val="Aptos"/>
        <family val="0"/>
        <charset val="1"/>
      </rPr>
      <t xml:space="preserve">Forecast/</t>
    </r>
    <r>
      <rPr>
        <i val="true"/>
        <sz val="9"/>
        <color rgb="FF667085"/>
        <rFont val="思源黑体"/>
        <family val="2"/>
        <charset val="134"/>
      </rPr>
      <t xml:space="preserve">情景使用版本化线路预计准时率。</t>
    </r>
  </si>
  <si>
    <t xml:space="preserve">Cohort Packages</t>
  </si>
  <si>
    <t xml:space="preserve">Due Packages</t>
  </si>
  <si>
    <t xml:space="preserve">On-time Packages</t>
  </si>
  <si>
    <t xml:space="preserve">On-time Rate</t>
  </si>
  <si>
    <t xml:space="preserve">Maturity Rate</t>
  </si>
  <si>
    <t xml:space="preserve">Recalc Rate</t>
  </si>
  <si>
    <t xml:space="preserve">月度管理汇总</t>
  </si>
  <si>
    <r>
      <rPr>
        <i val="true"/>
        <sz val="9"/>
        <color rgb="FF667085"/>
        <rFont val="思源黑体"/>
        <family val="2"/>
        <charset val="134"/>
      </rPr>
      <t xml:space="preserve">统一时间轴；</t>
    </r>
    <r>
      <rPr>
        <i val="true"/>
        <sz val="9"/>
        <color rgb="FF667085"/>
        <rFont val="Aptos"/>
        <family val="0"/>
        <charset val="1"/>
      </rPr>
      <t xml:space="preserve">Actual</t>
    </r>
    <r>
      <rPr>
        <i val="true"/>
        <sz val="9"/>
        <color rgb="FF667085"/>
        <rFont val="思源黑体"/>
        <family val="2"/>
        <charset val="134"/>
      </rPr>
      <t xml:space="preserve">、</t>
    </r>
    <r>
      <rPr>
        <i val="true"/>
        <sz val="9"/>
        <color rgb="FF667085"/>
        <rFont val="Aptos"/>
        <family val="0"/>
        <charset val="1"/>
      </rPr>
      <t xml:space="preserve">Budget</t>
    </r>
    <r>
      <rPr>
        <i val="true"/>
        <sz val="9"/>
        <color rgb="FF667085"/>
        <rFont val="思源黑体"/>
        <family val="2"/>
        <charset val="134"/>
      </rPr>
      <t xml:space="preserve">、</t>
    </r>
    <r>
      <rPr>
        <i val="true"/>
        <sz val="9"/>
        <color rgb="FF667085"/>
        <rFont val="Aptos"/>
        <family val="0"/>
        <charset val="1"/>
      </rPr>
      <t xml:space="preserve">Forecast</t>
    </r>
    <r>
      <rPr>
        <i val="true"/>
        <sz val="9"/>
        <color rgb="FF667085"/>
        <rFont val="思源黑体"/>
        <family val="2"/>
        <charset val="134"/>
      </rPr>
      <t xml:space="preserve">、</t>
    </r>
    <r>
      <rPr>
        <i val="true"/>
        <sz val="9"/>
        <color rgb="FF667085"/>
        <rFont val="Aptos"/>
        <family val="0"/>
        <charset val="1"/>
      </rPr>
      <t xml:space="preserve">Latest Outlook </t>
    </r>
    <r>
      <rPr>
        <i val="true"/>
        <sz val="9"/>
        <color rgb="FF667085"/>
        <rFont val="思源黑体"/>
        <family val="2"/>
        <charset val="134"/>
      </rPr>
      <t xml:space="preserve">与三类情景使用同一指标口径。</t>
    </r>
  </si>
  <si>
    <t xml:space="preserve">Series</t>
  </si>
  <si>
    <t xml:space="preserve">Orders</t>
  </si>
  <si>
    <t xml:space="preserve">Fixed Cost CNY</t>
  </si>
  <si>
    <t xml:space="preserve">Source Total Cost CNY</t>
  </si>
  <si>
    <t xml:space="preserve">Recalc Total Cost CNY</t>
  </si>
  <si>
    <t xml:space="preserve">GMV CNY</t>
  </si>
  <si>
    <t xml:space="preserve">Company Total Cost Rate</t>
  </si>
  <si>
    <t xml:space="preserve">Unit Variable/Order</t>
  </si>
  <si>
    <t xml:space="preserve">Transport Cost/kg</t>
  </si>
  <si>
    <t xml:space="preserve">SCENARIO_BASE</t>
  </si>
  <si>
    <t xml:space="preserve">SCENARIO_GROWTH</t>
  </si>
  <si>
    <t xml:space="preserve">SCENARIO_COST_SAVING</t>
  </si>
  <si>
    <t xml:space="preserve">LATEST_OUTLOOK</t>
  </si>
  <si>
    <t xml:space="preserve">目的国管理汇总</t>
  </si>
  <si>
    <t xml:space="preserve">目的国层只展示履约变动成本率；固定成本不分摊到目的国。</t>
  </si>
  <si>
    <t xml:space="preserve">Variable Cost Rate</t>
  </si>
  <si>
    <t xml:space="preserve">Air Package Share</t>
  </si>
  <si>
    <t xml:space="preserve">Carrier C Share</t>
  </si>
  <si>
    <t xml:space="preserve">Variable Cost/Order</t>
  </si>
  <si>
    <t xml:space="preserve">核心异常范围</t>
  </si>
  <si>
    <r>
      <rPr>
        <b val="true"/>
        <sz val="18"/>
        <color rgb="FFFFFFFF"/>
        <rFont val="思源黑体"/>
        <family val="2"/>
        <charset val="134"/>
      </rPr>
      <t xml:space="preserve">五因素归因与 </t>
    </r>
    <r>
      <rPr>
        <b val="true"/>
        <sz val="18"/>
        <color rgb="FFFFFFFF"/>
        <rFont val="Aptos Display"/>
        <family val="0"/>
        <charset val="1"/>
      </rPr>
      <t xml:space="preserve">Shapley </t>
    </r>
    <r>
      <rPr>
        <b val="true"/>
        <sz val="18"/>
        <color rgb="FFFFFFFF"/>
        <rFont val="思源黑体"/>
        <family val="2"/>
        <charset val="134"/>
      </rPr>
      <t xml:space="preserve">参考</t>
    </r>
  </si>
  <si>
    <r>
      <rPr>
        <i val="true"/>
        <sz val="9"/>
        <color rgb="FF667085"/>
        <rFont val="思源黑体"/>
        <family val="2"/>
        <charset val="134"/>
      </rPr>
      <t xml:space="preserve">正式口径为量→结构→效率→价→汇率连环替代；</t>
    </r>
    <r>
      <rPr>
        <i val="true"/>
        <sz val="9"/>
        <color rgb="FF667085"/>
        <rFont val="Aptos"/>
        <family val="0"/>
        <charset val="1"/>
      </rPr>
      <t xml:space="preserve">ALL </t>
    </r>
    <r>
      <rPr>
        <i val="true"/>
        <sz val="9"/>
        <color rgb="FF667085"/>
        <rFont val="思源黑体"/>
        <family val="2"/>
        <charset val="134"/>
      </rPr>
      <t xml:space="preserve">为公司层，国家行由同一原子归因向上汇总。</t>
    </r>
  </si>
  <si>
    <t xml:space="preserve">Comparison</t>
  </si>
  <si>
    <t xml:space="preserve">Method</t>
  </si>
  <si>
    <t xml:space="preserve">Factor</t>
  </si>
  <si>
    <t xml:space="preserve">Shapley Difference</t>
  </si>
  <si>
    <t xml:space="preserve">Normalized Sensitivity</t>
  </si>
  <si>
    <t xml:space="preserve">Order Sensitive</t>
  </si>
  <si>
    <t xml:space="preserve">Expected Difference</t>
  </si>
  <si>
    <t xml:space="preserve">Chain Total</t>
  </si>
  <si>
    <t xml:space="preserve">Chain Delta</t>
  </si>
  <si>
    <t xml:space="preserve">Shapley Total</t>
  </si>
  <si>
    <t xml:space="preserve">Shapley Delta</t>
  </si>
  <si>
    <t xml:space="preserve">Chain Status</t>
  </si>
  <si>
    <t xml:space="preserve">Shapley Status</t>
  </si>
  <si>
    <t xml:space="preserve">ACTUAL_VS_BUDGET</t>
  </si>
  <si>
    <t xml:space="preserve">CHAIN</t>
  </si>
  <si>
    <t xml:space="preserve">EFFICIENCY</t>
  </si>
  <si>
    <t xml:space="preserve">ALL</t>
  </si>
  <si>
    <t xml:space="preserve">90.505101510096000000000000</t>
  </si>
  <si>
    <t xml:space="preserve">32.485012976052000000000000</t>
  </si>
  <si>
    <t xml:space="preserve">25.2892096056600000000000</t>
  </si>
  <si>
    <t xml:space="preserve">32.730878928384000000000000</t>
  </si>
  <si>
    <t xml:space="preserve">80.484203438191218817080000000000</t>
  </si>
  <si>
    <t xml:space="preserve">-471.654115793950477197480000000000</t>
  </si>
  <si>
    <t xml:space="preserve">-340.9359088698008442744000000000</t>
  </si>
  <si>
    <t xml:space="preserve">893.074228101942540288960000000000</t>
  </si>
  <si>
    <t xml:space="preserve">MIX</t>
  </si>
  <si>
    <t xml:space="preserve">4208.595052119451500000000</t>
  </si>
  <si>
    <t xml:space="preserve">FORECAST_VS_BUDGET</t>
  </si>
  <si>
    <t xml:space="preserve">937.690559397138300000000</t>
  </si>
  <si>
    <t xml:space="preserve">-40.9060573238460000000</t>
  </si>
  <si>
    <t xml:space="preserve">3311.810550046159200000000</t>
  </si>
  <si>
    <t xml:space="preserve">PRICE</t>
  </si>
  <si>
    <t xml:space="preserve">1151.562072604733763246000000000000</t>
  </si>
  <si>
    <t xml:space="preserve">SCENARIO_COST_SAVING_VS_FORECAST</t>
  </si>
  <si>
    <t xml:space="preserve">376.262906182295807017200000000000</t>
  </si>
  <si>
    <t xml:space="preserve">269.0905196765152670160000000000</t>
  </si>
  <si>
    <t xml:space="preserve">506.208646745922689212800000000000</t>
  </si>
  <si>
    <t xml:space="preserve">VOLUME</t>
  </si>
  <si>
    <t xml:space="preserve">-5991.91048491048000000</t>
  </si>
  <si>
    <t xml:space="preserve">SCENARIO_GROWTH_VS_FORECAST</t>
  </si>
  <si>
    <t xml:space="preserve">-1977.60288824280000000</t>
  </si>
  <si>
    <t xml:space="preserve">-1437.308997696000000</t>
  </si>
  <si>
    <t xml:space="preserve">-2576.99859897168000000</t>
  </si>
  <si>
    <t xml:space="preserve">SHAPLEY</t>
  </si>
  <si>
    <t xml:space="preserve">91.264455667049856800000000000000000000000000000000000000000000000000000000000000</t>
  </si>
  <si>
    <t xml:space="preserve">32.612821391265994480000000000000000000000000000000000000000000000000000000000000</t>
  </si>
  <si>
    <t xml:space="preserve">25.458869761853284400000000000000000000000000000000000000000000000000000000000000</t>
  </si>
  <si>
    <t xml:space="preserve">33.192764513930577920000000000000000000000000000000000000000000000000000000000000</t>
  </si>
  <si>
    <t xml:space="preserve">72.845992110264575353203333333333333333333333333333333333333333333333333333333320</t>
  </si>
  <si>
    <t xml:space="preserve">-472.46863705501198288830333333333333333333333333333333333333333333333333333333334</t>
  </si>
  <si>
    <t xml:space="preserve">-342.45486419716748996993333333333333333333333333333333333333333333333333333333334</t>
  </si>
  <si>
    <t xml:space="preserve">887.76949336244404821144000000000000000000000000000000000000000000000000000000000</t>
  </si>
  <si>
    <t xml:space="preserve">4243.4953051555092367098699999999999999999999999999999999999999999999999999999999</t>
  </si>
  <si>
    <t xml:space="preserve">942.57351935371036359209666666666666666666666666666666666666666666666666666666666</t>
  </si>
  <si>
    <t xml:space="preserve">-41.152248453073925791266666666666666666666666666666666666666666666666666666666666</t>
  </si>
  <si>
    <t xml:space="preserve">3342.0740342548727989090400000000000000000000000000000000000000000000000000000000</t>
  </si>
  <si>
    <t xml:space="preserve">1153.4483628740241846885366666666666666666666666666666666666666666666666666666667</t>
  </si>
  <si>
    <t xml:space="preserve">376.80623237648650855209666666666666666666666666666666666666666666666666666666666</t>
  </si>
  <si>
    <t xml:space="preserve">270.21374390788476407540000000000000000000000000000000000000000000000000000000000</t>
  </si>
  <si>
    <t xml:space="preserve">506.42838658965291206104000000000000000000000000000000000000000000000000000000000</t>
  </si>
  <si>
    <t xml:space="preserve">-6021.8181710448553714885300000000000000000000000000000000000000000000000000000000</t>
  </si>
  <si>
    <t xml:space="preserve">-1982.3424615477152539161700000000000000000000000000000000000000000000000000000000</t>
  </si>
  <si>
    <t xml:space="preserve">-1436.8367356269682099726000000000000000000000000000000000000000000000000000000000</t>
  </si>
  <si>
    <t xml:space="preserve">-2602.6389738701719075997600000000000000000000000000000000000000000000000000000000</t>
  </si>
  <si>
    <t xml:space="preserve">494.806807425506024448000000</t>
  </si>
  <si>
    <t xml:space="preserve">150.791095352256615360000000</t>
  </si>
  <si>
    <t xml:space="preserve">115.6102129067786784000000</t>
  </si>
  <si>
    <t xml:space="preserve">228.405499166470730688000000</t>
  </si>
  <si>
    <t xml:space="preserve">-1472.309776446479351151532277760000</t>
  </si>
  <si>
    <t xml:space="preserve">-918.726153202087856618001408000000</t>
  </si>
  <si>
    <t xml:space="preserve">-683.7926826176087586192691200000</t>
  </si>
  <si>
    <t xml:space="preserve">130.209059373217264085738250240000</t>
  </si>
  <si>
    <t xml:space="preserve">5535.422865361375488000000</t>
  </si>
  <si>
    <t xml:space="preserve">-2088.035035101887040000000</t>
  </si>
  <si>
    <t xml:space="preserve">1602.7581280729824000000</t>
  </si>
  <si>
    <t xml:space="preserve">6020.699772390280128000000</t>
  </si>
  <si>
    <t xml:space="preserve">2282.537846473965349924589568000000</t>
  </si>
  <si>
    <t xml:space="preserve">731.460406413402465150274560000000</t>
  </si>
  <si>
    <t xml:space="preserve">538.6241795787468523574784000000</t>
  </si>
  <si>
    <t xml:space="preserve">1012.453260481816032416836608000000</t>
  </si>
  <si>
    <t xml:space="preserve">7190.29258189257600000</t>
  </si>
  <si>
    <t xml:space="preserve">2373.12346589136000000</t>
  </si>
  <si>
    <t xml:space="preserve">1724.770797235200000</t>
  </si>
  <si>
    <t xml:space="preserve">3092.39831876601600000</t>
  </si>
  <si>
    <t xml:space="preserve">489.42376829691507567278587084800000000000000000000000000000000000000000000000000</t>
  </si>
  <si>
    <t xml:space="preserve">150.55934180070025656443427840000000000000000000000000000000000000000000000000000</t>
  </si>
  <si>
    <t xml:space="preserve">114.07208518324540102255257600000000000000000000000000000000000000000000000000000</t>
  </si>
  <si>
    <t xml:space="preserve">224.79234131296941808579901644800000000000000000000000000000000000000000000000000</t>
  </si>
  <si>
    <t xml:space="preserve">-1464.6050653521659576414277611520000000000000000000000000000000000000000000000000</t>
  </si>
  <si>
    <t xml:space="preserve">-915.75467877618127575594236160000000000000000000000000000000000000000000000000000</t>
  </si>
  <si>
    <t xml:space="preserve">-673.55049020179450832033702400000000000000000000000000000000000000000000000000000</t>
  </si>
  <si>
    <t xml:space="preserve">124.70010362580982643485162444800000000000000000000000000000000000000000000000000</t>
  </si>
  <si>
    <t xml:space="preserve">5518.5671005493196802987929108480000000000000000000000000000000000000000000000000</t>
  </si>
  <si>
    <t xml:space="preserve">-2074.0348723562962133514057216000000000000000000000000000000000000000000000000000</t>
  </si>
  <si>
    <t xml:space="preserve">1592.0732749911299109867125760000000000000000000000000000000000000000000000000000</t>
  </si>
  <si>
    <t xml:space="preserve">6000.5286979144859826634860564480000000000000000000000000000000000000000000000000</t>
  </si>
  <si>
    <t xml:space="preserve">2252.1443495548321637359564308480000000000000000000000000000000000000000000000000</t>
  </si>
  <si>
    <t xml:space="preserve">728.69013883142020653880227840000000000000000000000000000000000000000000000000000</t>
  </si>
  <si>
    <t xml:space="preserve">530.24803358677287342607257600000000000000000000000000000000000000000000000000000</t>
  </si>
  <si>
    <t xml:space="preserve">993.20617713663908377108157644800000000000000000000000000000000000000000000000000</t>
  </si>
  <si>
    <t xml:space="preserve">7235.2201716580425491549498388480000000000000000000000000000000000000000000000000</t>
  </si>
  <si>
    <t xml:space="preserve">2359.1538498534012098963846784000000000000000000000000000000000000000000000000000</t>
  </si>
  <si>
    <t xml:space="preserve">1735.1277316167454950232085760000000000000000000000000000000000000000000000000000</t>
  </si>
  <si>
    <t xml:space="preserve">3140.9385901878958442353565844480000000000000000000000000000000000000000000000000</t>
  </si>
  <si>
    <t xml:space="preserve">1029.274515501920336880000000</t>
  </si>
  <si>
    <t xml:space="preserve">289.605342685707687600000000</t>
  </si>
  <si>
    <t xml:space="preserve">227.4624766683537840000000</t>
  </si>
  <si>
    <t xml:space="preserve">512.206696147858865280000000</t>
  </si>
  <si>
    <t xml:space="preserve">3055.988280737009037766315449600000</t>
  </si>
  <si>
    <t xml:space="preserve">494.000700538172174354305440000000</t>
  </si>
  <si>
    <t xml:space="preserve">378.6688452698664182071776000000</t>
  </si>
  <si>
    <t xml:space="preserve">2183.318734928970445204832409600000</t>
  </si>
  <si>
    <t xml:space="preserve">7078.050175644539640000000</t>
  </si>
  <si>
    <t xml:space="preserve">-916.911942960148200000000</t>
  </si>
  <si>
    <t xml:space="preserve">-45.1886409425880000000</t>
  </si>
  <si>
    <t xml:space="preserve">8040.150759547275840000000</t>
  </si>
  <si>
    <t xml:space="preserve">3906.465091367236623419071680000000</t>
  </si>
  <si>
    <t xml:space="preserve">1177.584952289588510579121600000000</t>
  </si>
  <si>
    <t xml:space="preserve">893.0580545301373167992640000000</t>
  </si>
  <si>
    <t xml:space="preserve">1835.822084547510796040686080000000</t>
  </si>
  <si>
    <t xml:space="preserve">12191.93916052608000000</t>
  </si>
  <si>
    <t xml:space="preserve">3766.86264427200000000</t>
  </si>
  <si>
    <t xml:space="preserve">2874.617995392000000</t>
  </si>
  <si>
    <t xml:space="preserve">5550.45852086208000000</t>
  </si>
  <si>
    <t xml:space="preserve">1018.3500007897479859510548339200000000000000000000000000000000000000000000000000</t>
  </si>
  <si>
    <t xml:space="preserve">288.58862307454016252110108800000000000000000000000000000000000000000000000000000</t>
  </si>
  <si>
    <t xml:space="preserve">226.15636009758874289711552000000000000000000000000000000000000000000000000000000</t>
  </si>
  <si>
    <t xml:space="preserve">503.60501761761908053283822592000000000000000000000000000000000000000000000000000</t>
  </si>
  <si>
    <t xml:space="preserve">2982.8468338831458958409861139200000000000000000000000000000000000000000000000000</t>
  </si>
  <si>
    <t xml:space="preserve">488.46337346485799675636068800000000000000000000000000000000000000000000000000000</t>
  </si>
  <si>
    <t xml:space="preserve">373.59526442045811480689952000000000000000000000000000000000000000000000000000000</t>
  </si>
  <si>
    <t xml:space="preserve">2120.7881959978297842777259059200000000000000000000000000000000000000000000000000</t>
  </si>
  <si>
    <t xml:space="preserve">7068.8422867188872579822892339200000000000000000000000000000000000000000000000000</t>
  </si>
  <si>
    <t xml:space="preserve">-912.43005743643775883251891200000000000000000000000000000000000000000000000000000</t>
  </si>
  <si>
    <t xml:space="preserve">-44.869025929639867816084480000000000000000000000000000000000000000000000000000000</t>
  </si>
  <si>
    <t xml:space="preserve">8026.1413700849648846308926259200000000000000000000000000000000000000000000000000</t>
  </si>
  <si>
    <t xml:space="preserve">3852.4930763874346162070860339200000000000000000000000000000000000000000000000000</t>
  </si>
  <si>
    <t xml:space="preserve">1169.4076099056894590558810880000000000000000000000000000000000000000000000000000</t>
  </si>
  <si>
    <t xml:space="preserve">884.87635125045969795831552000000000000000000000000000000000000000000000000000000</t>
  </si>
  <si>
    <t xml:space="preserve">1798.2091152312854591928894259200000000000000000000000000000000000000000000000000</t>
  </si>
  <si>
    <t xml:space="preserve">12339.185025997569882083970913920000000000000000000000000000000000000000000000000</t>
  </si>
  <si>
    <t xml:space="preserve">3777.1121478166703130326030880000000000000000000000000000000000000000000000000000</t>
  </si>
  <si>
    <t xml:space="preserve">2888.8597810789028311601955200000000000000000000000000000000000000000000000000000</t>
  </si>
  <si>
    <t xml:space="preserve">5673.2130971019967378911723059200000000000000000000000000000000000000000000000000</t>
  </si>
  <si>
    <t xml:space="preserve">1537.114342926869455680000000</t>
  </si>
  <si>
    <t xml:space="preserve">432.217275248023293600000000</t>
  </si>
  <si>
    <t xml:space="preserve">340.0375583569620240000000</t>
  </si>
  <si>
    <t xml:space="preserve">764.859509321884138080000000</t>
  </si>
  <si>
    <t xml:space="preserve">5001.697643975873436322647244800000</t>
  </si>
  <si>
    <t xml:space="preserve">1025.627995121574956935864320000000</t>
  </si>
  <si>
    <t xml:space="preserve">789.1131750640126490492928000000</t>
  </si>
  <si>
    <t xml:space="preserve">3186.956473790285830337490124800000</t>
  </si>
  <si>
    <t xml:space="preserve">5579.956296452247360000000</t>
  </si>
  <si>
    <t xml:space="preserve">-449.543330428576800000000</t>
  </si>
  <si>
    <t xml:space="preserve">902.2366898684880000000</t>
  </si>
  <si>
    <t xml:space="preserve">5127.262937012336160000000</t>
  </si>
  <si>
    <t xml:space="preserve">5368.268737824133448376299520000000</t>
  </si>
  <si>
    <t xml:space="preserve">1626.685838895670108893542400000000</t>
  </si>
  <si>
    <t xml:space="preserve">1238.2471319450165406120960000000</t>
  </si>
  <si>
    <t xml:space="preserve">2503.335766983446798870661120000000</t>
  </si>
  <si>
    <t xml:space="preserve">1527.1326078563267785768015940266666666666666666666666666666666666666666666666667</t>
  </si>
  <si>
    <t xml:space="preserve">431.26427684481060674691302400000000000000000000000000000000000000000000000000000</t>
  </si>
  <si>
    <t xml:space="preserve">337.89579059695973510325162666666666666666666666666666666666666666666666666666666</t>
  </si>
  <si>
    <t xml:space="preserve">757.97254041455643672663694336000000000000000000000000000000000000000000000000000</t>
  </si>
  <si>
    <t xml:space="preserve">4896.3339252179848480996781806933333333333333333333333333333333333333333333333333</t>
  </si>
  <si>
    <t xml:space="preserve">1011.8171656048698430615220906666666666666666666666666666666666666666666666666667</t>
  </si>
  <si>
    <t xml:space="preserve">775.33122820268183424601429333333333333333333333333333333333333333333333333333332</t>
  </si>
  <si>
    <t xml:space="preserve">3109.1855314104331707921417966933333333333333333333333333333333333333333333333334</t>
  </si>
  <si>
    <t xml:space="preserve">5589.5648427632523073187237273600000000000000000000000000000000000000000000000000</t>
  </si>
  <si>
    <t xml:space="preserve">-448.48323254498403841106030933333333333333333333333333333333333333333333333333334</t>
  </si>
  <si>
    <t xml:space="preserve">900.81138452298707275018495999999999999999999999999999999999999999999999999999999</t>
  </si>
  <si>
    <t xml:space="preserve">5137.2366907852492729795990766933333333333333333333333333333333333333333333333334</t>
  </si>
  <si>
    <t xml:space="preserve">5308.5995171541862612477733273599999999999999999999999999999999999999999999999998</t>
  </si>
  <si>
    <t xml:space="preserve">1615.3982044804602207497396906666666666666666666666666666666666666666666666666666</t>
  </si>
  <si>
    <t xml:space="preserve">1224.6351665136536274429849599999999999999999999999999999999999999999999999999999</t>
  </si>
  <si>
    <t xml:space="preserve">2468.5661461600724130550486766933333333333333333333333333333333333333333333333334</t>
  </si>
  <si>
    <t xml:space="preserve">12357.345288713453505135969935360000000000000000000000000000000000000000000000000</t>
  </si>
  <si>
    <t xml:space="preserve">3791.8540087235349272822922240000000000000000000000000000000000000000000000000000</t>
  </si>
  <si>
    <t xml:space="preserve">2905.5789807901969441189529600000000000000000000000000000000000000000000000000000</t>
  </si>
  <si>
    <t xml:space="preserve">5659.9122991997216337347247513600000000000000000000000000000000000000000000000000</t>
  </si>
  <si>
    <t xml:space="preserve">2148.575994410767084800000000</t>
  </si>
  <si>
    <t xml:space="preserve">575.314174330014787200000000</t>
  </si>
  <si>
    <t xml:space="preserve">463.2681747292272960000000</t>
  </si>
  <si>
    <t xml:space="preserve">1109.993645351525001600000000</t>
  </si>
  <si>
    <t xml:space="preserve">7667.954991176361583921619200000000</t>
  </si>
  <si>
    <t xml:space="preserve">1833.814252320200818842608000000000</t>
  </si>
  <si>
    <t xml:space="preserve">1445.7120808218605782126400000000</t>
  </si>
  <si>
    <t xml:space="preserve">4388.428658034300186866371200000000</t>
  </si>
  <si>
    <t xml:space="preserve">8407.432626392971200000000</t>
  </si>
  <si>
    <t xml:space="preserve">-1531.652067623215200000000</t>
  </si>
  <si>
    <t xml:space="preserve">-49.0281986697360000000</t>
  </si>
  <si>
    <t xml:space="preserve">9988.112892685922400000000</t>
  </si>
  <si>
    <t xml:space="preserve">7145.148315394770281086080000000000</t>
  </si>
  <si>
    <t xml:space="preserve">2073.400636212605940976320000000000</t>
  </si>
  <si>
    <t xml:space="preserve">1617.1961419238302762656000000000</t>
  </si>
  <si>
    <t xml:space="preserve">3454.551537258334063844160000000000</t>
  </si>
  <si>
    <t xml:space="preserve">24591.99651175728000000</t>
  </si>
  <si>
    <t xml:space="preserve">7345.38215633040000000</t>
  </si>
  <si>
    <t xml:space="preserve">5749.235990784000000</t>
  </si>
  <si>
    <t xml:space="preserve">11497.37836464288000000</t>
  </si>
  <si>
    <t xml:space="preserve">2117.0158226610501747452454400000000000000000000000000000000000000000000000000000</t>
  </si>
  <si>
    <t xml:space="preserve">572.25774847695816091970560000000000000000000000000000000000000000000000000000000</t>
  </si>
  <si>
    <t xml:space="preserve">459.12645270247961897858133333333333333333333333333333333333333333333333333333332</t>
  </si>
  <si>
    <t xml:space="preserve">1085.6316214816123948469585066666666666666666666666666666666666666666666666666667</t>
  </si>
  <si>
    <t xml:space="preserve">7418.6096035115997011511921066666666666666666666666666666666666666666666666666667</t>
  </si>
  <si>
    <t xml:space="preserve">1795.8010007546510868483589333333333333333333333333333333333333333333333333333334</t>
  </si>
  <si>
    <t xml:space="preserve">1410.6821979900970172808480000000000000000000000000000000000000000000000000000000</t>
  </si>
  <si>
    <t xml:space="preserve">4212.1264047668515970219851733333333333333333333333333333333333333333333333333333</t>
  </si>
  <si>
    <t xml:space="preserve">8376.4369121154924738060187733333333333333333333333333333333333333333333333333334</t>
  </si>
  <si>
    <t xml:space="preserve">-1520.3724533050335129699610666666666666666666666666666666666666666666666666666666</t>
  </si>
  <si>
    <t xml:space="preserve">-48.409616780018644524751999999999999999999999999999999999999999999999999999999997</t>
  </si>
  <si>
    <t xml:space="preserve">9945.2189822005446313007318400000000000000000000000000000000000000000000000000000</t>
  </si>
  <si>
    <t xml:space="preserve">7000.8040220426172049624454400000000000000000000000000000000000000000000000000000</t>
  </si>
  <si>
    <t xml:space="preserve">2049.8410344108757770660389333333333333333333333333333333333333333333333333333334</t>
  </si>
  <si>
    <t xml:space="preserve">1593.0469212345130131019146666666666666666666666666666666666666666666666666666666</t>
  </si>
  <si>
    <t xml:space="preserve">3357.9160663972284147944918400000000000000000000000000000000000000000000000000000</t>
  </si>
  <si>
    <t xml:space="preserve">25048.242078801390595142797440000000000000000000000000000000000000000000000000000</t>
  </si>
  <si>
    <t xml:space="preserve">7398.7318212325548351547856000000000000000000000000000000000000000000000000000000</t>
  </si>
  <si>
    <t xml:space="preserve">5811.9382344421111456416480000000000000000000000000000000000000000000000000000000</t>
  </si>
  <si>
    <t xml:space="preserve">11837.572023126724614346363840000000000000000000000000000000000000000000000000000</t>
  </si>
  <si>
    <t xml:space="preserve">2777.788857804074841600000000</t>
  </si>
  <si>
    <t xml:space="preserve">728.262909160816536000000000</t>
  </si>
  <si>
    <t xml:space="preserve">584.7392258675604000000000</t>
  </si>
  <si>
    <t xml:space="preserve">1464.786722775697905600000000</t>
  </si>
  <si>
    <t xml:space="preserve">10136.161142795953341388071936000000</t>
  </si>
  <si>
    <t xml:space="preserve">2424.189366359376630199891200000000</t>
  </si>
  <si>
    <t xml:space="preserve">1906.9198025399878761820800000000</t>
  </si>
  <si>
    <t xml:space="preserve">5805.051973896588835006100736000000</t>
  </si>
  <si>
    <t xml:space="preserve">13698.478817226865920000000</t>
  </si>
  <si>
    <t xml:space="preserve">-3752.615149761940800000000</t>
  </si>
  <si>
    <t xml:space="preserve">-2116.7643327511200000000</t>
  </si>
  <si>
    <t xml:space="preserve">19567.858299739926720000000</t>
  </si>
  <si>
    <t xml:space="preserve">8955.919248538812525728870400000000</t>
  </si>
  <si>
    <t xml:space="preserve">2553.142176942298881323904000000000</t>
  </si>
  <si>
    <t xml:space="preserve">1986.9762578745088691136000000000</t>
  </si>
  <si>
    <t xml:space="preserve">4415.800813722004775291366400000000</t>
  </si>
  <si>
    <t xml:space="preserve">28690.66259705016000000</t>
  </si>
  <si>
    <t xml:space="preserve">8569.61251571880000000</t>
  </si>
  <si>
    <t xml:space="preserve">6707.441989248000000</t>
  </si>
  <si>
    <t xml:space="preserve">13413.60809208336000000</t>
  </si>
  <si>
    <t xml:space="preserve">2725.9730505364940285470095232000000000000000000000000000000000000000000000000000</t>
  </si>
  <si>
    <t xml:space="preserve">728.14665690437368957991544000000000000000000000000000000000000000000000000000000</t>
  </si>
  <si>
    <t xml:space="preserve">583.13333428767121486079600000000000000000000000000000000000000000000000000000000</t>
  </si>
  <si>
    <t xml:space="preserve">1414.6930593444491241062980832000000000000000000000000000000000000000000000000000</t>
  </si>
  <si>
    <t xml:space="preserve">9723.1607757766236852949967232000000000000000000000000000000000000000000000000000</t>
  </si>
  <si>
    <t xml:space="preserve">2377.5977686003666307786594400000000000000000000000000000000000000000000000000000</t>
  </si>
  <si>
    <t xml:space="preserve">1865.6108129554766193003960000000000000000000000000000000000000000000000000000000</t>
  </si>
  <si>
    <t xml:space="preserve">5479.9521942207804352159412832000000000000000000000000000000000000000000000000000</t>
  </si>
  <si>
    <t xml:space="preserve">13667.132318359771044243966323200000000000000000000000000000000000000000000000000</t>
  </si>
  <si>
    <t xml:space="preserve">-3726.6763042475486580727245600000000000000000000000000000000000000000000000000000</t>
  </si>
  <si>
    <t xml:space="preserve">-2101.9939988892188852472040000000000000000000000000000000000000000000000000000000</t>
  </si>
  <si>
    <t xml:space="preserve">19495.802621496538587563894883200000000000000000000000000000000000000000000000000</t>
  </si>
  <si>
    <t xml:space="preserve">8733.0605942008352719491983232000000000000000000000000000000000000000000000000000</t>
  </si>
  <si>
    <t xml:space="preserve">2533.7964032752158656434754400000000000000000000000000000000000000000000000000000</t>
  </si>
  <si>
    <t xml:space="preserve">1966.9208492729502591147960000000000000000000000000000000000000000000000000000000</t>
  </si>
  <si>
    <t xml:space="preserve">4232.3433416526691471909268832000000000000000000000000000000000000000000000000000</t>
  </si>
  <si>
    <t xml:space="preserve">29409.683924542142598681771443200000000000000000000000000000000000000000000000000</t>
  </si>
  <si>
    <t xml:space="preserve">8609.7272938869437195944694400000000000000000000000000000000000000000000000000000</t>
  </si>
  <si>
    <t xml:space="preserve">6755.6419451520579372668960000000000000000000000000000000000000000000000000000000</t>
  </si>
  <si>
    <t xml:space="preserve">14044.314685503140941820406003200000000000000000000000000000000000000000000000000</t>
  </si>
  <si>
    <t xml:space="preserve">3598.973187629028552000000000</t>
  </si>
  <si>
    <t xml:space="preserve">866.541690117871560000000000</t>
  </si>
  <si>
    <t xml:space="preserve">704.7269340039864000000000</t>
  </si>
  <si>
    <t xml:space="preserve">2027.704563507170592000000000</t>
  </si>
  <si>
    <t xml:space="preserve">13030.192824670291021932248640000000</t>
  </si>
  <si>
    <t xml:space="preserve">2970.699429609567711784872000000000</t>
  </si>
  <si>
    <t xml:space="preserve">2367.9906271431895946260800000000</t>
  </si>
  <si>
    <t xml:space="preserve">7691.502767917533715521296640000000</t>
  </si>
  <si>
    <t xml:space="preserve">31610.336088416652000000000</t>
  </si>
  <si>
    <t xml:space="preserve">-7908.754768717140000000000</t>
  </si>
  <si>
    <t xml:space="preserve">-7620.3569396916000000000</t>
  </si>
  <si>
    <t xml:space="preserve">47139.447796825392000000000</t>
  </si>
  <si>
    <t xml:space="preserve">11287.052741730489198021792000000000</t>
  </si>
  <si>
    <t xml:space="preserve">2980.638272864615275654560000000000</t>
  </si>
  <si>
    <t xml:space="preserve">2350.6129341392394007584000000000</t>
  </si>
  <si>
    <t xml:space="preserve">5955.801534726634521608832000000000</t>
  </si>
  <si>
    <t xml:space="preserve">41333.52450410400000000</t>
  </si>
  <si>
    <t xml:space="preserve">11928.39837352800000000</t>
  </si>
  <si>
    <t xml:space="preserve">9582.059984640000000</t>
  </si>
  <si>
    <t xml:space="preserve">19823.06614593600000000</t>
  </si>
  <si>
    <t xml:space="preserve">3466.7086493708986068282734693333333333333333333333333333333333333333333333333334</t>
  </si>
  <si>
    <t xml:space="preserve">870.28528217155570926667780000000000000000000000000000000000000000000000000000000</t>
  </si>
  <si>
    <t xml:space="preserve">710.43867170973022725002533333333333333333333333333333333333333333333333333333334</t>
  </si>
  <si>
    <t xml:space="preserve">1885.9846954896126703115703360000000000000000000000000000000000000000000000000000</t>
  </si>
  <si>
    <t xml:space="preserve">12221.691657660274200829694802666666666666666666666666666666666666666666666666667</t>
  </si>
  <si>
    <t xml:space="preserve">2916.0626902818389600356511333333333333333333333333333333333333333333333333333334</t>
  </si>
  <si>
    <t xml:space="preserve">2333.5072460586905529196253333333333333333333333333333333333333333333333333333334</t>
  </si>
  <si>
    <t xml:space="preserve">6972.1217213197446878744183360000000000000000000000000000000000000000000000000000</t>
  </si>
  <si>
    <t xml:space="preserve">31383.564276593148989598386802666666666666666666666666666666666666666666666666666</t>
  </si>
  <si>
    <t xml:space="preserve">-7815.9883213076199058346222000000000000000000000000000000000000000000000000000000</t>
  </si>
  <si>
    <t xml:space="preserve">-7530.8478104510558410106413333333333333333333333333333333333333333333333333333334</t>
  </si>
  <si>
    <t xml:space="preserve">46730.400408351824736443650336000000000000000000000000000000000000000000000000000</t>
  </si>
  <si>
    <t xml:space="preserve">10816.126020670317943775746802666666666666666666666666666666666666666666666666667</t>
  </si>
  <si>
    <t xml:space="preserve">2967.2958530579670003695111333333333333333333333333333333333333333333333333333334</t>
  </si>
  <si>
    <t xml:space="preserve">2349.0955227691894764800253333333333333333333333333333333333333333333333333333334</t>
  </si>
  <si>
    <t xml:space="preserve">5499.7346448431614669262103360000000000000000000000000000000000000000000000000000</t>
  </si>
  <si>
    <t xml:space="preserve">42971.988742255821030921938762666666666666666666666666666666666666666666666666668</t>
  </si>
  <si>
    <t xml:space="preserve">11899.867493199172783602214133333333333333333333333333333333333333333333333333334</t>
  </si>
  <si>
    <t xml:space="preserve">9522.8399101482609797454453333333333333333333333333333333333333333333333333333334</t>
  </si>
  <si>
    <t xml:space="preserve">21549.281338908387267574279296000000000000000000000000000000000000000000000000000</t>
  </si>
  <si>
    <t xml:space="preserve">64558.27888681248000000000</t>
  </si>
  <si>
    <t xml:space="preserve">0.000000000000000000</t>
  </si>
  <si>
    <t xml:space="preserve">0.0000000000000000</t>
  </si>
  <si>
    <t xml:space="preserve">27513.378763655873154348154880000000000000000000000000000000000000000000000000000</t>
  </si>
  <si>
    <t xml:space="preserve">4034.767216907393926400000000000000000000000000000000000000000000000000000000000</t>
  </si>
  <si>
    <t xml:space="preserve">2969.8311991463472000000000</t>
  </si>
  <si>
    <t xml:space="preserve">20508.780347602132027948154880000000000000000000000000000000000000000000000000000</t>
  </si>
  <si>
    <t xml:space="preserve">237051.55514308548000000000</t>
  </si>
  <si>
    <t xml:space="preserve">-44605.931812587600000000</t>
  </si>
  <si>
    <t xml:space="preserve">-42550.3351192920000000</t>
  </si>
  <si>
    <t xml:space="preserve">324207.82207496508000000000</t>
  </si>
  <si>
    <t xml:space="preserve">94693.237317281798524686336000000000000000000000000000000000000000000000000000003</t>
  </si>
  <si>
    <t xml:space="preserve">12267.340109153684172800000000000000000000000000000000000000000000000000000000002</t>
  </si>
  <si>
    <t xml:space="preserve">2465.7397867100544000000000</t>
  </si>
  <si>
    <t xml:space="preserve">79960.157421418059951886336000000000000000000000000000000000000000000000000000001</t>
  </si>
  <si>
    <t xml:space="preserve">177734.15536764720000000</t>
  </si>
  <si>
    <t xml:space="preserve">51292.11300617040000000</t>
  </si>
  <si>
    <t xml:space="preserve">41202.857933952000000</t>
  </si>
  <si>
    <t xml:space="preserve">85239.18442752480000000</t>
  </si>
  <si>
    <t xml:space="preserve">47943.034080356759130161530879999999999999999999999999999999999999999999999999999</t>
  </si>
  <si>
    <t xml:space="preserve">0.000000000000000000000000000000000000000000000000000000000000000000000000000000000000000000000000000000000000000000000000000000000000000000000000000000000000</t>
  </si>
  <si>
    <t xml:space="preserve">0.0000000000000000000000000000000000000000000000000000000000000000000000000000000000000000000000000000000</t>
  </si>
  <si>
    <t xml:space="preserve">20109.162422610286524323267311103211280957459414622585614409290200260694395070504</t>
  </si>
  <si>
    <t xml:space="preserve">3882.4151273221990827402298850574712643678160919540229885057471264367816091954023</t>
  </si>
  <si>
    <t xml:space="preserve">2988.2713369988681280000000000000000000000000000000000000000000000000000000000000</t>
  </si>
  <si>
    <t xml:space="preserve">13238.475958289219313583037426045740016589643322668562625903543073823912785875104</t>
  </si>
  <si>
    <t xml:space="preserve">251154.95285560266477366427755629813958999881502547695224552672117549472686337243</t>
  </si>
  <si>
    <t xml:space="preserve">-41584.323246482282305618390804597701149425287356321839080459770114942528735632185</t>
  </si>
  <si>
    <t xml:space="preserve">-38749.043060990746848000000000000000000000000000000000000000000000000000000000000</t>
  </si>
  <si>
    <t xml:space="preserve">331488.31916307569392728266836089584073942410238179879132598649129043725559900461</t>
  </si>
  <si>
    <t xml:space="preserve">62991.463269313731137961411826804123711340206185567010309278350515463917525773199</t>
  </si>
  <si>
    <t xml:space="preserve">12275.090700676522504165517241379310344827586206896551724137931034482758620689657</t>
  </si>
  <si>
    <t xml:space="preserve">2525.0590950498628800000000000000000000000000000000000000000000000000000000000000</t>
  </si>
  <si>
    <t xml:space="preserve">48191.313473587345753795894585424813366512619978670458585140419480981158905083543</t>
  </si>
  <si>
    <t xml:space="preserve">219351.99285059939011292400330579452541770351937433345183078563810878066121578385</t>
  </si>
  <si>
    <t xml:space="preserve">48415.105938127438817912643678160919540229885057471264367816091954022988505747127</t>
  </si>
  <si>
    <t xml:space="preserve">37323.806429458417440000000000000000000000000000000000000000000000000000000000000</t>
  </si>
  <si>
    <t xml:space="preserve">133613.08048301353385501135962763360587747363431686218746296954615475767271003673</t>
  </si>
  <si>
    <t xml:space="preserve">27321.4495497776640000000</t>
  </si>
  <si>
    <t xml:space="preserve">0.00000000000000000</t>
  </si>
  <si>
    <t xml:space="preserve">0.000000000000000</t>
  </si>
  <si>
    <t xml:space="preserve">14154.467425218185350855680000000000000000000000000000000000000000000000000000001</t>
  </si>
  <si>
    <t xml:space="preserve">3209.296487262978400113676731793960923623445825932504440497335701598579040852576</t>
  </si>
  <si>
    <t xml:space="preserve">2461.481368528708800000000</t>
  </si>
  <si>
    <t xml:space="preserve">8483.689569426498150742003268206039076376554174067495559502664298401420959147425</t>
  </si>
  <si>
    <t xml:space="preserve">84458.1492589962240000000</t>
  </si>
  <si>
    <t xml:space="preserve">-10798.33958024640000000</t>
  </si>
  <si>
    <t xml:space="preserve">-5150.357241744000000</t>
  </si>
  <si>
    <t xml:space="preserve">100406.8460809866240000000</t>
  </si>
  <si>
    <t xml:space="preserve">56523.473458650120843340800000000000000000000000000000000000000000000000000000005</t>
  </si>
  <si>
    <t xml:space="preserve">14234.159227658396007388987566607460035523978685612788632326820603907637655417409</t>
  </si>
  <si>
    <t xml:space="preserve">5485.571702046072000000000</t>
  </si>
  <si>
    <t xml:space="preserve">36803.742528945652835951812433392539964476021314387211367673179396092362344582596</t>
  </si>
  <si>
    <t xml:space="preserve">50033.82480133824000000</t>
  </si>
  <si>
    <t xml:space="preserve">14314.07804823360000000</t>
  </si>
  <si>
    <t xml:space="preserve">11139.144732144000000</t>
  </si>
  <si>
    <t xml:space="preserve">24580.60202096064000000</t>
  </si>
  <si>
    <t xml:space="preserve">24380.054537184585114037760000000000000000000000000000000000000000000000000000000</t>
  </si>
  <si>
    <t xml:space="preserve">0.000000000000000000000000000000000000000000000000000000000000000000000000000000000000000000000000000000</t>
  </si>
  <si>
    <t xml:space="preserve">12280.516287344409303855500324672642405716882151266058077574455780907926804081127</t>
  </si>
  <si>
    <t xml:space="preserve">3074.1011016461311918739311826180346152257424924614812672972861332562270230079725</t>
  </si>
  <si>
    <t xml:space="preserve">2373.6095972097690800000000000000000000000000000000000000000000000000000000000000</t>
  </si>
  <si>
    <t xml:space="preserve">6832.8055884885090319815691420546077904911396588045768102771696476516997810731548</t>
  </si>
  <si>
    <t xml:space="preserve">91996.964730226881196622447783882027345202197529844272791110743938204799867817762</t>
  </si>
  <si>
    <t xml:space="preserve">-10892.968444346524696757239043330992606055599157338180015696641744805650791028130</t>
  </si>
  <si>
    <t xml:space="preserve">-5099.6117514433944400000000000000000000000000000000000000000000000000000000000000</t>
  </si>
  <si>
    <t xml:space="preserve">107989.54492601680033337968682721301995125779668718245280680738568301045065884589</t>
  </si>
  <si>
    <t xml:space="preserve">47718.597296967783434577735526457102730389524556982940228840513858482382584989058</t>
  </si>
  <si>
    <t xml:space="preserve">14223.525811817155139769341980255276963112891899706720641083894419430790201990997</t>
  </si>
  <si>
    <t xml:space="preserve">5423.0562471590094800000000000000000000000000000000000000000000000000000000000000</t>
  </si>
  <si>
    <t xml:space="preserve">28072.015237991618814808393546201825767276632657276219587756619439051592382998060</t>
  </si>
  <si>
    <t xml:space="preserve">56115.231642256775145103036364988227518691395761906728902474286422404890743112067</t>
  </si>
  <si>
    <t xml:space="preserve">14554.535713791812772616630178859101986864389276715271180139617497624850262299145</t>
  </si>
  <si>
    <t xml:space="preserve">11238.786468049396680000000000000000000000000000000000000000000000000000000000000</t>
  </si>
  <si>
    <t xml:space="preserve">30321.909460415565692486406186129125531827006485191457722334668924780040480812922</t>
  </si>
  <si>
    <t xml:space="preserve">22932.368391084422400000000</t>
  </si>
  <si>
    <t xml:space="preserve">0.0000000000000000000</t>
  </si>
  <si>
    <t xml:space="preserve">12006.275784323506912387088639999999999999999999999999999999999999999999999999999</t>
  </si>
  <si>
    <t xml:space="preserve">2867.068632567698383260142137992300858750370151021616819662422268285460467870892</t>
  </si>
  <si>
    <t xml:space="preserve">2338.67437420786065000000000</t>
  </si>
  <si>
    <t xml:space="preserve">6800.532777547947879126946502007699141249629848978383180337577731714539532129107</t>
  </si>
  <si>
    <t xml:space="preserve">84487.805584798412160000000</t>
  </si>
  <si>
    <t xml:space="preserve">-12309.5814053144400000000</t>
  </si>
  <si>
    <t xml:space="preserve">-5872.06550937240000000</t>
  </si>
  <si>
    <t xml:space="preserve">102669.452499485252160000000</t>
  </si>
  <si>
    <t xml:space="preserve">60083.153766883294843237977600000000000000000000000000000000000000000000000000001</t>
  </si>
  <si>
    <t xml:space="preserve">14368.469449934993894291086763399466982528871779686111933668936926265916493929523</t>
  </si>
  <si>
    <t xml:space="preserve">6254.63590704113070000000000</t>
  </si>
  <si>
    <t xml:space="preserve">39460.048409907170248946890836600533017471128220313888066331063073734083506070478</t>
  </si>
  <si>
    <t xml:space="preserve">63998.9863613493840000000</t>
  </si>
  <si>
    <t xml:space="preserve">17044.0357919738400000000</t>
  </si>
  <si>
    <t xml:space="preserve">14002.61775311880000000</t>
  </si>
  <si>
    <t xml:space="preserve">32952.3328162567440000000</t>
  </si>
  <si>
    <t xml:space="preserve">20630.980623553002726337645440000000000000000000000000000000000000000000000000000</t>
  </si>
  <si>
    <t xml:space="preserve">0.00000000000000000000000000000000000000000000000000000000000000000000000000000000000000000000000000000000</t>
  </si>
  <si>
    <t xml:space="preserve">10608.697117918446684851420819782692877155417872030249880412746862258262909728707</t>
  </si>
  <si>
    <t xml:space="preserve">2746.0121127442806903294144780301132092663037288444454568233069861734356848363364</t>
  </si>
  <si>
    <t xml:space="preserve">2246.8271010349839312500000000000000000000000000000000000000000000000000000000000</t>
  </si>
  <si>
    <t xml:space="preserve">5615.8579041391820632720063417525796678891141431858044235894398760848272248923709</t>
  </si>
  <si>
    <t xml:space="preserve">90203.438669307665635439328613263479191817954032937746292795152730006150201589949</t>
  </si>
  <si>
    <t xml:space="preserve">-12328.328883541544364069528598437393225666841302020455114917655634268012118174985</t>
  </si>
  <si>
    <t xml:space="preserve">-5785.3379663578796637500000000000000000000000000000000000000000000000000000000000</t>
  </si>
  <si>
    <t xml:space="preserve">108317.10551920708966325885721170087241748479533495820140771280836427416231976493</t>
  </si>
  <si>
    <t xml:space="preserve">51426.489601773171354386375684810824354798296166374342270107742420446003507892759</t>
  </si>
  <si>
    <t xml:space="preserve">14308.246575021558268994501833671214778706635384159814127240837338557208264048655</t>
  </si>
  <si>
    <t xml:space="preserve">6152.4652026972608162500000000000000000000000000000000000000000000000000000000000</t>
  </si>
  <si>
    <t xml:space="preserve">30965.777824054352269141873851139609576091660782214528142866905081888795243844104</t>
  </si>
  <si>
    <t xml:space="preserve">70638.983875886733914610295682143003576228331928657661556684357987289583380788592</t>
  </si>
  <si>
    <t xml:space="preserve">17244.062664937797682296841188127833078973144119723924284184870504088745131090408</t>
  </si>
  <si>
    <t xml:space="preserve">14109.908187621026266250000000000000000000000000000000000000000000000000000000000</t>
  </si>
  <si>
    <t xml:space="preserve">39285.013023327909966063454494015170497255187808933737272499487483200838249698184</t>
  </si>
  <si>
    <t xml:space="preserve">30632.155062507947520000000</t>
  </si>
  <si>
    <t xml:space="preserve">10095.898888486040224176787455999999999999999999999999999999999999999999999999999</t>
  </si>
  <si>
    <t xml:space="preserve">2690.309529604733991524485981308411214953271028037383177570093457943925233644860</t>
  </si>
  <si>
    <t xml:space="preserve">2300.13621870809351040000000</t>
  </si>
  <si>
    <t xml:space="preserve">5105.453140173212722252301474691588785046728971962616822429906542056074766355139</t>
  </si>
  <si>
    <t xml:space="preserve">92128.653477442207488000000</t>
  </si>
  <si>
    <t xml:space="preserve">-15655.2625052204160000000</t>
  </si>
  <si>
    <t xml:space="preserve">-7468.06280166336000000</t>
  </si>
  <si>
    <t xml:space="preserve">115251.978784325983488000000</t>
  </si>
  <si>
    <t xml:space="preserve">62766.067257856691738541742080000000000000000000000000000000000000000000000000005</t>
  </si>
  <si>
    <t xml:space="preserve">11820.979052934908173637383177570093457943925233644859813084112149532710280373834</t>
  </si>
  <si>
    <t xml:space="preserve">7689.46007580167726400000000</t>
  </si>
  <si>
    <t xml:space="preserve">43255.628129120106300904358902429906542056074766355140186915887850467289719626171</t>
  </si>
  <si>
    <t xml:space="preserve">122445.9875460311616000000</t>
  </si>
  <si>
    <t xml:space="preserve">30048.0038406649920000000</t>
  </si>
  <si>
    <t xml:space="preserve">25295.05142498880000000</t>
  </si>
  <si>
    <t xml:space="preserve">67102.9322803773696000000</t>
  </si>
  <si>
    <t xml:space="preserve">27394.379488997617438864603648000000000000000000000000000000000000000000000000000</t>
  </si>
  <si>
    <t xml:space="preserve">8990.6534084077691932005526590565772284192543462968545874786453622751482263089133</t>
  </si>
  <si>
    <t xml:space="preserve">2557.8118303102677041381569691488292633906140086423475027635413526278765953170535</t>
  </si>
  <si>
    <t xml:space="preserve">2169.6675740456410696000000000000000000000000000000000000000000000000000000000000</t>
  </si>
  <si>
    <t xml:space="preserve">4263.1740040518604194623956899077479650286403376545070847151040096472716309918598</t>
  </si>
  <si>
    <t xml:space="preserve">95798.689025685086055368398238652597728871470203999598030348708672495226610390918</t>
  </si>
  <si>
    <t xml:space="preserve">-15206.717456008180655016766154155361270224098080594915083911164707064616621445080</t>
  </si>
  <si>
    <t xml:space="preserve">-7211.8034222101510384000000000000000000000000000000000000000000000000000000000000</t>
  </si>
  <si>
    <t xml:space="preserve">118217.20990390341774878516439280795899909556828459451311425987337955984323183600</t>
  </si>
  <si>
    <t xml:space="preserve">52784.384403745103114970421191762837905738116772183700130640136669681439051351627</t>
  </si>
  <si>
    <t xml:space="preserve">11554.797215717119862776123002713295146216460657220379861320470304492010853180587</t>
  </si>
  <si>
    <t xml:space="preserve">7416.3523972682649642666666666666666666666666666666666666666666666666666666666666</t>
  </si>
  <si>
    <t xml:space="preserve">33813.234790759718287927631522382876092854989448296653602652999698522761531504375</t>
  </si>
  <si>
    <t xml:space="preserve">133100.65590548847276831455379852798713697115867751984725153250929554818611194855</t>
  </si>
  <si>
    <t xml:space="preserve">29998.138327965011253264355341171741533514219676414430710481358657421364686966135</t>
  </si>
  <si>
    <t xml:space="preserve">25442.368368731455778933333333333333333333333333333333333333333333333333333333334</t>
  </si>
  <si>
    <t xml:space="preserve">77660.149208792005736116865124022912270123605667772083207717817304793488091649080</t>
  </si>
  <si>
    <t xml:space="preserve">35260.324418838604800000000</t>
  </si>
  <si>
    <t xml:space="preserve">5696.6070309410100216000000000000000000000000000000000000000000000000000000000005</t>
  </si>
  <si>
    <t xml:space="preserve">2323.266259211536701867649769585253456221198156682027649769585253456221198156682</t>
  </si>
  <si>
    <t xml:space="preserve">1920.83121934938954720000000</t>
  </si>
  <si>
    <t xml:space="preserve">1452.5095523800837725323502304147465437788018433179723502304147465437788018433185</t>
  </si>
  <si>
    <t xml:space="preserve">85872.892848855889920000000</t>
  </si>
  <si>
    <t xml:space="preserve">-18054.0527277945120000000</t>
  </si>
  <si>
    <t xml:space="preserve">-8612.36274707952000000</t>
  </si>
  <si>
    <t xml:space="preserve">112539.308323729921920000000</t>
  </si>
  <si>
    <t xml:space="preserve">67681.959439568433942276403199999999999999999999999999999999999999999999999999991</t>
  </si>
  <si>
    <t xml:space="preserve">13159.770052787579242794470046082949308755760368663594470046082949308755760368660</t>
  </si>
  <si>
    <t xml:space="preserve">8561.90159719408113600000000</t>
  </si>
  <si>
    <t xml:space="preserve">45960.287789586773563481933153917050691244239631336405529953917050691244239631331</t>
  </si>
  <si>
    <t xml:space="preserve">114647.7331130112384000000</t>
  </si>
  <si>
    <t xml:space="preserve">27901.7178520460640000000</t>
  </si>
  <si>
    <t xml:space="preserve">22705.31996957328000000</t>
  </si>
  <si>
    <t xml:space="preserve">64040.6952913918944000000</t>
  </si>
  <si>
    <t xml:space="preserve">32167.100325903324521782432000000000000000000000000000000000000000000000000000000</t>
  </si>
  <si>
    <t xml:space="preserve">5361.3796064638570341913548387096774193548387096774193548387096774193548387096777</t>
  </si>
  <si>
    <t xml:space="preserve">2236.3530914877438639449308755760368663594470046082949308755760368663594470046083</t>
  </si>
  <si>
    <t xml:space="preserve">1834.0772372047665241000000000000000000000000000000000000000000000000000000000000</t>
  </si>
  <si>
    <t xml:space="preserve">1290.9492777713466461464239631336405529953917050691244239631336405529953917050694</t>
  </si>
  <si>
    <t xml:space="preserve">89455.163538942700214504196402513615416841223292836196062002513615416841223292840</t>
  </si>
  <si>
    <t xml:space="preserve">-17701.590347629333517101872643485546711353162966066191872643485546711353162966066</t>
  </si>
  <si>
    <t xml:space="preserve">-8402.0366871059183591000000000000000000000000000000000000000000000000000000000000</t>
  </si>
  <si>
    <t xml:space="preserve">115558.79057367795209070606904599916212819438625890238793464599916212819438625890</t>
  </si>
  <si>
    <t xml:space="preserve">58950.181669864303212087209550397989107666527021365731043150397989107666527021358</t>
  </si>
  <si>
    <t xml:space="preserve">12998.004959809148007565626309174696271470465018852115626309174696271470465018849</t>
  </si>
  <si>
    <t xml:space="preserve">8348.6559336625677141000000000000000000000000000000000000000000000000000000000000</t>
  </si>
  <si>
    <t xml:space="preserve">37603.520776392587490421583241223292836196062002513615416841223292836196062002509</t>
  </si>
  <si>
    <t xml:space="preserve">123225.69171004099210131121040837871805613741097612065354000837871805613741097612</t>
  </si>
  <si>
    <t xml:space="preserve">27797.933732583109590253435274403016338500209467951403435274403016338500209467952</t>
  </si>
  <si>
    <t xml:space="preserve">22794.993555275814804100000000000000000000000000000000000000000000000000000000000</t>
  </si>
  <si>
    <t xml:space="preserve">72632.764422182067706957775133975701717637201508169250104733975701717637201508170</t>
  </si>
  <si>
    <t xml:space="preserve">0.000000000000000000000000000000000000000000000000000000000000000000000000000</t>
  </si>
  <si>
    <t xml:space="preserve">0.000000000000000000000</t>
  </si>
  <si>
    <t xml:space="preserve">-7912.0242549604515421274112000000000000000000000000000000000000000000000000000000</t>
  </si>
  <si>
    <t xml:space="preserve">0.00000000000000000000000</t>
  </si>
  <si>
    <t xml:space="preserve">0.0000000000000000000000000000000000000000000000000000000000000000000000000000</t>
  </si>
  <si>
    <t xml:space="preserve">-25985.315574379577416471511040000000000000000000000000000000000000000000000000000</t>
  </si>
  <si>
    <t xml:space="preserve">-8130.7486405356121012425523200000000000000000000000000000000000000000000000000000</t>
  </si>
  <si>
    <t xml:space="preserve">0.0000000000000000000000000000000000000000000000000000000000000000000000000000000000000000000000000000000000000000000000000000000000000000000000000000000000000</t>
  </si>
  <si>
    <t xml:space="preserve">-25766.591188804416857356369919999999999999999999999999999999999999999999999999999</t>
  </si>
  <si>
    <t xml:space="preserve">-20236.517192040906181155913728000000000000000000000000000000000000000000000000000</t>
  </si>
  <si>
    <t xml:space="preserve">-50601.198597643233485604052992000000000000000000000000000000000000000000000000000</t>
  </si>
  <si>
    <t xml:space="preserve">-50601.19859764323348560405299200000000000000000000000000000000000000000000000000</t>
  </si>
  <si>
    <t xml:space="preserve">-21087.849090052530540226068480000000000000000000000000000000000000000000000000000</t>
  </si>
  <si>
    <t xml:space="preserve">-49749.866699631609126533898239999999999999999999999999999999999999999999999999998</t>
  </si>
  <si>
    <t xml:space="preserve">-23524.061724664604799860736000000000000000000000000000000000000000000000000000000</t>
  </si>
  <si>
    <t xml:space="preserve">-40095.307309660357858349875200000000000000000000000000000000000000000000000000000</t>
  </si>
  <si>
    <t xml:space="preserve">-24198.041854129071498294067200000000000000000000000000000000000000000000000000000</t>
  </si>
  <si>
    <t xml:space="preserve">-39421.327180195891159916544000000000000000000000000000000000000000000000000000001</t>
  </si>
  <si>
    <t xml:space="preserve">0.000000000000000000000000000000000000000000000000000000000000000000000000000000</t>
  </si>
  <si>
    <t xml:space="preserve">0.00000000000000000000000000000000000000000000000000000000000000000000000000000</t>
  </si>
  <si>
    <t xml:space="preserve">21947.062033555224336066701250159857904085257548845470692717584369449378330373002</t>
  </si>
  <si>
    <t xml:space="preserve">-7201.6613174181235298550905861456483126110124333925399644760213143872113676731800</t>
  </si>
  <si>
    <t xml:space="preserve">-5523.5641909784225472000000000000000000000000000000000000000000000000000000000000</t>
  </si>
  <si>
    <t xml:space="preserve">34672.287541951770413121791836305506216696269982238010657193605683836589698046182</t>
  </si>
  <si>
    <t xml:space="preserve">30586.706969402003562602680320000000000000000000000000000000000000000000000000000</t>
  </si>
  <si>
    <t xml:space="preserve">7201.661317418123529855090586145648312611012433392539964476021314387211367673180</t>
  </si>
  <si>
    <t xml:space="preserve">5523.5641909784225472000000000</t>
  </si>
  <si>
    <t xml:space="preserve">17861.481461005457485547589733854351687388987566607460035523978685612788632326820</t>
  </si>
  <si>
    <t xml:space="preserve">0.000000000000000000000000000000000000000000000000000000000000000000000000000000000000000000000000000000000000000000000000000000000000000000000000000000000000000</t>
  </si>
  <si>
    <t xml:space="preserve">0.00000000000000000000000000000000000000000000000000000000000000000000000000000000000000000000000000000000000000000000000000000000000000000000000000000000000000</t>
  </si>
  <si>
    <t xml:space="preserve">21586.230259309151982378950842758777068138014436340274366048146328559011375231462</t>
  </si>
  <si>
    <t xml:space="preserve">-7083.2587619093149224977051509769094138543516873889875666074600355239786856127878</t>
  </si>
  <si>
    <t xml:space="preserve">-5432.7512400629165672170212765957446808510638297872340425531914893617021276595744</t>
  </si>
  <si>
    <t xml:space="preserve">34102.240261281383472093677270331431162843429953516495975208797853444692188503826</t>
  </si>
  <si>
    <t xml:space="preserve">30947.538743648075916290430727401080835947243112505196326669438040890366955141538</t>
  </si>
  <si>
    <t xml:space="preserve">7083.2587619093149224977051509769094138543516873889875666074600355239786856127875</t>
  </si>
  <si>
    <t xml:space="preserve">5432.7512400629165672170212765957446808510638297872340425531914893617021276595742</t>
  </si>
  <si>
    <t xml:space="preserve">18431.528741675844426575704299828426741241827595328974717508786516004686141869176</t>
  </si>
  <si>
    <t xml:space="preserve">23610.401524849507849444881349220823215872075806929227124666864080544862303819960</t>
  </si>
  <si>
    <t xml:space="preserve">-8153.9431910225342019918442404501036422860527095054782351199289310038495706248150</t>
  </si>
  <si>
    <t xml:space="preserve">-6651.1899202471556886000000000000000000000000000000000000000000000000000000000000</t>
  </si>
  <si>
    <t xml:space="preserve">38415.534636119197740036725589670926858158128516434705359786793011548711874444775</t>
  </si>
  <si>
    <t xml:space="preserve">36413.871344086738619362502384640000000000000000000000000000000000000000000000000</t>
  </si>
  <si>
    <t xml:space="preserve">8153.943191022534201991844240450103642286052709505478235119928931003849570624815</t>
  </si>
  <si>
    <t xml:space="preserve">6651.189920247155688600000000000</t>
  </si>
  <si>
    <t xml:space="preserve">21608.738232817048728770658144189896357713947290494521764880071068996150429375185</t>
  </si>
  <si>
    <t xml:space="preserve">23200.182193336678562485414298751735553820244373990302329064544048257403306263241</t>
  </si>
  <si>
    <t xml:space="preserve">-8012.2723633792855382506732015233643898139012145526803507259533318165239989344219</t>
  </si>
  <si>
    <t xml:space="preserve">-6535.6287054166066515393822393822393822393822393822393822393822393822393822393801</t>
  </si>
  <si>
    <t xml:space="preserve">37748.083262132570752275469739657339325873527827925222062029879619456166687437045</t>
  </si>
  <si>
    <t xml:space="preserve">36824.090675599567906321969435109087662051831432938924795602320032287458997556717</t>
  </si>
  <si>
    <t xml:space="preserve">8012.2723633792855382506732015233643898139012145526803507259533318165239989344219</t>
  </si>
  <si>
    <t xml:space="preserve">6535.6287054166066515393822393822393822393822393822393822393822393822393822393803</t>
  </si>
  <si>
    <t xml:space="preserve">22276.189606803675716531913994203483889998547979004005062636984461088695616382915</t>
  </si>
  <si>
    <t xml:space="preserve">28932.916477709637092857643385808149532710280373831775700934579439252336448598126</t>
  </si>
  <si>
    <t xml:space="preserve">-10334.824057976585628441312897196261682242990654205607476635514018691588785046731</t>
  </si>
  <si>
    <t xml:space="preserve">-8835.9732841671412202016000000000000000000000000000000000000000000000000000000000</t>
  </si>
  <si>
    <t xml:space="preserve">48103.713819853363941500556283004411214953271028037383177570093457943925233644857</t>
  </si>
  <si>
    <t xml:space="preserve">49925.630767951615270258022651904000000000000000000000000000000000000000000000001</t>
  </si>
  <si>
    <t xml:space="preserve">10334.824057976585628441312897196261682242990654205607476635514018691588785046728</t>
  </si>
  <si>
    <t xml:space="preserve">8835.973284167141220201600000000</t>
  </si>
  <si>
    <t xml:space="preserve">30754.833425807888421615109754707738317757009345794392523364485981308411214953273</t>
  </si>
  <si>
    <t xml:space="preserve">28389.902164605365751846359414659680893742185602619341027047934300594568825164376</t>
  </si>
  <si>
    <t xml:space="preserve">-10140.859602605514002113492299029440601584917201118976729961411493797954539321601</t>
  </si>
  <si>
    <t xml:space="preserve">-8670.1393293632343349331387872954764196342637151106833493743984600577478344562071</t>
  </si>
  <si>
    <t xml:space="preserve">47200.901096574114088892990500984597914961366518849001106383744254450271198942186</t>
  </si>
  <si>
    <t xml:space="preserve">50468.645081055886611269306623052468638968094771212434673886645138657767623433749</t>
  </si>
  <si>
    <t xml:space="preserve">10140.859602605514002113492299029440601584917201118976729961411493797954539321598</t>
  </si>
  <si>
    <t xml:space="preserve">8670.1393293632343349331387872954764196342637151106833493743984600577478344562074</t>
  </si>
  <si>
    <t xml:space="preserve">31657.646149087138274222675536727551617748913854982774594550835184802065249655943</t>
  </si>
  <si>
    <t xml:space="preserve">31740.533909731519802246372210433179723502304147465437788018433179723502304147467</t>
  </si>
  <si>
    <t xml:space="preserve">-12173.915198268452317786484792626728110599078341013824884792626728110599078341011</t>
  </si>
  <si>
    <t xml:space="preserve">-10065.155589390801227328000000000000000000000000000000000000000000000000000000000</t>
  </si>
  <si>
    <t xml:space="preserve">53979.604697390773347360857003059907834101382488479262672811059907834101382488478</t>
  </si>
  <si>
    <t xml:space="preserve">58225.473919253102443355056128000000000000000000000000000000000000000000000000000</t>
  </si>
  <si>
    <t xml:space="preserve">12173.915198268452317786484792626728110599078341013824884792626728110599078341013</t>
  </si>
  <si>
    <t xml:space="preserve">10065.155589390801227328000000000</t>
  </si>
  <si>
    <t xml:space="preserve">35986.403131593848898240571335373271889400921658986175115207373271889400921658987</t>
  </si>
  <si>
    <t xml:space="preserve">31130.139026852067498357018898694080113434952144629563984402694080113434952144632</t>
  </si>
  <si>
    <t xml:space="preserve">-11939.801444455597465521360085076214108472172988302020560085076214108472172988299</t>
  </si>
  <si>
    <t xml:space="preserve">-9871.5949049794396652640000000000000000000000000000000000000000000000000000000000</t>
  </si>
  <si>
    <t xml:space="preserve">52941.535376287104629142378983770294221907125132931584544487770294221907125132930</t>
  </si>
  <si>
    <t xml:space="preserve">58835.868802132554747244409439739099610067352002835873803615739099610067352002836</t>
  </si>
  <si>
    <t xml:space="preserve">11939.801444455597465521360085076214108472172988302020560085076214108472172988301</t>
  </si>
  <si>
    <t xml:space="preserve">9871.5949049794396652640000000000000000000000000000000000000000000000000000000000</t>
  </si>
  <si>
    <t xml:space="preserve">37024.472452697517616459049354662885501595179014533853243530662885501595179014534</t>
  </si>
  <si>
    <t xml:space="preserve">情景结果与实施节奏</t>
  </si>
  <si>
    <r>
      <rPr>
        <i val="true"/>
        <sz val="9"/>
        <color rgb="FF667085"/>
        <rFont val="Aptos"/>
        <family val="0"/>
        <charset val="1"/>
      </rPr>
      <t xml:space="preserve">Base </t>
    </r>
    <r>
      <rPr>
        <i val="true"/>
        <sz val="9"/>
        <color rgb="FF667085"/>
        <rFont val="思源黑体"/>
        <family val="2"/>
        <charset val="134"/>
      </rPr>
      <t xml:space="preserve">沿用正式 </t>
    </r>
    <r>
      <rPr>
        <i val="true"/>
        <sz val="9"/>
        <color rgb="FF667085"/>
        <rFont val="Aptos"/>
        <family val="0"/>
        <charset val="1"/>
      </rPr>
      <t xml:space="preserve">Forecast</t>
    </r>
    <r>
      <rPr>
        <i val="true"/>
        <sz val="9"/>
        <color rgb="FF667085"/>
        <rFont val="思源黑体"/>
        <family val="2"/>
        <charset val="134"/>
      </rPr>
      <t xml:space="preserve">；</t>
    </r>
    <r>
      <rPr>
        <i val="true"/>
        <sz val="9"/>
        <color rgb="FF667085"/>
        <rFont val="Aptos"/>
        <family val="0"/>
        <charset val="1"/>
      </rPr>
      <t xml:space="preserve">Growth </t>
    </r>
    <r>
      <rPr>
        <i val="true"/>
        <sz val="9"/>
        <color rgb="FF667085"/>
        <rFont val="思源黑体"/>
        <family val="2"/>
        <charset val="134"/>
      </rPr>
      <t xml:space="preserve">为英国订单 </t>
    </r>
    <r>
      <rPr>
        <i val="true"/>
        <sz val="9"/>
        <color rgb="FF667085"/>
        <rFont val="Aptos"/>
        <family val="0"/>
        <charset val="1"/>
      </rPr>
      <t xml:space="preserve">+10%</t>
    </r>
    <r>
      <rPr>
        <i val="true"/>
        <sz val="9"/>
        <color rgb="FF667085"/>
        <rFont val="思源黑体"/>
        <family val="2"/>
        <charset val="134"/>
      </rPr>
      <t xml:space="preserve">；</t>
    </r>
    <r>
      <rPr>
        <i val="true"/>
        <sz val="9"/>
        <color rgb="FF667085"/>
        <rFont val="Aptos"/>
        <family val="0"/>
        <charset val="1"/>
      </rPr>
      <t xml:space="preserve">Cost Saving </t>
    </r>
    <r>
      <rPr>
        <i val="true"/>
        <sz val="9"/>
        <color rgb="FF667085"/>
        <rFont val="思源黑体"/>
        <family val="2"/>
        <charset val="134"/>
      </rPr>
      <t xml:space="preserve">只调整现有线路，服务阈值为软提示。</t>
    </r>
  </si>
  <si>
    <t xml:space="preserve">Scenario Total Cost</t>
  </si>
  <si>
    <t xml:space="preserve">Forecast Total Cost</t>
  </si>
  <si>
    <t xml:space="preserve">Cost Delta</t>
  </si>
  <si>
    <t xml:space="preserve">Scenario On-time</t>
  </si>
  <si>
    <t xml:space="preserve">Forecast On-time</t>
  </si>
  <si>
    <t xml:space="preserve">On-time Delta (pp)</t>
  </si>
  <si>
    <t xml:space="preserve">Capacity Status</t>
  </si>
  <si>
    <t xml:space="preserve">Implementation Note</t>
  </si>
  <si>
    <r>
      <rPr>
        <sz val="9"/>
        <color rgb="FF101828"/>
        <rFont val="思源黑体"/>
        <family val="2"/>
        <charset val="134"/>
      </rPr>
      <t xml:space="preserve">沿用正式 </t>
    </r>
    <r>
      <rPr>
        <sz val="9"/>
        <color rgb="FF101828"/>
        <rFont val="Aptos"/>
        <family val="0"/>
        <charset val="1"/>
      </rPr>
      <t xml:space="preserve">Forecast</t>
    </r>
  </si>
  <si>
    <r>
      <rPr>
        <sz val="9"/>
        <color rgb="FF101828"/>
        <rFont val="思源黑体"/>
        <family val="2"/>
        <charset val="134"/>
      </rPr>
      <t xml:space="preserve">各月相对 </t>
    </r>
    <r>
      <rPr>
        <sz val="9"/>
        <color rgb="FF101828"/>
        <rFont val="Aptos"/>
        <family val="0"/>
        <charset val="1"/>
      </rPr>
      <t xml:space="preserve">Forecast +10%</t>
    </r>
    <r>
      <rPr>
        <sz val="9"/>
        <color rgb="FF101828"/>
        <rFont val="思源黑体"/>
        <family val="2"/>
        <charset val="134"/>
      </rPr>
      <t xml:space="preserve">，不复利</t>
    </r>
  </si>
  <si>
    <t xml:space="preserve">准备期</t>
  </si>
  <si>
    <t xml:space="preserve">部分调整</t>
  </si>
  <si>
    <t xml:space="preserve">目标结构</t>
  </si>
  <si>
    <r>
      <rPr>
        <b val="true"/>
        <sz val="18"/>
        <color rgb="FFFFFFFF"/>
        <rFont val="思源黑体"/>
        <family val="2"/>
        <charset val="134"/>
      </rPr>
      <t xml:space="preserve">固定中文 </t>
    </r>
    <r>
      <rPr>
        <b val="true"/>
        <sz val="18"/>
        <color rgb="FFFFFFFF"/>
        <rFont val="Aptos Display"/>
        <family val="0"/>
        <charset val="1"/>
      </rPr>
      <t xml:space="preserve">AI </t>
    </r>
    <r>
      <rPr>
        <b val="true"/>
        <sz val="18"/>
        <color rgb="FFFFFFFF"/>
        <rFont val="思源黑体"/>
        <family val="2"/>
        <charset val="134"/>
      </rPr>
      <t xml:space="preserve">评估集</t>
    </r>
  </si>
  <si>
    <r>
      <rPr>
        <i val="true"/>
        <sz val="9"/>
        <color rgb="FF667085"/>
        <rFont val="Aptos"/>
        <family val="0"/>
        <charset val="1"/>
      </rPr>
      <t xml:space="preserve">20 </t>
    </r>
    <r>
      <rPr>
        <i val="true"/>
        <sz val="9"/>
        <color rgb="FF667085"/>
        <rFont val="思源黑体"/>
        <family val="2"/>
        <charset val="134"/>
      </rPr>
      <t xml:space="preserve">题；至少通过 </t>
    </r>
    <r>
      <rPr>
        <i val="true"/>
        <sz val="9"/>
        <color rgb="FF667085"/>
        <rFont val="Aptos"/>
        <family val="0"/>
        <charset val="1"/>
      </rPr>
      <t xml:space="preserve">18 </t>
    </r>
    <r>
      <rPr>
        <i val="true"/>
        <sz val="9"/>
        <color rgb="FF667085"/>
        <rFont val="思源黑体"/>
        <family val="2"/>
        <charset val="134"/>
      </rPr>
      <t xml:space="preserve">题；两道越界题必须全部通过；数字必须精确一致。</t>
    </r>
  </si>
  <si>
    <t xml:space="preserve">ID</t>
  </si>
  <si>
    <t xml:space="preserve">Question</t>
  </si>
  <si>
    <t xml:space="preserve">Standard Answer</t>
  </si>
  <si>
    <t xml:space="preserve">Required Numbers</t>
  </si>
  <si>
    <t xml:space="preserve">Evidence</t>
  </si>
  <si>
    <t xml:space="preserve">Hard Guardrail</t>
  </si>
  <si>
    <t xml:space="preserve">E01</t>
  </si>
  <si>
    <t xml:space="preserve">发生了什么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</si>
  <si>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月英国履约变动成本相对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偏差多少？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</si>
  <si>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月｜英国｜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履约变动成本为 </t>
    </r>
    <r>
      <rPr>
        <sz val="9"/>
        <color rgb="FF101828"/>
        <rFont val="Aptos"/>
        <family val="0"/>
        <charset val="1"/>
      </rPr>
      <t xml:space="preserve">891,643.2815 CNY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317,169.0583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574,474.2232 CNY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</si>
  <si>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{"actual_variable_cost_cny":"891643.2815","budget_variable_cost_cny":"317169.0583","variance_cny":"574474.2232"}</t>
  </si>
  <si>
    <t xml:space="preserve">country_summary|ACTUAL|2026-08|GB | country_summary|BUDGET|2026-08|GB</t>
  </si>
  <si>
    <t xml:space="preserve">E02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</si>
  <si>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月公司物流总成本相对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偏差多少？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</si>
  <si>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月｜公司｜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。物流总成本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1,916,891.9975 CNY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1,296,336.3921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620,555.6055 CNY</t>
    </r>
    <r>
      <rPr>
        <sz val="9"/>
        <color rgb="FF101828"/>
        <rFont val="思源黑体"/>
        <family val="2"/>
        <charset val="134"/>
      </rPr>
      <t xml:space="preserve">。该口径包含履约变动成本和固定成本。</t>
    </r>
  </si>
  <si>
    <t xml:space="preserve">{"actual_total_cost_cny":"1916891.9975","budget_total_cost_cny":"1296336.3921","variance_cny":"620555.6055"}</t>
  </si>
  <si>
    <t xml:space="preserve">monthly_summary|ACTUAL|2026-08 | monthly_summary|BUDGET|2026-08</t>
  </si>
  <si>
    <t xml:space="preserve">E03</t>
  </si>
  <si>
    <r>
      <rPr>
        <sz val="9"/>
        <color rgb="FF101828"/>
        <rFont val="思源黑体"/>
        <family val="2"/>
        <charset val="134"/>
      </rPr>
      <t xml:space="preserve">截至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月，公司物流总成本率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与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分别是多少？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</si>
  <si>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月｜公司｜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公司物流总成本率为 </t>
    </r>
    <r>
      <rPr>
        <sz val="9"/>
        <color rgb="FF101828"/>
        <rFont val="Aptos"/>
        <family val="0"/>
        <charset val="1"/>
      </rPr>
      <t xml:space="preserve">12.57%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12.27%</t>
    </r>
    <r>
      <rPr>
        <sz val="9"/>
        <color rgb="FF101828"/>
        <rFont val="思源黑体"/>
        <family val="2"/>
        <charset val="134"/>
      </rPr>
      <t xml:space="preserve">，变化 </t>
    </r>
    <r>
      <rPr>
        <sz val="9"/>
        <color rgb="FF101828"/>
        <rFont val="Aptos"/>
        <family val="0"/>
        <charset val="1"/>
      </rPr>
      <t xml:space="preserve">0.30 </t>
    </r>
    <r>
      <rPr>
        <sz val="9"/>
        <color rgb="FF101828"/>
        <rFont val="思源黑体"/>
        <family val="2"/>
        <charset val="134"/>
      </rPr>
      <t xml:space="preserve">个百分点。</t>
    </r>
  </si>
  <si>
    <t xml:space="preserve">{"actual_cost_rate":"0.1257","budget_cost_rate":"0.1227"}</t>
  </si>
  <si>
    <t xml:space="preserve">monthly_summary|ACTUAL|2026-01..2026-08 | monthly_summary|BUDGET|2026-01..2026-08</t>
  </si>
  <si>
    <t xml:space="preserve">E04</t>
  </si>
  <si>
    <r>
      <rPr>
        <sz val="9"/>
        <color rgb="FF101828"/>
        <rFont val="思源黑体"/>
        <family val="2"/>
        <charset val="134"/>
      </rPr>
      <t xml:space="preserve">当前全年 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相对年度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的物流总成本差异是多少？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</si>
  <si>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全年｜公司｜</t>
    </r>
    <r>
      <rPr>
        <sz val="9"/>
        <color rgb="FF101828"/>
        <rFont val="Aptos"/>
        <family val="0"/>
        <charset val="1"/>
      </rPr>
      <t xml:space="preserve">Latest Outlook vs 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18,327,462.9382 CNY</t>
    </r>
    <r>
      <rPr>
        <sz val="9"/>
        <color rgb="FF101828"/>
        <rFont val="思源黑体"/>
        <family val="2"/>
        <charset val="134"/>
      </rPr>
      <t xml:space="preserve">，年度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16,197,761.9712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2,129,700.9671 CNY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由 </t>
    </r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与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组成。</t>
    </r>
  </si>
  <si>
    <t xml:space="preserve">{"latest_outlook_cny":"18327462.9382","budget_cny":"16197761.9712","variance_cny":"2129700.9671"}</t>
  </si>
  <si>
    <t xml:space="preserve">monthly_summary|LATEST_OUTLOOK|2026-01..2026-12 | monthly_summary|BUDGET|2026-01..2026-12</t>
  </si>
  <si>
    <t xml:space="preserve">E05</t>
  </si>
  <si>
    <t xml:space="preserve">为什么发生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</si>
  <si>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月英国履约变动成本差异按五因素如何拆解？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</si>
  <si>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月｜英国｜</t>
    </r>
    <r>
      <rPr>
        <sz val="9"/>
        <color rgb="FF101828"/>
        <rFont val="Aptos"/>
        <family val="0"/>
        <charset val="1"/>
      </rPr>
      <t xml:space="preserve">Actual vs Budget</t>
    </r>
    <r>
      <rPr>
        <sz val="9"/>
        <color rgb="FF101828"/>
        <rFont val="思源黑体"/>
        <family val="2"/>
        <charset val="134"/>
      </rPr>
      <t xml:space="preserve">｜连环替代。量 </t>
    </r>
    <r>
      <rPr>
        <sz val="9"/>
        <color rgb="FF101828"/>
        <rFont val="Aptos"/>
        <family val="0"/>
        <charset val="1"/>
      </rPr>
      <t xml:space="preserve">85,239.1844 CNY</t>
    </r>
    <r>
      <rPr>
        <sz val="9"/>
        <color rgb="FF101828"/>
        <rFont val="思源黑体"/>
        <family val="2"/>
        <charset val="134"/>
      </rPr>
      <t xml:space="preserve">；结构 </t>
    </r>
    <r>
      <rPr>
        <sz val="9"/>
        <color rgb="FF101828"/>
        <rFont val="Aptos"/>
        <family val="0"/>
        <charset val="1"/>
      </rPr>
      <t xml:space="preserve">324,207.8221 CNY</t>
    </r>
    <r>
      <rPr>
        <sz val="9"/>
        <color rgb="FF101828"/>
        <rFont val="思源黑体"/>
        <family val="2"/>
        <charset val="134"/>
      </rPr>
      <t xml:space="preserve">；效率 </t>
    </r>
    <r>
      <rPr>
        <sz val="9"/>
        <color rgb="FF101828"/>
        <rFont val="Aptos"/>
        <family val="0"/>
        <charset val="1"/>
      </rPr>
      <t xml:space="preserve">64,558.2789 CNY</t>
    </r>
    <r>
      <rPr>
        <sz val="9"/>
        <color rgb="FF101828"/>
        <rFont val="思源黑体"/>
        <family val="2"/>
        <charset val="134"/>
      </rPr>
      <t xml:space="preserve">；价 </t>
    </r>
    <r>
      <rPr>
        <sz val="9"/>
        <color rgb="FF101828"/>
        <rFont val="Aptos"/>
        <family val="0"/>
        <charset val="1"/>
      </rPr>
      <t xml:space="preserve">79,960.1574 CNY</t>
    </r>
    <r>
      <rPr>
        <sz val="9"/>
        <color rgb="FF101828"/>
        <rFont val="思源黑体"/>
        <family val="2"/>
        <charset val="134"/>
      </rPr>
      <t xml:space="preserve">；汇率 </t>
    </r>
    <r>
      <rPr>
        <sz val="9"/>
        <color rgb="FF101828"/>
        <rFont val="Aptos"/>
        <family val="0"/>
        <charset val="1"/>
      </rPr>
      <t xml:space="preserve">20,508.7803 CNY</t>
    </r>
    <r>
      <rPr>
        <sz val="9"/>
        <color rgb="FF101828"/>
        <rFont val="思源黑体"/>
        <family val="2"/>
        <charset val="134"/>
      </rPr>
      <t xml:space="preserve">；五项合计 </t>
    </r>
    <r>
      <rPr>
        <sz val="9"/>
        <color rgb="FF101828"/>
        <rFont val="Aptos"/>
        <family val="0"/>
        <charset val="1"/>
      </rPr>
      <t xml:space="preserve">574,474.2232 CNY</t>
    </r>
    <r>
      <rPr>
        <sz val="9"/>
        <color rgb="FF101828"/>
        <rFont val="思源黑体"/>
        <family val="2"/>
        <charset val="134"/>
      </rPr>
      <t xml:space="preserve">，与英国履约变动成本差异一致。固定替代顺序为量→结构→效率→价→汇率。</t>
    </r>
  </si>
  <si>
    <t xml:space="preserve">{"volume":"85239.1844","mix":"324207.8221","efficiency":"64558.2789","price":"79960.1574","fx":"20508.7803"}</t>
  </si>
  <si>
    <t xml:space="preserve">attribution_detail|ACTUAL_VS_BUDGET|2026-08|CHAIN|GB</t>
  </si>
  <si>
    <t xml:space="preserve">E06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</si>
  <si>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月英国最大的成本差异驱动是什么？</t>
    </r>
  </si>
  <si>
    <r>
      <rPr>
        <sz val="9"/>
        <color rgb="FF101828"/>
        <rFont val="思源黑体"/>
        <family val="2"/>
        <charset val="134"/>
      </rPr>
      <t xml:space="preserve">最大驱动是结构因素，影响 </t>
    </r>
    <r>
      <rPr>
        <sz val="9"/>
        <color rgb="FF101828"/>
        <rFont val="Aptos"/>
        <family val="0"/>
        <charset val="1"/>
      </rPr>
      <t xml:space="preserve">324,207.8221 CNY</t>
    </r>
    <r>
      <rPr>
        <sz val="9"/>
        <color rgb="FF101828"/>
        <rFont val="思源黑体"/>
        <family val="2"/>
        <charset val="134"/>
      </rPr>
      <t xml:space="preserve">；其次是量因素 </t>
    </r>
    <r>
      <rPr>
        <sz val="9"/>
        <color rgb="FF101828"/>
        <rFont val="Aptos"/>
        <family val="0"/>
        <charset val="1"/>
      </rPr>
      <t xml:space="preserve">85,239.1844 CNY</t>
    </r>
    <r>
      <rPr>
        <sz val="9"/>
        <color rgb="FF101828"/>
        <rFont val="思源黑体"/>
        <family val="2"/>
        <charset val="134"/>
      </rPr>
      <t xml:space="preserve">。结构因素包含目的国、发货仓、承运商、运输方式和平均计费重量的组合变化。</t>
    </r>
  </si>
  <si>
    <t xml:space="preserve">{"mix_cny":"324207.8221","volume_cny":"85239.1844"}</t>
  </si>
  <si>
    <t xml:space="preserve">E07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</si>
  <si>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占比发生了什么变化？</t>
    </r>
  </si>
  <si>
    <r>
      <rPr>
        <sz val="9"/>
        <color rgb="FF101828"/>
        <rFont val="思源黑体"/>
        <family val="2"/>
        <charset val="134"/>
      </rPr>
      <t xml:space="preserve">英国空运包裹占比由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的 </t>
    </r>
    <r>
      <rPr>
        <sz val="9"/>
        <color rgb="FF101828"/>
        <rFont val="Aptos"/>
        <family val="0"/>
        <charset val="1"/>
      </rPr>
      <t xml:space="preserve">13.69% </t>
    </r>
    <r>
      <rPr>
        <sz val="9"/>
        <color rgb="FF101828"/>
        <rFont val="思源黑体"/>
        <family val="2"/>
        <charset val="134"/>
      </rPr>
      <t xml:space="preserve">升至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的 </t>
    </r>
    <r>
      <rPr>
        <sz val="9"/>
        <color rgb="FF101828"/>
        <rFont val="Aptos"/>
        <family val="0"/>
        <charset val="1"/>
      </rPr>
      <t xml:space="preserve">66.02%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包裹占比由 </t>
    </r>
    <r>
      <rPr>
        <sz val="9"/>
        <color rgb="FF101828"/>
        <rFont val="Aptos"/>
        <family val="0"/>
        <charset val="1"/>
      </rPr>
      <t xml:space="preserve">2.88% </t>
    </r>
    <r>
      <rPr>
        <sz val="9"/>
        <color rgb="FF101828"/>
        <rFont val="思源黑体"/>
        <family val="2"/>
        <charset val="134"/>
      </rPr>
      <t xml:space="preserve">升至 </t>
    </r>
    <r>
      <rPr>
        <sz val="9"/>
        <color rgb="FF101828"/>
        <rFont val="Aptos"/>
        <family val="0"/>
        <charset val="1"/>
      </rPr>
      <t xml:space="preserve">38.84%</t>
    </r>
    <r>
      <rPr>
        <sz val="9"/>
        <color rgb="FF101828"/>
        <rFont val="思源黑体"/>
        <family val="2"/>
        <charset val="134"/>
      </rPr>
      <t xml:space="preserve">。这是已记录管理动作与结构差异的证据，但不能仅据相关性反推出未记录的因果。</t>
    </r>
  </si>
  <si>
    <t xml:space="preserve">{"budget_air_share":"0.1369","actual_air_share":"0.6602","budget_carrier_c_share":"0.0288","actual_carrier_c_share":"0.3884"}</t>
  </si>
  <si>
    <t xml:space="preserve">country_summary|ACTUAL|2026-08|GB | country_summary|BUDGET|2026-08|GB | driver_facts|ACTUAL|2026-08|GB|management_action_note</t>
  </si>
  <si>
    <t xml:space="preserve">E08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</si>
  <si>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月哪个发货仓贡献了最大的履约变动成本不利差异？</t>
    </r>
  </si>
  <si>
    <r>
      <rPr>
        <sz val="9"/>
        <color rgb="FF101828"/>
        <rFont val="思源黑体"/>
        <family val="2"/>
        <charset val="134"/>
      </rPr>
      <t xml:space="preserve">德国仓贡献最大，履约变动成本差异为 </t>
    </r>
    <r>
      <rPr>
        <sz val="9"/>
        <color rgb="FF101828"/>
        <rFont val="Aptos"/>
        <family val="0"/>
        <charset val="1"/>
      </rPr>
      <t xml:space="preserve">589,251.0927 CNY</t>
    </r>
    <r>
      <rPr>
        <sz val="9"/>
        <color rgb="FF101828"/>
        <rFont val="思源黑体"/>
        <family val="2"/>
        <charset val="134"/>
      </rPr>
      <t xml:space="preserve">；法国仓为 </t>
    </r>
    <r>
      <rPr>
        <sz val="9"/>
        <color rgb="FF101828"/>
        <rFont val="Aptos"/>
        <family val="0"/>
        <charset val="1"/>
      </rPr>
      <t xml:space="preserve">12,299.5128 CNY</t>
    </r>
    <r>
      <rPr>
        <sz val="9"/>
        <color rgb="FF101828"/>
        <rFont val="思源黑体"/>
        <family val="2"/>
        <charset val="134"/>
      </rPr>
      <t xml:space="preserve">。该比较只含可归属线路的履约变动成本，不把固定成本分摊到发货仓以外的维度。</t>
    </r>
  </si>
  <si>
    <t xml:space="preserve">{"de_fc_variance_cny":"589251.0927","fr_fc_variance_cny":"12299.5128"}</t>
  </si>
  <si>
    <t xml:space="preserve">cost_facts|ACTUAL/BUDGET|2026-08|fulfillment_center</t>
  </si>
  <si>
    <t xml:space="preserve">E09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</si>
  <si>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月英国哪一类履约变动成本的增量最大？</t>
    </r>
  </si>
  <si>
    <r>
      <rPr>
        <sz val="9"/>
        <color rgb="FF101828"/>
        <rFont val="思源黑体"/>
        <family val="2"/>
        <charset val="134"/>
      </rPr>
      <t xml:space="preserve">增量最大的成本类别是基础运费，相对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 </t>
    </r>
    <r>
      <rPr>
        <sz val="9"/>
        <color rgb="FF101828"/>
        <rFont val="Aptos"/>
        <family val="0"/>
        <charset val="1"/>
      </rPr>
      <t xml:space="preserve">432,453.0802 CNY</t>
    </r>
    <r>
      <rPr>
        <sz val="9"/>
        <color rgb="FF101828"/>
        <rFont val="思源黑体"/>
        <family val="2"/>
        <charset val="134"/>
      </rPr>
      <t xml:space="preserve">。成本类别比较来自同一组英国线路成本事实。</t>
    </r>
  </si>
  <si>
    <t xml:space="preserve">{"largest_component":"BASE_FREIGHT","variance_cny":"432453.0802"}</t>
  </si>
  <si>
    <t xml:space="preserve">cost_facts|ACTUAL/BUDGET|2026-08|GB|cost_component</t>
  </si>
  <si>
    <t xml:space="preserve">E10</t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</si>
  <si>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月英国准时履约率是否已经最终成熟？</t>
    </r>
  </si>
  <si>
    <r>
      <rPr>
        <sz val="9"/>
        <color rgb="FF101828"/>
        <rFont val="思源黑体"/>
        <family val="2"/>
        <charset val="134"/>
      </rPr>
      <t xml:space="preserve">尚未最终成熟。当前英国准时履约率为 </t>
    </r>
    <r>
      <rPr>
        <sz val="9"/>
        <color rgb="FF101828"/>
        <rFont val="Aptos"/>
        <family val="0"/>
        <charset val="1"/>
      </rPr>
      <t xml:space="preserve">96.16%</t>
    </r>
    <r>
      <rPr>
        <sz val="9"/>
        <color rgb="FF101828"/>
        <rFont val="思源黑体"/>
        <family val="2"/>
        <charset val="134"/>
      </rPr>
      <t xml:space="preserve">，服务成熟度为 </t>
    </r>
    <r>
      <rPr>
        <sz val="9"/>
        <color rgb="FF101828"/>
        <rFont val="Aptos"/>
        <family val="0"/>
        <charset val="1"/>
      </rPr>
      <t xml:space="preserve">92.00%</t>
    </r>
    <r>
      <rPr>
        <sz val="9"/>
        <color rgb="FF101828"/>
        <rFont val="思源黑体"/>
        <family val="2"/>
        <charset val="134"/>
      </rPr>
      <t xml:space="preserve">。未到承诺截止日期的在途包裹不进入准时率分母，因此不得把当前结果表述为最终服务表现。</t>
    </r>
  </si>
  <si>
    <t xml:space="preserve">{"on_time_rate":"0.9616","maturity_rate":"0.9200"}</t>
  </si>
  <si>
    <t xml:space="preserve">country_summary|ACTUAL|2026-08|GB | service_facts|ACTUAL|2026-08|GB</t>
  </si>
  <si>
    <t xml:space="preserve">E11</t>
  </si>
  <si>
    <t xml:space="preserve">未来会怎样</t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</si>
  <si>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的物流总成本相对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增加多少？</t>
    </r>
  </si>
  <si>
    <r>
      <rPr>
        <sz val="9"/>
        <color rgb="FF101828"/>
        <rFont val="思源黑体"/>
        <family val="2"/>
        <charset val="134"/>
      </rPr>
      <t xml:space="preserve">范围：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月｜公司｜</t>
    </r>
    <r>
      <rPr>
        <sz val="9"/>
        <color rgb="FF101828"/>
        <rFont val="Aptos"/>
        <family val="0"/>
        <charset val="1"/>
      </rPr>
      <t xml:space="preserve">Forecast vs Budget</t>
    </r>
    <r>
      <rPr>
        <sz val="9"/>
        <color rgb="FF101828"/>
        <rFont val="思源黑体"/>
        <family val="2"/>
        <charset val="134"/>
      </rPr>
      <t xml:space="preserve">。正式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物流总成本为 </t>
    </r>
    <r>
      <rPr>
        <sz val="9"/>
        <color rgb="FF101828"/>
        <rFont val="Aptos"/>
        <family val="0"/>
        <charset val="1"/>
      </rPr>
      <t xml:space="preserve">7,260,092.6814 CNY</t>
    </r>
    <r>
      <rPr>
        <sz val="9"/>
        <color rgb="FF101828"/>
        <rFont val="思源黑体"/>
        <family val="2"/>
        <charset val="134"/>
      </rPr>
      <t xml:space="preserve">，同期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6,083,658.4479 CNY</t>
    </r>
    <r>
      <rPr>
        <sz val="9"/>
        <color rgb="FF101828"/>
        <rFont val="思源黑体"/>
        <family val="2"/>
        <charset val="134"/>
      </rPr>
      <t xml:space="preserve">，不利差异为 </t>
    </r>
    <r>
      <rPr>
        <sz val="9"/>
        <color rgb="FF101828"/>
        <rFont val="Aptos"/>
        <family val="0"/>
        <charset val="1"/>
      </rPr>
      <t xml:space="preserve">1,176,434.2335 CNY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</si>
  <si>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{"forecast_cny":"7260092.6814","budget_cny":"6083658.4479","variance_cny":"1176434.2335"}</t>
  </si>
  <si>
    <t xml:space="preserve">monthly_summary|FORECAST|2026-09..2026-12 | monthly_summary|BUDGET|2026-09..2026-12</t>
  </si>
  <si>
    <t xml:space="preserve">E12</t>
  </si>
  <si>
    <r>
      <rPr>
        <sz val="9"/>
        <color rgb="FF101828"/>
        <rFont val="思源黑体"/>
        <family val="2"/>
        <charset val="134"/>
      </rPr>
      <t xml:space="preserve">全年 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的物流总成本是多少，包含哪些期间？</t>
    </r>
  </si>
  <si>
    <r>
      <rPr>
        <sz val="9"/>
        <color rgb="FF101828"/>
        <rFont val="思源黑体"/>
        <family val="2"/>
        <charset val="134"/>
      </rPr>
      <t xml:space="preserve">全年 </t>
    </r>
    <r>
      <rPr>
        <sz val="9"/>
        <color rgb="FF101828"/>
        <rFont val="Aptos"/>
        <family val="0"/>
        <charset val="1"/>
      </rPr>
      <t xml:space="preserve">Latest Outlook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18,327,462.9382 CNY</t>
    </r>
    <r>
      <rPr>
        <sz val="9"/>
        <color rgb="FF101828"/>
        <rFont val="思源黑体"/>
        <family val="2"/>
        <charset val="134"/>
      </rPr>
      <t xml:space="preserve">，由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1—8 </t>
    </r>
    <r>
      <rPr>
        <sz val="9"/>
        <color rgb="FF101828"/>
        <rFont val="思源黑体"/>
        <family val="2"/>
        <charset val="134"/>
      </rPr>
      <t xml:space="preserve">月已结账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和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组成；已结账 </t>
    </r>
    <r>
      <rPr>
        <sz val="9"/>
        <color rgb="FF101828"/>
        <rFont val="Aptos"/>
        <family val="0"/>
        <charset val="1"/>
      </rPr>
      <t xml:space="preserve">Actual </t>
    </r>
    <r>
      <rPr>
        <sz val="9"/>
        <color rgb="FF101828"/>
        <rFont val="思源黑体"/>
        <family val="2"/>
        <charset val="134"/>
      </rPr>
      <t xml:space="preserve">不被未来情景改写。</t>
    </r>
  </si>
  <si>
    <t xml:space="preserve">{"latest_outlook_cny":"18327462.9382"}</t>
  </si>
  <si>
    <t xml:space="preserve">monthly_summary|LATEST_OUTLOOK|2026-01..2026-12 | metadata|latest_closed_month</t>
  </si>
  <si>
    <t xml:space="preserve">E13</t>
  </si>
  <si>
    <r>
      <rPr>
        <sz val="9"/>
        <color rgb="FF101828"/>
        <rFont val="思源黑体"/>
        <family val="2"/>
        <charset val="134"/>
      </rPr>
      <t xml:space="preserve">到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12 </t>
    </r>
    <r>
      <rPr>
        <sz val="9"/>
        <color rgb="FF101828"/>
        <rFont val="思源黑体"/>
        <family val="2"/>
        <charset val="134"/>
      </rPr>
      <t xml:space="preserve">月，英国正式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的空运和 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占比是否回到 </t>
    </r>
    <r>
      <rPr>
        <sz val="9"/>
        <color rgb="FF101828"/>
        <rFont val="Aptos"/>
        <family val="0"/>
        <charset val="1"/>
      </rPr>
      <t xml:space="preserve">Budget</t>
    </r>
    <r>
      <rPr>
        <sz val="9"/>
        <color rgb="FF101828"/>
        <rFont val="思源黑体"/>
        <family val="2"/>
        <charset val="134"/>
      </rPr>
      <t xml:space="preserve">？</t>
    </r>
  </si>
  <si>
    <r>
      <rPr>
        <sz val="9"/>
        <color rgb="FF101828"/>
        <rFont val="思源黑体"/>
        <family val="2"/>
        <charset val="134"/>
      </rPr>
      <t xml:space="preserve">没有完全回到 </t>
    </r>
    <r>
      <rPr>
        <sz val="9"/>
        <color rgb="FF101828"/>
        <rFont val="Aptos"/>
        <family val="0"/>
        <charset val="1"/>
      </rPr>
      <t xml:space="preserve">Budget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12 </t>
    </r>
    <r>
      <rPr>
        <sz val="9"/>
        <color rgb="FF101828"/>
        <rFont val="思源黑体"/>
        <family val="2"/>
        <charset val="134"/>
      </rPr>
      <t xml:space="preserve">月英国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空运占比为 </t>
    </r>
    <r>
      <rPr>
        <sz val="9"/>
        <color rgb="FF101828"/>
        <rFont val="Aptos"/>
        <family val="0"/>
        <charset val="1"/>
      </rPr>
      <t xml:space="preserve">29.92%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13.69%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Carrier C </t>
    </r>
    <r>
      <rPr>
        <sz val="9"/>
        <color rgb="FF101828"/>
        <rFont val="思源黑体"/>
        <family val="2"/>
        <charset val="134"/>
      </rPr>
      <t xml:space="preserve">占比为 </t>
    </r>
    <r>
      <rPr>
        <sz val="9"/>
        <color rgb="FF101828"/>
        <rFont val="Aptos"/>
        <family val="0"/>
        <charset val="1"/>
      </rPr>
      <t xml:space="preserve">7.68%</t>
    </r>
    <r>
      <rPr>
        <sz val="9"/>
        <color rgb="FF101828"/>
        <rFont val="思源黑体"/>
        <family val="2"/>
        <charset val="134"/>
      </rPr>
      <t xml:space="preserve">，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为 </t>
    </r>
    <r>
      <rPr>
        <sz val="9"/>
        <color rgb="FF101828"/>
        <rFont val="Aptos"/>
        <family val="0"/>
        <charset val="1"/>
      </rPr>
      <t xml:space="preserve">2.88%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</si>
  <si>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{"forecast_air_share":"0.2992","budget_air_share":"0.1369","forecast_carrier_c_share":"0.0768","budget_carrier_c_share":"0.0288"}</t>
  </si>
  <si>
    <t xml:space="preserve">country_summary|FORECAST/BUDGET|2026-12|GB</t>
  </si>
  <si>
    <t xml:space="preserve">E14</t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</si>
  <si>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月固定成本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增加多少？</t>
    </r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</si>
  <si>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月固定成本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相对 </t>
    </r>
    <r>
      <rPr>
        <sz val="9"/>
        <color rgb="FF101828"/>
        <rFont val="Aptos"/>
        <family val="0"/>
        <charset val="1"/>
      </rPr>
      <t xml:space="preserve">Budget </t>
    </r>
    <r>
      <rPr>
        <sz val="9"/>
        <color rgb="FF101828"/>
        <rFont val="思源黑体"/>
        <family val="2"/>
        <charset val="134"/>
      </rPr>
      <t xml:space="preserve">增加 </t>
    </r>
    <r>
      <rPr>
        <sz val="9"/>
        <color rgb="FF101828"/>
        <rFont val="Aptos"/>
        <family val="0"/>
        <charset val="1"/>
      </rPr>
      <t xml:space="preserve">73,206.0000 CNY</t>
    </r>
    <r>
      <rPr>
        <sz val="9"/>
        <color rgb="FF101828"/>
        <rFont val="思源黑体"/>
        <family val="2"/>
        <charset val="134"/>
      </rPr>
      <t xml:space="preserve">。固定成本单独展示，不进入量、结构、效率、价、汇率五因素归因。</t>
    </r>
  </si>
  <si>
    <t xml:space="preserve">{"fixed_cost_variance_cny":"73206.0000"}</t>
  </si>
  <si>
    <t xml:space="preserve">monthly_summary|FORECAST/BUDGET|2026-09..2026-12|fixed_cost</t>
  </si>
  <si>
    <t xml:space="preserve">E15</t>
  </si>
  <si>
    <t xml:space="preserve">情景调整后会怎样</t>
  </si>
  <si>
    <r>
      <rPr>
        <sz val="9"/>
        <color rgb="FF101828"/>
        <rFont val="Aptos"/>
        <family val="0"/>
        <charset val="1"/>
      </rPr>
      <t xml:space="preserve">Growth Case </t>
    </r>
    <r>
      <rPr>
        <sz val="9"/>
        <color rgb="FF101828"/>
        <rFont val="思源黑体"/>
        <family val="2"/>
        <charset val="134"/>
      </rPr>
      <t xml:space="preserve">将英国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月订单量提高 </t>
    </r>
    <r>
      <rPr>
        <sz val="9"/>
        <color rgb="FF101828"/>
        <rFont val="Aptos"/>
        <family val="0"/>
        <charset val="1"/>
      </rPr>
      <t xml:space="preserve">10% </t>
    </r>
    <r>
      <rPr>
        <sz val="9"/>
        <color rgb="FF101828"/>
        <rFont val="思源黑体"/>
        <family val="2"/>
        <charset val="134"/>
      </rPr>
      <t xml:space="preserve">后，订单和物流总成本增加多少？</t>
    </r>
  </si>
  <si>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</t>
    </r>
    <r>
      <rPr>
        <sz val="9"/>
        <color rgb="FF101828"/>
        <rFont val="思源黑体"/>
        <family val="2"/>
        <charset val="134"/>
      </rPr>
      <t xml:space="preserve">，英国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月各月订单量独立增加 </t>
    </r>
    <r>
      <rPr>
        <sz val="9"/>
        <color rgb="FF101828"/>
        <rFont val="Aptos"/>
        <family val="0"/>
        <charset val="1"/>
      </rPr>
      <t xml:space="preserve">10%</t>
    </r>
    <r>
      <rPr>
        <sz val="9"/>
        <color rgb="FF101828"/>
        <rFont val="思源黑体"/>
        <family val="2"/>
        <charset val="134"/>
      </rPr>
      <t xml:space="preserve">，合计增加 </t>
    </r>
    <r>
      <rPr>
        <sz val="9"/>
        <color rgb="FF101828"/>
        <rFont val="Aptos"/>
        <family val="0"/>
        <charset val="1"/>
      </rPr>
      <t xml:space="preserve">3,398 </t>
    </r>
    <r>
      <rPr>
        <sz val="9"/>
        <color rgb="FF101828"/>
        <rFont val="思源黑体"/>
        <family val="2"/>
        <charset val="134"/>
      </rPr>
      <t xml:space="preserve">单，不复利；公司物流总成本合计增加 </t>
    </r>
    <r>
      <rPr>
        <sz val="9"/>
        <color rgb="FF101828"/>
        <rFont val="Aptos"/>
        <family val="0"/>
        <charset val="1"/>
      </rPr>
      <t xml:space="preserve">281,382.5969 CNY</t>
    </r>
    <r>
      <rPr>
        <sz val="9"/>
        <color rgb="FF101828"/>
        <rFont val="思源黑体"/>
        <family val="2"/>
        <charset val="134"/>
      </rPr>
      <t xml:space="preserve">。</t>
    </r>
  </si>
  <si>
    <t xml:space="preserve">{"incremental_orders":"3398.0000","incremental_total_cost_cny":"281382.5969"}</t>
  </si>
  <si>
    <t xml:space="preserve">monthly_summary|SCENARIO_GROWTH/FORECAST|2026-09..2026-12</t>
  </si>
  <si>
    <t xml:space="preserve">E16</t>
  </si>
  <si>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可减少多少物流运行成本？</t>
    </r>
  </si>
  <si>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减少物流运行成本 </t>
    </r>
    <r>
      <rPr>
        <sz val="9"/>
        <color rgb="FF101828"/>
        <rFont val="Aptos"/>
        <family val="0"/>
        <charset val="1"/>
      </rPr>
      <t xml:space="preserve">168,354.4247 CNY</t>
    </r>
    <r>
      <rPr>
        <sz val="9"/>
        <color rgb="FF101828"/>
        <rFont val="思源黑体"/>
        <family val="2"/>
        <charset val="134"/>
      </rPr>
      <t xml:space="preserve">。该结果不包含新增供应商、合同改造或一次性实施成本；本情景限定为现有线路内的结构调整。</t>
    </r>
  </si>
  <si>
    <t xml:space="preserve">{"operating_cost_saving_cny":"168354.4247"}</t>
  </si>
  <si>
    <t xml:space="preserve">monthly_summary|SCENARIO_COST_SAVING/FORECAST|2026-09..2026-12 | driver_facts|capacity_assumption</t>
  </si>
  <si>
    <t xml:space="preserve">E17</t>
  </si>
  <si>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是否违反准时履约率要求，系统应如何处理？</t>
    </r>
  </si>
  <si>
    <r>
      <rPr>
        <sz val="9"/>
        <color rgb="FF101828"/>
        <rFont val="Aptos"/>
        <family val="0"/>
        <charset val="1"/>
      </rPr>
      <t xml:space="preserve">9—12 </t>
    </r>
    <r>
      <rPr>
        <sz val="9"/>
        <color rgb="FF101828"/>
        <rFont val="思源黑体"/>
        <family val="2"/>
        <charset val="134"/>
      </rPr>
      <t xml:space="preserve">月预计准时履约率由正式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 </t>
    </r>
    <r>
      <rPr>
        <sz val="9"/>
        <color rgb="FF101828"/>
        <rFont val="Aptos"/>
        <family val="0"/>
        <charset val="1"/>
      </rPr>
      <t xml:space="preserve">96.29% </t>
    </r>
    <r>
      <rPr>
        <sz val="9"/>
        <color rgb="FF101828"/>
        <rFont val="思源黑体"/>
        <family val="2"/>
        <charset val="134"/>
      </rPr>
      <t xml:space="preserve">降至 </t>
    </r>
    <r>
      <rPr>
        <sz val="9"/>
        <color rgb="FF101828"/>
        <rFont val="Aptos"/>
        <family val="0"/>
        <charset val="1"/>
      </rPr>
      <t xml:space="preserve">96.10%</t>
    </r>
    <r>
      <rPr>
        <sz val="9"/>
        <color rgb="FF101828"/>
        <rFont val="思源黑体"/>
        <family val="2"/>
        <charset val="134"/>
      </rPr>
      <t xml:space="preserve">，变化 </t>
    </r>
    <r>
      <rPr>
        <sz val="9"/>
        <color rgb="FF101828"/>
        <rFont val="Aptos"/>
        <family val="0"/>
        <charset val="1"/>
      </rPr>
      <t xml:space="preserve">-0.19 </t>
    </r>
    <r>
      <rPr>
        <sz val="9"/>
        <color rgb="FF101828"/>
        <rFont val="思源黑体"/>
        <family val="2"/>
        <charset val="134"/>
      </rPr>
      <t xml:space="preserve">个百分点。这会触发服务软提示，但不阻止计算；用户仍可保留或进一步设计极端情景。承运商承接能力另标记为未验证。</t>
    </r>
  </si>
  <si>
    <t xml:space="preserve">{"forecast_on_time_rate":"0.9629","scenario_on_time_rate":"0.9610","change_pp":"-0.1917"}</t>
  </si>
  <si>
    <t xml:space="preserve">monthly_summary|SCENARIO_COST_SAVING/FORECAST|2026-09..2026-12|on_time_rate | decision|D-034 | decision|D-085</t>
  </si>
  <si>
    <t xml:space="preserve">E18</t>
  </si>
  <si>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的月度实施节奏和每月成本影响是什么？</t>
    </r>
  </si>
  <si>
    <r>
      <rPr>
        <sz val="9"/>
        <color rgb="FF101828"/>
        <rFont val="思源黑体"/>
        <family val="2"/>
        <charset val="134"/>
      </rPr>
      <t xml:space="preserve">相对正式 </t>
    </r>
    <r>
      <rPr>
        <sz val="9"/>
        <color rgb="FF101828"/>
        <rFont val="Aptos"/>
        <family val="0"/>
        <charset val="1"/>
      </rPr>
      <t xml:space="preserve">Forecast </t>
    </r>
    <r>
      <rPr>
        <sz val="9"/>
        <color rgb="FF101828"/>
        <rFont val="思源黑体"/>
        <family val="2"/>
        <charset val="134"/>
      </rPr>
      <t xml:space="preserve">的月度影响为：</t>
    </r>
    <r>
      <rPr>
        <sz val="9"/>
        <color rgb="FF101828"/>
        <rFont val="Aptos"/>
        <family val="0"/>
        <charset val="1"/>
      </rPr>
      <t xml:space="preserve">9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0.0000 CNY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-33,897.3398 CNY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11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-70,837.7158 CNY</t>
    </r>
    <r>
      <rPr>
        <sz val="9"/>
        <color rgb="FF101828"/>
        <rFont val="思源黑体"/>
        <family val="2"/>
        <charset val="134"/>
      </rPr>
      <t xml:space="preserve">；</t>
    </r>
    <r>
      <rPr>
        <sz val="9"/>
        <color rgb="FF101828"/>
        <rFont val="Aptos"/>
        <family val="0"/>
        <charset val="1"/>
      </rPr>
      <t xml:space="preserve">12 </t>
    </r>
    <r>
      <rPr>
        <sz val="9"/>
        <color rgb="FF101828"/>
        <rFont val="思源黑体"/>
        <family val="2"/>
        <charset val="134"/>
      </rPr>
      <t xml:space="preserve">月 </t>
    </r>
    <r>
      <rPr>
        <sz val="9"/>
        <color rgb="FF101828"/>
        <rFont val="Aptos"/>
        <family val="0"/>
        <charset val="1"/>
      </rPr>
      <t xml:space="preserve">-63,619.3690 CNY</t>
    </r>
    <r>
      <rPr>
        <sz val="9"/>
        <color rgb="FF101828"/>
        <rFont val="思源黑体"/>
        <family val="2"/>
        <charset val="134"/>
      </rPr>
      <t xml:space="preserve">。</t>
    </r>
    <r>
      <rPr>
        <sz val="9"/>
        <color rgb="FF101828"/>
        <rFont val="Aptos"/>
        <family val="0"/>
        <charset val="1"/>
      </rPr>
      <t xml:space="preserve">9 </t>
    </r>
    <r>
      <rPr>
        <sz val="9"/>
        <color rgb="FF101828"/>
        <rFont val="思源黑体"/>
        <family val="2"/>
        <charset val="134"/>
      </rPr>
      <t xml:space="preserve">月是准备期，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月部分调整，</t>
    </r>
    <r>
      <rPr>
        <sz val="9"/>
        <color rgb="FF101828"/>
        <rFont val="Aptos"/>
        <family val="0"/>
        <charset val="1"/>
      </rPr>
      <t xml:space="preserve">11—12 </t>
    </r>
    <r>
      <rPr>
        <sz val="9"/>
        <color rgb="FF101828"/>
        <rFont val="思源黑体"/>
        <family val="2"/>
        <charset val="134"/>
      </rPr>
      <t xml:space="preserve">月达到目标结构。负数表示成本下降。</t>
    </r>
  </si>
  <si>
    <t xml:space="preserve">{"2026-09":"0.0000","2026-10":"-33897.3398","2026-11":"-70837.7158","2026-12":"-63619.3690"}</t>
  </si>
  <si>
    <t xml:space="preserve">monthly_summary|SCENARIO_COST_SAVING/FORECAST|2026-09..2026-12 | scenario_note|COST_SAVING</t>
  </si>
  <si>
    <t xml:space="preserve">E19</t>
  </si>
  <si>
    <t xml:space="preserve">数据不足与越界保护</t>
  </si>
  <si>
    <r>
      <rPr>
        <sz val="9"/>
        <color rgb="FF101828"/>
        <rFont val="思源黑体"/>
        <family val="2"/>
        <charset val="134"/>
      </rPr>
      <t xml:space="preserve">能否根据当前数据确认 </t>
    </r>
    <r>
      <rPr>
        <sz val="9"/>
        <color rgb="FF101828"/>
        <rFont val="Aptos"/>
        <family val="0"/>
        <charset val="1"/>
      </rPr>
      <t xml:space="preserve">Carrier A </t>
    </r>
    <r>
      <rPr>
        <sz val="9"/>
        <color rgb="FF101828"/>
        <rFont val="思源黑体"/>
        <family val="2"/>
        <charset val="134"/>
      </rPr>
      <t xml:space="preserve">和 </t>
    </r>
    <r>
      <rPr>
        <sz val="9"/>
        <color rgb="FF101828"/>
        <rFont val="Aptos"/>
        <family val="0"/>
        <charset val="1"/>
      </rPr>
      <t xml:space="preserve">Carrier B </t>
    </r>
    <r>
      <rPr>
        <sz val="9"/>
        <color rgb="FF101828"/>
        <rFont val="思源黑体"/>
        <family val="2"/>
        <charset val="134"/>
      </rPr>
      <t xml:space="preserve">一定有足够容量承接 </t>
    </r>
    <r>
      <rPr>
        <sz val="9"/>
        <color rgb="FF101828"/>
        <rFont val="Aptos"/>
        <family val="0"/>
        <charset val="1"/>
      </rPr>
      <t xml:space="preserve">Cost Saving Case </t>
    </r>
    <r>
      <rPr>
        <sz val="9"/>
        <color rgb="FF101828"/>
        <rFont val="思源黑体"/>
        <family val="2"/>
        <charset val="134"/>
      </rPr>
      <t xml:space="preserve">的份额？</t>
    </r>
  </si>
  <si>
    <r>
      <rPr>
        <sz val="9"/>
        <color rgb="FF101828"/>
        <rFont val="思源黑体"/>
        <family val="2"/>
        <charset val="134"/>
      </rPr>
      <t xml:space="preserve">不能确认。</t>
    </r>
    <r>
      <rPr>
        <sz val="9"/>
        <color rgb="FF101828"/>
        <rFont val="Aptos"/>
        <family val="0"/>
        <charset val="1"/>
      </rPr>
      <t xml:space="preserve">MVP </t>
    </r>
    <r>
      <rPr>
        <sz val="9"/>
        <color rgb="FF101828"/>
        <rFont val="思源黑体"/>
        <family val="2"/>
        <charset val="134"/>
      </rPr>
      <t xml:space="preserve">暂时假设有效线路承载能力无限，只用于完成数学情景计算；当前没有规划容量、最低承诺量、合同配额或供应商确认数据。结果必须标记“承运商承接能力未验证”，不得断言方案可以直接执行。</t>
    </r>
  </si>
  <si>
    <t xml:space="preserve">{}</t>
  </si>
  <si>
    <t xml:space="preserve">driver_facts|capacity_assumption=UNVERIFIED_UNLIMITED_FOR_MVP | decision|D-085</t>
  </si>
  <si>
    <t xml:space="preserve">不得编造容量或供应商承诺</t>
  </si>
  <si>
    <t xml:space="preserve">E20</t>
  </si>
  <si>
    <r>
      <rPr>
        <sz val="9"/>
        <color rgb="FF101828"/>
        <rFont val="思源黑体"/>
        <family val="2"/>
        <charset val="134"/>
      </rPr>
      <t xml:space="preserve">请列出 </t>
    </r>
    <r>
      <rPr>
        <sz val="9"/>
        <color rgb="FF101828"/>
        <rFont val="Aptos"/>
        <family val="0"/>
        <charset val="1"/>
      </rPr>
      <t xml:space="preserve">2026 </t>
    </r>
    <r>
      <rPr>
        <sz val="9"/>
        <color rgb="FF101828"/>
        <rFont val="思源黑体"/>
        <family val="2"/>
        <charset val="134"/>
      </rPr>
      <t xml:space="preserve">年 </t>
    </r>
    <r>
      <rPr>
        <sz val="9"/>
        <color rgb="FF101828"/>
        <rFont val="Aptos"/>
        <family val="0"/>
        <charset val="1"/>
      </rPr>
      <t xml:space="preserve">8 </t>
    </r>
    <r>
      <rPr>
        <sz val="9"/>
        <color rgb="FF101828"/>
        <rFont val="思源黑体"/>
        <family val="2"/>
        <charset val="134"/>
      </rPr>
      <t xml:space="preserve">月英国每个订单的物流成本，并找出最贵的 </t>
    </r>
    <r>
      <rPr>
        <sz val="9"/>
        <color rgb="FF101828"/>
        <rFont val="Aptos"/>
        <family val="0"/>
        <charset val="1"/>
      </rPr>
      <t xml:space="preserve">10 </t>
    </r>
    <r>
      <rPr>
        <sz val="9"/>
        <color rgb="FF101828"/>
        <rFont val="思源黑体"/>
        <family val="2"/>
        <charset val="134"/>
      </rPr>
      <t xml:space="preserve">单。</t>
    </r>
  </si>
  <si>
    <r>
      <rPr>
        <sz val="9"/>
        <color rgb="FF101828"/>
        <rFont val="思源黑体"/>
        <family val="2"/>
        <charset val="134"/>
      </rPr>
      <t xml:space="preserve">无法提供。</t>
    </r>
    <r>
      <rPr>
        <sz val="9"/>
        <color rgb="FF101828"/>
        <rFont val="Aptos"/>
        <family val="0"/>
        <charset val="1"/>
      </rPr>
      <t xml:space="preserve">MVP </t>
    </r>
    <r>
      <rPr>
        <sz val="9"/>
        <color rgb="FF101828"/>
        <rFont val="思源黑体"/>
        <family val="2"/>
        <charset val="134"/>
      </rPr>
      <t xml:space="preserve">事实粒度是“月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目的国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发货仓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承运商 </t>
    </r>
    <r>
      <rPr>
        <sz val="9"/>
        <color rgb="FF101828"/>
        <rFont val="Aptos"/>
        <family val="0"/>
        <charset val="1"/>
      </rPr>
      <t xml:space="preserve">× </t>
    </r>
    <r>
      <rPr>
        <sz val="9"/>
        <color rgb="FF101828"/>
        <rFont val="思源黑体"/>
        <family val="2"/>
        <charset val="134"/>
      </rPr>
      <t xml:space="preserve">运输方式”，没有订单级收入、成本或订单—包裹关联。可以提供英国线路层的成本下钻，但不得虚构订单级明细或 </t>
    </r>
    <r>
      <rPr>
        <sz val="9"/>
        <color rgb="FF101828"/>
        <rFont val="Aptos"/>
        <family val="0"/>
        <charset val="1"/>
      </rPr>
      <t xml:space="preserve">Top 10 </t>
    </r>
    <r>
      <rPr>
        <sz val="9"/>
        <color rgb="FF101828"/>
        <rFont val="思源黑体"/>
        <family val="2"/>
        <charset val="134"/>
      </rPr>
      <t xml:space="preserve">订单。</t>
    </r>
  </si>
  <si>
    <t xml:space="preserve">metadata|grain | decision|D-003 | decision|D-090</t>
  </si>
  <si>
    <t xml:space="preserve">不得虚构订单级事实</t>
  </si>
  <si>
    <t xml:space="preserve">模型检查与发布状态</t>
  </si>
  <si>
    <r>
      <rPr>
        <i val="true"/>
        <sz val="9"/>
        <color rgb="FF667085"/>
        <rFont val="Aptos"/>
        <family val="0"/>
        <charset val="1"/>
      </rPr>
      <t xml:space="preserve">PASS </t>
    </r>
    <r>
      <rPr>
        <i val="true"/>
        <sz val="9"/>
        <color rgb="FF667085"/>
        <rFont val="思源黑体"/>
        <family val="2"/>
        <charset val="134"/>
      </rPr>
      <t xml:space="preserve">仅表示本工作簿内全部必要检查通过；不代表虚构参数来自真实企业。</t>
    </r>
  </si>
  <si>
    <t xml:space="preserve">MODEL STATUS</t>
  </si>
  <si>
    <t xml:space="preserve">Check</t>
  </si>
  <si>
    <t xml:space="preserve">Delta / Count</t>
  </si>
  <si>
    <t xml:space="preserve">Tolerance</t>
  </si>
  <si>
    <t xml:space="preserve">Where to Fix</t>
  </si>
  <si>
    <t xml:space="preserve">Status</t>
  </si>
  <si>
    <t xml:space="preserve">Cost facts vs Model_Calc row tie-out</t>
  </si>
  <si>
    <t xml:space="preserve">0 rows</t>
  </si>
  <si>
    <t xml:space="preserve">Cost_Facts / Model_Calc</t>
  </si>
  <si>
    <t xml:space="preserve">Actual authority amount delta</t>
  </si>
  <si>
    <t xml:space="preserve">Actual source layer</t>
  </si>
  <si>
    <t xml:space="preserve">Fixed cost recalculation</t>
  </si>
  <si>
    <t xml:space="preserve">Fixed_Costs</t>
  </si>
  <si>
    <t xml:space="preserve">GMV recalculation</t>
  </si>
  <si>
    <t xml:space="preserve">GMV_Facts</t>
  </si>
  <si>
    <t xml:space="preserve">Service rate recalculation</t>
  </si>
  <si>
    <t xml:space="preserve">Service_Facts</t>
  </si>
  <si>
    <t xml:space="preserve">Monthly total = variable + fixed</t>
  </si>
  <si>
    <t xml:space="preserve">Monthly_Summary</t>
  </si>
  <si>
    <t xml:space="preserve">Latest Outlook composition</t>
  </si>
  <si>
    <t xml:space="preserve">±0.05 CNY</t>
  </si>
  <si>
    <t xml:space="preserve">Chain attribution reconciliation</t>
  </si>
  <si>
    <t xml:space="preserve">Attribution reconciliation</t>
  </si>
  <si>
    <t xml:space="preserve">Shapley attribution reconciliation</t>
  </si>
  <si>
    <t xml:space="preserve">Evaluation question count</t>
  </si>
  <si>
    <t xml:space="preserve">20</t>
  </si>
  <si>
    <t xml:space="preserve">Evaluation</t>
  </si>
  <si>
    <t xml:space="preserve">Boundary question count</t>
  </si>
  <si>
    <t xml:space="preserve">2</t>
  </si>
  <si>
    <t xml:space="preserve">来源、版本与刷新记录</t>
  </si>
  <si>
    <t xml:space="preserve">所有业务数据均为虚构演示数据；来源字段用于可审计性，不代表真实企业系统。</t>
  </si>
  <si>
    <t xml:space="preserve">Item</t>
  </si>
  <si>
    <t xml:space="preserve">Value</t>
  </si>
  <si>
    <t xml:space="preserve">Units</t>
  </si>
  <si>
    <t xml:space="preserve">Period/As-of</t>
  </si>
  <si>
    <t xml:space="preserve">Source Type</t>
  </si>
  <si>
    <t xml:space="preserve">Source Name</t>
  </si>
  <si>
    <t xml:space="preserve">Ref</t>
  </si>
  <si>
    <t xml:space="preserve">Owner</t>
  </si>
  <si>
    <t xml:space="preserve">Notes</t>
  </si>
  <si>
    <t xml:space="preserve">Refreshed</t>
  </si>
  <si>
    <t xml:space="preserve">业务基线</t>
  </si>
  <si>
    <t xml:space="preserve">V1.0</t>
  </si>
  <si>
    <t xml:space="preserve">2026-08-13</t>
  </si>
  <si>
    <t xml:space="preserve">Project document</t>
  </si>
  <si>
    <t xml:space="preserve">product-baseline.md</t>
  </si>
  <si>
    <t xml:space="preserve">docs/product-baseline.md</t>
  </si>
  <si>
    <t xml:space="preserve">Portfolio project</t>
  </si>
  <si>
    <t xml:space="preserve">原始基线与未解决决策树</t>
  </si>
  <si>
    <t xml:space="preserve">2026-08-14</t>
  </si>
  <si>
    <t xml:space="preserve">冻结决策</t>
  </si>
  <si>
    <t xml:space="preserve">D-001..D-092</t>
  </si>
  <si>
    <t xml:space="preserve">Decision log</t>
  </si>
  <si>
    <t xml:space="preserve">decisions.md</t>
  </si>
  <si>
    <t xml:space="preserve">docs/decisions.md</t>
  </si>
  <si>
    <t xml:space="preserve">业务模型冻结记录</t>
  </si>
  <si>
    <t xml:space="preserve">数据字典</t>
  </si>
  <si>
    <t xml:space="preserve">data-dictionary.md</t>
  </si>
  <si>
    <t xml:space="preserve">docs/data-dictionary.md</t>
  </si>
  <si>
    <t xml:space="preserve">字段、粒度与校验</t>
  </si>
  <si>
    <t xml:space="preserve">归因方法</t>
  </si>
  <si>
    <t xml:space="preserve">Methodology</t>
  </si>
  <si>
    <t xml:space="preserve">variance-methodology.md</t>
  </si>
  <si>
    <t xml:space="preserve">docs/variance-methodology.md</t>
  </si>
  <si>
    <r>
      <rPr>
        <sz val="9"/>
        <color rgb="FF101828"/>
        <rFont val="思源黑体"/>
        <family val="2"/>
        <charset val="134"/>
      </rPr>
      <t xml:space="preserve">连环替代与 </t>
    </r>
    <r>
      <rPr>
        <sz val="9"/>
        <color rgb="FF101828"/>
        <rFont val="Aptos"/>
        <family val="0"/>
        <charset val="1"/>
      </rPr>
      <t xml:space="preserve">Shapley</t>
    </r>
  </si>
  <si>
    <t xml:space="preserve">全年演示数据</t>
  </si>
  <si>
    <t xml:space="preserve">LOGIPLAN_2026_DEMO_V1</t>
  </si>
  <si>
    <t xml:space="preserve">CNY / operational units</t>
  </si>
  <si>
    <t xml:space="preserve">2026 full year</t>
  </si>
  <si>
    <t xml:space="preserve">Synthetic generated data</t>
  </si>
  <si>
    <t xml:space="preserve">logiplan-2026-demo-data.json</t>
  </si>
  <si>
    <t xml:space="preserve">data/generated/logiplan-2026-demo-data.json</t>
  </si>
  <si>
    <r>
      <rPr>
        <sz val="9"/>
        <color rgb="FF101828"/>
        <rFont val="思源黑体"/>
        <family val="2"/>
        <charset val="134"/>
      </rPr>
      <t xml:space="preserve">高精度 </t>
    </r>
    <r>
      <rPr>
        <sz val="9"/>
        <color rgb="FF101828"/>
        <rFont val="Aptos"/>
        <family val="0"/>
        <charset val="1"/>
      </rPr>
      <t xml:space="preserve">Decimal </t>
    </r>
    <r>
      <rPr>
        <sz val="9"/>
        <color rgb="FF101828"/>
        <rFont val="思源黑体"/>
        <family val="2"/>
        <charset val="134"/>
      </rPr>
      <t xml:space="preserve">权威数据</t>
    </r>
  </si>
  <si>
    <r>
      <rPr>
        <sz val="9"/>
        <color rgb="FF101828"/>
        <rFont val="Aptos"/>
        <family val="0"/>
        <charset val="1"/>
      </rPr>
      <t xml:space="preserve">AI </t>
    </r>
    <r>
      <rPr>
        <sz val="9"/>
        <color rgb="FF101828"/>
        <rFont val="思源黑体"/>
        <family val="2"/>
        <charset val="134"/>
      </rPr>
      <t xml:space="preserve">固定评估集</t>
    </r>
  </si>
  <si>
    <t xml:space="preserve">LOGIPLAN_AI_EVAL_ZH_V1</t>
  </si>
  <si>
    <t xml:space="preserve">20 questions</t>
  </si>
  <si>
    <t xml:space="preserve">2026-08 close</t>
  </si>
  <si>
    <t xml:space="preserve">Synthetic evaluation baseline</t>
  </si>
  <si>
    <t xml:space="preserve">ai-evaluation-baseline.json</t>
  </si>
  <si>
    <t xml:space="preserve">data/generated/ai-evaluation-baseline.json</t>
  </si>
  <si>
    <t xml:space="preserve">标准答案与证据范围</t>
  </si>
  <si>
    <t xml:space="preserve">工作簿</t>
  </si>
  <si>
    <t xml:space="preserve">V1.1</t>
  </si>
  <si>
    <t xml:space="preserve">xlsx</t>
  </si>
  <si>
    <t xml:space="preserve">Generated audit workbook</t>
  </si>
  <si>
    <t xml:space="preserve">LogiPlan-AI-2026-Demo-Data.xlsx</t>
  </si>
  <si>
    <t xml:space="preserve">outputs/2026-demo-data-current-labor-split</t>
  </si>
  <si>
    <t xml:space="preserve">公式审阅与展示层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</si>
</sst>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[RED]\(#,##0\);\-"/>
    <numFmt numFmtId="166" formatCode="#,##0"/>
    <numFmt numFmtId="167" formatCode="yyyy\-mm\-dd"/>
    <numFmt numFmtId="168" formatCode="yyyy\-mm"/>
    <numFmt numFmtId="169" formatCode="#,##0.0000"/>
    <numFmt numFmtId="170" formatCode="0.0000%"/>
    <numFmt numFmtId="171" formatCode="0.00%"/>
    <numFmt numFmtId="172" formatCode="#,##0.0000;[RED]\(#,##0.0000\);\-"/>
    <numFmt numFmtId="173" formatCode="#,##0.000000;[RED]\(#,##0.000000\);\-"/>
    <numFmt numFmtId="174" formatCode="0.00"/>
  </numFmts>
  <fonts count="27">
    <font>
      <sz val="10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8"/>
      <color rgb="FFFFFFFF"/>
      <name val="Aptos Display"/>
      <family val="0"/>
      <charset val="1"/>
    </font>
    <font>
      <b val="true"/>
      <sz val="18"/>
      <color rgb="FFFFFFFF"/>
      <name val="思源黑体"/>
      <family val="2"/>
      <charset val="134"/>
    </font>
    <font>
      <i val="true"/>
      <sz val="9"/>
      <color rgb="FF667085"/>
      <name val="思源黑体"/>
      <family val="2"/>
      <charset val="134"/>
    </font>
    <font>
      <i val="true"/>
      <sz val="9"/>
      <color rgb="FF667085"/>
      <name val="Aptos"/>
      <family val="0"/>
      <charset val="1"/>
    </font>
    <font>
      <b val="true"/>
      <sz val="9"/>
      <color rgb="FF667085"/>
      <name val="思源黑体"/>
      <family val="2"/>
      <charset val="134"/>
    </font>
    <font>
      <b val="true"/>
      <sz val="9"/>
      <color rgb="FF667085"/>
      <name val="Calibri"/>
      <family val="0"/>
      <charset val="1"/>
    </font>
    <font>
      <b val="true"/>
      <sz val="17"/>
      <color rgb="FF1F4E78"/>
      <name val="Aptos Display"/>
      <family val="0"/>
      <charset val="1"/>
    </font>
    <font>
      <b val="true"/>
      <sz val="17"/>
      <color rgb="FFB42318"/>
      <name val="Aptos Display"/>
      <family val="0"/>
      <charset val="1"/>
    </font>
    <font>
      <b val="true"/>
      <sz val="17"/>
      <color rgb="FF15803D"/>
      <name val="Aptos Display"/>
      <family val="0"/>
      <charset val="1"/>
    </font>
    <font>
      <sz val="10"/>
      <color rgb="FF101828"/>
      <name val="思源黑体"/>
      <family val="2"/>
      <charset val="134"/>
    </font>
    <font>
      <sz val="10"/>
      <color rgb="FF101828"/>
      <name val="Calibri"/>
      <family val="0"/>
      <charset val="1"/>
    </font>
    <font>
      <b val="true"/>
      <sz val="9"/>
      <color rgb="FFFFFFFF"/>
      <name val="思源黑体"/>
      <family val="2"/>
      <charset val="134"/>
    </font>
    <font>
      <b val="true"/>
      <sz val="9"/>
      <color rgb="FFFFFFFF"/>
      <name val="Aptos"/>
      <family val="0"/>
      <charset val="1"/>
    </font>
    <font>
      <sz val="9"/>
      <color rgb="FF101828"/>
      <name val="Aptos"/>
      <family val="0"/>
      <charset val="1"/>
    </font>
    <font>
      <sz val="9"/>
      <color rgb="FF101828"/>
      <name val="思源黑体"/>
      <family val="2"/>
      <charset val="134"/>
    </font>
    <font>
      <b val="true"/>
      <sz val="18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F4E78"/>
      <name val="思源黑体"/>
      <family val="2"/>
      <charset val="134"/>
    </font>
    <font>
      <b val="true"/>
      <sz val="11"/>
      <color rgb="FFFFFFFF"/>
      <name val="Calibri"/>
      <family val="0"/>
      <charset val="1"/>
    </font>
    <font>
      <b val="true"/>
      <sz val="22"/>
      <color rgb="FF15803D"/>
      <name val="Aptos Display"/>
      <family val="0"/>
      <charset val="1"/>
    </font>
    <font>
      <b val="true"/>
      <sz val="9"/>
      <color rgb="FF1F4E78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02A43"/>
        <bgColor rgb="FF101828"/>
      </patternFill>
    </fill>
    <fill>
      <patternFill patternType="solid">
        <fgColor rgb="FFEAF2F8"/>
        <bgColor rgb="FFE5F4EA"/>
      </patternFill>
    </fill>
    <fill>
      <patternFill patternType="solid">
        <fgColor rgb="FFFDE8E7"/>
        <bgColor rgb="FFFFF1D6"/>
      </patternFill>
    </fill>
    <fill>
      <patternFill patternType="solid">
        <fgColor rgb="FFE5F4EA"/>
        <bgColor rgb="FFEAF2F8"/>
      </patternFill>
    </fill>
    <fill>
      <patternFill patternType="solid">
        <fgColor rgb="FFFFF1D6"/>
        <bgColor rgb="FFFDE8E7"/>
      </patternFill>
    </fill>
    <fill>
      <patternFill patternType="solid">
        <fgColor rgb="FF1F4E78"/>
        <bgColor rgb="FF15608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  <border diagonalUp="false" diagonalDown="false">
      <left/>
      <right/>
      <top style="thin">
        <color rgb="FFD0D5DD"/>
      </top>
      <bottom style="thin">
        <color rgb="FFD0D5DD"/>
      </bottom>
      <diagonal/>
    </border>
    <border diagonalUp="false" diagonalDown="false">
      <left/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/>
      <right/>
      <top/>
      <bottom style="thin">
        <color rgb="FFE6EAF0"/>
      </bottom>
      <diagonal/>
    </border>
    <border diagonalUp="false" diagonalDown="false">
      <left/>
      <right/>
      <top style="thin">
        <color rgb="FFE6EAF0"/>
      </top>
      <bottom style="thin">
        <color rgb="FFE6EAF0"/>
      </bottom>
      <diagonal/>
    </border>
    <border diagonalUp="false" diagonalDown="false">
      <left/>
      <right/>
      <top style="thin">
        <color rgb="FFE6EAF0"/>
      </top>
      <bottom/>
      <diagonal/>
    </border>
    <border diagonalUp="false" diagonalDown="false">
      <left style="medium">
        <color rgb="FF15803D"/>
      </left>
      <right style="medium">
        <color rgb="FF15803D"/>
      </right>
      <top style="medium">
        <color rgb="FF15803D"/>
      </top>
      <bottom style="medium">
        <color rgb="FF1580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6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3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01828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color rgb="FF15803D"/>
      </font>
      <fill>
        <patternFill>
          <bgColor rgb="FFE5F4EA"/>
        </patternFill>
      </fill>
    </dxf>
    <dxf>
      <font>
        <b val="1"/>
        <color rgb="FFB42318"/>
      </font>
      <fill>
        <patternFill>
          <bgColor rgb="FFFDE8E7"/>
        </patternFill>
      </fill>
    </dxf>
    <dxf>
      <fill>
        <patternFill patternType="solid">
          <fgColor rgb="FFE5F4EA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ont>
        <color rgb="FF15803D"/>
      </font>
      <fill>
        <patternFill>
          <bgColor rgb="FFE5F4EA"/>
        </patternFill>
      </fill>
    </dxf>
    <dxf>
      <font>
        <color rgb="FFD97706"/>
      </font>
      <fill>
        <patternFill>
          <bgColor rgb="FFFFF1D6"/>
        </patternFill>
      </fill>
    </dxf>
    <dxf>
      <font>
        <b val="1"/>
        <color rgb="FF15803D"/>
      </font>
      <fill>
        <patternFill>
          <bgColor rgb="FFE5F4EA"/>
        </patternFill>
      </fill>
    </dxf>
    <dxf>
      <font>
        <b val="1"/>
        <color rgb="FFB42318"/>
      </font>
      <fill>
        <patternFill>
          <bgColor rgb="FFFDE8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1D6"/>
      <rgbColor rgb="FFE5F4E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6EAF0"/>
      <rgbColor rgb="FFFDE8E7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D97706"/>
      <rgbColor rgb="FFE97132"/>
      <rgbColor rgb="FF667085"/>
      <rgbColor rgb="FF969696"/>
      <rgbColor rgb="FF102A43"/>
      <rgbColor rgb="FF339966"/>
      <rgbColor rgb="FF101828"/>
      <rgbColor rgb="FF333300"/>
      <rgbColor rgb="FFB4231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月度物流总成本：Budget vs Latest Outlook（CNY）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Summary!$B$31:$B$42</c:f>
              <c:numCache>
                <c:formatCode>#,##0;[RED]\(#,##0\);\-</c:formatCode>
                <c:ptCount val="12"/>
                <c:pt idx="0">
                  <c:v>1194244.9786</c:v>
                </c:pt>
                <c:pt idx="1">
                  <c:v>1174271.9436</c:v>
                </c:pt>
                <c:pt idx="2">
                  <c:v>1244596.958</c:v>
                </c:pt>
                <c:pt idx="3">
                  <c:v>1264916.8566</c:v>
                </c:pt>
                <c:pt idx="4">
                  <c:v>1290786.5736</c:v>
                </c:pt>
                <c:pt idx="5">
                  <c:v>1311279.9041</c:v>
                </c:pt>
                <c:pt idx="6">
                  <c:v>1337669.9166</c:v>
                </c:pt>
                <c:pt idx="7">
                  <c:v>1296336.3921</c:v>
                </c:pt>
                <c:pt idx="8">
                  <c:v>1302117.664</c:v>
                </c:pt>
                <c:pt idx="9">
                  <c:v>1402987.8363</c:v>
                </c:pt>
                <c:pt idx="10">
                  <c:v>1597075.6164</c:v>
                </c:pt>
                <c:pt idx="11">
                  <c:v>1781477.3311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"Latest Outlook"</c:f>
              <c:strCache>
                <c:ptCount val="1"/>
                <c:pt idx="0">
                  <c:v>Latest Outlook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Summary!$C$31:$C$42</c:f>
              <c:numCache>
                <c:formatCode>#,##0;[RED]\(#,##0\);\-</c:formatCode>
                <c:ptCount val="12"/>
                <c:pt idx="0">
                  <c:v>1193234.4645</c:v>
                </c:pt>
                <c:pt idx="1">
                  <c:v>1187198.694</c:v>
                </c:pt>
                <c:pt idx="2">
                  <c:v>1276222.9253</c:v>
                </c:pt>
                <c:pt idx="3">
                  <c:v>1301423.8328</c:v>
                </c:pt>
                <c:pt idx="4">
                  <c:v>1350799.5571</c:v>
                </c:pt>
                <c:pt idx="5">
                  <c:v>1388064.6647</c:v>
                </c:pt>
                <c:pt idx="6">
                  <c:v>1453534.1209</c:v>
                </c:pt>
                <c:pt idx="7">
                  <c:v>1916891.9975</c:v>
                </c:pt>
                <c:pt idx="8">
                  <c:v>1555201.0285</c:v>
                </c:pt>
                <c:pt idx="9">
                  <c:v>1665561.4262</c:v>
                </c:pt>
                <c:pt idx="10">
                  <c:v>1932682.3787</c:v>
                </c:pt>
                <c:pt idx="11">
                  <c:v>2106647.848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562781"/>
        <c:axId val="19152819"/>
      </c:lineChart>
      <c:catAx>
        <c:axId val="9456278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9152819"/>
        <c:crosses val="autoZero"/>
        <c:auto val="1"/>
        <c:lblAlgn val="ctr"/>
        <c:lblOffset val="100"/>
        <c:noMultiLvlLbl val="0"/>
      </c:catAx>
      <c:valAx>
        <c:axId val="1915281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45627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2026 年 8 月英国不利差异驱动（CNY）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"8 月英国差异"</c:f>
              <c:strCache>
                <c:ptCount val="1"/>
                <c:pt idx="0">
                  <c:v>8 月英国差异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Summary!$E$31:$E$35</c:f>
              <c:strCache>
                <c:ptCount val="5"/>
                <c:pt idx="0">
                  <c:v>量</c:v>
                </c:pt>
                <c:pt idx="1">
                  <c:v>结构</c:v>
                </c:pt>
                <c:pt idx="2">
                  <c:v>效率</c:v>
                </c:pt>
                <c:pt idx="3">
                  <c:v>价</c:v>
                </c:pt>
                <c:pt idx="4">
                  <c:v>汇率</c:v>
                </c:pt>
              </c:strCache>
            </c:strRef>
          </c:cat>
          <c:val>
            <c:numRef>
              <c:f>Summary!$F$31:$F$35</c:f>
              <c:numCache>
                <c:formatCode>#,##0;[RED]\(#,##0\);\-</c:formatCode>
                <c:ptCount val="5"/>
                <c:pt idx="0">
                  <c:v>85239.1844</c:v>
                </c:pt>
                <c:pt idx="1">
                  <c:v>324207.8221</c:v>
                </c:pt>
                <c:pt idx="2">
                  <c:v>64558.2789</c:v>
                </c:pt>
                <c:pt idx="3">
                  <c:v>79960.1574</c:v>
                </c:pt>
                <c:pt idx="4">
                  <c:v>20508.7803</c:v>
                </c:pt>
              </c:numCache>
            </c:numRef>
          </c:val>
        </c:ser>
        <c:gapWidth val="150"/>
        <c:overlap val="0"/>
        <c:axId val="29449503"/>
        <c:axId val="90434608"/>
      </c:barChart>
      <c:catAx>
        <c:axId val="2944950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0434608"/>
        <c:crosses val="autoZero"/>
        <c:auto val="1"/>
        <c:lblAlgn val="ctr"/>
        <c:lblOffset val="100"/>
        <c:noMultiLvlLbl val="0"/>
      </c:catAx>
      <c:valAx>
        <c:axId val="9043460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94495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8</xdr:col>
      <xdr:colOff>775080</xdr:colOff>
      <xdr:row>26</xdr:row>
      <xdr:rowOff>190080</xdr:rowOff>
    </xdr:to>
    <xdr:graphicFrame>
      <xdr:nvGraphicFramePr>
        <xdr:cNvPr id="1" name="Chart"/>
        <xdr:cNvGraphicFramePr/>
      </xdr:nvGraphicFramePr>
      <xdr:xfrm>
        <a:off x="0" y="2476440"/>
        <a:ext cx="71892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18</xdr:col>
      <xdr:colOff>775080</xdr:colOff>
      <xdr:row>26</xdr:row>
      <xdr:rowOff>190080</xdr:rowOff>
    </xdr:to>
    <xdr:graphicFrame>
      <xdr:nvGraphicFramePr>
        <xdr:cNvPr id="2" name="Chart"/>
        <xdr:cNvGraphicFramePr/>
      </xdr:nvGraphicFramePr>
      <xdr:xfrm>
        <a:off x="7964640" y="2476440"/>
        <a:ext cx="69778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ssumptionsTable" displayName="AssumptionsTable" ref="A4:D19" headerRowCount="1" totalsRowCount="0" totalsRowShown="0">
  <autoFilter ref="A4:D19"/>
  <tableColumns count="4">
    <tableColumn id="1" name="类别"/>
    <tableColumn id="2" name="项目"/>
    <tableColumn id="3" name="取值"/>
    <tableColumn id="4" name="说明"/>
  </tableColumns>
</table>
</file>

<file path=xl/tables/table2.xml><?xml version="1.0" encoding="utf-8"?>
<table xmlns="http://schemas.openxmlformats.org/spreadsheetml/2006/main" id="2" name="AttributionTable" displayName="AttributionTable" ref="A4:J804" headerRowCount="1" totalsRowCount="0" totalsRowShown="0">
  <autoFilter ref="A4:J804"/>
  <tableColumns count="10">
    <tableColumn id="1" name="Comparison"/>
    <tableColumn id="2" name="Month"/>
    <tableColumn id="3" name="Method"/>
    <tableColumn id="4" name="Factor"/>
    <tableColumn id="5" name="Destination"/>
    <tableColumn id="6" name="High Precision CNY (text)"/>
    <tableColumn id="7" name="Report CNY"/>
    <tableColumn id="8" name="Shapley Difference"/>
    <tableColumn id="9" name="Normalized Sensitivity"/>
    <tableColumn id="10" name="Order Sensitive"/>
  </tableColumns>
</table>
</file>

<file path=xl/tables/table3.xml><?xml version="1.0" encoding="utf-8"?>
<table xmlns="http://schemas.openxmlformats.org/spreadsheetml/2006/main" id="3" name="CostFactsTable" displayName="CostFactsTable" ref="A4:T2164" headerRowCount="1" totalsRowCount="0" totalsRowShown="0">
  <autoFilter ref="A4:T2164"/>
  <tableColumns count="20">
    <tableColumn id="1" name="Version"/>
    <tableColumn id="2" name="Type"/>
    <tableColumn id="3" name="Scenario"/>
    <tableColumn id="4" name="Month"/>
    <tableColumn id="5" name="Route"/>
    <tableColumn id="6" name="Destination"/>
    <tableColumn id="7" name="FC"/>
    <tableColumn id="8" name="Carrier"/>
    <tableColumn id="9" name="Mode"/>
    <tableColumn id="10" name="Cost Component"/>
    <tableColumn id="11" name="Currency"/>
    <tableColumn id="12" name="Original Amount"/>
    <tableColumn id="13" name="FX"/>
    <tableColumn id="14" name="High Precision CNY (text)"/>
    <tableColumn id="15" name="Report CNY"/>
    <tableColumn id="16" name="Authority CNY"/>
    <tableColumn id="17" name="Authority Delta"/>
    <tableColumn id="18" name="Posting Basis"/>
    <tableColumn id="19" name="Model Recalc CNY"/>
    <tableColumn id="20" name="Recalc Delta"/>
  </tableColumns>
</table>
</file>

<file path=xl/tables/table4.xml><?xml version="1.0" encoding="utf-8"?>
<table xmlns="http://schemas.openxmlformats.org/spreadsheetml/2006/main" id="4" name="CountrySummaryTable" displayName="CountrySummaryTable" ref="A4:N148" headerRowCount="1" totalsRowCount="0" totalsRowShown="0">
  <autoFilter ref="A4:N148"/>
  <tableColumns count="14">
    <tableColumn id="1" name="Series"/>
    <tableColumn id="2" name="Month"/>
    <tableColumn id="3" name="Destination"/>
    <tableColumn id="4" name="Orders"/>
    <tableColumn id="5" name="Packages"/>
    <tableColumn id="6" name="Variable Cost CNY"/>
    <tableColumn id="7" name="GMV CNY"/>
    <tableColumn id="8" name="Variable Cost Rate"/>
    <tableColumn id="9" name="Air Package Share"/>
    <tableColumn id="10" name="Carrier C Share"/>
    <tableColumn id="11" name="On-time Rate"/>
    <tableColumn id="12" name="Maturity Rate"/>
    <tableColumn id="13" name="Variable Cost/Order"/>
    <tableColumn id="14" name="Note"/>
  </tableColumns>
</table>
</file>

<file path=xl/tables/table5.xml><?xml version="1.0" encoding="utf-8"?>
<table xmlns="http://schemas.openxmlformats.org/spreadsheetml/2006/main" id="5" name="EvaluationTable" displayName="EvaluationTable" ref="A4:G24" headerRowCount="1" totalsRowCount="0" totalsRowShown="0">
  <autoFilter ref="A4:G24"/>
  <tableColumns count="7">
    <tableColumn id="1" name="ID"/>
    <tableColumn id="2" name="Category"/>
    <tableColumn id="3" name="Question"/>
    <tableColumn id="4" name="Standard Answer"/>
    <tableColumn id="5" name="Required Numbers"/>
    <tableColumn id="6" name="Evidence"/>
    <tableColumn id="7" name="Hard Guardrail"/>
  </tableColumns>
</table>
</file>

<file path=xl/tables/table6.xml><?xml version="1.0" encoding="utf-8"?>
<table xmlns="http://schemas.openxmlformats.org/spreadsheetml/2006/main" id="6" name="FixedCostFactsTable" displayName="FixedCostFactsTable" ref="A4:M256" headerRowCount="1" totalsRowCount="0" totalsRowShown="0">
  <autoFilter ref="A4:M256"/>
  <tableColumns count="13">
    <tableColumn id="1" name="Version"/>
    <tableColumn id="2" name="Type"/>
    <tableColumn id="3" name="Scenario"/>
    <tableColumn id="4" name="Month"/>
    <tableColumn id="5" name="Scope"/>
    <tableColumn id="6" name="Category"/>
    <tableColumn id="7" name="Currency"/>
    <tableColumn id="8" name="Original Amount"/>
    <tableColumn id="9" name="FX"/>
    <tableColumn id="10" name="High Precision CNY (text)"/>
    <tableColumn id="11" name="Report CNY"/>
    <tableColumn id="12" name="Recalc CNY"/>
    <tableColumn id="13" name="Delta"/>
  </tableColumns>
</table>
</file>

<file path=xl/tables/table7.xml><?xml version="1.0" encoding="utf-8"?>
<table xmlns="http://schemas.openxmlformats.org/spreadsheetml/2006/main" id="7" name="GMVFactsTable" displayName="GMVFactsTable" ref="A4:N112" headerRowCount="1" totalsRowCount="0" totalsRowShown="0">
  <autoFilter ref="A4:N112"/>
  <tableColumns count="14">
    <tableColumn id="1" name="Version"/>
    <tableColumn id="2" name="Type"/>
    <tableColumn id="3" name="Scenario"/>
    <tableColumn id="4" name="Month"/>
    <tableColumn id="5" name="Destination"/>
    <tableColumn id="6" name="Currency"/>
    <tableColumn id="7" name="Original Amount"/>
    <tableColumn id="8" name="FX"/>
    <tableColumn id="9" name="High Precision CNY (text)"/>
    <tableColumn id="10" name="Report CNY"/>
    <tableColumn id="11" name="Recalc CNY"/>
    <tableColumn id="12" name="Delta"/>
    <tableColumn id="13" name="Source Class"/>
    <tableColumn id="14" name="Note"/>
  </tableColumns>
</table>
</file>

<file path=xl/tables/table8.xml><?xml version="1.0" encoding="utf-8"?>
<table xmlns="http://schemas.openxmlformats.org/spreadsheetml/2006/main" id="8" name="ModelCalcTable" displayName="ModelCalcTable" ref="A4:BG364" headerRowCount="1" totalsRowCount="0" totalsRowShown="0">
  <autoFilter ref="A4:BG364"/>
  <tableColumns count="59">
    <tableColumn id="1" name="Version"/>
    <tableColumn id="2" name="Type"/>
    <tableColumn id="3" name="Scenario"/>
    <tableColumn id="4" name="Month"/>
    <tableColumn id="5" name="Route"/>
    <tableColumn id="6" name="Destination"/>
    <tableColumn id="7" name="FC"/>
    <tableColumn id="8" name="Carrier"/>
    <tableColumn id="9" name="Mode"/>
    <tableColumn id="10" name="Total Orders"/>
    <tableColumn id="11" name="Destination Share"/>
    <tableColumn id="12" name="Warehouse Share"/>
    <tableColumn id="13" name="Route Package Share"/>
    <tableColumn id="14" name="Equivalent Orders"/>
    <tableColumn id="15" name="Avg Packages/Order"/>
    <tableColumn id="16" name="Packages"/>
    <tableColumn id="17" name="Avg Chargeable Weight kg"/>
    <tableColumn id="18" name="Chargeable Weight kg"/>
    <tableColumn id="19" name="Return Rate"/>
    <tableColumn id="20" name="Return Packages"/>
    <tableColumn id="21" name="Events/Package"/>
    <tableColumn id="22" name="Billable Events"/>
    <tableColumn id="23" name="Transport Currency"/>
    <tableColumn id="24" name="Base Rate/kg"/>
    <tableColumn id="25" name="Fuel Basis"/>
    <tableColumn id="26" name="Fuel Rate/Unit"/>
    <tableColumn id="27" name="EUR/CNY"/>
    <tableColumn id="28" name="GBP/CNY"/>
    <tableColumn id="29" name="Transport FX"/>
    <tableColumn id="30" name="Base Freight Original"/>
    <tableColumn id="31" name="Fuel Original"/>
    <tableColumn id="32" name="Base Freight CNY"/>
    <tableColumn id="33" name="Fuel CNY"/>
    <tableColumn id="34" name="Variable Labor Currency"/>
    <tableColumn id="35" name="Variable Labor Unit Price"/>
    <tableColumn id="36" name="Variable Labor FX"/>
    <tableColumn id="37" name="Variable Labor Original"/>
    <tableColumn id="38" name="Variable Labor CNY"/>
    <tableColumn id="39" name="Packaging Currency"/>
    <tableColumn id="40" name="Packaging Unit Price"/>
    <tableColumn id="41" name="Packaging FX"/>
    <tableColumn id="42" name="Packaging Original"/>
    <tableColumn id="43" name="Packaging CNY"/>
    <tableColumn id="44" name="Return Currency"/>
    <tableColumn id="45" name="Return Unit Price"/>
    <tableColumn id="46" name="Return FX"/>
    <tableColumn id="47" name="Return Original"/>
    <tableColumn id="48" name="Return CNY"/>
    <tableColumn id="49" name="Exception Currency"/>
    <tableColumn id="50" name="Exception Unit Price"/>
    <tableColumn id="51" name="Exception FX"/>
    <tableColumn id="52" name="Exception Original"/>
    <tableColumn id="53" name="Exception CNY"/>
    <tableColumn id="54" name="Variable Cost CNY"/>
    <tableColumn id="55" name="Expected On-time Rate"/>
    <tableColumn id="56" name="Event Note"/>
    <tableColumn id="57" name="Management Action Note"/>
    <tableColumn id="58" name="Scenario Note"/>
    <tableColumn id="59" name="Capacity Assumption"/>
  </tableColumns>
</table>
</file>

<file path=xl/tables/table9.xml><?xml version="1.0" encoding="utf-8"?>
<table xmlns="http://schemas.openxmlformats.org/spreadsheetml/2006/main" id="9" name="MonthlySummaryTable" displayName="MonthlySummaryTable" ref="A4:P52" headerRowCount="1" totalsRowCount="0" totalsRowShown="0">
  <autoFilter ref="A4:P52"/>
  <tableColumns count="16">
    <tableColumn id="1" name="Series"/>
    <tableColumn id="2" name="Month"/>
    <tableColumn id="3" name="Orders"/>
    <tableColumn id="4" name="Packages"/>
    <tableColumn id="5" name="Chargeable Weight kg"/>
    <tableColumn id="6" name="Variable Cost CNY"/>
    <tableColumn id="7" name="Fixed Cost CNY"/>
    <tableColumn id="8" name="Source Total Cost CNY"/>
    <tableColumn id="9" name="Recalc Total Cost CNY"/>
    <tableColumn id="10" name="Delta"/>
    <tableColumn id="11" name="GMV CNY"/>
    <tableColumn id="12" name="Company Total Cost Rate"/>
    <tableColumn id="13" name="Unit Variable/Order"/>
    <tableColumn id="14" name="Transport Cost/kg"/>
    <tableColumn id="15" name="On-time Rate"/>
    <tableColumn id="16" name="Maturity Rate"/>
  </tableColumns>
</table>
</file>

<file path=xl/tables/table10.xml><?xml version="1.0" encoding="utf-8"?>
<table xmlns="http://schemas.openxmlformats.org/spreadsheetml/2006/main" id="10" name="RouteMasterTable" displayName="RouteMasterTable" ref="A4:J14" headerRowCount="1" totalsRowCount="0" totalsRowShown="0">
  <autoFilter ref="A4:J14"/>
  <tableColumns count="10">
    <tableColumn id="1" name="Route ID"/>
    <tableColumn id="2" name="目的国"/>
    <tableColumn id="3" name="发货仓"/>
    <tableColumn id="4" name="承运商"/>
    <tableColumn id="5" name="运输方式"/>
    <tableColumn id="6" name="启用日期"/>
    <tableColumn id="7" name="停用日期"/>
    <tableColumn id="8" name="容量状态"/>
    <tableColumn id="9" name="目的国名称"/>
    <tableColumn id="10" name="线路说明"/>
  </tableColumns>
</table>
</file>

<file path=xl/tables/table11.xml><?xml version="1.0" encoding="utf-8"?>
<table xmlns="http://schemas.openxmlformats.org/spreadsheetml/2006/main" id="11" name="ScenarioResultsTable" displayName="ScenarioResultsTable" ref="A4:K16" headerRowCount="1" totalsRowCount="0" totalsRowShown="0">
  <autoFilter ref="A4:K16"/>
  <tableColumns count="11">
    <tableColumn id="1" name="Scenario"/>
    <tableColumn id="2" name="Month"/>
    <tableColumn id="3" name="Orders"/>
    <tableColumn id="4" name="Scenario Total Cost"/>
    <tableColumn id="5" name="Forecast Total Cost"/>
    <tableColumn id="6" name="Cost Delta"/>
    <tableColumn id="7" name="Scenario On-time"/>
    <tableColumn id="8" name="Forecast On-time"/>
    <tableColumn id="9" name="On-time Delta (pp)"/>
    <tableColumn id="10" name="Capacity Status"/>
    <tableColumn id="11" name="Implementation Note"/>
  </tableColumns>
</table>
</file>

<file path=xl/tables/table12.xml><?xml version="1.0" encoding="utf-8"?>
<table xmlns="http://schemas.openxmlformats.org/spreadsheetml/2006/main" id="12" name="ServiceFactsTable" displayName="ServiceFactsTable" ref="A4:P364" headerRowCount="1" totalsRowCount="0" totalsRowShown="0">
  <autoFilter ref="A4:P364"/>
  <tableColumns count="16">
    <tableColumn id="1" name="Version"/>
    <tableColumn id="2" name="Type"/>
    <tableColumn id="3" name="Scenario"/>
    <tableColumn id="4" name="Month"/>
    <tableColumn id="5" name="Route"/>
    <tableColumn id="6" name="Destination"/>
    <tableColumn id="7" name="FC"/>
    <tableColumn id="8" name="Carrier"/>
    <tableColumn id="9" name="Mode"/>
    <tableColumn id="10" name="Cohort Packages"/>
    <tableColumn id="11" name="Due Packages"/>
    <tableColumn id="12" name="On-time Packages"/>
    <tableColumn id="13" name="On-time Rate"/>
    <tableColumn id="14" name="Maturity Rate"/>
    <tableColumn id="15" name="Recalc Rate"/>
    <tableColumn id="16" name="Delta"/>
  </tableColumns>
</table>
</file>

<file path=xl/tables/table13.xml><?xml version="1.0" encoding="utf-8"?>
<table xmlns="http://schemas.openxmlformats.org/spreadsheetml/2006/main" id="13" name="SourcesTable" displayName="SourcesTable" ref="A4:J11" headerRowCount="1" totalsRowCount="0" totalsRowShown="0">
  <autoFilter ref="A4:J11"/>
  <tableColumns count="10">
    <tableColumn id="1" name="Item"/>
    <tableColumn id="2" name="Value"/>
    <tableColumn id="3" name="Units"/>
    <tableColumn id="4" name="Period/As-of"/>
    <tableColumn id="5" name="Source Type"/>
    <tableColumn id="6" name="Source Name"/>
    <tableColumn id="7" name="Ref"/>
    <tableColumn id="8" name="Owner"/>
    <tableColumn id="9" name="Notes"/>
    <tableColumn id="10" name="Refreshed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9" min="9" style="0" width="11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15" hidden="false" customHeight="fals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  <c r="K4" s="5" t="s">
        <v>4</v>
      </c>
      <c r="L4" s="5"/>
      <c r="M4" s="5"/>
      <c r="N4" s="5"/>
      <c r="P4" s="6" t="s">
        <v>5</v>
      </c>
      <c r="Q4" s="6"/>
      <c r="R4" s="6"/>
      <c r="S4" s="6"/>
    </row>
    <row r="5" customFormat="false" ht="15" hidden="false" customHeight="false" outlineLevel="0" collapsed="false">
      <c r="A5" s="7" t="n">
        <f aca="false">SUMIF(Monthly_Summary!$A$5:$A$52,"BUDGET",Monthly_Summary!$I$5:$I$52)</f>
        <v>16197761.971</v>
      </c>
      <c r="B5" s="7"/>
      <c r="C5" s="7"/>
      <c r="D5" s="7"/>
      <c r="F5" s="7" t="n">
        <f aca="false">SUMIF(Monthly_Summary!$A$5:$A$52,"LATEST_OUTLOOK",Monthly_Summary!$I$5:$I$52)</f>
        <v>18327462.9382</v>
      </c>
      <c r="G5" s="7"/>
      <c r="H5" s="7"/>
      <c r="I5" s="7"/>
      <c r="K5" s="8" t="n">
        <f aca="false">F5-A5</f>
        <v>2129700.9672</v>
      </c>
      <c r="L5" s="8"/>
      <c r="M5" s="8"/>
      <c r="N5" s="8"/>
      <c r="P5" s="9" t="n">
        <f aca="false">SUMIF(Monthly_Summary!$A$5:$A$52,"FORECAST",Monthly_Summary!$I$5:$I$52)-SUMIF(Monthly_Summary!$A$5:$A$52,"SCENARIO_COST_SAVING",Monthly_Summary!$I$5:$I$52)</f>
        <v>168354.4247</v>
      </c>
      <c r="Q5" s="9"/>
      <c r="R5" s="9"/>
      <c r="S5" s="9"/>
    </row>
    <row r="6" customFormat="false" ht="15" hidden="false" customHeight="false" outlineLevel="0" collapsed="false">
      <c r="A6" s="7"/>
      <c r="B6" s="7"/>
      <c r="C6" s="7"/>
      <c r="D6" s="7"/>
      <c r="F6" s="7"/>
      <c r="G6" s="7"/>
      <c r="H6" s="7"/>
      <c r="I6" s="7"/>
      <c r="K6" s="8"/>
      <c r="L6" s="8"/>
      <c r="M6" s="8"/>
      <c r="N6" s="8"/>
      <c r="P6" s="9"/>
      <c r="Q6" s="9"/>
      <c r="R6" s="9"/>
      <c r="S6" s="9"/>
    </row>
    <row r="7" customFormat="false" ht="15" hidden="false" customHeight="false" outlineLevel="0" collapsed="false">
      <c r="A7" s="7"/>
      <c r="B7" s="7"/>
      <c r="C7" s="7"/>
      <c r="D7" s="7"/>
      <c r="F7" s="7"/>
      <c r="G7" s="7"/>
      <c r="H7" s="7"/>
      <c r="I7" s="7"/>
      <c r="K7" s="8"/>
      <c r="L7" s="8"/>
      <c r="M7" s="8"/>
      <c r="N7" s="8"/>
      <c r="P7" s="9"/>
      <c r="Q7" s="9"/>
      <c r="R7" s="9"/>
      <c r="S7" s="9"/>
    </row>
    <row r="9" customFormat="false" ht="15" hidden="false" customHeight="true" outlineLevel="0" collapsed="false">
      <c r="A9" s="10" t="s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30" customFormat="false" ht="30" hidden="false" customHeight="true" outlineLevel="0" collapsed="false">
      <c r="A30" s="11" t="s">
        <v>7</v>
      </c>
      <c r="B30" s="12" t="s">
        <v>8</v>
      </c>
      <c r="C30" s="13" t="s">
        <v>9</v>
      </c>
      <c r="E30" s="11" t="s">
        <v>10</v>
      </c>
      <c r="F30" s="13" t="s">
        <v>11</v>
      </c>
      <c r="H30" s="11" t="s">
        <v>7</v>
      </c>
      <c r="I30" s="12" t="s">
        <v>12</v>
      </c>
      <c r="J30" s="12" t="s">
        <v>13</v>
      </c>
      <c r="K30" s="14" t="s">
        <v>14</v>
      </c>
    </row>
    <row r="31" customFormat="false" ht="15" hidden="false" customHeight="false" outlineLevel="0" collapsed="false">
      <c r="A31" s="15" t="s">
        <v>15</v>
      </c>
      <c r="B31" s="16" t="n">
        <f aca="false">Monthly_Summary!I5</f>
        <v>1194244.9786</v>
      </c>
      <c r="C31" s="16" t="n">
        <f aca="false">Monthly_Summary!I41</f>
        <v>1193234.4645</v>
      </c>
      <c r="E31" s="17" t="s">
        <v>16</v>
      </c>
      <c r="F31" s="16" t="n">
        <f aca="false">SUMIFS(Attribution!$G$5:$G$804,Attribution!$A$5:$A$804,"ACTUAL_VS_BUDGET",Attribution!$B$5:$B$804,DATE(2026,8,1),Attribution!$C$5:$C$804,"CHAIN",Attribution!$D$5:$D$804,"VOLUME",Attribution!$E$5:$E$804,"GB")</f>
        <v>85239.1844</v>
      </c>
      <c r="H31" s="15" t="s">
        <v>17</v>
      </c>
      <c r="I31" s="16" t="n">
        <f aca="false">Monthly_Summary!I25</f>
        <v>1555201.0285</v>
      </c>
      <c r="J31" s="16" t="n">
        <f aca="false">Monthly_Summary!I37</f>
        <v>1555201.0285</v>
      </c>
      <c r="K31" s="16" t="n">
        <f aca="false">J31-I31</f>
        <v>0</v>
      </c>
    </row>
    <row r="32" customFormat="false" ht="15" hidden="false" customHeight="false" outlineLevel="0" collapsed="false">
      <c r="A32" s="18" t="s">
        <v>18</v>
      </c>
      <c r="B32" s="19" t="n">
        <f aca="false">Monthly_Summary!I6</f>
        <v>1174271.9436</v>
      </c>
      <c r="C32" s="19" t="n">
        <f aca="false">Monthly_Summary!I42</f>
        <v>1187198.694</v>
      </c>
      <c r="E32" s="20" t="s">
        <v>19</v>
      </c>
      <c r="F32" s="19" t="n">
        <f aca="false">SUMIFS(Attribution!$G$5:$G$804,Attribution!$A$5:$A$804,"ACTUAL_VS_BUDGET",Attribution!$B$5:$B$804,DATE(2026,8,1),Attribution!$C$5:$C$804,"CHAIN",Attribution!$D$5:$D$804,"MIX",Attribution!$E$5:$E$804,"GB")</f>
        <v>324207.8221</v>
      </c>
      <c r="H32" s="18" t="s">
        <v>20</v>
      </c>
      <c r="I32" s="19" t="n">
        <f aca="false">Monthly_Summary!I26</f>
        <v>1665561.4262</v>
      </c>
      <c r="J32" s="19" t="n">
        <f aca="false">Monthly_Summary!I38</f>
        <v>1631664.0864</v>
      </c>
      <c r="K32" s="19" t="n">
        <f aca="false">J32-I32</f>
        <v>-33897.3398000002</v>
      </c>
    </row>
    <row r="33" customFormat="false" ht="15" hidden="false" customHeight="false" outlineLevel="0" collapsed="false">
      <c r="A33" s="18" t="s">
        <v>21</v>
      </c>
      <c r="B33" s="19" t="n">
        <f aca="false">Monthly_Summary!I7</f>
        <v>1244596.958</v>
      </c>
      <c r="C33" s="19" t="n">
        <f aca="false">Monthly_Summary!I43</f>
        <v>1276222.9253</v>
      </c>
      <c r="E33" s="20" t="s">
        <v>22</v>
      </c>
      <c r="F33" s="19" t="n">
        <f aca="false">SUMIFS(Attribution!$G$5:$G$804,Attribution!$A$5:$A$804,"ACTUAL_VS_BUDGET",Attribution!$B$5:$B$804,DATE(2026,8,1),Attribution!$C$5:$C$804,"CHAIN",Attribution!$D$5:$D$804,"EFFICIENCY",Attribution!$E$5:$E$804,"GB")</f>
        <v>64558.2789</v>
      </c>
      <c r="H33" s="18" t="s">
        <v>23</v>
      </c>
      <c r="I33" s="19" t="n">
        <f aca="false">Monthly_Summary!I27</f>
        <v>1932682.3787</v>
      </c>
      <c r="J33" s="19" t="n">
        <f aca="false">Monthly_Summary!I39</f>
        <v>1861844.6629</v>
      </c>
      <c r="K33" s="19" t="n">
        <f aca="false">J33-I33</f>
        <v>-70837.7157999999</v>
      </c>
    </row>
    <row r="34" customFormat="false" ht="15" hidden="false" customHeight="false" outlineLevel="0" collapsed="false">
      <c r="A34" s="18" t="s">
        <v>24</v>
      </c>
      <c r="B34" s="19" t="n">
        <f aca="false">Monthly_Summary!I8</f>
        <v>1264916.8566</v>
      </c>
      <c r="C34" s="19" t="n">
        <f aca="false">Monthly_Summary!I44</f>
        <v>1301423.8328</v>
      </c>
      <c r="E34" s="20" t="s">
        <v>25</v>
      </c>
      <c r="F34" s="19" t="n">
        <f aca="false">SUMIFS(Attribution!$G$5:$G$804,Attribution!$A$5:$A$804,"ACTUAL_VS_BUDGET",Attribution!$B$5:$B$804,DATE(2026,8,1),Attribution!$C$5:$C$804,"CHAIN",Attribution!$D$5:$D$804,"PRICE",Attribution!$E$5:$E$804,"GB")</f>
        <v>79960.1574</v>
      </c>
      <c r="H34" s="21" t="s">
        <v>26</v>
      </c>
      <c r="I34" s="22" t="n">
        <f aca="false">Monthly_Summary!I28</f>
        <v>2106647.848</v>
      </c>
      <c r="J34" s="22" t="n">
        <f aca="false">Monthly_Summary!I40</f>
        <v>2043028.4789</v>
      </c>
      <c r="K34" s="22" t="n">
        <f aca="false">J34-I34</f>
        <v>-63619.3691000002</v>
      </c>
    </row>
    <row r="35" customFormat="false" ht="15" hidden="false" customHeight="false" outlineLevel="0" collapsed="false">
      <c r="A35" s="18" t="s">
        <v>27</v>
      </c>
      <c r="B35" s="19" t="n">
        <f aca="false">Monthly_Summary!I9</f>
        <v>1290786.5736</v>
      </c>
      <c r="C35" s="19" t="n">
        <f aca="false">Monthly_Summary!I45</f>
        <v>1350799.5571</v>
      </c>
      <c r="E35" s="23" t="s">
        <v>28</v>
      </c>
      <c r="F35" s="22" t="n">
        <f aca="false">SUMIFS(Attribution!$G$5:$G$804,Attribution!$A$5:$A$804,"ACTUAL_VS_BUDGET",Attribution!$B$5:$B$804,DATE(2026,8,1),Attribution!$C$5:$C$804,"CHAIN",Attribution!$D$5:$D$804,"FX",Attribution!$E$5:$E$804,"GB")</f>
        <v>20508.7803</v>
      </c>
    </row>
    <row r="36" customFormat="false" ht="15" hidden="false" customHeight="false" outlineLevel="0" collapsed="false">
      <c r="A36" s="18" t="s">
        <v>29</v>
      </c>
      <c r="B36" s="19" t="n">
        <f aca="false">Monthly_Summary!I10</f>
        <v>1311279.9041</v>
      </c>
      <c r="C36" s="19" t="n">
        <f aca="false">Monthly_Summary!I46</f>
        <v>1388064.6647</v>
      </c>
    </row>
    <row r="37" customFormat="false" ht="15" hidden="false" customHeight="false" outlineLevel="0" collapsed="false">
      <c r="A37" s="18" t="s">
        <v>30</v>
      </c>
      <c r="B37" s="19" t="n">
        <f aca="false">Monthly_Summary!I11</f>
        <v>1337669.9166</v>
      </c>
      <c r="C37" s="19" t="n">
        <f aca="false">Monthly_Summary!I47</f>
        <v>1453534.1209</v>
      </c>
    </row>
    <row r="38" customFormat="false" ht="15" hidden="false" customHeight="false" outlineLevel="0" collapsed="false">
      <c r="A38" s="18" t="s">
        <v>31</v>
      </c>
      <c r="B38" s="19" t="n">
        <f aca="false">Monthly_Summary!I12</f>
        <v>1296336.3921</v>
      </c>
      <c r="C38" s="19" t="n">
        <f aca="false">Monthly_Summary!I48</f>
        <v>1916891.9975</v>
      </c>
    </row>
    <row r="39" customFormat="false" ht="15" hidden="false" customHeight="false" outlineLevel="0" collapsed="false">
      <c r="A39" s="18" t="s">
        <v>17</v>
      </c>
      <c r="B39" s="19" t="n">
        <f aca="false">Monthly_Summary!I13</f>
        <v>1302117.664</v>
      </c>
      <c r="C39" s="19" t="n">
        <f aca="false">Monthly_Summary!I49</f>
        <v>1555201.0285</v>
      </c>
    </row>
    <row r="40" customFormat="false" ht="15" hidden="false" customHeight="false" outlineLevel="0" collapsed="false">
      <c r="A40" s="18" t="s">
        <v>20</v>
      </c>
      <c r="B40" s="19" t="n">
        <f aca="false">Monthly_Summary!I14</f>
        <v>1402987.8363</v>
      </c>
      <c r="C40" s="19" t="n">
        <f aca="false">Monthly_Summary!I50</f>
        <v>1665561.4262</v>
      </c>
    </row>
    <row r="41" customFormat="false" ht="15" hidden="false" customHeight="false" outlineLevel="0" collapsed="false">
      <c r="A41" s="18" t="s">
        <v>23</v>
      </c>
      <c r="B41" s="19" t="n">
        <f aca="false">Monthly_Summary!I15</f>
        <v>1597075.6164</v>
      </c>
      <c r="C41" s="19" t="n">
        <f aca="false">Monthly_Summary!I51</f>
        <v>1932682.3787</v>
      </c>
    </row>
    <row r="42" customFormat="false" ht="15" hidden="false" customHeight="false" outlineLevel="0" collapsed="false">
      <c r="A42" s="21" t="s">
        <v>26</v>
      </c>
      <c r="B42" s="22" t="n">
        <f aca="false">Monthly_Summary!I16</f>
        <v>1781477.3311</v>
      </c>
      <c r="C42" s="22" t="n">
        <f aca="false">Monthly_Summary!I52</f>
        <v>2106647.848</v>
      </c>
    </row>
  </sheetData>
  <mergeCells count="11">
    <mergeCell ref="A1:S1"/>
    <mergeCell ref="A2:S2"/>
    <mergeCell ref="A4:D4"/>
    <mergeCell ref="F4:I4"/>
    <mergeCell ref="K4:N4"/>
    <mergeCell ref="P4:S4"/>
    <mergeCell ref="A5:D7"/>
    <mergeCell ref="F5:I7"/>
    <mergeCell ref="K5:N7"/>
    <mergeCell ref="P5:S7"/>
    <mergeCell ref="A9:S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8"/>
  </cols>
  <sheetData>
    <row r="1" customFormat="false" ht="32" hidden="false" customHeight="true" outlineLevel="0" collapsed="false">
      <c r="A1" s="24" t="s">
        <v>32</v>
      </c>
      <c r="B1" s="24"/>
      <c r="C1" s="24"/>
      <c r="D1" s="24"/>
    </row>
    <row r="2" customFormat="false" ht="28" hidden="false" customHeight="true" outlineLevel="0" collapsed="false">
      <c r="A2" s="2" t="s">
        <v>33</v>
      </c>
      <c r="B2" s="2"/>
      <c r="C2" s="2"/>
      <c r="D2" s="2"/>
    </row>
    <row r="4" customFormat="false" ht="30" hidden="false" customHeight="true" outlineLevel="0" collapsed="false">
      <c r="A4" s="11" t="s">
        <v>34</v>
      </c>
      <c r="B4" s="25" t="s">
        <v>35</v>
      </c>
      <c r="C4" s="25" t="s">
        <v>36</v>
      </c>
      <c r="D4" s="14" t="s">
        <v>37</v>
      </c>
    </row>
    <row r="5" customFormat="false" ht="37.3" hidden="false" customHeight="false" outlineLevel="0" collapsed="false">
      <c r="A5" s="26" t="s">
        <v>38</v>
      </c>
      <c r="B5" s="27" t="s">
        <v>39</v>
      </c>
      <c r="C5" s="28" t="s">
        <v>40</v>
      </c>
      <c r="D5" s="27" t="s">
        <v>41</v>
      </c>
    </row>
    <row r="6" customFormat="false" ht="15" hidden="false" customHeight="false" outlineLevel="0" collapsed="false">
      <c r="A6" s="29" t="s">
        <v>38</v>
      </c>
      <c r="B6" s="30" t="s">
        <v>42</v>
      </c>
      <c r="C6" s="31" t="s">
        <v>43</v>
      </c>
      <c r="D6" s="30" t="s">
        <v>44</v>
      </c>
    </row>
    <row r="7" customFormat="false" ht="15" hidden="false" customHeight="false" outlineLevel="0" collapsed="false">
      <c r="A7" s="29" t="s">
        <v>38</v>
      </c>
      <c r="B7" s="30" t="s">
        <v>45</v>
      </c>
      <c r="C7" s="31" t="s">
        <v>46</v>
      </c>
      <c r="D7" s="32" t="s">
        <v>47</v>
      </c>
    </row>
    <row r="8" customFormat="false" ht="25.3" hidden="false" customHeight="false" outlineLevel="0" collapsed="false">
      <c r="A8" s="29" t="s">
        <v>38</v>
      </c>
      <c r="B8" s="30" t="s">
        <v>48</v>
      </c>
      <c r="C8" s="31" t="s">
        <v>49</v>
      </c>
      <c r="D8" s="32" t="s">
        <v>50</v>
      </c>
    </row>
    <row r="9" customFormat="false" ht="15" hidden="false" customHeight="false" outlineLevel="0" collapsed="false">
      <c r="A9" s="29" t="s">
        <v>38</v>
      </c>
      <c r="B9" s="30" t="s">
        <v>51</v>
      </c>
      <c r="C9" s="31" t="s">
        <v>52</v>
      </c>
      <c r="D9" s="30" t="s">
        <v>53</v>
      </c>
    </row>
    <row r="10" customFormat="false" ht="15" hidden="false" customHeight="false" outlineLevel="0" collapsed="false">
      <c r="A10" s="29" t="s">
        <v>38</v>
      </c>
      <c r="B10" s="30" t="s">
        <v>54</v>
      </c>
      <c r="C10" s="31" t="s">
        <v>55</v>
      </c>
      <c r="D10" s="30" t="s">
        <v>56</v>
      </c>
    </row>
    <row r="11" customFormat="false" ht="15" hidden="false" customHeight="false" outlineLevel="0" collapsed="false">
      <c r="A11" s="29" t="s">
        <v>38</v>
      </c>
      <c r="B11" s="30" t="s">
        <v>57</v>
      </c>
      <c r="C11" s="31" t="s">
        <v>58</v>
      </c>
      <c r="D11" s="30" t="s">
        <v>59</v>
      </c>
    </row>
    <row r="12" customFormat="false" ht="15" hidden="false" customHeight="false" outlineLevel="0" collapsed="false">
      <c r="A12" s="29" t="s">
        <v>38</v>
      </c>
      <c r="B12" s="30" t="s">
        <v>60</v>
      </c>
      <c r="C12" s="33" t="s">
        <v>61</v>
      </c>
      <c r="D12" s="30" t="s">
        <v>62</v>
      </c>
    </row>
    <row r="13" customFormat="false" ht="15" hidden="false" customHeight="false" outlineLevel="0" collapsed="false">
      <c r="A13" s="29" t="s">
        <v>38</v>
      </c>
      <c r="B13" s="30" t="s">
        <v>63</v>
      </c>
      <c r="C13" s="33" t="s">
        <v>64</v>
      </c>
      <c r="D13" s="30" t="s">
        <v>65</v>
      </c>
    </row>
    <row r="14" customFormat="false" ht="15" hidden="false" customHeight="false" outlineLevel="0" collapsed="false">
      <c r="A14" s="29" t="s">
        <v>38</v>
      </c>
      <c r="B14" s="30" t="s">
        <v>66</v>
      </c>
      <c r="C14" s="31" t="s">
        <v>67</v>
      </c>
      <c r="D14" s="30" t="s">
        <v>68</v>
      </c>
    </row>
    <row r="15" customFormat="false" ht="15" hidden="false" customHeight="false" outlineLevel="0" collapsed="false">
      <c r="A15" s="29" t="s">
        <v>69</v>
      </c>
      <c r="B15" s="32" t="s">
        <v>70</v>
      </c>
      <c r="C15" s="33" t="s">
        <v>71</v>
      </c>
      <c r="D15" s="30" t="s">
        <v>72</v>
      </c>
    </row>
    <row r="16" customFormat="false" ht="15" hidden="false" customHeight="false" outlineLevel="0" collapsed="false">
      <c r="A16" s="29" t="s">
        <v>69</v>
      </c>
      <c r="B16" s="32" t="s">
        <v>73</v>
      </c>
      <c r="C16" s="31" t="s">
        <v>74</v>
      </c>
      <c r="D16" s="30" t="s">
        <v>75</v>
      </c>
    </row>
    <row r="17" customFormat="false" ht="15" hidden="false" customHeight="false" outlineLevel="0" collapsed="false">
      <c r="A17" s="29" t="s">
        <v>69</v>
      </c>
      <c r="B17" s="32" t="s">
        <v>76</v>
      </c>
      <c r="C17" s="31" t="s">
        <v>77</v>
      </c>
      <c r="D17" s="30" t="s">
        <v>78</v>
      </c>
    </row>
    <row r="18" customFormat="false" ht="15" hidden="false" customHeight="false" outlineLevel="0" collapsed="false">
      <c r="A18" s="29" t="s">
        <v>69</v>
      </c>
      <c r="B18" s="30" t="s">
        <v>79</v>
      </c>
      <c r="C18" s="33" t="s">
        <v>80</v>
      </c>
      <c r="D18" s="30" t="s">
        <v>81</v>
      </c>
    </row>
    <row r="19" customFormat="false" ht="15" hidden="false" customHeight="false" outlineLevel="0" collapsed="false">
      <c r="A19" s="34" t="s">
        <v>82</v>
      </c>
      <c r="B19" s="35" t="s">
        <v>83</v>
      </c>
      <c r="C19" s="36" t="s">
        <v>84</v>
      </c>
      <c r="D19" s="35" t="s">
        <v>85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5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2" hidden="false" customHeight="true" outlineLevel="0" collapsed="false">
      <c r="A1" s="24" t="s">
        <v>86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8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7" t="s">
        <v>88</v>
      </c>
      <c r="B4" s="25" t="s">
        <v>89</v>
      </c>
      <c r="C4" s="25" t="s">
        <v>90</v>
      </c>
      <c r="D4" s="25" t="s">
        <v>91</v>
      </c>
      <c r="E4" s="25" t="s">
        <v>92</v>
      </c>
      <c r="F4" s="25" t="s">
        <v>93</v>
      </c>
      <c r="G4" s="25" t="s">
        <v>94</v>
      </c>
      <c r="H4" s="25" t="s">
        <v>95</v>
      </c>
      <c r="I4" s="25" t="s">
        <v>96</v>
      </c>
      <c r="J4" s="14" t="s">
        <v>97</v>
      </c>
    </row>
    <row r="5" customFormat="false" ht="15" hidden="false" customHeight="false" outlineLevel="0" collapsed="false">
      <c r="A5" s="38" t="s">
        <v>98</v>
      </c>
      <c r="B5" s="38" t="s">
        <v>99</v>
      </c>
      <c r="C5" s="38" t="s">
        <v>100</v>
      </c>
      <c r="D5" s="38" t="s">
        <v>101</v>
      </c>
      <c r="E5" s="38" t="s">
        <v>102</v>
      </c>
      <c r="F5" s="39" t="n">
        <v>46023</v>
      </c>
      <c r="G5" s="39"/>
      <c r="H5" s="38" t="s">
        <v>103</v>
      </c>
      <c r="I5" s="27" t="s">
        <v>104</v>
      </c>
      <c r="J5" s="38" t="s">
        <v>105</v>
      </c>
    </row>
    <row r="6" customFormat="false" ht="15" hidden="false" customHeight="false" outlineLevel="0" collapsed="false">
      <c r="A6" s="32" t="s">
        <v>106</v>
      </c>
      <c r="B6" s="32" t="s">
        <v>99</v>
      </c>
      <c r="C6" s="32" t="s">
        <v>100</v>
      </c>
      <c r="D6" s="32" t="s">
        <v>107</v>
      </c>
      <c r="E6" s="32" t="s">
        <v>102</v>
      </c>
      <c r="F6" s="40" t="n">
        <v>46023</v>
      </c>
      <c r="G6" s="40"/>
      <c r="H6" s="32" t="s">
        <v>103</v>
      </c>
      <c r="I6" s="30" t="s">
        <v>104</v>
      </c>
      <c r="J6" s="32" t="s">
        <v>108</v>
      </c>
    </row>
    <row r="7" customFormat="false" ht="15" hidden="false" customHeight="false" outlineLevel="0" collapsed="false">
      <c r="A7" s="32" t="s">
        <v>109</v>
      </c>
      <c r="B7" s="32" t="s">
        <v>99</v>
      </c>
      <c r="C7" s="32" t="s">
        <v>110</v>
      </c>
      <c r="D7" s="32" t="s">
        <v>107</v>
      </c>
      <c r="E7" s="32" t="s">
        <v>102</v>
      </c>
      <c r="F7" s="40" t="n">
        <v>46023</v>
      </c>
      <c r="G7" s="40"/>
      <c r="H7" s="32" t="s">
        <v>103</v>
      </c>
      <c r="I7" s="30" t="s">
        <v>104</v>
      </c>
      <c r="J7" s="32" t="s">
        <v>111</v>
      </c>
    </row>
    <row r="8" customFormat="false" ht="15" hidden="false" customHeight="false" outlineLevel="0" collapsed="false">
      <c r="A8" s="32" t="s">
        <v>112</v>
      </c>
      <c r="B8" s="32" t="s">
        <v>113</v>
      </c>
      <c r="C8" s="32" t="s">
        <v>110</v>
      </c>
      <c r="D8" s="32" t="s">
        <v>101</v>
      </c>
      <c r="E8" s="32" t="s">
        <v>102</v>
      </c>
      <c r="F8" s="40" t="n">
        <v>46023</v>
      </c>
      <c r="G8" s="40"/>
      <c r="H8" s="32" t="s">
        <v>103</v>
      </c>
      <c r="I8" s="30" t="s">
        <v>114</v>
      </c>
      <c r="J8" s="32" t="s">
        <v>115</v>
      </c>
    </row>
    <row r="9" customFormat="false" ht="15" hidden="false" customHeight="false" outlineLevel="0" collapsed="false">
      <c r="A9" s="32" t="s">
        <v>116</v>
      </c>
      <c r="B9" s="32" t="s">
        <v>113</v>
      </c>
      <c r="C9" s="32" t="s">
        <v>110</v>
      </c>
      <c r="D9" s="32" t="s">
        <v>107</v>
      </c>
      <c r="E9" s="32" t="s">
        <v>102</v>
      </c>
      <c r="F9" s="40" t="n">
        <v>46023</v>
      </c>
      <c r="G9" s="40"/>
      <c r="H9" s="32" t="s">
        <v>103</v>
      </c>
      <c r="I9" s="30" t="s">
        <v>114</v>
      </c>
      <c r="J9" s="32" t="s">
        <v>117</v>
      </c>
    </row>
    <row r="10" customFormat="false" ht="15" hidden="false" customHeight="false" outlineLevel="0" collapsed="false">
      <c r="A10" s="32" t="s">
        <v>118</v>
      </c>
      <c r="B10" s="32" t="s">
        <v>119</v>
      </c>
      <c r="C10" s="32" t="s">
        <v>100</v>
      </c>
      <c r="D10" s="32" t="s">
        <v>101</v>
      </c>
      <c r="E10" s="32" t="s">
        <v>102</v>
      </c>
      <c r="F10" s="40" t="n">
        <v>46023</v>
      </c>
      <c r="G10" s="40"/>
      <c r="H10" s="32" t="s">
        <v>103</v>
      </c>
      <c r="I10" s="30" t="s">
        <v>120</v>
      </c>
      <c r="J10" s="32" t="s">
        <v>121</v>
      </c>
    </row>
    <row r="11" customFormat="false" ht="15" hidden="false" customHeight="false" outlineLevel="0" collapsed="false">
      <c r="A11" s="32" t="s">
        <v>122</v>
      </c>
      <c r="B11" s="32" t="s">
        <v>119</v>
      </c>
      <c r="C11" s="32" t="s">
        <v>100</v>
      </c>
      <c r="D11" s="32" t="s">
        <v>107</v>
      </c>
      <c r="E11" s="32" t="s">
        <v>102</v>
      </c>
      <c r="F11" s="40" t="n">
        <v>46023</v>
      </c>
      <c r="G11" s="40"/>
      <c r="H11" s="32" t="s">
        <v>103</v>
      </c>
      <c r="I11" s="30" t="s">
        <v>120</v>
      </c>
      <c r="J11" s="32" t="s">
        <v>123</v>
      </c>
    </row>
    <row r="12" customFormat="false" ht="15" hidden="false" customHeight="false" outlineLevel="0" collapsed="false">
      <c r="A12" s="32" t="s">
        <v>124</v>
      </c>
      <c r="B12" s="32" t="s">
        <v>119</v>
      </c>
      <c r="C12" s="32" t="s">
        <v>100</v>
      </c>
      <c r="D12" s="32" t="s">
        <v>107</v>
      </c>
      <c r="E12" s="32" t="s">
        <v>125</v>
      </c>
      <c r="F12" s="40" t="n">
        <v>46023</v>
      </c>
      <c r="G12" s="40"/>
      <c r="H12" s="32" t="s">
        <v>103</v>
      </c>
      <c r="I12" s="30" t="s">
        <v>120</v>
      </c>
      <c r="J12" s="32" t="s">
        <v>126</v>
      </c>
    </row>
    <row r="13" customFormat="false" ht="15" hidden="false" customHeight="false" outlineLevel="0" collapsed="false">
      <c r="A13" s="32" t="s">
        <v>127</v>
      </c>
      <c r="B13" s="32" t="s">
        <v>119</v>
      </c>
      <c r="C13" s="32" t="s">
        <v>100</v>
      </c>
      <c r="D13" s="32" t="s">
        <v>128</v>
      </c>
      <c r="E13" s="32" t="s">
        <v>125</v>
      </c>
      <c r="F13" s="40" t="n">
        <v>46023</v>
      </c>
      <c r="G13" s="40"/>
      <c r="H13" s="32" t="s">
        <v>103</v>
      </c>
      <c r="I13" s="30" t="s">
        <v>120</v>
      </c>
      <c r="J13" s="32" t="s">
        <v>129</v>
      </c>
    </row>
    <row r="14" customFormat="false" ht="15" hidden="false" customHeight="false" outlineLevel="0" collapsed="false">
      <c r="A14" s="41" t="s">
        <v>130</v>
      </c>
      <c r="B14" s="41" t="s">
        <v>119</v>
      </c>
      <c r="C14" s="41" t="s">
        <v>110</v>
      </c>
      <c r="D14" s="41" t="s">
        <v>107</v>
      </c>
      <c r="E14" s="41" t="s">
        <v>125</v>
      </c>
      <c r="F14" s="42" t="n">
        <v>46023</v>
      </c>
      <c r="G14" s="42"/>
      <c r="H14" s="41" t="s">
        <v>103</v>
      </c>
      <c r="I14" s="35" t="s">
        <v>120</v>
      </c>
      <c r="J14" s="41" t="s">
        <v>131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1" style="0" width="16"/>
    <col collapsed="false" customWidth="true" hidden="false" outlineLevel="0" max="55" min="10" style="0" width="13"/>
    <col collapsed="false" customWidth="true" hidden="false" outlineLevel="0" max="59" min="56" style="0" width="30"/>
  </cols>
  <sheetData>
    <row r="1" customFormat="false" ht="32" hidden="false" customHeight="true" outlineLevel="0" collapsed="false">
      <c r="A1" s="24" t="s">
        <v>132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customFormat="false" ht="28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  <c r="J4" s="12" t="s">
        <v>143</v>
      </c>
      <c r="K4" s="12" t="s">
        <v>144</v>
      </c>
      <c r="L4" s="12" t="s">
        <v>145</v>
      </c>
      <c r="M4" s="12" t="s">
        <v>146</v>
      </c>
      <c r="N4" s="12" t="s">
        <v>147</v>
      </c>
      <c r="O4" s="12" t="s">
        <v>148</v>
      </c>
      <c r="P4" s="12" t="s">
        <v>149</v>
      </c>
      <c r="Q4" s="12" t="s">
        <v>150</v>
      </c>
      <c r="R4" s="12" t="s">
        <v>151</v>
      </c>
      <c r="S4" s="12" t="s">
        <v>152</v>
      </c>
      <c r="T4" s="12" t="s">
        <v>153</v>
      </c>
      <c r="U4" s="12" t="s">
        <v>154</v>
      </c>
      <c r="V4" s="12" t="s">
        <v>155</v>
      </c>
      <c r="W4" s="12" t="s">
        <v>156</v>
      </c>
      <c r="X4" s="12" t="s">
        <v>157</v>
      </c>
      <c r="Y4" s="12" t="s">
        <v>158</v>
      </c>
      <c r="Z4" s="12" t="s">
        <v>159</v>
      </c>
      <c r="AA4" s="12" t="s">
        <v>160</v>
      </c>
      <c r="AB4" s="12" t="s">
        <v>161</v>
      </c>
      <c r="AC4" s="12" t="s">
        <v>162</v>
      </c>
      <c r="AD4" s="12" t="s">
        <v>163</v>
      </c>
      <c r="AE4" s="12" t="s">
        <v>164</v>
      </c>
      <c r="AF4" s="12" t="s">
        <v>165</v>
      </c>
      <c r="AG4" s="12" t="s">
        <v>166</v>
      </c>
      <c r="AH4" s="12" t="s">
        <v>167</v>
      </c>
      <c r="AI4" s="12" t="s">
        <v>168</v>
      </c>
      <c r="AJ4" s="12" t="s">
        <v>169</v>
      </c>
      <c r="AK4" s="12" t="s">
        <v>170</v>
      </c>
      <c r="AL4" s="12" t="s">
        <v>171</v>
      </c>
      <c r="AM4" s="12" t="s">
        <v>172</v>
      </c>
      <c r="AN4" s="12" t="s">
        <v>173</v>
      </c>
      <c r="AO4" s="12" t="s">
        <v>174</v>
      </c>
      <c r="AP4" s="12" t="s">
        <v>175</v>
      </c>
      <c r="AQ4" s="12" t="s">
        <v>176</v>
      </c>
      <c r="AR4" s="12" t="s">
        <v>177</v>
      </c>
      <c r="AS4" s="12" t="s">
        <v>178</v>
      </c>
      <c r="AT4" s="12" t="s">
        <v>179</v>
      </c>
      <c r="AU4" s="12" t="s">
        <v>180</v>
      </c>
      <c r="AV4" s="12" t="s">
        <v>181</v>
      </c>
      <c r="AW4" s="12" t="s">
        <v>182</v>
      </c>
      <c r="AX4" s="12" t="s">
        <v>183</v>
      </c>
      <c r="AY4" s="12" t="s">
        <v>184</v>
      </c>
      <c r="AZ4" s="12" t="s">
        <v>185</v>
      </c>
      <c r="BA4" s="12" t="s">
        <v>186</v>
      </c>
      <c r="BB4" s="12" t="s">
        <v>187</v>
      </c>
      <c r="BC4" s="12" t="s">
        <v>188</v>
      </c>
      <c r="BD4" s="12" t="s">
        <v>189</v>
      </c>
      <c r="BE4" s="12" t="s">
        <v>190</v>
      </c>
      <c r="BF4" s="12" t="s">
        <v>191</v>
      </c>
      <c r="BG4" s="13" t="s">
        <v>192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98</v>
      </c>
      <c r="F5" s="15" t="s">
        <v>99</v>
      </c>
      <c r="G5" s="15" t="s">
        <v>100</v>
      </c>
      <c r="H5" s="15" t="s">
        <v>101</v>
      </c>
      <c r="I5" s="15" t="s">
        <v>102</v>
      </c>
      <c r="J5" s="44" t="n">
        <v>14000</v>
      </c>
      <c r="K5" s="45" t="n">
        <v>0.42</v>
      </c>
      <c r="L5" s="45" t="n">
        <v>0.97</v>
      </c>
      <c r="M5" s="45" t="n">
        <v>0.6</v>
      </c>
      <c r="N5" s="46" t="n">
        <f aca="false">J5*K5*L5*M5</f>
        <v>3422.16</v>
      </c>
      <c r="O5" s="44" t="n">
        <v>1.05</v>
      </c>
      <c r="P5" s="46" t="n">
        <f aca="false">N5*O5</f>
        <v>3593.268</v>
      </c>
      <c r="Q5" s="44" t="n">
        <v>0.78</v>
      </c>
      <c r="R5" s="46" t="n">
        <f aca="false">P5*Q5</f>
        <v>2802.74904</v>
      </c>
      <c r="S5" s="44" t="n">
        <v>0.05</v>
      </c>
      <c r="T5" s="46" t="n">
        <f aca="false">N5*S5</f>
        <v>171.108</v>
      </c>
      <c r="U5" s="46" t="n">
        <v>0.016</v>
      </c>
      <c r="V5" s="46" t="n">
        <f aca="false">P5*U5</f>
        <v>57.492288</v>
      </c>
      <c r="W5" s="47" t="s">
        <v>195</v>
      </c>
      <c r="X5" s="44" t="n">
        <v>2.2</v>
      </c>
      <c r="Y5" s="47" t="s">
        <v>196</v>
      </c>
      <c r="Z5" s="44" t="n">
        <v>0.095</v>
      </c>
      <c r="AA5" s="44" t="n">
        <v>7.8</v>
      </c>
      <c r="AB5" s="44" t="n">
        <v>9</v>
      </c>
      <c r="AC5" s="46" t="n">
        <f aca="false">IF(W5="EUR",AA5,IF(W5="GBP",AB5,1))</f>
        <v>7.8</v>
      </c>
      <c r="AD5" s="46" t="n">
        <f aca="false">R5*X5</f>
        <v>6166.047888</v>
      </c>
      <c r="AE5" s="46" t="n">
        <f aca="false">IF(Y5="PERCENTAGE_OF_BASE_FREIGHT",AD5*Z5,IF(Y5="PER_CHARGEABLE_KG",R5*Z5,P5*Z5))</f>
        <v>585.77454936</v>
      </c>
      <c r="AF5" s="46" t="n">
        <f aca="false">AD5*AC5</f>
        <v>48095.1735264</v>
      </c>
      <c r="AG5" s="46" t="n">
        <f aca="false">AE5*AC5</f>
        <v>4569.041485008</v>
      </c>
      <c r="AH5" s="46" t="s">
        <v>195</v>
      </c>
      <c r="AI5" s="46" t="n">
        <v>1.18</v>
      </c>
      <c r="AJ5" s="46" t="n">
        <f aca="false">IF(AH5="EUR",AA5,IF(AH5="GBP",AB5,1))</f>
        <v>7.8</v>
      </c>
      <c r="AK5" s="46" t="n">
        <f aca="false">N5*AI5</f>
        <v>4038.1488</v>
      </c>
      <c r="AL5" s="46" t="n">
        <f aca="false">AK5*AJ5</f>
        <v>31497.56064</v>
      </c>
      <c r="AM5" s="46" t="s">
        <v>195</v>
      </c>
      <c r="AN5" s="46" t="n">
        <v>0.42</v>
      </c>
      <c r="AO5" s="46" t="n">
        <f aca="false">IF(AM5="EUR",AA5,IF(AM5="GBP",AB5,1))</f>
        <v>7.8</v>
      </c>
      <c r="AP5" s="46" t="n">
        <f aca="false">P5*AN5</f>
        <v>1509.17256</v>
      </c>
      <c r="AQ5" s="46" t="n">
        <f aca="false">AP5*AO5</f>
        <v>11771.545968</v>
      </c>
      <c r="AR5" s="46" t="s">
        <v>195</v>
      </c>
      <c r="AS5" s="46" t="n">
        <v>3.2</v>
      </c>
      <c r="AT5" s="46" t="n">
        <f aca="false">IF(AR5="EUR",AA5,IF(AR5="GBP",AB5,1))</f>
        <v>7.8</v>
      </c>
      <c r="AU5" s="46" t="n">
        <f aca="false">T5*AS5</f>
        <v>547.5456</v>
      </c>
      <c r="AV5" s="46" t="n">
        <f aca="false">AU5*AT5</f>
        <v>4270.85568</v>
      </c>
      <c r="AW5" s="46" t="s">
        <v>195</v>
      </c>
      <c r="AX5" s="46" t="n">
        <v>2.3</v>
      </c>
      <c r="AY5" s="46" t="n">
        <f aca="false">IF(AW5="EUR",AA5,IF(AW5="GBP",AB5,1))</f>
        <v>7.8</v>
      </c>
      <c r="AZ5" s="46" t="n">
        <f aca="false">V5*AX5</f>
        <v>132.2322624</v>
      </c>
      <c r="BA5" s="46" t="n">
        <f aca="false">AZ5*AY5</f>
        <v>1031.41164672</v>
      </c>
      <c r="BB5" s="46" t="n">
        <f aca="false">AF5+AG5+AL5+AQ5+AV5+BA5</f>
        <v>101235.588946128</v>
      </c>
      <c r="BC5" s="48" t="n">
        <v>0.965</v>
      </c>
      <c r="BD5" s="38"/>
      <c r="BE5" s="38"/>
      <c r="BF5" s="38"/>
      <c r="BG5" s="38" t="s">
        <v>197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106</v>
      </c>
      <c r="F6" s="18" t="s">
        <v>99</v>
      </c>
      <c r="G6" s="18" t="s">
        <v>100</v>
      </c>
      <c r="H6" s="18" t="s">
        <v>107</v>
      </c>
      <c r="I6" s="18" t="s">
        <v>102</v>
      </c>
      <c r="J6" s="50" t="n">
        <v>14000</v>
      </c>
      <c r="K6" s="51" t="n">
        <v>0.42</v>
      </c>
      <c r="L6" s="51" t="n">
        <v>0.97</v>
      </c>
      <c r="M6" s="51" t="n">
        <v>0.4</v>
      </c>
      <c r="N6" s="52" t="n">
        <f aca="false">J6*K6*L6*M6</f>
        <v>2281.44</v>
      </c>
      <c r="O6" s="50" t="n">
        <v>1.05</v>
      </c>
      <c r="P6" s="52" t="n">
        <f aca="false">N6*O6</f>
        <v>2395.512</v>
      </c>
      <c r="Q6" s="50" t="n">
        <v>0.8</v>
      </c>
      <c r="R6" s="52" t="n">
        <f aca="false">P6*Q6</f>
        <v>1916.4096</v>
      </c>
      <c r="S6" s="50" t="n">
        <v>0.05</v>
      </c>
      <c r="T6" s="52" t="n">
        <f aca="false">N6*S6</f>
        <v>114.072</v>
      </c>
      <c r="U6" s="52" t="n">
        <v>0.013</v>
      </c>
      <c r="V6" s="52" t="n">
        <f aca="false">P6*U6</f>
        <v>31.141656</v>
      </c>
      <c r="W6" s="53" t="s">
        <v>195</v>
      </c>
      <c r="X6" s="50" t="n">
        <v>2.75</v>
      </c>
      <c r="Y6" s="53" t="s">
        <v>198</v>
      </c>
      <c r="Z6" s="50" t="n">
        <v>0.21</v>
      </c>
      <c r="AA6" s="50" t="n">
        <v>7.8</v>
      </c>
      <c r="AB6" s="50" t="n">
        <v>9</v>
      </c>
      <c r="AC6" s="52" t="n">
        <f aca="false">IF(W6="EUR",AA6,IF(W6="GBP",AB6,1))</f>
        <v>7.8</v>
      </c>
      <c r="AD6" s="52" t="n">
        <f aca="false">R6*X6</f>
        <v>5270.1264</v>
      </c>
      <c r="AE6" s="52" t="n">
        <f aca="false">IF(Y6="PERCENTAGE_OF_BASE_FREIGHT",AD6*Z6,IF(Y6="PER_CHARGEABLE_KG",R6*Z6,P6*Z6))</f>
        <v>402.446016</v>
      </c>
      <c r="AF6" s="52" t="n">
        <f aca="false">AD6*AC6</f>
        <v>41106.98592</v>
      </c>
      <c r="AG6" s="52" t="n">
        <f aca="false">AE6*AC6</f>
        <v>3139.0789248</v>
      </c>
      <c r="AH6" s="52" t="s">
        <v>195</v>
      </c>
      <c r="AI6" s="52" t="n">
        <v>1.18</v>
      </c>
      <c r="AJ6" s="52" t="n">
        <f aca="false">IF(AH6="EUR",AA6,IF(AH6="GBP",AB6,1))</f>
        <v>7.8</v>
      </c>
      <c r="AK6" s="52" t="n">
        <f aca="false">N6*AI6</f>
        <v>2692.0992</v>
      </c>
      <c r="AL6" s="52" t="n">
        <f aca="false">AK6*AJ6</f>
        <v>20998.37376</v>
      </c>
      <c r="AM6" s="52" t="s">
        <v>195</v>
      </c>
      <c r="AN6" s="52" t="n">
        <v>0.42</v>
      </c>
      <c r="AO6" s="52" t="n">
        <f aca="false">IF(AM6="EUR",AA6,IF(AM6="GBP",AB6,1))</f>
        <v>7.8</v>
      </c>
      <c r="AP6" s="52" t="n">
        <f aca="false">P6*AN6</f>
        <v>1006.11504</v>
      </c>
      <c r="AQ6" s="52" t="n">
        <f aca="false">AP6*AO6</f>
        <v>7847.697312</v>
      </c>
      <c r="AR6" s="52" t="s">
        <v>195</v>
      </c>
      <c r="AS6" s="52" t="n">
        <v>3.2</v>
      </c>
      <c r="AT6" s="52" t="n">
        <f aca="false">IF(AR6="EUR",AA6,IF(AR6="GBP",AB6,1))</f>
        <v>7.8</v>
      </c>
      <c r="AU6" s="52" t="n">
        <f aca="false">T6*AS6</f>
        <v>365.0304</v>
      </c>
      <c r="AV6" s="52" t="n">
        <f aca="false">AU6*AT6</f>
        <v>2847.23712</v>
      </c>
      <c r="AW6" s="52" t="s">
        <v>195</v>
      </c>
      <c r="AX6" s="52" t="n">
        <v>2.3</v>
      </c>
      <c r="AY6" s="52" t="n">
        <f aca="false">IF(AW6="EUR",AA6,IF(AW6="GBP",AB6,1))</f>
        <v>7.8</v>
      </c>
      <c r="AZ6" s="52" t="n">
        <f aca="false">V6*AX6</f>
        <v>71.6258088</v>
      </c>
      <c r="BA6" s="52" t="n">
        <f aca="false">AZ6*AY6</f>
        <v>558.68130864</v>
      </c>
      <c r="BB6" s="52" t="n">
        <f aca="false">AF6+AG6+AL6+AQ6+AV6+BA6</f>
        <v>76498.05434544</v>
      </c>
      <c r="BC6" s="54" t="n">
        <v>0.976</v>
      </c>
      <c r="BD6" s="32"/>
      <c r="BE6" s="32"/>
      <c r="BF6" s="32"/>
      <c r="BG6" s="32" t="s">
        <v>197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109</v>
      </c>
      <c r="F7" s="18" t="s">
        <v>99</v>
      </c>
      <c r="G7" s="18" t="s">
        <v>110</v>
      </c>
      <c r="H7" s="18" t="s">
        <v>107</v>
      </c>
      <c r="I7" s="18" t="s">
        <v>102</v>
      </c>
      <c r="J7" s="50" t="n">
        <v>14000</v>
      </c>
      <c r="K7" s="51" t="n">
        <v>0.42</v>
      </c>
      <c r="L7" s="51" t="n">
        <v>0.03</v>
      </c>
      <c r="M7" s="51" t="n">
        <v>1</v>
      </c>
      <c r="N7" s="52" t="n">
        <f aca="false">J7*K7*L7*M7</f>
        <v>176.4</v>
      </c>
      <c r="O7" s="50" t="n">
        <v>1.08</v>
      </c>
      <c r="P7" s="52" t="n">
        <f aca="false">N7*O7</f>
        <v>190.512</v>
      </c>
      <c r="Q7" s="50" t="n">
        <v>0.86</v>
      </c>
      <c r="R7" s="52" t="n">
        <f aca="false">P7*Q7</f>
        <v>163.84032</v>
      </c>
      <c r="S7" s="50" t="n">
        <v>0.05</v>
      </c>
      <c r="T7" s="52" t="n">
        <f aca="false">N7*S7</f>
        <v>8.82</v>
      </c>
      <c r="U7" s="52" t="n">
        <v>0.014</v>
      </c>
      <c r="V7" s="52" t="n">
        <f aca="false">P7*U7</f>
        <v>2.667168</v>
      </c>
      <c r="W7" s="53" t="s">
        <v>195</v>
      </c>
      <c r="X7" s="50" t="n">
        <v>3.3</v>
      </c>
      <c r="Y7" s="53" t="s">
        <v>198</v>
      </c>
      <c r="Z7" s="50" t="n">
        <v>0.24</v>
      </c>
      <c r="AA7" s="50" t="n">
        <v>7.8</v>
      </c>
      <c r="AB7" s="50" t="n">
        <v>9</v>
      </c>
      <c r="AC7" s="52" t="n">
        <f aca="false">IF(W7="EUR",AA7,IF(W7="GBP",AB7,1))</f>
        <v>7.8</v>
      </c>
      <c r="AD7" s="52" t="n">
        <f aca="false">R7*X7</f>
        <v>540.673056</v>
      </c>
      <c r="AE7" s="52" t="n">
        <f aca="false">IF(Y7="PERCENTAGE_OF_BASE_FREIGHT",AD7*Z7,IF(Y7="PER_CHARGEABLE_KG",R7*Z7,P7*Z7))</f>
        <v>39.3216768</v>
      </c>
      <c r="AF7" s="52" t="n">
        <f aca="false">AD7*AC7</f>
        <v>4217.2498368</v>
      </c>
      <c r="AG7" s="52" t="n">
        <f aca="false">AE7*AC7</f>
        <v>306.70907904</v>
      </c>
      <c r="AH7" s="52" t="s">
        <v>195</v>
      </c>
      <c r="AI7" s="52" t="n">
        <v>1.05</v>
      </c>
      <c r="AJ7" s="52" t="n">
        <f aca="false">IF(AH7="EUR",AA7,IF(AH7="GBP",AB7,1))</f>
        <v>7.8</v>
      </c>
      <c r="AK7" s="52" t="n">
        <f aca="false">N7*AI7</f>
        <v>185.22</v>
      </c>
      <c r="AL7" s="52" t="n">
        <f aca="false">AK7*AJ7</f>
        <v>1444.716</v>
      </c>
      <c r="AM7" s="52" t="s">
        <v>195</v>
      </c>
      <c r="AN7" s="52" t="n">
        <v>0.38</v>
      </c>
      <c r="AO7" s="52" t="n">
        <f aca="false">IF(AM7="EUR",AA7,IF(AM7="GBP",AB7,1))</f>
        <v>7.8</v>
      </c>
      <c r="AP7" s="52" t="n">
        <f aca="false">P7*AN7</f>
        <v>72.39456</v>
      </c>
      <c r="AQ7" s="52" t="n">
        <f aca="false">AP7*AO7</f>
        <v>564.677568</v>
      </c>
      <c r="AR7" s="52" t="s">
        <v>195</v>
      </c>
      <c r="AS7" s="52" t="n">
        <v>3.8</v>
      </c>
      <c r="AT7" s="52" t="n">
        <f aca="false">IF(AR7="EUR",AA7,IF(AR7="GBP",AB7,1))</f>
        <v>7.8</v>
      </c>
      <c r="AU7" s="52" t="n">
        <f aca="false">T7*AS7</f>
        <v>33.516</v>
      </c>
      <c r="AV7" s="52" t="n">
        <f aca="false">AU7*AT7</f>
        <v>261.4248</v>
      </c>
      <c r="AW7" s="52" t="s">
        <v>195</v>
      </c>
      <c r="AX7" s="52" t="n">
        <v>2.3</v>
      </c>
      <c r="AY7" s="52" t="n">
        <f aca="false">IF(AW7="EUR",AA7,IF(AW7="GBP",AB7,1))</f>
        <v>7.8</v>
      </c>
      <c r="AZ7" s="52" t="n">
        <f aca="false">V7*AX7</f>
        <v>6.1344864</v>
      </c>
      <c r="BA7" s="52" t="n">
        <f aca="false">AZ7*AY7</f>
        <v>47.84899392</v>
      </c>
      <c r="BB7" s="52" t="n">
        <f aca="false">AF7+AG7+AL7+AQ7+AV7+BA7</f>
        <v>6842.62627776</v>
      </c>
      <c r="BC7" s="54" t="n">
        <v>0.968</v>
      </c>
      <c r="BD7" s="32"/>
      <c r="BE7" s="32"/>
      <c r="BF7" s="32"/>
      <c r="BG7" s="32" t="s">
        <v>197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112</v>
      </c>
      <c r="F8" s="18" t="s">
        <v>113</v>
      </c>
      <c r="G8" s="18" t="s">
        <v>110</v>
      </c>
      <c r="H8" s="18" t="s">
        <v>101</v>
      </c>
      <c r="I8" s="18" t="s">
        <v>102</v>
      </c>
      <c r="J8" s="50" t="n">
        <v>14000</v>
      </c>
      <c r="K8" s="51" t="n">
        <v>0.32</v>
      </c>
      <c r="L8" s="51" t="n">
        <v>1</v>
      </c>
      <c r="M8" s="51" t="n">
        <v>0.35</v>
      </c>
      <c r="N8" s="52" t="n">
        <f aca="false">J8*K8*L8*M8</f>
        <v>1568</v>
      </c>
      <c r="O8" s="50" t="n">
        <v>1.06</v>
      </c>
      <c r="P8" s="52" t="n">
        <f aca="false">N8*O8</f>
        <v>1662.08</v>
      </c>
      <c r="Q8" s="50" t="n">
        <v>0.76</v>
      </c>
      <c r="R8" s="52" t="n">
        <f aca="false">P8*Q8</f>
        <v>1263.1808</v>
      </c>
      <c r="S8" s="50" t="n">
        <v>0.06</v>
      </c>
      <c r="T8" s="52" t="n">
        <f aca="false">N8*S8</f>
        <v>94.08</v>
      </c>
      <c r="U8" s="52" t="n">
        <v>0.017</v>
      </c>
      <c r="V8" s="52" t="n">
        <f aca="false">P8*U8</f>
        <v>28.25536</v>
      </c>
      <c r="W8" s="53" t="s">
        <v>195</v>
      </c>
      <c r="X8" s="50" t="n">
        <v>2.1</v>
      </c>
      <c r="Y8" s="53" t="s">
        <v>196</v>
      </c>
      <c r="Z8" s="50" t="n">
        <v>0.09</v>
      </c>
      <c r="AA8" s="50" t="n">
        <v>7.8</v>
      </c>
      <c r="AB8" s="50" t="n">
        <v>9</v>
      </c>
      <c r="AC8" s="52" t="n">
        <f aca="false">IF(W8="EUR",AA8,IF(W8="GBP",AB8,1))</f>
        <v>7.8</v>
      </c>
      <c r="AD8" s="52" t="n">
        <f aca="false">R8*X8</f>
        <v>2652.67968</v>
      </c>
      <c r="AE8" s="52" t="n">
        <f aca="false">IF(Y8="PERCENTAGE_OF_BASE_FREIGHT",AD8*Z8,IF(Y8="PER_CHARGEABLE_KG",R8*Z8,P8*Z8))</f>
        <v>238.7411712</v>
      </c>
      <c r="AF8" s="52" t="n">
        <f aca="false">AD8*AC8</f>
        <v>20690.901504</v>
      </c>
      <c r="AG8" s="52" t="n">
        <f aca="false">AE8*AC8</f>
        <v>1862.18113536</v>
      </c>
      <c r="AH8" s="52" t="s">
        <v>195</v>
      </c>
      <c r="AI8" s="52" t="n">
        <v>1.05</v>
      </c>
      <c r="AJ8" s="52" t="n">
        <f aca="false">IF(AH8="EUR",AA8,IF(AH8="GBP",AB8,1))</f>
        <v>7.8</v>
      </c>
      <c r="AK8" s="52" t="n">
        <f aca="false">N8*AI8</f>
        <v>1646.4</v>
      </c>
      <c r="AL8" s="52" t="n">
        <f aca="false">AK8*AJ8</f>
        <v>12841.92</v>
      </c>
      <c r="AM8" s="52" t="s">
        <v>195</v>
      </c>
      <c r="AN8" s="52" t="n">
        <v>0.38</v>
      </c>
      <c r="AO8" s="52" t="n">
        <f aca="false">IF(AM8="EUR",AA8,IF(AM8="GBP",AB8,1))</f>
        <v>7.8</v>
      </c>
      <c r="AP8" s="52" t="n">
        <f aca="false">P8*AN8</f>
        <v>631.5904</v>
      </c>
      <c r="AQ8" s="52" t="n">
        <f aca="false">AP8*AO8</f>
        <v>4926.40512</v>
      </c>
      <c r="AR8" s="52" t="s">
        <v>195</v>
      </c>
      <c r="AS8" s="52" t="n">
        <v>3</v>
      </c>
      <c r="AT8" s="52" t="n">
        <f aca="false">IF(AR8="EUR",AA8,IF(AR8="GBP",AB8,1))</f>
        <v>7.8</v>
      </c>
      <c r="AU8" s="52" t="n">
        <f aca="false">T8*AS8</f>
        <v>282.24</v>
      </c>
      <c r="AV8" s="52" t="n">
        <f aca="false">AU8*AT8</f>
        <v>2201.472</v>
      </c>
      <c r="AW8" s="52" t="s">
        <v>195</v>
      </c>
      <c r="AX8" s="52" t="n">
        <v>2.3</v>
      </c>
      <c r="AY8" s="52" t="n">
        <f aca="false">IF(AW8="EUR",AA8,IF(AW8="GBP",AB8,1))</f>
        <v>7.8</v>
      </c>
      <c r="AZ8" s="52" t="n">
        <f aca="false">V8*AX8</f>
        <v>64.987328</v>
      </c>
      <c r="BA8" s="52" t="n">
        <f aca="false">AZ8*AY8</f>
        <v>506.9011584</v>
      </c>
      <c r="BB8" s="52" t="n">
        <f aca="false">AF8+AG8+AL8+AQ8+AV8+BA8</f>
        <v>43029.78091776</v>
      </c>
      <c r="BC8" s="54" t="n">
        <v>0.961</v>
      </c>
      <c r="BD8" s="32"/>
      <c r="BE8" s="32"/>
      <c r="BF8" s="32"/>
      <c r="BG8" s="32" t="s">
        <v>197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116</v>
      </c>
      <c r="F9" s="18" t="s">
        <v>113</v>
      </c>
      <c r="G9" s="18" t="s">
        <v>110</v>
      </c>
      <c r="H9" s="18" t="s">
        <v>107</v>
      </c>
      <c r="I9" s="18" t="s">
        <v>102</v>
      </c>
      <c r="J9" s="50" t="n">
        <v>14000</v>
      </c>
      <c r="K9" s="51" t="n">
        <v>0.32</v>
      </c>
      <c r="L9" s="51" t="n">
        <v>1</v>
      </c>
      <c r="M9" s="51" t="n">
        <v>0.65</v>
      </c>
      <c r="N9" s="52" t="n">
        <f aca="false">J9*K9*L9*M9</f>
        <v>2912</v>
      </c>
      <c r="O9" s="50" t="n">
        <v>1.06</v>
      </c>
      <c r="P9" s="52" t="n">
        <f aca="false">N9*O9</f>
        <v>3086.72</v>
      </c>
      <c r="Q9" s="50" t="n">
        <v>0.79</v>
      </c>
      <c r="R9" s="52" t="n">
        <f aca="false">P9*Q9</f>
        <v>2438.5088</v>
      </c>
      <c r="S9" s="50" t="n">
        <v>0.06</v>
      </c>
      <c r="T9" s="52" t="n">
        <f aca="false">N9*S9</f>
        <v>174.72</v>
      </c>
      <c r="U9" s="52" t="n">
        <v>0.014</v>
      </c>
      <c r="V9" s="52" t="n">
        <f aca="false">P9*U9</f>
        <v>43.21408</v>
      </c>
      <c r="W9" s="53" t="s">
        <v>195</v>
      </c>
      <c r="X9" s="50" t="n">
        <v>2.6</v>
      </c>
      <c r="Y9" s="53" t="s">
        <v>198</v>
      </c>
      <c r="Z9" s="50" t="n">
        <v>0.2</v>
      </c>
      <c r="AA9" s="50" t="n">
        <v>7.8</v>
      </c>
      <c r="AB9" s="50" t="n">
        <v>9</v>
      </c>
      <c r="AC9" s="52" t="n">
        <f aca="false">IF(W9="EUR",AA9,IF(W9="GBP",AB9,1))</f>
        <v>7.8</v>
      </c>
      <c r="AD9" s="52" t="n">
        <f aca="false">R9*X9</f>
        <v>6340.12288</v>
      </c>
      <c r="AE9" s="52" t="n">
        <f aca="false">IF(Y9="PERCENTAGE_OF_BASE_FREIGHT",AD9*Z9,IF(Y9="PER_CHARGEABLE_KG",R9*Z9,P9*Z9))</f>
        <v>487.70176</v>
      </c>
      <c r="AF9" s="52" t="n">
        <f aca="false">AD9*AC9</f>
        <v>49452.958464</v>
      </c>
      <c r="AG9" s="52" t="n">
        <f aca="false">AE9*AC9</f>
        <v>3804.073728</v>
      </c>
      <c r="AH9" s="52" t="s">
        <v>195</v>
      </c>
      <c r="AI9" s="52" t="n">
        <v>1.05</v>
      </c>
      <c r="AJ9" s="52" t="n">
        <f aca="false">IF(AH9="EUR",AA9,IF(AH9="GBP",AB9,1))</f>
        <v>7.8</v>
      </c>
      <c r="AK9" s="52" t="n">
        <f aca="false">N9*AI9</f>
        <v>3057.6</v>
      </c>
      <c r="AL9" s="52" t="n">
        <f aca="false">AK9*AJ9</f>
        <v>23849.28</v>
      </c>
      <c r="AM9" s="52" t="s">
        <v>195</v>
      </c>
      <c r="AN9" s="52" t="n">
        <v>0.38</v>
      </c>
      <c r="AO9" s="52" t="n">
        <f aca="false">IF(AM9="EUR",AA9,IF(AM9="GBP",AB9,1))</f>
        <v>7.8</v>
      </c>
      <c r="AP9" s="52" t="n">
        <f aca="false">P9*AN9</f>
        <v>1172.9536</v>
      </c>
      <c r="AQ9" s="52" t="n">
        <f aca="false">AP9*AO9</f>
        <v>9149.03808</v>
      </c>
      <c r="AR9" s="52" t="s">
        <v>195</v>
      </c>
      <c r="AS9" s="52" t="n">
        <v>3</v>
      </c>
      <c r="AT9" s="52" t="n">
        <f aca="false">IF(AR9="EUR",AA9,IF(AR9="GBP",AB9,1))</f>
        <v>7.8</v>
      </c>
      <c r="AU9" s="52" t="n">
        <f aca="false">T9*AS9</f>
        <v>524.16</v>
      </c>
      <c r="AV9" s="52" t="n">
        <f aca="false">AU9*AT9</f>
        <v>4088.448</v>
      </c>
      <c r="AW9" s="52" t="s">
        <v>195</v>
      </c>
      <c r="AX9" s="52" t="n">
        <v>2.3</v>
      </c>
      <c r="AY9" s="52" t="n">
        <f aca="false">IF(AW9="EUR",AA9,IF(AW9="GBP",AB9,1))</f>
        <v>7.8</v>
      </c>
      <c r="AZ9" s="52" t="n">
        <f aca="false">V9*AX9</f>
        <v>99.392384</v>
      </c>
      <c r="BA9" s="52" t="n">
        <f aca="false">AZ9*AY9</f>
        <v>775.2605952</v>
      </c>
      <c r="BB9" s="52" t="n">
        <f aca="false">AF9+AG9+AL9+AQ9+AV9+BA9</f>
        <v>91119.0588672</v>
      </c>
      <c r="BC9" s="54" t="n">
        <v>0.973</v>
      </c>
      <c r="BD9" s="32"/>
      <c r="BE9" s="32"/>
      <c r="BF9" s="32"/>
      <c r="BG9" s="32" t="s">
        <v>197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118</v>
      </c>
      <c r="F10" s="18" t="s">
        <v>119</v>
      </c>
      <c r="G10" s="18" t="s">
        <v>100</v>
      </c>
      <c r="H10" s="18" t="s">
        <v>101</v>
      </c>
      <c r="I10" s="18" t="s">
        <v>102</v>
      </c>
      <c r="J10" s="50" t="n">
        <v>14000</v>
      </c>
      <c r="K10" s="51" t="n">
        <v>0.26</v>
      </c>
      <c r="L10" s="51" t="n">
        <v>0.96</v>
      </c>
      <c r="M10" s="51" t="n">
        <v>0.65</v>
      </c>
      <c r="N10" s="52" t="n">
        <f aca="false">J10*K10*L10*M10</f>
        <v>2271.36</v>
      </c>
      <c r="O10" s="50" t="n">
        <v>1.12</v>
      </c>
      <c r="P10" s="52" t="n">
        <f aca="false">N10*O10</f>
        <v>2543.9232</v>
      </c>
      <c r="Q10" s="50" t="n">
        <v>1.02</v>
      </c>
      <c r="R10" s="52" t="n">
        <f aca="false">P10*Q10</f>
        <v>2594.801664</v>
      </c>
      <c r="S10" s="50" t="n">
        <v>0.08</v>
      </c>
      <c r="T10" s="52" t="n">
        <f aca="false">N10*S10</f>
        <v>181.7088</v>
      </c>
      <c r="U10" s="52" t="n">
        <v>0.022</v>
      </c>
      <c r="V10" s="52" t="n">
        <f aca="false">P10*U10</f>
        <v>55.9663104</v>
      </c>
      <c r="W10" s="53" t="s">
        <v>199</v>
      </c>
      <c r="X10" s="50" t="n">
        <v>4</v>
      </c>
      <c r="Y10" s="53" t="s">
        <v>196</v>
      </c>
      <c r="Z10" s="50" t="n">
        <v>0.1</v>
      </c>
      <c r="AA10" s="50" t="n">
        <v>7.8</v>
      </c>
      <c r="AB10" s="50" t="n">
        <v>9</v>
      </c>
      <c r="AC10" s="52" t="n">
        <f aca="false">IF(W10="EUR",AA10,IF(W10="GBP",AB10,1))</f>
        <v>9</v>
      </c>
      <c r="AD10" s="52" t="n">
        <f aca="false">R10*X10</f>
        <v>10379.206656</v>
      </c>
      <c r="AE10" s="52" t="n">
        <f aca="false">IF(Y10="PERCENTAGE_OF_BASE_FREIGHT",AD10*Z10,IF(Y10="PER_CHARGEABLE_KG",R10*Z10,P10*Z10))</f>
        <v>1037.9206656</v>
      </c>
      <c r="AF10" s="52" t="n">
        <f aca="false">AD10*AC10</f>
        <v>93412.859904</v>
      </c>
      <c r="AG10" s="52" t="n">
        <f aca="false">AE10*AC10</f>
        <v>9341.2859904</v>
      </c>
      <c r="AH10" s="52" t="s">
        <v>195</v>
      </c>
      <c r="AI10" s="52" t="n">
        <v>1.18</v>
      </c>
      <c r="AJ10" s="52" t="n">
        <f aca="false">IF(AH10="EUR",AA10,IF(AH10="GBP",AB10,1))</f>
        <v>7.8</v>
      </c>
      <c r="AK10" s="52" t="n">
        <f aca="false">N10*AI10</f>
        <v>2680.2048</v>
      </c>
      <c r="AL10" s="52" t="n">
        <f aca="false">AK10*AJ10</f>
        <v>20905.59744</v>
      </c>
      <c r="AM10" s="52" t="s">
        <v>195</v>
      </c>
      <c r="AN10" s="52" t="n">
        <v>0.42</v>
      </c>
      <c r="AO10" s="52" t="n">
        <f aca="false">IF(AM10="EUR",AA10,IF(AM10="GBP",AB10,1))</f>
        <v>7.8</v>
      </c>
      <c r="AP10" s="52" t="n">
        <f aca="false">P10*AN10</f>
        <v>1068.447744</v>
      </c>
      <c r="AQ10" s="52" t="n">
        <f aca="false">AP10*AO10</f>
        <v>8333.8924032</v>
      </c>
      <c r="AR10" s="52" t="s">
        <v>199</v>
      </c>
      <c r="AS10" s="52" t="n">
        <v>4.8</v>
      </c>
      <c r="AT10" s="52" t="n">
        <f aca="false">IF(AR10="EUR",AA10,IF(AR10="GBP",AB10,1))</f>
        <v>9</v>
      </c>
      <c r="AU10" s="52" t="n">
        <f aca="false">T10*AS10</f>
        <v>872.20224</v>
      </c>
      <c r="AV10" s="52" t="n">
        <f aca="false">AU10*AT10</f>
        <v>7849.82016</v>
      </c>
      <c r="AW10" s="52" t="s">
        <v>199</v>
      </c>
      <c r="AX10" s="52" t="n">
        <v>2.3</v>
      </c>
      <c r="AY10" s="52" t="n">
        <f aca="false">IF(AW10="EUR",AA10,IF(AW10="GBP",AB10,1))</f>
        <v>9</v>
      </c>
      <c r="AZ10" s="52" t="n">
        <f aca="false">V10*AX10</f>
        <v>128.72251392</v>
      </c>
      <c r="BA10" s="52" t="n">
        <f aca="false">AZ10*AY10</f>
        <v>1158.50262528</v>
      </c>
      <c r="BB10" s="52" t="n">
        <f aca="false">AF10+AG10+AL10+AQ10+AV10+BA10</f>
        <v>141001.95852288</v>
      </c>
      <c r="BC10" s="54" t="n">
        <v>0.93</v>
      </c>
      <c r="BD10" s="32"/>
      <c r="BE10" s="32"/>
      <c r="BF10" s="32"/>
      <c r="BG10" s="32" t="s">
        <v>197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122</v>
      </c>
      <c r="F11" s="18" t="s">
        <v>119</v>
      </c>
      <c r="G11" s="18" t="s">
        <v>100</v>
      </c>
      <c r="H11" s="18" t="s">
        <v>107</v>
      </c>
      <c r="I11" s="18" t="s">
        <v>102</v>
      </c>
      <c r="J11" s="50" t="n">
        <v>14000</v>
      </c>
      <c r="K11" s="51" t="n">
        <v>0.26</v>
      </c>
      <c r="L11" s="51" t="n">
        <v>0.96</v>
      </c>
      <c r="M11" s="51" t="n">
        <v>0.25</v>
      </c>
      <c r="N11" s="52" t="n">
        <f aca="false">J11*K11*L11*M11</f>
        <v>873.6</v>
      </c>
      <c r="O11" s="50" t="n">
        <v>1.12</v>
      </c>
      <c r="P11" s="52" t="n">
        <f aca="false">N11*O11</f>
        <v>978.432</v>
      </c>
      <c r="Q11" s="50" t="n">
        <v>1</v>
      </c>
      <c r="R11" s="52" t="n">
        <f aca="false">P11*Q11</f>
        <v>978.432</v>
      </c>
      <c r="S11" s="50" t="n">
        <v>0.08</v>
      </c>
      <c r="T11" s="52" t="n">
        <f aca="false">N11*S11</f>
        <v>69.888</v>
      </c>
      <c r="U11" s="52" t="n">
        <v>0.017</v>
      </c>
      <c r="V11" s="52" t="n">
        <f aca="false">P11*U11</f>
        <v>16.633344</v>
      </c>
      <c r="W11" s="53" t="s">
        <v>199</v>
      </c>
      <c r="X11" s="50" t="n">
        <v>4.7</v>
      </c>
      <c r="Y11" s="53" t="s">
        <v>198</v>
      </c>
      <c r="Z11" s="50" t="n">
        <v>0.33</v>
      </c>
      <c r="AA11" s="50" t="n">
        <v>7.8</v>
      </c>
      <c r="AB11" s="50" t="n">
        <v>9</v>
      </c>
      <c r="AC11" s="52" t="n">
        <f aca="false">IF(W11="EUR",AA11,IF(W11="GBP",AB11,1))</f>
        <v>9</v>
      </c>
      <c r="AD11" s="52" t="n">
        <f aca="false">R11*X11</f>
        <v>4598.6304</v>
      </c>
      <c r="AE11" s="52" t="n">
        <f aca="false">IF(Y11="PERCENTAGE_OF_BASE_FREIGHT",AD11*Z11,IF(Y11="PER_CHARGEABLE_KG",R11*Z11,P11*Z11))</f>
        <v>322.88256</v>
      </c>
      <c r="AF11" s="52" t="n">
        <f aca="false">AD11*AC11</f>
        <v>41387.6736</v>
      </c>
      <c r="AG11" s="52" t="n">
        <f aca="false">AE11*AC11</f>
        <v>2905.94304</v>
      </c>
      <c r="AH11" s="52" t="s">
        <v>195</v>
      </c>
      <c r="AI11" s="52" t="n">
        <v>1.18</v>
      </c>
      <c r="AJ11" s="52" t="n">
        <f aca="false">IF(AH11="EUR",AA11,IF(AH11="GBP",AB11,1))</f>
        <v>7.8</v>
      </c>
      <c r="AK11" s="52" t="n">
        <f aca="false">N11*AI11</f>
        <v>1030.848</v>
      </c>
      <c r="AL11" s="52" t="n">
        <f aca="false">AK11*AJ11</f>
        <v>8040.6144</v>
      </c>
      <c r="AM11" s="52" t="s">
        <v>195</v>
      </c>
      <c r="AN11" s="52" t="n">
        <v>0.42</v>
      </c>
      <c r="AO11" s="52" t="n">
        <f aca="false">IF(AM11="EUR",AA11,IF(AM11="GBP",AB11,1))</f>
        <v>7.8</v>
      </c>
      <c r="AP11" s="52" t="n">
        <f aca="false">P11*AN11</f>
        <v>410.94144</v>
      </c>
      <c r="AQ11" s="52" t="n">
        <f aca="false">AP11*AO11</f>
        <v>3205.343232</v>
      </c>
      <c r="AR11" s="52" t="s">
        <v>199</v>
      </c>
      <c r="AS11" s="52" t="n">
        <v>4.8</v>
      </c>
      <c r="AT11" s="52" t="n">
        <f aca="false">IF(AR11="EUR",AA11,IF(AR11="GBP",AB11,1))</f>
        <v>9</v>
      </c>
      <c r="AU11" s="52" t="n">
        <f aca="false">T11*AS11</f>
        <v>335.4624</v>
      </c>
      <c r="AV11" s="52" t="n">
        <f aca="false">AU11*AT11</f>
        <v>3019.1616</v>
      </c>
      <c r="AW11" s="52" t="s">
        <v>199</v>
      </c>
      <c r="AX11" s="52" t="n">
        <v>2.3</v>
      </c>
      <c r="AY11" s="52" t="n">
        <f aca="false">IF(AW11="EUR",AA11,IF(AW11="GBP",AB11,1))</f>
        <v>9</v>
      </c>
      <c r="AZ11" s="52" t="n">
        <f aca="false">V11*AX11</f>
        <v>38.2566912</v>
      </c>
      <c r="BA11" s="52" t="n">
        <f aca="false">AZ11*AY11</f>
        <v>344.3102208</v>
      </c>
      <c r="BB11" s="52" t="n">
        <f aca="false">AF11+AG11+AL11+AQ11+AV11+BA11</f>
        <v>58903.0460928</v>
      </c>
      <c r="BC11" s="54" t="n">
        <v>0.95</v>
      </c>
      <c r="BD11" s="32"/>
      <c r="BE11" s="32"/>
      <c r="BF11" s="32"/>
      <c r="BG11" s="32" t="s">
        <v>197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46023</v>
      </c>
      <c r="E12" s="18" t="s">
        <v>124</v>
      </c>
      <c r="F12" s="18" t="s">
        <v>119</v>
      </c>
      <c r="G12" s="18" t="s">
        <v>100</v>
      </c>
      <c r="H12" s="18" t="s">
        <v>107</v>
      </c>
      <c r="I12" s="18" t="s">
        <v>125</v>
      </c>
      <c r="J12" s="50" t="n">
        <v>14000</v>
      </c>
      <c r="K12" s="51" t="n">
        <v>0.26</v>
      </c>
      <c r="L12" s="51" t="n">
        <v>0.96</v>
      </c>
      <c r="M12" s="51" t="n">
        <v>0.07</v>
      </c>
      <c r="N12" s="52" t="n">
        <f aca="false">J12*K12*L12*M12</f>
        <v>244.608</v>
      </c>
      <c r="O12" s="50" t="n">
        <v>1.12</v>
      </c>
      <c r="P12" s="52" t="n">
        <f aca="false">N12*O12</f>
        <v>273.96096</v>
      </c>
      <c r="Q12" s="50" t="n">
        <v>0.94</v>
      </c>
      <c r="R12" s="52" t="n">
        <f aca="false">P12*Q12</f>
        <v>257.5233024</v>
      </c>
      <c r="S12" s="50" t="n">
        <v>0.08</v>
      </c>
      <c r="T12" s="52" t="n">
        <f aca="false">N12*S12</f>
        <v>19.56864</v>
      </c>
      <c r="U12" s="52" t="n">
        <v>0.013</v>
      </c>
      <c r="V12" s="52" t="n">
        <f aca="false">P12*U12</f>
        <v>3.56149248</v>
      </c>
      <c r="W12" s="53" t="s">
        <v>199</v>
      </c>
      <c r="X12" s="50" t="n">
        <v>6.2</v>
      </c>
      <c r="Y12" s="53" t="s">
        <v>196</v>
      </c>
      <c r="Z12" s="50" t="n">
        <v>0.115</v>
      </c>
      <c r="AA12" s="50" t="n">
        <v>7.8</v>
      </c>
      <c r="AB12" s="50" t="n">
        <v>9</v>
      </c>
      <c r="AC12" s="52" t="n">
        <f aca="false">IF(W12="EUR",AA12,IF(W12="GBP",AB12,1))</f>
        <v>9</v>
      </c>
      <c r="AD12" s="52" t="n">
        <f aca="false">R12*X12</f>
        <v>1596.64447488</v>
      </c>
      <c r="AE12" s="52" t="n">
        <f aca="false">IF(Y12="PERCENTAGE_OF_BASE_FREIGHT",AD12*Z12,IF(Y12="PER_CHARGEABLE_KG",R12*Z12,P12*Z12))</f>
        <v>183.6141146112</v>
      </c>
      <c r="AF12" s="52" t="n">
        <f aca="false">AD12*AC12</f>
        <v>14369.80027392</v>
      </c>
      <c r="AG12" s="52" t="n">
        <f aca="false">AE12*AC12</f>
        <v>1652.5270315008</v>
      </c>
      <c r="AH12" s="52" t="s">
        <v>195</v>
      </c>
      <c r="AI12" s="52" t="n">
        <v>1.18</v>
      </c>
      <c r="AJ12" s="52" t="n">
        <f aca="false">IF(AH12="EUR",AA12,IF(AH12="GBP",AB12,1))</f>
        <v>7.8</v>
      </c>
      <c r="AK12" s="52" t="n">
        <f aca="false">N12*AI12</f>
        <v>288.63744</v>
      </c>
      <c r="AL12" s="52" t="n">
        <f aca="false">AK12*AJ12</f>
        <v>2251.372032</v>
      </c>
      <c r="AM12" s="52" t="s">
        <v>195</v>
      </c>
      <c r="AN12" s="52" t="n">
        <v>0.42</v>
      </c>
      <c r="AO12" s="52" t="n">
        <f aca="false">IF(AM12="EUR",AA12,IF(AM12="GBP",AB12,1))</f>
        <v>7.8</v>
      </c>
      <c r="AP12" s="52" t="n">
        <f aca="false">P12*AN12</f>
        <v>115.0636032</v>
      </c>
      <c r="AQ12" s="52" t="n">
        <f aca="false">AP12*AO12</f>
        <v>897.49610496</v>
      </c>
      <c r="AR12" s="52" t="s">
        <v>199</v>
      </c>
      <c r="AS12" s="52" t="n">
        <v>4.8</v>
      </c>
      <c r="AT12" s="52" t="n">
        <f aca="false">IF(AR12="EUR",AA12,IF(AR12="GBP",AB12,1))</f>
        <v>9</v>
      </c>
      <c r="AU12" s="52" t="n">
        <f aca="false">T12*AS12</f>
        <v>93.929472</v>
      </c>
      <c r="AV12" s="52" t="n">
        <f aca="false">AU12*AT12</f>
        <v>845.365248</v>
      </c>
      <c r="AW12" s="52" t="s">
        <v>199</v>
      </c>
      <c r="AX12" s="52" t="n">
        <v>2.8</v>
      </c>
      <c r="AY12" s="52" t="n">
        <f aca="false">IF(AW12="EUR",AA12,IF(AW12="GBP",AB12,1))</f>
        <v>9</v>
      </c>
      <c r="AZ12" s="52" t="n">
        <f aca="false">V12*AX12</f>
        <v>9.972178944</v>
      </c>
      <c r="BA12" s="52" t="n">
        <f aca="false">AZ12*AY12</f>
        <v>89.749610496</v>
      </c>
      <c r="BB12" s="52" t="n">
        <f aca="false">AF12+AG12+AL12+AQ12+AV12+BA12</f>
        <v>20106.3103008768</v>
      </c>
      <c r="BC12" s="54" t="n">
        <v>0.974</v>
      </c>
      <c r="BD12" s="32"/>
      <c r="BE12" s="32"/>
      <c r="BF12" s="32"/>
      <c r="BG12" s="32" t="s">
        <v>197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46023</v>
      </c>
      <c r="E13" s="18" t="s">
        <v>127</v>
      </c>
      <c r="F13" s="18" t="s">
        <v>119</v>
      </c>
      <c r="G13" s="18" t="s">
        <v>100</v>
      </c>
      <c r="H13" s="18" t="s">
        <v>128</v>
      </c>
      <c r="I13" s="18" t="s">
        <v>125</v>
      </c>
      <c r="J13" s="50" t="n">
        <v>14000</v>
      </c>
      <c r="K13" s="51" t="n">
        <v>0.26</v>
      </c>
      <c r="L13" s="51" t="n">
        <v>0.96</v>
      </c>
      <c r="M13" s="51" t="n">
        <v>0.03</v>
      </c>
      <c r="N13" s="52" t="n">
        <f aca="false">J13*K13*L13*M13</f>
        <v>104.832</v>
      </c>
      <c r="O13" s="50" t="n">
        <v>1.12</v>
      </c>
      <c r="P13" s="52" t="n">
        <f aca="false">N13*O13</f>
        <v>117.41184</v>
      </c>
      <c r="Q13" s="50" t="n">
        <v>0.92</v>
      </c>
      <c r="R13" s="52" t="n">
        <f aca="false">P13*Q13</f>
        <v>108.0188928</v>
      </c>
      <c r="S13" s="50" t="n">
        <v>0.08</v>
      </c>
      <c r="T13" s="52" t="n">
        <f aca="false">N13*S13</f>
        <v>8.38656</v>
      </c>
      <c r="U13" s="52" t="n">
        <v>0.009</v>
      </c>
      <c r="V13" s="52" t="n">
        <f aca="false">P13*U13</f>
        <v>1.05670656</v>
      </c>
      <c r="W13" s="53" t="s">
        <v>199</v>
      </c>
      <c r="X13" s="50" t="n">
        <v>7.5</v>
      </c>
      <c r="Y13" s="53" t="s">
        <v>198</v>
      </c>
      <c r="Z13" s="50" t="n">
        <v>0.58</v>
      </c>
      <c r="AA13" s="50" t="n">
        <v>7.8</v>
      </c>
      <c r="AB13" s="50" t="n">
        <v>9</v>
      </c>
      <c r="AC13" s="52" t="n">
        <f aca="false">IF(W13="EUR",AA13,IF(W13="GBP",AB13,1))</f>
        <v>9</v>
      </c>
      <c r="AD13" s="52" t="n">
        <f aca="false">R13*X13</f>
        <v>810.141696</v>
      </c>
      <c r="AE13" s="52" t="n">
        <f aca="false">IF(Y13="PERCENTAGE_OF_BASE_FREIGHT",AD13*Z13,IF(Y13="PER_CHARGEABLE_KG",R13*Z13,P13*Z13))</f>
        <v>62.650957824</v>
      </c>
      <c r="AF13" s="52" t="n">
        <f aca="false">AD13*AC13</f>
        <v>7291.275264</v>
      </c>
      <c r="AG13" s="52" t="n">
        <f aca="false">AE13*AC13</f>
        <v>563.858620416</v>
      </c>
      <c r="AH13" s="52" t="s">
        <v>195</v>
      </c>
      <c r="AI13" s="52" t="n">
        <v>1.18</v>
      </c>
      <c r="AJ13" s="52" t="n">
        <f aca="false">IF(AH13="EUR",AA13,IF(AH13="GBP",AB13,1))</f>
        <v>7.8</v>
      </c>
      <c r="AK13" s="52" t="n">
        <f aca="false">N13*AI13</f>
        <v>123.70176</v>
      </c>
      <c r="AL13" s="52" t="n">
        <f aca="false">AK13*AJ13</f>
        <v>964.873728</v>
      </c>
      <c r="AM13" s="52" t="s">
        <v>195</v>
      </c>
      <c r="AN13" s="52" t="n">
        <v>0.42</v>
      </c>
      <c r="AO13" s="52" t="n">
        <f aca="false">IF(AM13="EUR",AA13,IF(AM13="GBP",AB13,1))</f>
        <v>7.8</v>
      </c>
      <c r="AP13" s="52" t="n">
        <f aca="false">P13*AN13</f>
        <v>49.3129728</v>
      </c>
      <c r="AQ13" s="52" t="n">
        <f aca="false">AP13*AO13</f>
        <v>384.64118784</v>
      </c>
      <c r="AR13" s="52" t="s">
        <v>199</v>
      </c>
      <c r="AS13" s="52" t="n">
        <v>4.8</v>
      </c>
      <c r="AT13" s="52" t="n">
        <f aca="false">IF(AR13="EUR",AA13,IF(AR13="GBP",AB13,1))</f>
        <v>9</v>
      </c>
      <c r="AU13" s="52" t="n">
        <f aca="false">T13*AS13</f>
        <v>40.255488</v>
      </c>
      <c r="AV13" s="52" t="n">
        <f aca="false">AU13*AT13</f>
        <v>362.299392</v>
      </c>
      <c r="AW13" s="52" t="s">
        <v>199</v>
      </c>
      <c r="AX13" s="52" t="n">
        <v>3.6</v>
      </c>
      <c r="AY13" s="52" t="n">
        <f aca="false">IF(AW13="EUR",AA13,IF(AW13="GBP",AB13,1))</f>
        <v>9</v>
      </c>
      <c r="AZ13" s="52" t="n">
        <f aca="false">V13*AX13</f>
        <v>3.804143616</v>
      </c>
      <c r="BA13" s="52" t="n">
        <f aca="false">AZ13*AY13</f>
        <v>34.237292544</v>
      </c>
      <c r="BB13" s="52" t="n">
        <f aca="false">AF13+AG13+AL13+AQ13+AV13+BA13</f>
        <v>9601.1854848</v>
      </c>
      <c r="BC13" s="54" t="n">
        <v>0.988</v>
      </c>
      <c r="BD13" s="32"/>
      <c r="BE13" s="32"/>
      <c r="BF13" s="32"/>
      <c r="BG13" s="32" t="s">
        <v>197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46023</v>
      </c>
      <c r="E14" s="18" t="s">
        <v>130</v>
      </c>
      <c r="F14" s="18" t="s">
        <v>119</v>
      </c>
      <c r="G14" s="18" t="s">
        <v>110</v>
      </c>
      <c r="H14" s="18" t="s">
        <v>107</v>
      </c>
      <c r="I14" s="18" t="s">
        <v>125</v>
      </c>
      <c r="J14" s="50" t="n">
        <v>14000</v>
      </c>
      <c r="K14" s="51" t="n">
        <v>0.26</v>
      </c>
      <c r="L14" s="51" t="n">
        <v>0.04</v>
      </c>
      <c r="M14" s="51" t="n">
        <v>1</v>
      </c>
      <c r="N14" s="52" t="n">
        <f aca="false">J14*K14*L14*M14</f>
        <v>145.6</v>
      </c>
      <c r="O14" s="50" t="n">
        <v>1.15</v>
      </c>
      <c r="P14" s="52" t="n">
        <f aca="false">N14*O14</f>
        <v>167.44</v>
      </c>
      <c r="Q14" s="50" t="n">
        <v>0.9</v>
      </c>
      <c r="R14" s="52" t="n">
        <f aca="false">P14*Q14</f>
        <v>150.696</v>
      </c>
      <c r="S14" s="50" t="n">
        <v>0.08</v>
      </c>
      <c r="T14" s="52" t="n">
        <f aca="false">N14*S14</f>
        <v>11.648</v>
      </c>
      <c r="U14" s="52" t="n">
        <v>0.012</v>
      </c>
      <c r="V14" s="52" t="n">
        <f aca="false">P14*U14</f>
        <v>2.00928</v>
      </c>
      <c r="W14" s="53" t="s">
        <v>195</v>
      </c>
      <c r="X14" s="50" t="n">
        <v>6.7</v>
      </c>
      <c r="Y14" s="53" t="s">
        <v>196</v>
      </c>
      <c r="Z14" s="50" t="n">
        <v>0.105</v>
      </c>
      <c r="AA14" s="50" t="n">
        <v>7.8</v>
      </c>
      <c r="AB14" s="50" t="n">
        <v>9</v>
      </c>
      <c r="AC14" s="52" t="n">
        <f aca="false">IF(W14="EUR",AA14,IF(W14="GBP",AB14,1))</f>
        <v>7.8</v>
      </c>
      <c r="AD14" s="52" t="n">
        <f aca="false">R14*X14</f>
        <v>1009.6632</v>
      </c>
      <c r="AE14" s="52" t="n">
        <f aca="false">IF(Y14="PERCENTAGE_OF_BASE_FREIGHT",AD14*Z14,IF(Y14="PER_CHARGEABLE_KG",R14*Z14,P14*Z14))</f>
        <v>106.014636</v>
      </c>
      <c r="AF14" s="52" t="n">
        <f aca="false">AD14*AC14</f>
        <v>7875.37296</v>
      </c>
      <c r="AG14" s="52" t="n">
        <f aca="false">AE14*AC14</f>
        <v>826.9141608</v>
      </c>
      <c r="AH14" s="52" t="s">
        <v>195</v>
      </c>
      <c r="AI14" s="52" t="n">
        <v>1.05</v>
      </c>
      <c r="AJ14" s="52" t="n">
        <f aca="false">IF(AH14="EUR",AA14,IF(AH14="GBP",AB14,1))</f>
        <v>7.8</v>
      </c>
      <c r="AK14" s="52" t="n">
        <f aca="false">N14*AI14</f>
        <v>152.88</v>
      </c>
      <c r="AL14" s="52" t="n">
        <f aca="false">AK14*AJ14</f>
        <v>1192.464</v>
      </c>
      <c r="AM14" s="52" t="s">
        <v>195</v>
      </c>
      <c r="AN14" s="52" t="n">
        <v>0.38</v>
      </c>
      <c r="AO14" s="52" t="n">
        <f aca="false">IF(AM14="EUR",AA14,IF(AM14="GBP",AB14,1))</f>
        <v>7.8</v>
      </c>
      <c r="AP14" s="52" t="n">
        <f aca="false">P14*AN14</f>
        <v>63.6272</v>
      </c>
      <c r="AQ14" s="52" t="n">
        <f aca="false">AP14*AO14</f>
        <v>496.29216</v>
      </c>
      <c r="AR14" s="52" t="s">
        <v>195</v>
      </c>
      <c r="AS14" s="52" t="n">
        <v>5.2</v>
      </c>
      <c r="AT14" s="52" t="n">
        <f aca="false">IF(AR14="EUR",AA14,IF(AR14="GBP",AB14,1))</f>
        <v>7.8</v>
      </c>
      <c r="AU14" s="52" t="n">
        <f aca="false">T14*AS14</f>
        <v>60.5696</v>
      </c>
      <c r="AV14" s="52" t="n">
        <f aca="false">AU14*AT14</f>
        <v>472.44288</v>
      </c>
      <c r="AW14" s="52" t="s">
        <v>195</v>
      </c>
      <c r="AX14" s="52" t="n">
        <v>2.8</v>
      </c>
      <c r="AY14" s="52" t="n">
        <f aca="false">IF(AW14="EUR",AA14,IF(AW14="GBP",AB14,1))</f>
        <v>7.8</v>
      </c>
      <c r="AZ14" s="52" t="n">
        <f aca="false">V14*AX14</f>
        <v>5.625984</v>
      </c>
      <c r="BA14" s="52" t="n">
        <f aca="false">AZ14*AY14</f>
        <v>43.8826752</v>
      </c>
      <c r="BB14" s="52" t="n">
        <f aca="false">AF14+AG14+AL14+AQ14+AV14+BA14</f>
        <v>10907.368836</v>
      </c>
      <c r="BC14" s="54" t="n">
        <v>0.971</v>
      </c>
      <c r="BD14" s="32"/>
      <c r="BE14" s="32"/>
      <c r="BF14" s="32"/>
      <c r="BG14" s="32" t="s">
        <v>197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46054</v>
      </c>
      <c r="E15" s="18" t="s">
        <v>98</v>
      </c>
      <c r="F15" s="18" t="s">
        <v>99</v>
      </c>
      <c r="G15" s="18" t="s">
        <v>100</v>
      </c>
      <c r="H15" s="18" t="s">
        <v>101</v>
      </c>
      <c r="I15" s="18" t="s">
        <v>102</v>
      </c>
      <c r="J15" s="50" t="n">
        <v>13500</v>
      </c>
      <c r="K15" s="51" t="n">
        <v>0.42</v>
      </c>
      <c r="L15" s="51" t="n">
        <v>0.97</v>
      </c>
      <c r="M15" s="51" t="n">
        <v>0.6</v>
      </c>
      <c r="N15" s="52" t="n">
        <f aca="false">J15*K15*L15*M15</f>
        <v>3299.94</v>
      </c>
      <c r="O15" s="50" t="n">
        <v>1.05</v>
      </c>
      <c r="P15" s="52" t="n">
        <f aca="false">N15*O15</f>
        <v>3464.937</v>
      </c>
      <c r="Q15" s="50" t="n">
        <v>0.78</v>
      </c>
      <c r="R15" s="52" t="n">
        <f aca="false">P15*Q15</f>
        <v>2702.65086</v>
      </c>
      <c r="S15" s="50" t="n">
        <v>0.05</v>
      </c>
      <c r="T15" s="52" t="n">
        <f aca="false">N15*S15</f>
        <v>164.997</v>
      </c>
      <c r="U15" s="52" t="n">
        <v>0.016</v>
      </c>
      <c r="V15" s="52" t="n">
        <f aca="false">P15*U15</f>
        <v>55.438992</v>
      </c>
      <c r="W15" s="53" t="s">
        <v>195</v>
      </c>
      <c r="X15" s="50" t="n">
        <v>2.2</v>
      </c>
      <c r="Y15" s="53" t="s">
        <v>196</v>
      </c>
      <c r="Z15" s="50" t="n">
        <v>0.095</v>
      </c>
      <c r="AA15" s="50" t="n">
        <v>7.8</v>
      </c>
      <c r="AB15" s="50" t="n">
        <v>9</v>
      </c>
      <c r="AC15" s="52" t="n">
        <f aca="false">IF(W15="EUR",AA15,IF(W15="GBP",AB15,1))</f>
        <v>7.8</v>
      </c>
      <c r="AD15" s="52" t="n">
        <f aca="false">R15*X15</f>
        <v>5945.831892</v>
      </c>
      <c r="AE15" s="52" t="n">
        <f aca="false">IF(Y15="PERCENTAGE_OF_BASE_FREIGHT",AD15*Z15,IF(Y15="PER_CHARGEABLE_KG",R15*Z15,P15*Z15))</f>
        <v>564.85402974</v>
      </c>
      <c r="AF15" s="52" t="n">
        <f aca="false">AD15*AC15</f>
        <v>46377.4887576</v>
      </c>
      <c r="AG15" s="52" t="n">
        <f aca="false">AE15*AC15</f>
        <v>4405.861431972</v>
      </c>
      <c r="AH15" s="52" t="s">
        <v>195</v>
      </c>
      <c r="AI15" s="52" t="n">
        <v>1.18</v>
      </c>
      <c r="AJ15" s="52" t="n">
        <f aca="false">IF(AH15="EUR",AA15,IF(AH15="GBP",AB15,1))</f>
        <v>7.8</v>
      </c>
      <c r="AK15" s="52" t="n">
        <f aca="false">N15*AI15</f>
        <v>3893.9292</v>
      </c>
      <c r="AL15" s="52" t="n">
        <f aca="false">AK15*AJ15</f>
        <v>30372.64776</v>
      </c>
      <c r="AM15" s="52" t="s">
        <v>195</v>
      </c>
      <c r="AN15" s="52" t="n">
        <v>0.42</v>
      </c>
      <c r="AO15" s="52" t="n">
        <f aca="false">IF(AM15="EUR",AA15,IF(AM15="GBP",AB15,1))</f>
        <v>7.8</v>
      </c>
      <c r="AP15" s="52" t="n">
        <f aca="false">P15*AN15</f>
        <v>1455.27354</v>
      </c>
      <c r="AQ15" s="52" t="n">
        <f aca="false">AP15*AO15</f>
        <v>11351.133612</v>
      </c>
      <c r="AR15" s="52" t="s">
        <v>195</v>
      </c>
      <c r="AS15" s="52" t="n">
        <v>3.2</v>
      </c>
      <c r="AT15" s="52" t="n">
        <f aca="false">IF(AR15="EUR",AA15,IF(AR15="GBP",AB15,1))</f>
        <v>7.8</v>
      </c>
      <c r="AU15" s="52" t="n">
        <f aca="false">T15*AS15</f>
        <v>527.9904</v>
      </c>
      <c r="AV15" s="52" t="n">
        <f aca="false">AU15*AT15</f>
        <v>4118.32512</v>
      </c>
      <c r="AW15" s="52" t="s">
        <v>195</v>
      </c>
      <c r="AX15" s="52" t="n">
        <v>2.3</v>
      </c>
      <c r="AY15" s="52" t="n">
        <f aca="false">IF(AW15="EUR",AA15,IF(AW15="GBP",AB15,1))</f>
        <v>7.8</v>
      </c>
      <c r="AZ15" s="52" t="n">
        <f aca="false">V15*AX15</f>
        <v>127.5096816</v>
      </c>
      <c r="BA15" s="52" t="n">
        <f aca="false">AZ15*AY15</f>
        <v>994.57551648</v>
      </c>
      <c r="BB15" s="52" t="n">
        <f aca="false">AF15+AG15+AL15+AQ15+AV15+BA15</f>
        <v>97620.032198052</v>
      </c>
      <c r="BC15" s="54" t="n">
        <v>0.965</v>
      </c>
      <c r="BD15" s="32"/>
      <c r="BE15" s="32"/>
      <c r="BF15" s="32"/>
      <c r="BG15" s="32" t="s">
        <v>197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46054</v>
      </c>
      <c r="E16" s="18" t="s">
        <v>106</v>
      </c>
      <c r="F16" s="18" t="s">
        <v>99</v>
      </c>
      <c r="G16" s="18" t="s">
        <v>100</v>
      </c>
      <c r="H16" s="18" t="s">
        <v>107</v>
      </c>
      <c r="I16" s="18" t="s">
        <v>102</v>
      </c>
      <c r="J16" s="50" t="n">
        <v>13500</v>
      </c>
      <c r="K16" s="51" t="n">
        <v>0.42</v>
      </c>
      <c r="L16" s="51" t="n">
        <v>0.97</v>
      </c>
      <c r="M16" s="51" t="n">
        <v>0.4</v>
      </c>
      <c r="N16" s="52" t="n">
        <f aca="false">J16*K16*L16*M16</f>
        <v>2199.96</v>
      </c>
      <c r="O16" s="50" t="n">
        <v>1.05</v>
      </c>
      <c r="P16" s="52" t="n">
        <f aca="false">N16*O16</f>
        <v>2309.958</v>
      </c>
      <c r="Q16" s="50" t="n">
        <v>0.8</v>
      </c>
      <c r="R16" s="52" t="n">
        <f aca="false">P16*Q16</f>
        <v>1847.9664</v>
      </c>
      <c r="S16" s="50" t="n">
        <v>0.05</v>
      </c>
      <c r="T16" s="52" t="n">
        <f aca="false">N16*S16</f>
        <v>109.998</v>
      </c>
      <c r="U16" s="52" t="n">
        <v>0.013</v>
      </c>
      <c r="V16" s="52" t="n">
        <f aca="false">P16*U16</f>
        <v>30.029454</v>
      </c>
      <c r="W16" s="53" t="s">
        <v>195</v>
      </c>
      <c r="X16" s="50" t="n">
        <v>2.75</v>
      </c>
      <c r="Y16" s="53" t="s">
        <v>198</v>
      </c>
      <c r="Z16" s="50" t="n">
        <v>0.21</v>
      </c>
      <c r="AA16" s="50" t="n">
        <v>7.8</v>
      </c>
      <c r="AB16" s="50" t="n">
        <v>9</v>
      </c>
      <c r="AC16" s="52" t="n">
        <f aca="false">IF(W16="EUR",AA16,IF(W16="GBP",AB16,1))</f>
        <v>7.8</v>
      </c>
      <c r="AD16" s="52" t="n">
        <f aca="false">R16*X16</f>
        <v>5081.9076</v>
      </c>
      <c r="AE16" s="52" t="n">
        <f aca="false">IF(Y16="PERCENTAGE_OF_BASE_FREIGHT",AD16*Z16,IF(Y16="PER_CHARGEABLE_KG",R16*Z16,P16*Z16))</f>
        <v>388.072944</v>
      </c>
      <c r="AF16" s="52" t="n">
        <f aca="false">AD16*AC16</f>
        <v>39638.87928</v>
      </c>
      <c r="AG16" s="52" t="n">
        <f aca="false">AE16*AC16</f>
        <v>3026.9689632</v>
      </c>
      <c r="AH16" s="52" t="s">
        <v>195</v>
      </c>
      <c r="AI16" s="52" t="n">
        <v>1.18</v>
      </c>
      <c r="AJ16" s="52" t="n">
        <f aca="false">IF(AH16="EUR",AA16,IF(AH16="GBP",AB16,1))</f>
        <v>7.8</v>
      </c>
      <c r="AK16" s="52" t="n">
        <f aca="false">N16*AI16</f>
        <v>2595.9528</v>
      </c>
      <c r="AL16" s="52" t="n">
        <f aca="false">AK16*AJ16</f>
        <v>20248.43184</v>
      </c>
      <c r="AM16" s="52" t="s">
        <v>195</v>
      </c>
      <c r="AN16" s="52" t="n">
        <v>0.42</v>
      </c>
      <c r="AO16" s="52" t="n">
        <f aca="false">IF(AM16="EUR",AA16,IF(AM16="GBP",AB16,1))</f>
        <v>7.8</v>
      </c>
      <c r="AP16" s="52" t="n">
        <f aca="false">P16*AN16</f>
        <v>970.18236</v>
      </c>
      <c r="AQ16" s="52" t="n">
        <f aca="false">AP16*AO16</f>
        <v>7567.422408</v>
      </c>
      <c r="AR16" s="52" t="s">
        <v>195</v>
      </c>
      <c r="AS16" s="52" t="n">
        <v>3.2</v>
      </c>
      <c r="AT16" s="52" t="n">
        <f aca="false">IF(AR16="EUR",AA16,IF(AR16="GBP",AB16,1))</f>
        <v>7.8</v>
      </c>
      <c r="AU16" s="52" t="n">
        <f aca="false">T16*AS16</f>
        <v>351.9936</v>
      </c>
      <c r="AV16" s="52" t="n">
        <f aca="false">AU16*AT16</f>
        <v>2745.55008</v>
      </c>
      <c r="AW16" s="52" t="s">
        <v>195</v>
      </c>
      <c r="AX16" s="52" t="n">
        <v>2.3</v>
      </c>
      <c r="AY16" s="52" t="n">
        <f aca="false">IF(AW16="EUR",AA16,IF(AW16="GBP",AB16,1))</f>
        <v>7.8</v>
      </c>
      <c r="AZ16" s="52" t="n">
        <f aca="false">V16*AX16</f>
        <v>69.0677442</v>
      </c>
      <c r="BA16" s="52" t="n">
        <f aca="false">AZ16*AY16</f>
        <v>538.72840476</v>
      </c>
      <c r="BB16" s="52" t="n">
        <f aca="false">AF16+AG16+AL16+AQ16+AV16+BA16</f>
        <v>73765.98097596</v>
      </c>
      <c r="BC16" s="54" t="n">
        <v>0.976</v>
      </c>
      <c r="BD16" s="32"/>
      <c r="BE16" s="32"/>
      <c r="BF16" s="32"/>
      <c r="BG16" s="32" t="s">
        <v>197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46054</v>
      </c>
      <c r="E17" s="18" t="s">
        <v>109</v>
      </c>
      <c r="F17" s="18" t="s">
        <v>99</v>
      </c>
      <c r="G17" s="18" t="s">
        <v>110</v>
      </c>
      <c r="H17" s="18" t="s">
        <v>107</v>
      </c>
      <c r="I17" s="18" t="s">
        <v>102</v>
      </c>
      <c r="J17" s="50" t="n">
        <v>13500</v>
      </c>
      <c r="K17" s="51" t="n">
        <v>0.42</v>
      </c>
      <c r="L17" s="51" t="n">
        <v>0.03</v>
      </c>
      <c r="M17" s="51" t="n">
        <v>1</v>
      </c>
      <c r="N17" s="52" t="n">
        <f aca="false">J17*K17*L17*M17</f>
        <v>170.1</v>
      </c>
      <c r="O17" s="50" t="n">
        <v>1.08</v>
      </c>
      <c r="P17" s="52" t="n">
        <f aca="false">N17*O17</f>
        <v>183.708</v>
      </c>
      <c r="Q17" s="50" t="n">
        <v>0.86</v>
      </c>
      <c r="R17" s="52" t="n">
        <f aca="false">P17*Q17</f>
        <v>157.98888</v>
      </c>
      <c r="S17" s="50" t="n">
        <v>0.05</v>
      </c>
      <c r="T17" s="52" t="n">
        <f aca="false">N17*S17</f>
        <v>8.505</v>
      </c>
      <c r="U17" s="52" t="n">
        <v>0.014</v>
      </c>
      <c r="V17" s="52" t="n">
        <f aca="false">P17*U17</f>
        <v>2.571912</v>
      </c>
      <c r="W17" s="53" t="s">
        <v>195</v>
      </c>
      <c r="X17" s="50" t="n">
        <v>3.3</v>
      </c>
      <c r="Y17" s="53" t="s">
        <v>198</v>
      </c>
      <c r="Z17" s="50" t="n">
        <v>0.24</v>
      </c>
      <c r="AA17" s="50" t="n">
        <v>7.8</v>
      </c>
      <c r="AB17" s="50" t="n">
        <v>9</v>
      </c>
      <c r="AC17" s="52" t="n">
        <f aca="false">IF(W17="EUR",AA17,IF(W17="GBP",AB17,1))</f>
        <v>7.8</v>
      </c>
      <c r="AD17" s="52" t="n">
        <f aca="false">R17*X17</f>
        <v>521.363304</v>
      </c>
      <c r="AE17" s="52" t="n">
        <f aca="false">IF(Y17="PERCENTAGE_OF_BASE_FREIGHT",AD17*Z17,IF(Y17="PER_CHARGEABLE_KG",R17*Z17,P17*Z17))</f>
        <v>37.9173312</v>
      </c>
      <c r="AF17" s="52" t="n">
        <f aca="false">AD17*AC17</f>
        <v>4066.6337712</v>
      </c>
      <c r="AG17" s="52" t="n">
        <f aca="false">AE17*AC17</f>
        <v>295.75518336</v>
      </c>
      <c r="AH17" s="52" t="s">
        <v>195</v>
      </c>
      <c r="AI17" s="52" t="n">
        <v>1.05</v>
      </c>
      <c r="AJ17" s="52" t="n">
        <f aca="false">IF(AH17="EUR",AA17,IF(AH17="GBP",AB17,1))</f>
        <v>7.8</v>
      </c>
      <c r="AK17" s="52" t="n">
        <f aca="false">N17*AI17</f>
        <v>178.605</v>
      </c>
      <c r="AL17" s="52" t="n">
        <f aca="false">AK17*AJ17</f>
        <v>1393.119</v>
      </c>
      <c r="AM17" s="52" t="s">
        <v>195</v>
      </c>
      <c r="AN17" s="52" t="n">
        <v>0.38</v>
      </c>
      <c r="AO17" s="52" t="n">
        <f aca="false">IF(AM17="EUR",AA17,IF(AM17="GBP",AB17,1))</f>
        <v>7.8</v>
      </c>
      <c r="AP17" s="52" t="n">
        <f aca="false">P17*AN17</f>
        <v>69.80904</v>
      </c>
      <c r="AQ17" s="52" t="n">
        <f aca="false">AP17*AO17</f>
        <v>544.510512</v>
      </c>
      <c r="AR17" s="52" t="s">
        <v>195</v>
      </c>
      <c r="AS17" s="52" t="n">
        <v>3.8</v>
      </c>
      <c r="AT17" s="52" t="n">
        <f aca="false">IF(AR17="EUR",AA17,IF(AR17="GBP",AB17,1))</f>
        <v>7.8</v>
      </c>
      <c r="AU17" s="52" t="n">
        <f aca="false">T17*AS17</f>
        <v>32.319</v>
      </c>
      <c r="AV17" s="52" t="n">
        <f aca="false">AU17*AT17</f>
        <v>252.0882</v>
      </c>
      <c r="AW17" s="52" t="s">
        <v>195</v>
      </c>
      <c r="AX17" s="52" t="n">
        <v>2.3</v>
      </c>
      <c r="AY17" s="52" t="n">
        <f aca="false">IF(AW17="EUR",AA17,IF(AW17="GBP",AB17,1))</f>
        <v>7.8</v>
      </c>
      <c r="AZ17" s="52" t="n">
        <f aca="false">V17*AX17</f>
        <v>5.9153976</v>
      </c>
      <c r="BA17" s="52" t="n">
        <f aca="false">AZ17*AY17</f>
        <v>46.14010128</v>
      </c>
      <c r="BB17" s="52" t="n">
        <f aca="false">AF17+AG17+AL17+AQ17+AV17+BA17</f>
        <v>6598.24676784</v>
      </c>
      <c r="BC17" s="54" t="n">
        <v>0.968</v>
      </c>
      <c r="BD17" s="32"/>
      <c r="BE17" s="32"/>
      <c r="BF17" s="32"/>
      <c r="BG17" s="32" t="s">
        <v>197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46054</v>
      </c>
      <c r="E18" s="18" t="s">
        <v>112</v>
      </c>
      <c r="F18" s="18" t="s">
        <v>113</v>
      </c>
      <c r="G18" s="18" t="s">
        <v>110</v>
      </c>
      <c r="H18" s="18" t="s">
        <v>101</v>
      </c>
      <c r="I18" s="18" t="s">
        <v>102</v>
      </c>
      <c r="J18" s="50" t="n">
        <v>13500</v>
      </c>
      <c r="K18" s="51" t="n">
        <v>0.32</v>
      </c>
      <c r="L18" s="51" t="n">
        <v>1</v>
      </c>
      <c r="M18" s="51" t="n">
        <v>0.35</v>
      </c>
      <c r="N18" s="52" t="n">
        <f aca="false">J18*K18*L18*M18</f>
        <v>1512</v>
      </c>
      <c r="O18" s="50" t="n">
        <v>1.06</v>
      </c>
      <c r="P18" s="52" t="n">
        <f aca="false">N18*O18</f>
        <v>1602.72</v>
      </c>
      <c r="Q18" s="50" t="n">
        <v>0.76</v>
      </c>
      <c r="R18" s="52" t="n">
        <f aca="false">P18*Q18</f>
        <v>1218.0672</v>
      </c>
      <c r="S18" s="50" t="n">
        <v>0.06</v>
      </c>
      <c r="T18" s="52" t="n">
        <f aca="false">N18*S18</f>
        <v>90.72</v>
      </c>
      <c r="U18" s="52" t="n">
        <v>0.017</v>
      </c>
      <c r="V18" s="52" t="n">
        <f aca="false">P18*U18</f>
        <v>27.24624</v>
      </c>
      <c r="W18" s="53" t="s">
        <v>195</v>
      </c>
      <c r="X18" s="50" t="n">
        <v>2.1</v>
      </c>
      <c r="Y18" s="53" t="s">
        <v>196</v>
      </c>
      <c r="Z18" s="50" t="n">
        <v>0.09</v>
      </c>
      <c r="AA18" s="50" t="n">
        <v>7.8</v>
      </c>
      <c r="AB18" s="50" t="n">
        <v>9</v>
      </c>
      <c r="AC18" s="52" t="n">
        <f aca="false">IF(W18="EUR",AA18,IF(W18="GBP",AB18,1))</f>
        <v>7.8</v>
      </c>
      <c r="AD18" s="52" t="n">
        <f aca="false">R18*X18</f>
        <v>2557.94112</v>
      </c>
      <c r="AE18" s="52" t="n">
        <f aca="false">IF(Y18="PERCENTAGE_OF_BASE_FREIGHT",AD18*Z18,IF(Y18="PER_CHARGEABLE_KG",R18*Z18,P18*Z18))</f>
        <v>230.2147008</v>
      </c>
      <c r="AF18" s="52" t="n">
        <f aca="false">AD18*AC18</f>
        <v>19951.940736</v>
      </c>
      <c r="AG18" s="52" t="n">
        <f aca="false">AE18*AC18</f>
        <v>1795.67466624</v>
      </c>
      <c r="AH18" s="52" t="s">
        <v>195</v>
      </c>
      <c r="AI18" s="52" t="n">
        <v>1.05</v>
      </c>
      <c r="AJ18" s="52" t="n">
        <f aca="false">IF(AH18="EUR",AA18,IF(AH18="GBP",AB18,1))</f>
        <v>7.8</v>
      </c>
      <c r="AK18" s="52" t="n">
        <f aca="false">N18*AI18</f>
        <v>1587.6</v>
      </c>
      <c r="AL18" s="52" t="n">
        <f aca="false">AK18*AJ18</f>
        <v>12383.28</v>
      </c>
      <c r="AM18" s="52" t="s">
        <v>195</v>
      </c>
      <c r="AN18" s="52" t="n">
        <v>0.38</v>
      </c>
      <c r="AO18" s="52" t="n">
        <f aca="false">IF(AM18="EUR",AA18,IF(AM18="GBP",AB18,1))</f>
        <v>7.8</v>
      </c>
      <c r="AP18" s="52" t="n">
        <f aca="false">P18*AN18</f>
        <v>609.0336</v>
      </c>
      <c r="AQ18" s="52" t="n">
        <f aca="false">AP18*AO18</f>
        <v>4750.46208</v>
      </c>
      <c r="AR18" s="52" t="s">
        <v>195</v>
      </c>
      <c r="AS18" s="52" t="n">
        <v>3</v>
      </c>
      <c r="AT18" s="52" t="n">
        <f aca="false">IF(AR18="EUR",AA18,IF(AR18="GBP",AB18,1))</f>
        <v>7.8</v>
      </c>
      <c r="AU18" s="52" t="n">
        <f aca="false">T18*AS18</f>
        <v>272.16</v>
      </c>
      <c r="AV18" s="52" t="n">
        <f aca="false">AU18*AT18</f>
        <v>2122.848</v>
      </c>
      <c r="AW18" s="52" t="s">
        <v>195</v>
      </c>
      <c r="AX18" s="52" t="n">
        <v>2.3</v>
      </c>
      <c r="AY18" s="52" t="n">
        <f aca="false">IF(AW18="EUR",AA18,IF(AW18="GBP",AB18,1))</f>
        <v>7.8</v>
      </c>
      <c r="AZ18" s="52" t="n">
        <f aca="false">V18*AX18</f>
        <v>62.666352</v>
      </c>
      <c r="BA18" s="52" t="n">
        <f aca="false">AZ18*AY18</f>
        <v>488.7975456</v>
      </c>
      <c r="BB18" s="52" t="n">
        <f aca="false">AF18+AG18+AL18+AQ18+AV18+BA18</f>
        <v>41493.00302784</v>
      </c>
      <c r="BC18" s="54" t="n">
        <v>0.961</v>
      </c>
      <c r="BD18" s="32"/>
      <c r="BE18" s="32"/>
      <c r="BF18" s="32"/>
      <c r="BG18" s="32" t="s">
        <v>197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46054</v>
      </c>
      <c r="E19" s="18" t="s">
        <v>116</v>
      </c>
      <c r="F19" s="18" t="s">
        <v>113</v>
      </c>
      <c r="G19" s="18" t="s">
        <v>110</v>
      </c>
      <c r="H19" s="18" t="s">
        <v>107</v>
      </c>
      <c r="I19" s="18" t="s">
        <v>102</v>
      </c>
      <c r="J19" s="50" t="n">
        <v>13500</v>
      </c>
      <c r="K19" s="51" t="n">
        <v>0.32</v>
      </c>
      <c r="L19" s="51" t="n">
        <v>1</v>
      </c>
      <c r="M19" s="51" t="n">
        <v>0.65</v>
      </c>
      <c r="N19" s="52" t="n">
        <f aca="false">J19*K19*L19*M19</f>
        <v>2808</v>
      </c>
      <c r="O19" s="50" t="n">
        <v>1.06</v>
      </c>
      <c r="P19" s="52" t="n">
        <f aca="false">N19*O19</f>
        <v>2976.48</v>
      </c>
      <c r="Q19" s="50" t="n">
        <v>0.79</v>
      </c>
      <c r="R19" s="52" t="n">
        <f aca="false">P19*Q19</f>
        <v>2351.4192</v>
      </c>
      <c r="S19" s="50" t="n">
        <v>0.06</v>
      </c>
      <c r="T19" s="52" t="n">
        <f aca="false">N19*S19</f>
        <v>168.48</v>
      </c>
      <c r="U19" s="52" t="n">
        <v>0.014</v>
      </c>
      <c r="V19" s="52" t="n">
        <f aca="false">P19*U19</f>
        <v>41.67072</v>
      </c>
      <c r="W19" s="53" t="s">
        <v>195</v>
      </c>
      <c r="X19" s="50" t="n">
        <v>2.6</v>
      </c>
      <c r="Y19" s="53" t="s">
        <v>198</v>
      </c>
      <c r="Z19" s="50" t="n">
        <v>0.2</v>
      </c>
      <c r="AA19" s="50" t="n">
        <v>7.8</v>
      </c>
      <c r="AB19" s="50" t="n">
        <v>9</v>
      </c>
      <c r="AC19" s="52" t="n">
        <f aca="false">IF(W19="EUR",AA19,IF(W19="GBP",AB19,1))</f>
        <v>7.8</v>
      </c>
      <c r="AD19" s="52" t="n">
        <f aca="false">R19*X19</f>
        <v>6113.68992</v>
      </c>
      <c r="AE19" s="52" t="n">
        <f aca="false">IF(Y19="PERCENTAGE_OF_BASE_FREIGHT",AD19*Z19,IF(Y19="PER_CHARGEABLE_KG",R19*Z19,P19*Z19))</f>
        <v>470.28384</v>
      </c>
      <c r="AF19" s="52" t="n">
        <f aca="false">AD19*AC19</f>
        <v>47686.781376</v>
      </c>
      <c r="AG19" s="52" t="n">
        <f aca="false">AE19*AC19</f>
        <v>3668.213952</v>
      </c>
      <c r="AH19" s="52" t="s">
        <v>195</v>
      </c>
      <c r="AI19" s="52" t="n">
        <v>1.05</v>
      </c>
      <c r="AJ19" s="52" t="n">
        <f aca="false">IF(AH19="EUR",AA19,IF(AH19="GBP",AB19,1))</f>
        <v>7.8</v>
      </c>
      <c r="AK19" s="52" t="n">
        <f aca="false">N19*AI19</f>
        <v>2948.4</v>
      </c>
      <c r="AL19" s="52" t="n">
        <f aca="false">AK19*AJ19</f>
        <v>22997.52</v>
      </c>
      <c r="AM19" s="52" t="s">
        <v>195</v>
      </c>
      <c r="AN19" s="52" t="n">
        <v>0.38</v>
      </c>
      <c r="AO19" s="52" t="n">
        <f aca="false">IF(AM19="EUR",AA19,IF(AM19="GBP",AB19,1))</f>
        <v>7.8</v>
      </c>
      <c r="AP19" s="52" t="n">
        <f aca="false">P19*AN19</f>
        <v>1131.0624</v>
      </c>
      <c r="AQ19" s="52" t="n">
        <f aca="false">AP19*AO19</f>
        <v>8822.28672</v>
      </c>
      <c r="AR19" s="52" t="s">
        <v>195</v>
      </c>
      <c r="AS19" s="52" t="n">
        <v>3</v>
      </c>
      <c r="AT19" s="52" t="n">
        <f aca="false">IF(AR19="EUR",AA19,IF(AR19="GBP",AB19,1))</f>
        <v>7.8</v>
      </c>
      <c r="AU19" s="52" t="n">
        <f aca="false">T19*AS19</f>
        <v>505.44</v>
      </c>
      <c r="AV19" s="52" t="n">
        <f aca="false">AU19*AT19</f>
        <v>3942.432</v>
      </c>
      <c r="AW19" s="52" t="s">
        <v>195</v>
      </c>
      <c r="AX19" s="52" t="n">
        <v>2.3</v>
      </c>
      <c r="AY19" s="52" t="n">
        <f aca="false">IF(AW19="EUR",AA19,IF(AW19="GBP",AB19,1))</f>
        <v>7.8</v>
      </c>
      <c r="AZ19" s="52" t="n">
        <f aca="false">V19*AX19</f>
        <v>95.842656</v>
      </c>
      <c r="BA19" s="52" t="n">
        <f aca="false">AZ19*AY19</f>
        <v>747.5727168</v>
      </c>
      <c r="BB19" s="52" t="n">
        <f aca="false">AF19+AG19+AL19+AQ19+AV19+BA19</f>
        <v>87864.8067648</v>
      </c>
      <c r="BC19" s="54" t="n">
        <v>0.973</v>
      </c>
      <c r="BD19" s="32"/>
      <c r="BE19" s="32"/>
      <c r="BF19" s="32"/>
      <c r="BG19" s="32" t="s">
        <v>197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46054</v>
      </c>
      <c r="E20" s="18" t="s">
        <v>118</v>
      </c>
      <c r="F20" s="18" t="s">
        <v>119</v>
      </c>
      <c r="G20" s="18" t="s">
        <v>100</v>
      </c>
      <c r="H20" s="18" t="s">
        <v>101</v>
      </c>
      <c r="I20" s="18" t="s">
        <v>102</v>
      </c>
      <c r="J20" s="50" t="n">
        <v>13500</v>
      </c>
      <c r="K20" s="51" t="n">
        <v>0.26</v>
      </c>
      <c r="L20" s="51" t="n">
        <v>0.96</v>
      </c>
      <c r="M20" s="51" t="n">
        <v>0.65</v>
      </c>
      <c r="N20" s="52" t="n">
        <f aca="false">J20*K20*L20*M20</f>
        <v>2190.24</v>
      </c>
      <c r="O20" s="50" t="n">
        <v>1.12</v>
      </c>
      <c r="P20" s="52" t="n">
        <f aca="false">N20*O20</f>
        <v>2453.0688</v>
      </c>
      <c r="Q20" s="50" t="n">
        <v>1.02</v>
      </c>
      <c r="R20" s="52" t="n">
        <f aca="false">P20*Q20</f>
        <v>2502.130176</v>
      </c>
      <c r="S20" s="50" t="n">
        <v>0.08</v>
      </c>
      <c r="T20" s="52" t="n">
        <f aca="false">N20*S20</f>
        <v>175.2192</v>
      </c>
      <c r="U20" s="52" t="n">
        <v>0.022</v>
      </c>
      <c r="V20" s="52" t="n">
        <f aca="false">P20*U20</f>
        <v>53.9675136</v>
      </c>
      <c r="W20" s="53" t="s">
        <v>199</v>
      </c>
      <c r="X20" s="50" t="n">
        <v>4</v>
      </c>
      <c r="Y20" s="53" t="s">
        <v>196</v>
      </c>
      <c r="Z20" s="50" t="n">
        <v>0.1</v>
      </c>
      <c r="AA20" s="50" t="n">
        <v>7.8</v>
      </c>
      <c r="AB20" s="50" t="n">
        <v>9</v>
      </c>
      <c r="AC20" s="52" t="n">
        <f aca="false">IF(W20="EUR",AA20,IF(W20="GBP",AB20,1))</f>
        <v>9</v>
      </c>
      <c r="AD20" s="52" t="n">
        <f aca="false">R20*X20</f>
        <v>10008.520704</v>
      </c>
      <c r="AE20" s="52" t="n">
        <f aca="false">IF(Y20="PERCENTAGE_OF_BASE_FREIGHT",AD20*Z20,IF(Y20="PER_CHARGEABLE_KG",R20*Z20,P20*Z20))</f>
        <v>1000.8520704</v>
      </c>
      <c r="AF20" s="52" t="n">
        <f aca="false">AD20*AC20</f>
        <v>90076.686336</v>
      </c>
      <c r="AG20" s="52" t="n">
        <f aca="false">AE20*AC20</f>
        <v>9007.6686336</v>
      </c>
      <c r="AH20" s="52" t="s">
        <v>195</v>
      </c>
      <c r="AI20" s="52" t="n">
        <v>1.18</v>
      </c>
      <c r="AJ20" s="52" t="n">
        <f aca="false">IF(AH20="EUR",AA20,IF(AH20="GBP",AB20,1))</f>
        <v>7.8</v>
      </c>
      <c r="AK20" s="52" t="n">
        <f aca="false">N20*AI20</f>
        <v>2584.4832</v>
      </c>
      <c r="AL20" s="52" t="n">
        <f aca="false">AK20*AJ20</f>
        <v>20158.96896</v>
      </c>
      <c r="AM20" s="52" t="s">
        <v>195</v>
      </c>
      <c r="AN20" s="52" t="n">
        <v>0.42</v>
      </c>
      <c r="AO20" s="52" t="n">
        <f aca="false">IF(AM20="EUR",AA20,IF(AM20="GBP",AB20,1))</f>
        <v>7.8</v>
      </c>
      <c r="AP20" s="52" t="n">
        <f aca="false">P20*AN20</f>
        <v>1030.288896</v>
      </c>
      <c r="AQ20" s="52" t="n">
        <f aca="false">AP20*AO20</f>
        <v>8036.2533888</v>
      </c>
      <c r="AR20" s="52" t="s">
        <v>199</v>
      </c>
      <c r="AS20" s="52" t="n">
        <v>4.8</v>
      </c>
      <c r="AT20" s="52" t="n">
        <f aca="false">IF(AR20="EUR",AA20,IF(AR20="GBP",AB20,1))</f>
        <v>9</v>
      </c>
      <c r="AU20" s="52" t="n">
        <f aca="false">T20*AS20</f>
        <v>841.05216</v>
      </c>
      <c r="AV20" s="52" t="n">
        <f aca="false">AU20*AT20</f>
        <v>7569.46944</v>
      </c>
      <c r="AW20" s="52" t="s">
        <v>199</v>
      </c>
      <c r="AX20" s="52" t="n">
        <v>2.3</v>
      </c>
      <c r="AY20" s="52" t="n">
        <f aca="false">IF(AW20="EUR",AA20,IF(AW20="GBP",AB20,1))</f>
        <v>9</v>
      </c>
      <c r="AZ20" s="52" t="n">
        <f aca="false">V20*AX20</f>
        <v>124.12528128</v>
      </c>
      <c r="BA20" s="52" t="n">
        <f aca="false">AZ20*AY20</f>
        <v>1117.12753152</v>
      </c>
      <c r="BB20" s="52" t="n">
        <f aca="false">AF20+AG20+AL20+AQ20+AV20+BA20</f>
        <v>135966.17428992</v>
      </c>
      <c r="BC20" s="54" t="n">
        <v>0.93</v>
      </c>
      <c r="BD20" s="32"/>
      <c r="BE20" s="32"/>
      <c r="BF20" s="32"/>
      <c r="BG20" s="32" t="s">
        <v>197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46054</v>
      </c>
      <c r="E21" s="18" t="s">
        <v>122</v>
      </c>
      <c r="F21" s="18" t="s">
        <v>119</v>
      </c>
      <c r="G21" s="18" t="s">
        <v>100</v>
      </c>
      <c r="H21" s="18" t="s">
        <v>107</v>
      </c>
      <c r="I21" s="18" t="s">
        <v>102</v>
      </c>
      <c r="J21" s="50" t="n">
        <v>13500</v>
      </c>
      <c r="K21" s="51" t="n">
        <v>0.26</v>
      </c>
      <c r="L21" s="51" t="n">
        <v>0.96</v>
      </c>
      <c r="M21" s="51" t="n">
        <v>0.25</v>
      </c>
      <c r="N21" s="52" t="n">
        <f aca="false">J21*K21*L21*M21</f>
        <v>842.4</v>
      </c>
      <c r="O21" s="50" t="n">
        <v>1.12</v>
      </c>
      <c r="P21" s="52" t="n">
        <f aca="false">N21*O21</f>
        <v>943.488</v>
      </c>
      <c r="Q21" s="50" t="n">
        <v>1</v>
      </c>
      <c r="R21" s="52" t="n">
        <f aca="false">P21*Q21</f>
        <v>943.488</v>
      </c>
      <c r="S21" s="50" t="n">
        <v>0.08</v>
      </c>
      <c r="T21" s="52" t="n">
        <f aca="false">N21*S21</f>
        <v>67.392</v>
      </c>
      <c r="U21" s="52" t="n">
        <v>0.017</v>
      </c>
      <c r="V21" s="52" t="n">
        <f aca="false">P21*U21</f>
        <v>16.039296</v>
      </c>
      <c r="W21" s="53" t="s">
        <v>199</v>
      </c>
      <c r="X21" s="50" t="n">
        <v>4.7</v>
      </c>
      <c r="Y21" s="53" t="s">
        <v>198</v>
      </c>
      <c r="Z21" s="50" t="n">
        <v>0.33</v>
      </c>
      <c r="AA21" s="50" t="n">
        <v>7.8</v>
      </c>
      <c r="AB21" s="50" t="n">
        <v>9</v>
      </c>
      <c r="AC21" s="52" t="n">
        <f aca="false">IF(W21="EUR",AA21,IF(W21="GBP",AB21,1))</f>
        <v>9</v>
      </c>
      <c r="AD21" s="52" t="n">
        <f aca="false">R21*X21</f>
        <v>4434.3936</v>
      </c>
      <c r="AE21" s="52" t="n">
        <f aca="false">IF(Y21="PERCENTAGE_OF_BASE_FREIGHT",AD21*Z21,IF(Y21="PER_CHARGEABLE_KG",R21*Z21,P21*Z21))</f>
        <v>311.35104</v>
      </c>
      <c r="AF21" s="52" t="n">
        <f aca="false">AD21*AC21</f>
        <v>39909.5424</v>
      </c>
      <c r="AG21" s="52" t="n">
        <f aca="false">AE21*AC21</f>
        <v>2802.15936</v>
      </c>
      <c r="AH21" s="52" t="s">
        <v>195</v>
      </c>
      <c r="AI21" s="52" t="n">
        <v>1.18</v>
      </c>
      <c r="AJ21" s="52" t="n">
        <f aca="false">IF(AH21="EUR",AA21,IF(AH21="GBP",AB21,1))</f>
        <v>7.8</v>
      </c>
      <c r="AK21" s="52" t="n">
        <f aca="false">N21*AI21</f>
        <v>994.032</v>
      </c>
      <c r="AL21" s="52" t="n">
        <f aca="false">AK21*AJ21</f>
        <v>7753.4496</v>
      </c>
      <c r="AM21" s="52" t="s">
        <v>195</v>
      </c>
      <c r="AN21" s="52" t="n">
        <v>0.42</v>
      </c>
      <c r="AO21" s="52" t="n">
        <f aca="false">IF(AM21="EUR",AA21,IF(AM21="GBP",AB21,1))</f>
        <v>7.8</v>
      </c>
      <c r="AP21" s="52" t="n">
        <f aca="false">P21*AN21</f>
        <v>396.26496</v>
      </c>
      <c r="AQ21" s="52" t="n">
        <f aca="false">AP21*AO21</f>
        <v>3090.866688</v>
      </c>
      <c r="AR21" s="52" t="s">
        <v>199</v>
      </c>
      <c r="AS21" s="52" t="n">
        <v>4.8</v>
      </c>
      <c r="AT21" s="52" t="n">
        <f aca="false">IF(AR21="EUR",AA21,IF(AR21="GBP",AB21,1))</f>
        <v>9</v>
      </c>
      <c r="AU21" s="52" t="n">
        <f aca="false">T21*AS21</f>
        <v>323.4816</v>
      </c>
      <c r="AV21" s="52" t="n">
        <f aca="false">AU21*AT21</f>
        <v>2911.3344</v>
      </c>
      <c r="AW21" s="52" t="s">
        <v>199</v>
      </c>
      <c r="AX21" s="52" t="n">
        <v>2.3</v>
      </c>
      <c r="AY21" s="52" t="n">
        <f aca="false">IF(AW21="EUR",AA21,IF(AW21="GBP",AB21,1))</f>
        <v>9</v>
      </c>
      <c r="AZ21" s="52" t="n">
        <f aca="false">V21*AX21</f>
        <v>36.8903808</v>
      </c>
      <c r="BA21" s="52" t="n">
        <f aca="false">AZ21*AY21</f>
        <v>332.0134272</v>
      </c>
      <c r="BB21" s="52" t="n">
        <f aca="false">AF21+AG21+AL21+AQ21+AV21+BA21</f>
        <v>56799.3658752</v>
      </c>
      <c r="BC21" s="54" t="n">
        <v>0.95</v>
      </c>
      <c r="BD21" s="32"/>
      <c r="BE21" s="32"/>
      <c r="BF21" s="32"/>
      <c r="BG21" s="32" t="s">
        <v>197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46054</v>
      </c>
      <c r="E22" s="18" t="s">
        <v>124</v>
      </c>
      <c r="F22" s="18" t="s">
        <v>119</v>
      </c>
      <c r="G22" s="18" t="s">
        <v>100</v>
      </c>
      <c r="H22" s="18" t="s">
        <v>107</v>
      </c>
      <c r="I22" s="18" t="s">
        <v>125</v>
      </c>
      <c r="J22" s="50" t="n">
        <v>13500</v>
      </c>
      <c r="K22" s="51" t="n">
        <v>0.26</v>
      </c>
      <c r="L22" s="51" t="n">
        <v>0.96</v>
      </c>
      <c r="M22" s="51" t="n">
        <v>0.07</v>
      </c>
      <c r="N22" s="52" t="n">
        <f aca="false">J22*K22*L22*M22</f>
        <v>235.872</v>
      </c>
      <c r="O22" s="50" t="n">
        <v>1.12</v>
      </c>
      <c r="P22" s="52" t="n">
        <f aca="false">N22*O22</f>
        <v>264.17664</v>
      </c>
      <c r="Q22" s="50" t="n">
        <v>0.94</v>
      </c>
      <c r="R22" s="52" t="n">
        <f aca="false">P22*Q22</f>
        <v>248.3260416</v>
      </c>
      <c r="S22" s="50" t="n">
        <v>0.08</v>
      </c>
      <c r="T22" s="52" t="n">
        <f aca="false">N22*S22</f>
        <v>18.86976</v>
      </c>
      <c r="U22" s="52" t="n">
        <v>0.013</v>
      </c>
      <c r="V22" s="52" t="n">
        <f aca="false">P22*U22</f>
        <v>3.43429632</v>
      </c>
      <c r="W22" s="53" t="s">
        <v>199</v>
      </c>
      <c r="X22" s="50" t="n">
        <v>6.2</v>
      </c>
      <c r="Y22" s="53" t="s">
        <v>196</v>
      </c>
      <c r="Z22" s="50" t="n">
        <v>0.115</v>
      </c>
      <c r="AA22" s="50" t="n">
        <v>7.8</v>
      </c>
      <c r="AB22" s="50" t="n">
        <v>9</v>
      </c>
      <c r="AC22" s="52" t="n">
        <f aca="false">IF(W22="EUR",AA22,IF(W22="GBP",AB22,1))</f>
        <v>9</v>
      </c>
      <c r="AD22" s="52" t="n">
        <f aca="false">R22*X22</f>
        <v>1539.62145792</v>
      </c>
      <c r="AE22" s="52" t="n">
        <f aca="false">IF(Y22="PERCENTAGE_OF_BASE_FREIGHT",AD22*Z22,IF(Y22="PER_CHARGEABLE_KG",R22*Z22,P22*Z22))</f>
        <v>177.0564676608</v>
      </c>
      <c r="AF22" s="52" t="n">
        <f aca="false">AD22*AC22</f>
        <v>13856.59312128</v>
      </c>
      <c r="AG22" s="52" t="n">
        <f aca="false">AE22*AC22</f>
        <v>1593.5082089472</v>
      </c>
      <c r="AH22" s="52" t="s">
        <v>195</v>
      </c>
      <c r="AI22" s="52" t="n">
        <v>1.18</v>
      </c>
      <c r="AJ22" s="52" t="n">
        <f aca="false">IF(AH22="EUR",AA22,IF(AH22="GBP",AB22,1))</f>
        <v>7.8</v>
      </c>
      <c r="AK22" s="52" t="n">
        <f aca="false">N22*AI22</f>
        <v>278.32896</v>
      </c>
      <c r="AL22" s="52" t="n">
        <f aca="false">AK22*AJ22</f>
        <v>2170.965888</v>
      </c>
      <c r="AM22" s="52" t="s">
        <v>195</v>
      </c>
      <c r="AN22" s="52" t="n">
        <v>0.42</v>
      </c>
      <c r="AO22" s="52" t="n">
        <f aca="false">IF(AM22="EUR",AA22,IF(AM22="GBP",AB22,1))</f>
        <v>7.8</v>
      </c>
      <c r="AP22" s="52" t="n">
        <f aca="false">P22*AN22</f>
        <v>110.9541888</v>
      </c>
      <c r="AQ22" s="52" t="n">
        <f aca="false">AP22*AO22</f>
        <v>865.44267264</v>
      </c>
      <c r="AR22" s="52" t="s">
        <v>199</v>
      </c>
      <c r="AS22" s="52" t="n">
        <v>4.8</v>
      </c>
      <c r="AT22" s="52" t="n">
        <f aca="false">IF(AR22="EUR",AA22,IF(AR22="GBP",AB22,1))</f>
        <v>9</v>
      </c>
      <c r="AU22" s="52" t="n">
        <f aca="false">T22*AS22</f>
        <v>90.574848</v>
      </c>
      <c r="AV22" s="52" t="n">
        <f aca="false">AU22*AT22</f>
        <v>815.173632</v>
      </c>
      <c r="AW22" s="52" t="s">
        <v>199</v>
      </c>
      <c r="AX22" s="52" t="n">
        <v>2.8</v>
      </c>
      <c r="AY22" s="52" t="n">
        <f aca="false">IF(AW22="EUR",AA22,IF(AW22="GBP",AB22,1))</f>
        <v>9</v>
      </c>
      <c r="AZ22" s="52" t="n">
        <f aca="false">V22*AX22</f>
        <v>9.616029696</v>
      </c>
      <c r="BA22" s="52" t="n">
        <f aca="false">AZ22*AY22</f>
        <v>86.544267264</v>
      </c>
      <c r="BB22" s="52" t="n">
        <f aca="false">AF22+AG22+AL22+AQ22+AV22+BA22</f>
        <v>19388.2277901312</v>
      </c>
      <c r="BC22" s="54" t="n">
        <v>0.974</v>
      </c>
      <c r="BD22" s="32"/>
      <c r="BE22" s="32"/>
      <c r="BF22" s="32"/>
      <c r="BG22" s="32" t="s">
        <v>197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46054</v>
      </c>
      <c r="E23" s="18" t="s">
        <v>127</v>
      </c>
      <c r="F23" s="18" t="s">
        <v>119</v>
      </c>
      <c r="G23" s="18" t="s">
        <v>100</v>
      </c>
      <c r="H23" s="18" t="s">
        <v>128</v>
      </c>
      <c r="I23" s="18" t="s">
        <v>125</v>
      </c>
      <c r="J23" s="50" t="n">
        <v>13500</v>
      </c>
      <c r="K23" s="51" t="n">
        <v>0.26</v>
      </c>
      <c r="L23" s="51" t="n">
        <v>0.96</v>
      </c>
      <c r="M23" s="51" t="n">
        <v>0.03</v>
      </c>
      <c r="N23" s="52" t="n">
        <f aca="false">J23*K23*L23*M23</f>
        <v>101.088</v>
      </c>
      <c r="O23" s="50" t="n">
        <v>1.12</v>
      </c>
      <c r="P23" s="52" t="n">
        <f aca="false">N23*O23</f>
        <v>113.21856</v>
      </c>
      <c r="Q23" s="50" t="n">
        <v>0.92</v>
      </c>
      <c r="R23" s="52" t="n">
        <f aca="false">P23*Q23</f>
        <v>104.1610752</v>
      </c>
      <c r="S23" s="50" t="n">
        <v>0.08</v>
      </c>
      <c r="T23" s="52" t="n">
        <f aca="false">N23*S23</f>
        <v>8.08704</v>
      </c>
      <c r="U23" s="52" t="n">
        <v>0.009</v>
      </c>
      <c r="V23" s="52" t="n">
        <f aca="false">P23*U23</f>
        <v>1.01896704</v>
      </c>
      <c r="W23" s="53" t="s">
        <v>199</v>
      </c>
      <c r="X23" s="50" t="n">
        <v>7.5</v>
      </c>
      <c r="Y23" s="53" t="s">
        <v>198</v>
      </c>
      <c r="Z23" s="50" t="n">
        <v>0.58</v>
      </c>
      <c r="AA23" s="50" t="n">
        <v>7.8</v>
      </c>
      <c r="AB23" s="50" t="n">
        <v>9</v>
      </c>
      <c r="AC23" s="52" t="n">
        <f aca="false">IF(W23="EUR",AA23,IF(W23="GBP",AB23,1))</f>
        <v>9</v>
      </c>
      <c r="AD23" s="52" t="n">
        <f aca="false">R23*X23</f>
        <v>781.208064</v>
      </c>
      <c r="AE23" s="52" t="n">
        <f aca="false">IF(Y23="PERCENTAGE_OF_BASE_FREIGHT",AD23*Z23,IF(Y23="PER_CHARGEABLE_KG",R23*Z23,P23*Z23))</f>
        <v>60.413423616</v>
      </c>
      <c r="AF23" s="52" t="n">
        <f aca="false">AD23*AC23</f>
        <v>7030.872576</v>
      </c>
      <c r="AG23" s="52" t="n">
        <f aca="false">AE23*AC23</f>
        <v>543.720812544</v>
      </c>
      <c r="AH23" s="52" t="s">
        <v>195</v>
      </c>
      <c r="AI23" s="52" t="n">
        <v>1.18</v>
      </c>
      <c r="AJ23" s="52" t="n">
        <f aca="false">IF(AH23="EUR",AA23,IF(AH23="GBP",AB23,1))</f>
        <v>7.8</v>
      </c>
      <c r="AK23" s="52" t="n">
        <f aca="false">N23*AI23</f>
        <v>119.28384</v>
      </c>
      <c r="AL23" s="52" t="n">
        <f aca="false">AK23*AJ23</f>
        <v>930.413952</v>
      </c>
      <c r="AM23" s="52" t="s">
        <v>195</v>
      </c>
      <c r="AN23" s="52" t="n">
        <v>0.42</v>
      </c>
      <c r="AO23" s="52" t="n">
        <f aca="false">IF(AM23="EUR",AA23,IF(AM23="GBP",AB23,1))</f>
        <v>7.8</v>
      </c>
      <c r="AP23" s="52" t="n">
        <f aca="false">P23*AN23</f>
        <v>47.5517952</v>
      </c>
      <c r="AQ23" s="52" t="n">
        <f aca="false">AP23*AO23</f>
        <v>370.90400256</v>
      </c>
      <c r="AR23" s="52" t="s">
        <v>199</v>
      </c>
      <c r="AS23" s="52" t="n">
        <v>4.8</v>
      </c>
      <c r="AT23" s="52" t="n">
        <f aca="false">IF(AR23="EUR",AA23,IF(AR23="GBP",AB23,1))</f>
        <v>9</v>
      </c>
      <c r="AU23" s="52" t="n">
        <f aca="false">T23*AS23</f>
        <v>38.817792</v>
      </c>
      <c r="AV23" s="52" t="n">
        <f aca="false">AU23*AT23</f>
        <v>349.360128</v>
      </c>
      <c r="AW23" s="52" t="s">
        <v>199</v>
      </c>
      <c r="AX23" s="52" t="n">
        <v>3.6</v>
      </c>
      <c r="AY23" s="52" t="n">
        <f aca="false">IF(AW23="EUR",AA23,IF(AW23="GBP",AB23,1))</f>
        <v>9</v>
      </c>
      <c r="AZ23" s="52" t="n">
        <f aca="false">V23*AX23</f>
        <v>3.668281344</v>
      </c>
      <c r="BA23" s="52" t="n">
        <f aca="false">AZ23*AY23</f>
        <v>33.014532096</v>
      </c>
      <c r="BB23" s="52" t="n">
        <f aca="false">AF23+AG23+AL23+AQ23+AV23+BA23</f>
        <v>9258.2860032</v>
      </c>
      <c r="BC23" s="54" t="n">
        <v>0.988</v>
      </c>
      <c r="BD23" s="32"/>
      <c r="BE23" s="32"/>
      <c r="BF23" s="32"/>
      <c r="BG23" s="32" t="s">
        <v>197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46054</v>
      </c>
      <c r="E24" s="18" t="s">
        <v>130</v>
      </c>
      <c r="F24" s="18" t="s">
        <v>119</v>
      </c>
      <c r="G24" s="18" t="s">
        <v>110</v>
      </c>
      <c r="H24" s="18" t="s">
        <v>107</v>
      </c>
      <c r="I24" s="18" t="s">
        <v>125</v>
      </c>
      <c r="J24" s="50" t="n">
        <v>13500</v>
      </c>
      <c r="K24" s="51" t="n">
        <v>0.26</v>
      </c>
      <c r="L24" s="51" t="n">
        <v>0.04</v>
      </c>
      <c r="M24" s="51" t="n">
        <v>1</v>
      </c>
      <c r="N24" s="52" t="n">
        <f aca="false">J24*K24*L24*M24</f>
        <v>140.4</v>
      </c>
      <c r="O24" s="50" t="n">
        <v>1.15</v>
      </c>
      <c r="P24" s="52" t="n">
        <f aca="false">N24*O24</f>
        <v>161.46</v>
      </c>
      <c r="Q24" s="50" t="n">
        <v>0.9</v>
      </c>
      <c r="R24" s="52" t="n">
        <f aca="false">P24*Q24</f>
        <v>145.314</v>
      </c>
      <c r="S24" s="50" t="n">
        <v>0.08</v>
      </c>
      <c r="T24" s="52" t="n">
        <f aca="false">N24*S24</f>
        <v>11.232</v>
      </c>
      <c r="U24" s="52" t="n">
        <v>0.012</v>
      </c>
      <c r="V24" s="52" t="n">
        <f aca="false">P24*U24</f>
        <v>1.93752</v>
      </c>
      <c r="W24" s="53" t="s">
        <v>195</v>
      </c>
      <c r="X24" s="50" t="n">
        <v>6.7</v>
      </c>
      <c r="Y24" s="53" t="s">
        <v>196</v>
      </c>
      <c r="Z24" s="50" t="n">
        <v>0.105</v>
      </c>
      <c r="AA24" s="50" t="n">
        <v>7.8</v>
      </c>
      <c r="AB24" s="50" t="n">
        <v>9</v>
      </c>
      <c r="AC24" s="52" t="n">
        <f aca="false">IF(W24="EUR",AA24,IF(W24="GBP",AB24,1))</f>
        <v>7.8</v>
      </c>
      <c r="AD24" s="52" t="n">
        <f aca="false">R24*X24</f>
        <v>973.6038</v>
      </c>
      <c r="AE24" s="52" t="n">
        <f aca="false">IF(Y24="PERCENTAGE_OF_BASE_FREIGHT",AD24*Z24,IF(Y24="PER_CHARGEABLE_KG",R24*Z24,P24*Z24))</f>
        <v>102.228399</v>
      </c>
      <c r="AF24" s="52" t="n">
        <f aca="false">AD24*AC24</f>
        <v>7594.10964</v>
      </c>
      <c r="AG24" s="52" t="n">
        <f aca="false">AE24*AC24</f>
        <v>797.3815122</v>
      </c>
      <c r="AH24" s="52" t="s">
        <v>195</v>
      </c>
      <c r="AI24" s="52" t="n">
        <v>1.05</v>
      </c>
      <c r="AJ24" s="52" t="n">
        <f aca="false">IF(AH24="EUR",AA24,IF(AH24="GBP",AB24,1))</f>
        <v>7.8</v>
      </c>
      <c r="AK24" s="52" t="n">
        <f aca="false">N24*AI24</f>
        <v>147.42</v>
      </c>
      <c r="AL24" s="52" t="n">
        <f aca="false">AK24*AJ24</f>
        <v>1149.876</v>
      </c>
      <c r="AM24" s="52" t="s">
        <v>195</v>
      </c>
      <c r="AN24" s="52" t="n">
        <v>0.38</v>
      </c>
      <c r="AO24" s="52" t="n">
        <f aca="false">IF(AM24="EUR",AA24,IF(AM24="GBP",AB24,1))</f>
        <v>7.8</v>
      </c>
      <c r="AP24" s="52" t="n">
        <f aca="false">P24*AN24</f>
        <v>61.3548</v>
      </c>
      <c r="AQ24" s="52" t="n">
        <f aca="false">AP24*AO24</f>
        <v>478.56744</v>
      </c>
      <c r="AR24" s="52" t="s">
        <v>195</v>
      </c>
      <c r="AS24" s="52" t="n">
        <v>5.2</v>
      </c>
      <c r="AT24" s="52" t="n">
        <f aca="false">IF(AR24="EUR",AA24,IF(AR24="GBP",AB24,1))</f>
        <v>7.8</v>
      </c>
      <c r="AU24" s="52" t="n">
        <f aca="false">T24*AS24</f>
        <v>58.4064</v>
      </c>
      <c r="AV24" s="52" t="n">
        <f aca="false">AU24*AT24</f>
        <v>455.56992</v>
      </c>
      <c r="AW24" s="52" t="s">
        <v>195</v>
      </c>
      <c r="AX24" s="52" t="n">
        <v>2.8</v>
      </c>
      <c r="AY24" s="52" t="n">
        <f aca="false">IF(AW24="EUR",AA24,IF(AW24="GBP",AB24,1))</f>
        <v>7.8</v>
      </c>
      <c r="AZ24" s="52" t="n">
        <f aca="false">V24*AX24</f>
        <v>5.425056</v>
      </c>
      <c r="BA24" s="52" t="n">
        <f aca="false">AZ24*AY24</f>
        <v>42.3154368</v>
      </c>
      <c r="BB24" s="52" t="n">
        <f aca="false">AF24+AG24+AL24+AQ24+AV24+BA24</f>
        <v>10517.819949</v>
      </c>
      <c r="BC24" s="54" t="n">
        <v>0.971</v>
      </c>
      <c r="BD24" s="32"/>
      <c r="BE24" s="32"/>
      <c r="BF24" s="32"/>
      <c r="BG24" s="32" t="s">
        <v>197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46082</v>
      </c>
      <c r="E25" s="18" t="s">
        <v>98</v>
      </c>
      <c r="F25" s="18" t="s">
        <v>99</v>
      </c>
      <c r="G25" s="18" t="s">
        <v>100</v>
      </c>
      <c r="H25" s="18" t="s">
        <v>101</v>
      </c>
      <c r="I25" s="18" t="s">
        <v>102</v>
      </c>
      <c r="J25" s="50" t="n">
        <v>15000</v>
      </c>
      <c r="K25" s="51" t="n">
        <v>0.4</v>
      </c>
      <c r="L25" s="51" t="n">
        <v>0.97</v>
      </c>
      <c r="M25" s="51" t="n">
        <v>0.6</v>
      </c>
      <c r="N25" s="52" t="n">
        <f aca="false">J25*K25*L25*M25</f>
        <v>3492</v>
      </c>
      <c r="O25" s="50" t="n">
        <v>1.05</v>
      </c>
      <c r="P25" s="52" t="n">
        <f aca="false">N25*O25</f>
        <v>3666.6</v>
      </c>
      <c r="Q25" s="50" t="n">
        <v>0.78</v>
      </c>
      <c r="R25" s="52" t="n">
        <f aca="false">P25*Q25</f>
        <v>2859.948</v>
      </c>
      <c r="S25" s="50" t="n">
        <v>0.05</v>
      </c>
      <c r="T25" s="52" t="n">
        <f aca="false">N25*S25</f>
        <v>174.6</v>
      </c>
      <c r="U25" s="52" t="n">
        <v>0.016</v>
      </c>
      <c r="V25" s="52" t="n">
        <f aca="false">P25*U25</f>
        <v>58.6656</v>
      </c>
      <c r="W25" s="53" t="s">
        <v>195</v>
      </c>
      <c r="X25" s="50" t="n">
        <v>2.2</v>
      </c>
      <c r="Y25" s="53" t="s">
        <v>196</v>
      </c>
      <c r="Z25" s="50" t="n">
        <v>0.095</v>
      </c>
      <c r="AA25" s="50" t="n">
        <v>7.8</v>
      </c>
      <c r="AB25" s="50" t="n">
        <v>9</v>
      </c>
      <c r="AC25" s="52" t="n">
        <f aca="false">IF(W25="EUR",AA25,IF(W25="GBP",AB25,1))</f>
        <v>7.8</v>
      </c>
      <c r="AD25" s="52" t="n">
        <f aca="false">R25*X25</f>
        <v>6291.8856</v>
      </c>
      <c r="AE25" s="52" t="n">
        <f aca="false">IF(Y25="PERCENTAGE_OF_BASE_FREIGHT",AD25*Z25,IF(Y25="PER_CHARGEABLE_KG",R25*Z25,P25*Z25))</f>
        <v>597.729132</v>
      </c>
      <c r="AF25" s="52" t="n">
        <f aca="false">AD25*AC25</f>
        <v>49076.70768</v>
      </c>
      <c r="AG25" s="52" t="n">
        <f aca="false">AE25*AC25</f>
        <v>4662.2872296</v>
      </c>
      <c r="AH25" s="52" t="s">
        <v>195</v>
      </c>
      <c r="AI25" s="52" t="n">
        <v>1.18</v>
      </c>
      <c r="AJ25" s="52" t="n">
        <f aca="false">IF(AH25="EUR",AA25,IF(AH25="GBP",AB25,1))</f>
        <v>7.8</v>
      </c>
      <c r="AK25" s="52" t="n">
        <f aca="false">N25*AI25</f>
        <v>4120.56</v>
      </c>
      <c r="AL25" s="52" t="n">
        <f aca="false">AK25*AJ25</f>
        <v>32140.368</v>
      </c>
      <c r="AM25" s="52" t="s">
        <v>195</v>
      </c>
      <c r="AN25" s="52" t="n">
        <v>0.42</v>
      </c>
      <c r="AO25" s="52" t="n">
        <f aca="false">IF(AM25="EUR",AA25,IF(AM25="GBP",AB25,1))</f>
        <v>7.8</v>
      </c>
      <c r="AP25" s="52" t="n">
        <f aca="false">P25*AN25</f>
        <v>1539.972</v>
      </c>
      <c r="AQ25" s="52" t="n">
        <f aca="false">AP25*AO25</f>
        <v>12011.7816</v>
      </c>
      <c r="AR25" s="52" t="s">
        <v>195</v>
      </c>
      <c r="AS25" s="52" t="n">
        <v>3.2</v>
      </c>
      <c r="AT25" s="52" t="n">
        <f aca="false">IF(AR25="EUR",AA25,IF(AR25="GBP",AB25,1))</f>
        <v>7.8</v>
      </c>
      <c r="AU25" s="52" t="n">
        <f aca="false">T25*AS25</f>
        <v>558.72</v>
      </c>
      <c r="AV25" s="52" t="n">
        <f aca="false">AU25*AT25</f>
        <v>4358.016</v>
      </c>
      <c r="AW25" s="52" t="s">
        <v>195</v>
      </c>
      <c r="AX25" s="52" t="n">
        <v>2.3</v>
      </c>
      <c r="AY25" s="52" t="n">
        <f aca="false">IF(AW25="EUR",AA25,IF(AW25="GBP",AB25,1))</f>
        <v>7.8</v>
      </c>
      <c r="AZ25" s="52" t="n">
        <f aca="false">V25*AX25</f>
        <v>134.93088</v>
      </c>
      <c r="BA25" s="52" t="n">
        <f aca="false">AZ25*AY25</f>
        <v>1052.460864</v>
      </c>
      <c r="BB25" s="52" t="n">
        <f aca="false">AF25+AG25+AL25+AQ25+AV25+BA25</f>
        <v>103301.6213736</v>
      </c>
      <c r="BC25" s="54" t="n">
        <v>0.965</v>
      </c>
      <c r="BD25" s="32"/>
      <c r="BE25" s="32"/>
      <c r="BF25" s="32"/>
      <c r="BG25" s="32" t="s">
        <v>197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46082</v>
      </c>
      <c r="E26" s="18" t="s">
        <v>106</v>
      </c>
      <c r="F26" s="18" t="s">
        <v>99</v>
      </c>
      <c r="G26" s="18" t="s">
        <v>100</v>
      </c>
      <c r="H26" s="18" t="s">
        <v>107</v>
      </c>
      <c r="I26" s="18" t="s">
        <v>102</v>
      </c>
      <c r="J26" s="50" t="n">
        <v>15000</v>
      </c>
      <c r="K26" s="51" t="n">
        <v>0.4</v>
      </c>
      <c r="L26" s="51" t="n">
        <v>0.97</v>
      </c>
      <c r="M26" s="51" t="n">
        <v>0.4</v>
      </c>
      <c r="N26" s="52" t="n">
        <f aca="false">J26*K26*L26*M26</f>
        <v>2328</v>
      </c>
      <c r="O26" s="50" t="n">
        <v>1.05</v>
      </c>
      <c r="P26" s="52" t="n">
        <f aca="false">N26*O26</f>
        <v>2444.4</v>
      </c>
      <c r="Q26" s="50" t="n">
        <v>0.8</v>
      </c>
      <c r="R26" s="52" t="n">
        <f aca="false">P26*Q26</f>
        <v>1955.52</v>
      </c>
      <c r="S26" s="50" t="n">
        <v>0.05</v>
      </c>
      <c r="T26" s="52" t="n">
        <f aca="false">N26*S26</f>
        <v>116.4</v>
      </c>
      <c r="U26" s="52" t="n">
        <v>0.013</v>
      </c>
      <c r="V26" s="52" t="n">
        <f aca="false">P26*U26</f>
        <v>31.7772</v>
      </c>
      <c r="W26" s="53" t="s">
        <v>195</v>
      </c>
      <c r="X26" s="50" t="n">
        <v>2.75</v>
      </c>
      <c r="Y26" s="53" t="s">
        <v>198</v>
      </c>
      <c r="Z26" s="50" t="n">
        <v>0.21</v>
      </c>
      <c r="AA26" s="50" t="n">
        <v>7.8</v>
      </c>
      <c r="AB26" s="50" t="n">
        <v>9</v>
      </c>
      <c r="AC26" s="52" t="n">
        <f aca="false">IF(W26="EUR",AA26,IF(W26="GBP",AB26,1))</f>
        <v>7.8</v>
      </c>
      <c r="AD26" s="52" t="n">
        <f aca="false">R26*X26</f>
        <v>5377.68</v>
      </c>
      <c r="AE26" s="52" t="n">
        <f aca="false">IF(Y26="PERCENTAGE_OF_BASE_FREIGHT",AD26*Z26,IF(Y26="PER_CHARGEABLE_KG",R26*Z26,P26*Z26))</f>
        <v>410.6592</v>
      </c>
      <c r="AF26" s="52" t="n">
        <f aca="false">AD26*AC26</f>
        <v>41945.904</v>
      </c>
      <c r="AG26" s="52" t="n">
        <f aca="false">AE26*AC26</f>
        <v>3203.14176</v>
      </c>
      <c r="AH26" s="52" t="s">
        <v>195</v>
      </c>
      <c r="AI26" s="52" t="n">
        <v>1.18</v>
      </c>
      <c r="AJ26" s="52" t="n">
        <f aca="false">IF(AH26="EUR",AA26,IF(AH26="GBP",AB26,1))</f>
        <v>7.8</v>
      </c>
      <c r="AK26" s="52" t="n">
        <f aca="false">N26*AI26</f>
        <v>2747.04</v>
      </c>
      <c r="AL26" s="52" t="n">
        <f aca="false">AK26*AJ26</f>
        <v>21426.912</v>
      </c>
      <c r="AM26" s="52" t="s">
        <v>195</v>
      </c>
      <c r="AN26" s="52" t="n">
        <v>0.42</v>
      </c>
      <c r="AO26" s="52" t="n">
        <f aca="false">IF(AM26="EUR",AA26,IF(AM26="GBP",AB26,1))</f>
        <v>7.8</v>
      </c>
      <c r="AP26" s="52" t="n">
        <f aca="false">P26*AN26</f>
        <v>1026.648</v>
      </c>
      <c r="AQ26" s="52" t="n">
        <f aca="false">AP26*AO26</f>
        <v>8007.8544</v>
      </c>
      <c r="AR26" s="52" t="s">
        <v>195</v>
      </c>
      <c r="AS26" s="52" t="n">
        <v>3.2</v>
      </c>
      <c r="AT26" s="52" t="n">
        <f aca="false">IF(AR26="EUR",AA26,IF(AR26="GBP",AB26,1))</f>
        <v>7.8</v>
      </c>
      <c r="AU26" s="52" t="n">
        <f aca="false">T26*AS26</f>
        <v>372.48</v>
      </c>
      <c r="AV26" s="52" t="n">
        <f aca="false">AU26*AT26</f>
        <v>2905.344</v>
      </c>
      <c r="AW26" s="52" t="s">
        <v>195</v>
      </c>
      <c r="AX26" s="52" t="n">
        <v>2.3</v>
      </c>
      <c r="AY26" s="52" t="n">
        <f aca="false">IF(AW26="EUR",AA26,IF(AW26="GBP",AB26,1))</f>
        <v>7.8</v>
      </c>
      <c r="AZ26" s="52" t="n">
        <f aca="false">V26*AX26</f>
        <v>73.08756</v>
      </c>
      <c r="BA26" s="52" t="n">
        <f aca="false">AZ26*AY26</f>
        <v>570.082968</v>
      </c>
      <c r="BB26" s="52" t="n">
        <f aca="false">AF26+AG26+AL26+AQ26+AV26+BA26</f>
        <v>78059.239128</v>
      </c>
      <c r="BC26" s="54" t="n">
        <v>0.976</v>
      </c>
      <c r="BD26" s="32"/>
      <c r="BE26" s="32"/>
      <c r="BF26" s="32"/>
      <c r="BG26" s="32" t="s">
        <v>197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46082</v>
      </c>
      <c r="E27" s="18" t="s">
        <v>109</v>
      </c>
      <c r="F27" s="18" t="s">
        <v>99</v>
      </c>
      <c r="G27" s="18" t="s">
        <v>110</v>
      </c>
      <c r="H27" s="18" t="s">
        <v>107</v>
      </c>
      <c r="I27" s="18" t="s">
        <v>102</v>
      </c>
      <c r="J27" s="50" t="n">
        <v>15000</v>
      </c>
      <c r="K27" s="51" t="n">
        <v>0.4</v>
      </c>
      <c r="L27" s="51" t="n">
        <v>0.03</v>
      </c>
      <c r="M27" s="51" t="n">
        <v>1</v>
      </c>
      <c r="N27" s="52" t="n">
        <f aca="false">J27*K27*L27*M27</f>
        <v>180</v>
      </c>
      <c r="O27" s="50" t="n">
        <v>1.08</v>
      </c>
      <c r="P27" s="52" t="n">
        <f aca="false">N27*O27</f>
        <v>194.4</v>
      </c>
      <c r="Q27" s="50" t="n">
        <v>0.86</v>
      </c>
      <c r="R27" s="52" t="n">
        <f aca="false">P27*Q27</f>
        <v>167.184</v>
      </c>
      <c r="S27" s="50" t="n">
        <v>0.05</v>
      </c>
      <c r="T27" s="52" t="n">
        <f aca="false">N27*S27</f>
        <v>9</v>
      </c>
      <c r="U27" s="52" t="n">
        <v>0.014</v>
      </c>
      <c r="V27" s="52" t="n">
        <f aca="false">P27*U27</f>
        <v>2.7216</v>
      </c>
      <c r="W27" s="53" t="s">
        <v>195</v>
      </c>
      <c r="X27" s="50" t="n">
        <v>3.3</v>
      </c>
      <c r="Y27" s="53" t="s">
        <v>198</v>
      </c>
      <c r="Z27" s="50" t="n">
        <v>0.24</v>
      </c>
      <c r="AA27" s="50" t="n">
        <v>7.8</v>
      </c>
      <c r="AB27" s="50" t="n">
        <v>9</v>
      </c>
      <c r="AC27" s="52" t="n">
        <f aca="false">IF(W27="EUR",AA27,IF(W27="GBP",AB27,1))</f>
        <v>7.8</v>
      </c>
      <c r="AD27" s="52" t="n">
        <f aca="false">R27*X27</f>
        <v>551.7072</v>
      </c>
      <c r="AE27" s="52" t="n">
        <f aca="false">IF(Y27="PERCENTAGE_OF_BASE_FREIGHT",AD27*Z27,IF(Y27="PER_CHARGEABLE_KG",R27*Z27,P27*Z27))</f>
        <v>40.12416</v>
      </c>
      <c r="AF27" s="52" t="n">
        <f aca="false">AD27*AC27</f>
        <v>4303.31616</v>
      </c>
      <c r="AG27" s="52" t="n">
        <f aca="false">AE27*AC27</f>
        <v>312.968448</v>
      </c>
      <c r="AH27" s="52" t="s">
        <v>195</v>
      </c>
      <c r="AI27" s="52" t="n">
        <v>1.05</v>
      </c>
      <c r="AJ27" s="52" t="n">
        <f aca="false">IF(AH27="EUR",AA27,IF(AH27="GBP",AB27,1))</f>
        <v>7.8</v>
      </c>
      <c r="AK27" s="52" t="n">
        <f aca="false">N27*AI27</f>
        <v>189</v>
      </c>
      <c r="AL27" s="52" t="n">
        <f aca="false">AK27*AJ27</f>
        <v>1474.2</v>
      </c>
      <c r="AM27" s="52" t="s">
        <v>195</v>
      </c>
      <c r="AN27" s="52" t="n">
        <v>0.38</v>
      </c>
      <c r="AO27" s="52" t="n">
        <f aca="false">IF(AM27="EUR",AA27,IF(AM27="GBP",AB27,1))</f>
        <v>7.8</v>
      </c>
      <c r="AP27" s="52" t="n">
        <f aca="false">P27*AN27</f>
        <v>73.872</v>
      </c>
      <c r="AQ27" s="52" t="n">
        <f aca="false">AP27*AO27</f>
        <v>576.2016</v>
      </c>
      <c r="AR27" s="52" t="s">
        <v>195</v>
      </c>
      <c r="AS27" s="52" t="n">
        <v>3.8</v>
      </c>
      <c r="AT27" s="52" t="n">
        <f aca="false">IF(AR27="EUR",AA27,IF(AR27="GBP",AB27,1))</f>
        <v>7.8</v>
      </c>
      <c r="AU27" s="52" t="n">
        <f aca="false">T27*AS27</f>
        <v>34.2</v>
      </c>
      <c r="AV27" s="52" t="n">
        <f aca="false">AU27*AT27</f>
        <v>266.76</v>
      </c>
      <c r="AW27" s="52" t="s">
        <v>195</v>
      </c>
      <c r="AX27" s="52" t="n">
        <v>2.3</v>
      </c>
      <c r="AY27" s="52" t="n">
        <f aca="false">IF(AW27="EUR",AA27,IF(AW27="GBP",AB27,1))</f>
        <v>7.8</v>
      </c>
      <c r="AZ27" s="52" t="n">
        <f aca="false">V27*AX27</f>
        <v>6.25968</v>
      </c>
      <c r="BA27" s="52" t="n">
        <f aca="false">AZ27*AY27</f>
        <v>48.825504</v>
      </c>
      <c r="BB27" s="52" t="n">
        <f aca="false">AF27+AG27+AL27+AQ27+AV27+BA27</f>
        <v>6982.271712</v>
      </c>
      <c r="BC27" s="54" t="n">
        <v>0.968</v>
      </c>
      <c r="BD27" s="32"/>
      <c r="BE27" s="32"/>
      <c r="BF27" s="32"/>
      <c r="BG27" s="32" t="s">
        <v>197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46082</v>
      </c>
      <c r="E28" s="18" t="s">
        <v>112</v>
      </c>
      <c r="F28" s="18" t="s">
        <v>113</v>
      </c>
      <c r="G28" s="18" t="s">
        <v>110</v>
      </c>
      <c r="H28" s="18" t="s">
        <v>101</v>
      </c>
      <c r="I28" s="18" t="s">
        <v>102</v>
      </c>
      <c r="J28" s="50" t="n">
        <v>15000</v>
      </c>
      <c r="K28" s="51" t="n">
        <v>0.32</v>
      </c>
      <c r="L28" s="51" t="n">
        <v>1</v>
      </c>
      <c r="M28" s="51" t="n">
        <v>0.35</v>
      </c>
      <c r="N28" s="52" t="n">
        <f aca="false">J28*K28*L28*M28</f>
        <v>1680</v>
      </c>
      <c r="O28" s="50" t="n">
        <v>1.06</v>
      </c>
      <c r="P28" s="52" t="n">
        <f aca="false">N28*O28</f>
        <v>1780.8</v>
      </c>
      <c r="Q28" s="50" t="n">
        <v>0.76</v>
      </c>
      <c r="R28" s="52" t="n">
        <f aca="false">P28*Q28</f>
        <v>1353.408</v>
      </c>
      <c r="S28" s="50" t="n">
        <v>0.06</v>
      </c>
      <c r="T28" s="52" t="n">
        <f aca="false">N28*S28</f>
        <v>100.8</v>
      </c>
      <c r="U28" s="52" t="n">
        <v>0.017</v>
      </c>
      <c r="V28" s="52" t="n">
        <f aca="false">P28*U28</f>
        <v>30.2736</v>
      </c>
      <c r="W28" s="53" t="s">
        <v>195</v>
      </c>
      <c r="X28" s="50" t="n">
        <v>2.1</v>
      </c>
      <c r="Y28" s="53" t="s">
        <v>196</v>
      </c>
      <c r="Z28" s="50" t="n">
        <v>0.09</v>
      </c>
      <c r="AA28" s="50" t="n">
        <v>7.8</v>
      </c>
      <c r="AB28" s="50" t="n">
        <v>9</v>
      </c>
      <c r="AC28" s="52" t="n">
        <f aca="false">IF(W28="EUR",AA28,IF(W28="GBP",AB28,1))</f>
        <v>7.8</v>
      </c>
      <c r="AD28" s="52" t="n">
        <f aca="false">R28*X28</f>
        <v>2842.1568</v>
      </c>
      <c r="AE28" s="52" t="n">
        <f aca="false">IF(Y28="PERCENTAGE_OF_BASE_FREIGHT",AD28*Z28,IF(Y28="PER_CHARGEABLE_KG",R28*Z28,P28*Z28))</f>
        <v>255.794112</v>
      </c>
      <c r="AF28" s="52" t="n">
        <f aca="false">AD28*AC28</f>
        <v>22168.82304</v>
      </c>
      <c r="AG28" s="52" t="n">
        <f aca="false">AE28*AC28</f>
        <v>1995.1940736</v>
      </c>
      <c r="AH28" s="52" t="s">
        <v>195</v>
      </c>
      <c r="AI28" s="52" t="n">
        <v>1.05</v>
      </c>
      <c r="AJ28" s="52" t="n">
        <f aca="false">IF(AH28="EUR",AA28,IF(AH28="GBP",AB28,1))</f>
        <v>7.8</v>
      </c>
      <c r="AK28" s="52" t="n">
        <f aca="false">N28*AI28</f>
        <v>1764</v>
      </c>
      <c r="AL28" s="52" t="n">
        <f aca="false">AK28*AJ28</f>
        <v>13759.2</v>
      </c>
      <c r="AM28" s="52" t="s">
        <v>195</v>
      </c>
      <c r="AN28" s="52" t="n">
        <v>0.38</v>
      </c>
      <c r="AO28" s="52" t="n">
        <f aca="false">IF(AM28="EUR",AA28,IF(AM28="GBP",AB28,1))</f>
        <v>7.8</v>
      </c>
      <c r="AP28" s="52" t="n">
        <f aca="false">P28*AN28</f>
        <v>676.704</v>
      </c>
      <c r="AQ28" s="52" t="n">
        <f aca="false">AP28*AO28</f>
        <v>5278.2912</v>
      </c>
      <c r="AR28" s="52" t="s">
        <v>195</v>
      </c>
      <c r="AS28" s="52" t="n">
        <v>3</v>
      </c>
      <c r="AT28" s="52" t="n">
        <f aca="false">IF(AR28="EUR",AA28,IF(AR28="GBP",AB28,1))</f>
        <v>7.8</v>
      </c>
      <c r="AU28" s="52" t="n">
        <f aca="false">T28*AS28</f>
        <v>302.4</v>
      </c>
      <c r="AV28" s="52" t="n">
        <f aca="false">AU28*AT28</f>
        <v>2358.72</v>
      </c>
      <c r="AW28" s="52" t="s">
        <v>195</v>
      </c>
      <c r="AX28" s="52" t="n">
        <v>2.3</v>
      </c>
      <c r="AY28" s="52" t="n">
        <f aca="false">IF(AW28="EUR",AA28,IF(AW28="GBP",AB28,1))</f>
        <v>7.8</v>
      </c>
      <c r="AZ28" s="52" t="n">
        <f aca="false">V28*AX28</f>
        <v>69.62928</v>
      </c>
      <c r="BA28" s="52" t="n">
        <f aca="false">AZ28*AY28</f>
        <v>543.108384</v>
      </c>
      <c r="BB28" s="52" t="n">
        <f aca="false">AF28+AG28+AL28+AQ28+AV28+BA28</f>
        <v>46103.3366976</v>
      </c>
      <c r="BC28" s="54" t="n">
        <v>0.961</v>
      </c>
      <c r="BD28" s="32"/>
      <c r="BE28" s="32"/>
      <c r="BF28" s="32"/>
      <c r="BG28" s="32" t="s">
        <v>197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46082</v>
      </c>
      <c r="E29" s="18" t="s">
        <v>116</v>
      </c>
      <c r="F29" s="18" t="s">
        <v>113</v>
      </c>
      <c r="G29" s="18" t="s">
        <v>110</v>
      </c>
      <c r="H29" s="18" t="s">
        <v>107</v>
      </c>
      <c r="I29" s="18" t="s">
        <v>102</v>
      </c>
      <c r="J29" s="50" t="n">
        <v>15000</v>
      </c>
      <c r="K29" s="51" t="n">
        <v>0.32</v>
      </c>
      <c r="L29" s="51" t="n">
        <v>1</v>
      </c>
      <c r="M29" s="51" t="n">
        <v>0.65</v>
      </c>
      <c r="N29" s="52" t="n">
        <f aca="false">J29*K29*L29*M29</f>
        <v>3120</v>
      </c>
      <c r="O29" s="50" t="n">
        <v>1.06</v>
      </c>
      <c r="P29" s="52" t="n">
        <f aca="false">N29*O29</f>
        <v>3307.2</v>
      </c>
      <c r="Q29" s="50" t="n">
        <v>0.79</v>
      </c>
      <c r="R29" s="52" t="n">
        <f aca="false">P29*Q29</f>
        <v>2612.688</v>
      </c>
      <c r="S29" s="50" t="n">
        <v>0.06</v>
      </c>
      <c r="T29" s="52" t="n">
        <f aca="false">N29*S29</f>
        <v>187.2</v>
      </c>
      <c r="U29" s="52" t="n">
        <v>0.014</v>
      </c>
      <c r="V29" s="52" t="n">
        <f aca="false">P29*U29</f>
        <v>46.3008</v>
      </c>
      <c r="W29" s="53" t="s">
        <v>195</v>
      </c>
      <c r="X29" s="50" t="n">
        <v>2.6</v>
      </c>
      <c r="Y29" s="53" t="s">
        <v>198</v>
      </c>
      <c r="Z29" s="50" t="n">
        <v>0.2</v>
      </c>
      <c r="AA29" s="50" t="n">
        <v>7.8</v>
      </c>
      <c r="AB29" s="50" t="n">
        <v>9</v>
      </c>
      <c r="AC29" s="52" t="n">
        <f aca="false">IF(W29="EUR",AA29,IF(W29="GBP",AB29,1))</f>
        <v>7.8</v>
      </c>
      <c r="AD29" s="52" t="n">
        <f aca="false">R29*X29</f>
        <v>6792.9888</v>
      </c>
      <c r="AE29" s="52" t="n">
        <f aca="false">IF(Y29="PERCENTAGE_OF_BASE_FREIGHT",AD29*Z29,IF(Y29="PER_CHARGEABLE_KG",R29*Z29,P29*Z29))</f>
        <v>522.5376</v>
      </c>
      <c r="AF29" s="52" t="n">
        <f aca="false">AD29*AC29</f>
        <v>52985.31264</v>
      </c>
      <c r="AG29" s="52" t="n">
        <f aca="false">AE29*AC29</f>
        <v>4075.79328</v>
      </c>
      <c r="AH29" s="52" t="s">
        <v>195</v>
      </c>
      <c r="AI29" s="52" t="n">
        <v>1.05</v>
      </c>
      <c r="AJ29" s="52" t="n">
        <f aca="false">IF(AH29="EUR",AA29,IF(AH29="GBP",AB29,1))</f>
        <v>7.8</v>
      </c>
      <c r="AK29" s="52" t="n">
        <f aca="false">N29*AI29</f>
        <v>3276</v>
      </c>
      <c r="AL29" s="52" t="n">
        <f aca="false">AK29*AJ29</f>
        <v>25552.8</v>
      </c>
      <c r="AM29" s="52" t="s">
        <v>195</v>
      </c>
      <c r="AN29" s="52" t="n">
        <v>0.38</v>
      </c>
      <c r="AO29" s="52" t="n">
        <f aca="false">IF(AM29="EUR",AA29,IF(AM29="GBP",AB29,1))</f>
        <v>7.8</v>
      </c>
      <c r="AP29" s="52" t="n">
        <f aca="false">P29*AN29</f>
        <v>1256.736</v>
      </c>
      <c r="AQ29" s="52" t="n">
        <f aca="false">AP29*AO29</f>
        <v>9802.5408</v>
      </c>
      <c r="AR29" s="52" t="s">
        <v>195</v>
      </c>
      <c r="AS29" s="52" t="n">
        <v>3</v>
      </c>
      <c r="AT29" s="52" t="n">
        <f aca="false">IF(AR29="EUR",AA29,IF(AR29="GBP",AB29,1))</f>
        <v>7.8</v>
      </c>
      <c r="AU29" s="52" t="n">
        <f aca="false">T29*AS29</f>
        <v>561.6</v>
      </c>
      <c r="AV29" s="52" t="n">
        <f aca="false">AU29*AT29</f>
        <v>4380.48</v>
      </c>
      <c r="AW29" s="52" t="s">
        <v>195</v>
      </c>
      <c r="AX29" s="52" t="n">
        <v>2.3</v>
      </c>
      <c r="AY29" s="52" t="n">
        <f aca="false">IF(AW29="EUR",AA29,IF(AW29="GBP",AB29,1))</f>
        <v>7.8</v>
      </c>
      <c r="AZ29" s="52" t="n">
        <f aca="false">V29*AX29</f>
        <v>106.49184</v>
      </c>
      <c r="BA29" s="52" t="n">
        <f aca="false">AZ29*AY29</f>
        <v>830.636352</v>
      </c>
      <c r="BB29" s="52" t="n">
        <f aca="false">AF29+AG29+AL29+AQ29+AV29+BA29</f>
        <v>97627.563072</v>
      </c>
      <c r="BC29" s="54" t="n">
        <v>0.973</v>
      </c>
      <c r="BD29" s="32"/>
      <c r="BE29" s="32"/>
      <c r="BF29" s="32"/>
      <c r="BG29" s="32" t="s">
        <v>197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46082</v>
      </c>
      <c r="E30" s="18" t="s">
        <v>118</v>
      </c>
      <c r="F30" s="18" t="s">
        <v>119</v>
      </c>
      <c r="G30" s="18" t="s">
        <v>100</v>
      </c>
      <c r="H30" s="18" t="s">
        <v>101</v>
      </c>
      <c r="I30" s="18" t="s">
        <v>102</v>
      </c>
      <c r="J30" s="50" t="n">
        <v>15000</v>
      </c>
      <c r="K30" s="51" t="n">
        <v>0.28</v>
      </c>
      <c r="L30" s="51" t="n">
        <v>0.96</v>
      </c>
      <c r="M30" s="51" t="n">
        <v>0.65</v>
      </c>
      <c r="N30" s="52" t="n">
        <f aca="false">J30*K30*L30*M30</f>
        <v>2620.8</v>
      </c>
      <c r="O30" s="50" t="n">
        <v>1.12</v>
      </c>
      <c r="P30" s="52" t="n">
        <f aca="false">N30*O30</f>
        <v>2935.296</v>
      </c>
      <c r="Q30" s="50" t="n">
        <v>1.02</v>
      </c>
      <c r="R30" s="52" t="n">
        <f aca="false">P30*Q30</f>
        <v>2994.00192</v>
      </c>
      <c r="S30" s="50" t="n">
        <v>0.08</v>
      </c>
      <c r="T30" s="52" t="n">
        <f aca="false">N30*S30</f>
        <v>209.664</v>
      </c>
      <c r="U30" s="52" t="n">
        <v>0.022</v>
      </c>
      <c r="V30" s="52" t="n">
        <f aca="false">P30*U30</f>
        <v>64.576512</v>
      </c>
      <c r="W30" s="53" t="s">
        <v>199</v>
      </c>
      <c r="X30" s="50" t="n">
        <v>4</v>
      </c>
      <c r="Y30" s="53" t="s">
        <v>196</v>
      </c>
      <c r="Z30" s="50" t="n">
        <v>0.1</v>
      </c>
      <c r="AA30" s="50" t="n">
        <v>7.8</v>
      </c>
      <c r="AB30" s="50" t="n">
        <v>9</v>
      </c>
      <c r="AC30" s="52" t="n">
        <f aca="false">IF(W30="EUR",AA30,IF(W30="GBP",AB30,1))</f>
        <v>9</v>
      </c>
      <c r="AD30" s="52" t="n">
        <f aca="false">R30*X30</f>
        <v>11976.00768</v>
      </c>
      <c r="AE30" s="52" t="n">
        <f aca="false">IF(Y30="PERCENTAGE_OF_BASE_FREIGHT",AD30*Z30,IF(Y30="PER_CHARGEABLE_KG",R30*Z30,P30*Z30))</f>
        <v>1197.600768</v>
      </c>
      <c r="AF30" s="52" t="n">
        <f aca="false">AD30*AC30</f>
        <v>107784.06912</v>
      </c>
      <c r="AG30" s="52" t="n">
        <f aca="false">AE30*AC30</f>
        <v>10778.406912</v>
      </c>
      <c r="AH30" s="52" t="s">
        <v>195</v>
      </c>
      <c r="AI30" s="52" t="n">
        <v>1.18</v>
      </c>
      <c r="AJ30" s="52" t="n">
        <f aca="false">IF(AH30="EUR",AA30,IF(AH30="GBP",AB30,1))</f>
        <v>7.8</v>
      </c>
      <c r="AK30" s="52" t="n">
        <f aca="false">N30*AI30</f>
        <v>3092.544</v>
      </c>
      <c r="AL30" s="52" t="n">
        <f aca="false">AK30*AJ30</f>
        <v>24121.8432</v>
      </c>
      <c r="AM30" s="52" t="s">
        <v>195</v>
      </c>
      <c r="AN30" s="52" t="n">
        <v>0.42</v>
      </c>
      <c r="AO30" s="52" t="n">
        <f aca="false">IF(AM30="EUR",AA30,IF(AM30="GBP",AB30,1))</f>
        <v>7.8</v>
      </c>
      <c r="AP30" s="52" t="n">
        <f aca="false">P30*AN30</f>
        <v>1232.82432</v>
      </c>
      <c r="AQ30" s="52" t="n">
        <f aca="false">AP30*AO30</f>
        <v>9616.029696</v>
      </c>
      <c r="AR30" s="52" t="s">
        <v>199</v>
      </c>
      <c r="AS30" s="52" t="n">
        <v>4.8</v>
      </c>
      <c r="AT30" s="52" t="n">
        <f aca="false">IF(AR30="EUR",AA30,IF(AR30="GBP",AB30,1))</f>
        <v>9</v>
      </c>
      <c r="AU30" s="52" t="n">
        <f aca="false">T30*AS30</f>
        <v>1006.3872</v>
      </c>
      <c r="AV30" s="52" t="n">
        <f aca="false">AU30*AT30</f>
        <v>9057.4848</v>
      </c>
      <c r="AW30" s="52" t="s">
        <v>199</v>
      </c>
      <c r="AX30" s="52" t="n">
        <v>2.3</v>
      </c>
      <c r="AY30" s="52" t="n">
        <f aca="false">IF(AW30="EUR",AA30,IF(AW30="GBP",AB30,1))</f>
        <v>9</v>
      </c>
      <c r="AZ30" s="52" t="n">
        <f aca="false">V30*AX30</f>
        <v>148.5259776</v>
      </c>
      <c r="BA30" s="52" t="n">
        <f aca="false">AZ30*AY30</f>
        <v>1336.7337984</v>
      </c>
      <c r="BB30" s="52" t="n">
        <f aca="false">AF30+AG30+AL30+AQ30+AV30+BA30</f>
        <v>162694.5675264</v>
      </c>
      <c r="BC30" s="54" t="n">
        <v>0.93</v>
      </c>
      <c r="BD30" s="32"/>
      <c r="BE30" s="32"/>
      <c r="BF30" s="32"/>
      <c r="BG30" s="32" t="s">
        <v>197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46082</v>
      </c>
      <c r="E31" s="18" t="s">
        <v>122</v>
      </c>
      <c r="F31" s="18" t="s">
        <v>119</v>
      </c>
      <c r="G31" s="18" t="s">
        <v>100</v>
      </c>
      <c r="H31" s="18" t="s">
        <v>107</v>
      </c>
      <c r="I31" s="18" t="s">
        <v>102</v>
      </c>
      <c r="J31" s="50" t="n">
        <v>15000</v>
      </c>
      <c r="K31" s="51" t="n">
        <v>0.28</v>
      </c>
      <c r="L31" s="51" t="n">
        <v>0.96</v>
      </c>
      <c r="M31" s="51" t="n">
        <v>0.25</v>
      </c>
      <c r="N31" s="52" t="n">
        <f aca="false">J31*K31*L31*M31</f>
        <v>1008</v>
      </c>
      <c r="O31" s="50" t="n">
        <v>1.12</v>
      </c>
      <c r="P31" s="52" t="n">
        <f aca="false">N31*O31</f>
        <v>1128.96</v>
      </c>
      <c r="Q31" s="50" t="n">
        <v>1</v>
      </c>
      <c r="R31" s="52" t="n">
        <f aca="false">P31*Q31</f>
        <v>1128.96</v>
      </c>
      <c r="S31" s="50" t="n">
        <v>0.08</v>
      </c>
      <c r="T31" s="52" t="n">
        <f aca="false">N31*S31</f>
        <v>80.64</v>
      </c>
      <c r="U31" s="52" t="n">
        <v>0.017</v>
      </c>
      <c r="V31" s="52" t="n">
        <f aca="false">P31*U31</f>
        <v>19.19232</v>
      </c>
      <c r="W31" s="53" t="s">
        <v>199</v>
      </c>
      <c r="X31" s="50" t="n">
        <v>4.7</v>
      </c>
      <c r="Y31" s="53" t="s">
        <v>198</v>
      </c>
      <c r="Z31" s="50" t="n">
        <v>0.33</v>
      </c>
      <c r="AA31" s="50" t="n">
        <v>7.8</v>
      </c>
      <c r="AB31" s="50" t="n">
        <v>9</v>
      </c>
      <c r="AC31" s="52" t="n">
        <f aca="false">IF(W31="EUR",AA31,IF(W31="GBP",AB31,1))</f>
        <v>9</v>
      </c>
      <c r="AD31" s="52" t="n">
        <f aca="false">R31*X31</f>
        <v>5306.112</v>
      </c>
      <c r="AE31" s="52" t="n">
        <f aca="false">IF(Y31="PERCENTAGE_OF_BASE_FREIGHT",AD31*Z31,IF(Y31="PER_CHARGEABLE_KG",R31*Z31,P31*Z31))</f>
        <v>372.5568</v>
      </c>
      <c r="AF31" s="52" t="n">
        <f aca="false">AD31*AC31</f>
        <v>47755.008</v>
      </c>
      <c r="AG31" s="52" t="n">
        <f aca="false">AE31*AC31</f>
        <v>3353.0112</v>
      </c>
      <c r="AH31" s="52" t="s">
        <v>195</v>
      </c>
      <c r="AI31" s="52" t="n">
        <v>1.18</v>
      </c>
      <c r="AJ31" s="52" t="n">
        <f aca="false">IF(AH31="EUR",AA31,IF(AH31="GBP",AB31,1))</f>
        <v>7.8</v>
      </c>
      <c r="AK31" s="52" t="n">
        <f aca="false">N31*AI31</f>
        <v>1189.44</v>
      </c>
      <c r="AL31" s="52" t="n">
        <f aca="false">AK31*AJ31</f>
        <v>9277.632</v>
      </c>
      <c r="AM31" s="52" t="s">
        <v>195</v>
      </c>
      <c r="AN31" s="52" t="n">
        <v>0.42</v>
      </c>
      <c r="AO31" s="52" t="n">
        <f aca="false">IF(AM31="EUR",AA31,IF(AM31="GBP",AB31,1))</f>
        <v>7.8</v>
      </c>
      <c r="AP31" s="52" t="n">
        <f aca="false">P31*AN31</f>
        <v>474.1632</v>
      </c>
      <c r="AQ31" s="52" t="n">
        <f aca="false">AP31*AO31</f>
        <v>3698.47296</v>
      </c>
      <c r="AR31" s="52" t="s">
        <v>199</v>
      </c>
      <c r="AS31" s="52" t="n">
        <v>4.8</v>
      </c>
      <c r="AT31" s="52" t="n">
        <f aca="false">IF(AR31="EUR",AA31,IF(AR31="GBP",AB31,1))</f>
        <v>9</v>
      </c>
      <c r="AU31" s="52" t="n">
        <f aca="false">T31*AS31</f>
        <v>387.072</v>
      </c>
      <c r="AV31" s="52" t="n">
        <f aca="false">AU31*AT31</f>
        <v>3483.648</v>
      </c>
      <c r="AW31" s="52" t="s">
        <v>199</v>
      </c>
      <c r="AX31" s="52" t="n">
        <v>2.3</v>
      </c>
      <c r="AY31" s="52" t="n">
        <f aca="false">IF(AW31="EUR",AA31,IF(AW31="GBP",AB31,1))</f>
        <v>9</v>
      </c>
      <c r="AZ31" s="52" t="n">
        <f aca="false">V31*AX31</f>
        <v>44.142336</v>
      </c>
      <c r="BA31" s="52" t="n">
        <f aca="false">AZ31*AY31</f>
        <v>397.281024</v>
      </c>
      <c r="BB31" s="52" t="n">
        <f aca="false">AF31+AG31+AL31+AQ31+AV31+BA31</f>
        <v>67965.053184</v>
      </c>
      <c r="BC31" s="54" t="n">
        <v>0.95</v>
      </c>
      <c r="BD31" s="32"/>
      <c r="BE31" s="32"/>
      <c r="BF31" s="32"/>
      <c r="BG31" s="32" t="s">
        <v>197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46082</v>
      </c>
      <c r="E32" s="18" t="s">
        <v>124</v>
      </c>
      <c r="F32" s="18" t="s">
        <v>119</v>
      </c>
      <c r="G32" s="18" t="s">
        <v>100</v>
      </c>
      <c r="H32" s="18" t="s">
        <v>107</v>
      </c>
      <c r="I32" s="18" t="s">
        <v>125</v>
      </c>
      <c r="J32" s="50" t="n">
        <v>15000</v>
      </c>
      <c r="K32" s="51" t="n">
        <v>0.28</v>
      </c>
      <c r="L32" s="51" t="n">
        <v>0.96</v>
      </c>
      <c r="M32" s="51" t="n">
        <v>0.07</v>
      </c>
      <c r="N32" s="52" t="n">
        <f aca="false">J32*K32*L32*M32</f>
        <v>282.24</v>
      </c>
      <c r="O32" s="50" t="n">
        <v>1.12</v>
      </c>
      <c r="P32" s="52" t="n">
        <f aca="false">N32*O32</f>
        <v>316.1088</v>
      </c>
      <c r="Q32" s="50" t="n">
        <v>0.94</v>
      </c>
      <c r="R32" s="52" t="n">
        <f aca="false">P32*Q32</f>
        <v>297.142272</v>
      </c>
      <c r="S32" s="50" t="n">
        <v>0.08</v>
      </c>
      <c r="T32" s="52" t="n">
        <f aca="false">N32*S32</f>
        <v>22.5792</v>
      </c>
      <c r="U32" s="52" t="n">
        <v>0.013</v>
      </c>
      <c r="V32" s="52" t="n">
        <f aca="false">P32*U32</f>
        <v>4.1094144</v>
      </c>
      <c r="W32" s="53" t="s">
        <v>199</v>
      </c>
      <c r="X32" s="50" t="n">
        <v>6.2</v>
      </c>
      <c r="Y32" s="53" t="s">
        <v>196</v>
      </c>
      <c r="Z32" s="50" t="n">
        <v>0.115</v>
      </c>
      <c r="AA32" s="50" t="n">
        <v>7.8</v>
      </c>
      <c r="AB32" s="50" t="n">
        <v>9</v>
      </c>
      <c r="AC32" s="52" t="n">
        <f aca="false">IF(W32="EUR",AA32,IF(W32="GBP",AB32,1))</f>
        <v>9</v>
      </c>
      <c r="AD32" s="52" t="n">
        <f aca="false">R32*X32</f>
        <v>1842.2820864</v>
      </c>
      <c r="AE32" s="52" t="n">
        <f aca="false">IF(Y32="PERCENTAGE_OF_BASE_FREIGHT",AD32*Z32,IF(Y32="PER_CHARGEABLE_KG",R32*Z32,P32*Z32))</f>
        <v>211.862439936</v>
      </c>
      <c r="AF32" s="52" t="n">
        <f aca="false">AD32*AC32</f>
        <v>16580.5387776</v>
      </c>
      <c r="AG32" s="52" t="n">
        <f aca="false">AE32*AC32</f>
        <v>1906.761959424</v>
      </c>
      <c r="AH32" s="52" t="s">
        <v>195</v>
      </c>
      <c r="AI32" s="52" t="n">
        <v>1.18</v>
      </c>
      <c r="AJ32" s="52" t="n">
        <f aca="false">IF(AH32="EUR",AA32,IF(AH32="GBP",AB32,1))</f>
        <v>7.8</v>
      </c>
      <c r="AK32" s="52" t="n">
        <f aca="false">N32*AI32</f>
        <v>333.0432</v>
      </c>
      <c r="AL32" s="52" t="n">
        <f aca="false">AK32*AJ32</f>
        <v>2597.73696</v>
      </c>
      <c r="AM32" s="52" t="s">
        <v>195</v>
      </c>
      <c r="AN32" s="52" t="n">
        <v>0.42</v>
      </c>
      <c r="AO32" s="52" t="n">
        <f aca="false">IF(AM32="EUR",AA32,IF(AM32="GBP",AB32,1))</f>
        <v>7.8</v>
      </c>
      <c r="AP32" s="52" t="n">
        <f aca="false">P32*AN32</f>
        <v>132.765696</v>
      </c>
      <c r="AQ32" s="52" t="n">
        <f aca="false">AP32*AO32</f>
        <v>1035.5724288</v>
      </c>
      <c r="AR32" s="52" t="s">
        <v>199</v>
      </c>
      <c r="AS32" s="52" t="n">
        <v>4.8</v>
      </c>
      <c r="AT32" s="52" t="n">
        <f aca="false">IF(AR32="EUR",AA32,IF(AR32="GBP",AB32,1))</f>
        <v>9</v>
      </c>
      <c r="AU32" s="52" t="n">
        <f aca="false">T32*AS32</f>
        <v>108.38016</v>
      </c>
      <c r="AV32" s="52" t="n">
        <f aca="false">AU32*AT32</f>
        <v>975.42144</v>
      </c>
      <c r="AW32" s="52" t="s">
        <v>199</v>
      </c>
      <c r="AX32" s="52" t="n">
        <v>2.8</v>
      </c>
      <c r="AY32" s="52" t="n">
        <f aca="false">IF(AW32="EUR",AA32,IF(AW32="GBP",AB32,1))</f>
        <v>9</v>
      </c>
      <c r="AZ32" s="52" t="n">
        <f aca="false">V32*AX32</f>
        <v>11.50636032</v>
      </c>
      <c r="BA32" s="52" t="n">
        <f aca="false">AZ32*AY32</f>
        <v>103.55724288</v>
      </c>
      <c r="BB32" s="52" t="n">
        <f aca="false">AF32+AG32+AL32+AQ32+AV32+BA32</f>
        <v>23199.588808704</v>
      </c>
      <c r="BC32" s="54" t="n">
        <v>0.974</v>
      </c>
      <c r="BD32" s="32"/>
      <c r="BE32" s="32"/>
      <c r="BF32" s="32"/>
      <c r="BG32" s="32" t="s">
        <v>197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46082</v>
      </c>
      <c r="E33" s="18" t="s">
        <v>127</v>
      </c>
      <c r="F33" s="18" t="s">
        <v>119</v>
      </c>
      <c r="G33" s="18" t="s">
        <v>100</v>
      </c>
      <c r="H33" s="18" t="s">
        <v>128</v>
      </c>
      <c r="I33" s="18" t="s">
        <v>125</v>
      </c>
      <c r="J33" s="50" t="n">
        <v>15000</v>
      </c>
      <c r="K33" s="51" t="n">
        <v>0.28</v>
      </c>
      <c r="L33" s="51" t="n">
        <v>0.96</v>
      </c>
      <c r="M33" s="51" t="n">
        <v>0.03</v>
      </c>
      <c r="N33" s="52" t="n">
        <f aca="false">J33*K33*L33*M33</f>
        <v>120.96</v>
      </c>
      <c r="O33" s="50" t="n">
        <v>1.12</v>
      </c>
      <c r="P33" s="52" t="n">
        <f aca="false">N33*O33</f>
        <v>135.4752</v>
      </c>
      <c r="Q33" s="50" t="n">
        <v>0.92</v>
      </c>
      <c r="R33" s="52" t="n">
        <f aca="false">P33*Q33</f>
        <v>124.637184</v>
      </c>
      <c r="S33" s="50" t="n">
        <v>0.08</v>
      </c>
      <c r="T33" s="52" t="n">
        <f aca="false">N33*S33</f>
        <v>9.6768</v>
      </c>
      <c r="U33" s="52" t="n">
        <v>0.009</v>
      </c>
      <c r="V33" s="52" t="n">
        <f aca="false">P33*U33</f>
        <v>1.2192768</v>
      </c>
      <c r="W33" s="53" t="s">
        <v>199</v>
      </c>
      <c r="X33" s="50" t="n">
        <v>7.5</v>
      </c>
      <c r="Y33" s="53" t="s">
        <v>198</v>
      </c>
      <c r="Z33" s="50" t="n">
        <v>0.58</v>
      </c>
      <c r="AA33" s="50" t="n">
        <v>7.8</v>
      </c>
      <c r="AB33" s="50" t="n">
        <v>9</v>
      </c>
      <c r="AC33" s="52" t="n">
        <f aca="false">IF(W33="EUR",AA33,IF(W33="GBP",AB33,1))</f>
        <v>9</v>
      </c>
      <c r="AD33" s="52" t="n">
        <f aca="false">R33*X33</f>
        <v>934.77888</v>
      </c>
      <c r="AE33" s="52" t="n">
        <f aca="false">IF(Y33="PERCENTAGE_OF_BASE_FREIGHT",AD33*Z33,IF(Y33="PER_CHARGEABLE_KG",R33*Z33,P33*Z33))</f>
        <v>72.28956672</v>
      </c>
      <c r="AF33" s="52" t="n">
        <f aca="false">AD33*AC33</f>
        <v>8413.00992</v>
      </c>
      <c r="AG33" s="52" t="n">
        <f aca="false">AE33*AC33</f>
        <v>650.60610048</v>
      </c>
      <c r="AH33" s="52" t="s">
        <v>195</v>
      </c>
      <c r="AI33" s="52" t="n">
        <v>1.18</v>
      </c>
      <c r="AJ33" s="52" t="n">
        <f aca="false">IF(AH33="EUR",AA33,IF(AH33="GBP",AB33,1))</f>
        <v>7.8</v>
      </c>
      <c r="AK33" s="52" t="n">
        <f aca="false">N33*AI33</f>
        <v>142.7328</v>
      </c>
      <c r="AL33" s="52" t="n">
        <f aca="false">AK33*AJ33</f>
        <v>1113.31584</v>
      </c>
      <c r="AM33" s="52" t="s">
        <v>195</v>
      </c>
      <c r="AN33" s="52" t="n">
        <v>0.42</v>
      </c>
      <c r="AO33" s="52" t="n">
        <f aca="false">IF(AM33="EUR",AA33,IF(AM33="GBP",AB33,1))</f>
        <v>7.8</v>
      </c>
      <c r="AP33" s="52" t="n">
        <f aca="false">P33*AN33</f>
        <v>56.899584</v>
      </c>
      <c r="AQ33" s="52" t="n">
        <f aca="false">AP33*AO33</f>
        <v>443.8167552</v>
      </c>
      <c r="AR33" s="52" t="s">
        <v>199</v>
      </c>
      <c r="AS33" s="52" t="n">
        <v>4.8</v>
      </c>
      <c r="AT33" s="52" t="n">
        <f aca="false">IF(AR33="EUR",AA33,IF(AR33="GBP",AB33,1))</f>
        <v>9</v>
      </c>
      <c r="AU33" s="52" t="n">
        <f aca="false">T33*AS33</f>
        <v>46.44864</v>
      </c>
      <c r="AV33" s="52" t="n">
        <f aca="false">AU33*AT33</f>
        <v>418.03776</v>
      </c>
      <c r="AW33" s="52" t="s">
        <v>199</v>
      </c>
      <c r="AX33" s="52" t="n">
        <v>3.6</v>
      </c>
      <c r="AY33" s="52" t="n">
        <f aca="false">IF(AW33="EUR",AA33,IF(AW33="GBP",AB33,1))</f>
        <v>9</v>
      </c>
      <c r="AZ33" s="52" t="n">
        <f aca="false">V33*AX33</f>
        <v>4.38939648</v>
      </c>
      <c r="BA33" s="52" t="n">
        <f aca="false">AZ33*AY33</f>
        <v>39.50456832</v>
      </c>
      <c r="BB33" s="52" t="n">
        <f aca="false">AF33+AG33+AL33+AQ33+AV33+BA33</f>
        <v>11078.290944</v>
      </c>
      <c r="BC33" s="54" t="n">
        <v>0.988</v>
      </c>
      <c r="BD33" s="32"/>
      <c r="BE33" s="32"/>
      <c r="BF33" s="32"/>
      <c r="BG33" s="32" t="s">
        <v>197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46082</v>
      </c>
      <c r="E34" s="18" t="s">
        <v>130</v>
      </c>
      <c r="F34" s="18" t="s">
        <v>119</v>
      </c>
      <c r="G34" s="18" t="s">
        <v>110</v>
      </c>
      <c r="H34" s="18" t="s">
        <v>107</v>
      </c>
      <c r="I34" s="18" t="s">
        <v>125</v>
      </c>
      <c r="J34" s="50" t="n">
        <v>15000</v>
      </c>
      <c r="K34" s="51" t="n">
        <v>0.28</v>
      </c>
      <c r="L34" s="51" t="n">
        <v>0.04</v>
      </c>
      <c r="M34" s="51" t="n">
        <v>1</v>
      </c>
      <c r="N34" s="52" t="n">
        <f aca="false">J34*K34*L34*M34</f>
        <v>168</v>
      </c>
      <c r="O34" s="50" t="n">
        <v>1.15</v>
      </c>
      <c r="P34" s="52" t="n">
        <f aca="false">N34*O34</f>
        <v>193.2</v>
      </c>
      <c r="Q34" s="50" t="n">
        <v>0.9</v>
      </c>
      <c r="R34" s="52" t="n">
        <f aca="false">P34*Q34</f>
        <v>173.88</v>
      </c>
      <c r="S34" s="50" t="n">
        <v>0.08</v>
      </c>
      <c r="T34" s="52" t="n">
        <f aca="false">N34*S34</f>
        <v>13.44</v>
      </c>
      <c r="U34" s="52" t="n">
        <v>0.012</v>
      </c>
      <c r="V34" s="52" t="n">
        <f aca="false">P34*U34</f>
        <v>2.3184</v>
      </c>
      <c r="W34" s="53" t="s">
        <v>195</v>
      </c>
      <c r="X34" s="50" t="n">
        <v>6.7</v>
      </c>
      <c r="Y34" s="53" t="s">
        <v>196</v>
      </c>
      <c r="Z34" s="50" t="n">
        <v>0.105</v>
      </c>
      <c r="AA34" s="50" t="n">
        <v>7.8</v>
      </c>
      <c r="AB34" s="50" t="n">
        <v>9</v>
      </c>
      <c r="AC34" s="52" t="n">
        <f aca="false">IF(W34="EUR",AA34,IF(W34="GBP",AB34,1))</f>
        <v>7.8</v>
      </c>
      <c r="AD34" s="52" t="n">
        <f aca="false">R34*X34</f>
        <v>1164.996</v>
      </c>
      <c r="AE34" s="52" t="n">
        <f aca="false">IF(Y34="PERCENTAGE_OF_BASE_FREIGHT",AD34*Z34,IF(Y34="PER_CHARGEABLE_KG",R34*Z34,P34*Z34))</f>
        <v>122.32458</v>
      </c>
      <c r="AF34" s="52" t="n">
        <f aca="false">AD34*AC34</f>
        <v>9086.9688</v>
      </c>
      <c r="AG34" s="52" t="n">
        <f aca="false">AE34*AC34</f>
        <v>954.131724</v>
      </c>
      <c r="AH34" s="52" t="s">
        <v>195</v>
      </c>
      <c r="AI34" s="52" t="n">
        <v>1.05</v>
      </c>
      <c r="AJ34" s="52" t="n">
        <f aca="false">IF(AH34="EUR",AA34,IF(AH34="GBP",AB34,1))</f>
        <v>7.8</v>
      </c>
      <c r="AK34" s="52" t="n">
        <f aca="false">N34*AI34</f>
        <v>176.4</v>
      </c>
      <c r="AL34" s="52" t="n">
        <f aca="false">AK34*AJ34</f>
        <v>1375.92</v>
      </c>
      <c r="AM34" s="52" t="s">
        <v>195</v>
      </c>
      <c r="AN34" s="52" t="n">
        <v>0.38</v>
      </c>
      <c r="AO34" s="52" t="n">
        <f aca="false">IF(AM34="EUR",AA34,IF(AM34="GBP",AB34,1))</f>
        <v>7.8</v>
      </c>
      <c r="AP34" s="52" t="n">
        <f aca="false">P34*AN34</f>
        <v>73.416</v>
      </c>
      <c r="AQ34" s="52" t="n">
        <f aca="false">AP34*AO34</f>
        <v>572.6448</v>
      </c>
      <c r="AR34" s="52" t="s">
        <v>195</v>
      </c>
      <c r="AS34" s="52" t="n">
        <v>5.2</v>
      </c>
      <c r="AT34" s="52" t="n">
        <f aca="false">IF(AR34="EUR",AA34,IF(AR34="GBP",AB34,1))</f>
        <v>7.8</v>
      </c>
      <c r="AU34" s="52" t="n">
        <f aca="false">T34*AS34</f>
        <v>69.888</v>
      </c>
      <c r="AV34" s="52" t="n">
        <f aca="false">AU34*AT34</f>
        <v>545.1264</v>
      </c>
      <c r="AW34" s="52" t="s">
        <v>195</v>
      </c>
      <c r="AX34" s="52" t="n">
        <v>2.8</v>
      </c>
      <c r="AY34" s="52" t="n">
        <f aca="false">IF(AW34="EUR",AA34,IF(AW34="GBP",AB34,1))</f>
        <v>7.8</v>
      </c>
      <c r="AZ34" s="52" t="n">
        <f aca="false">V34*AX34</f>
        <v>6.49152</v>
      </c>
      <c r="BA34" s="52" t="n">
        <f aca="false">AZ34*AY34</f>
        <v>50.633856</v>
      </c>
      <c r="BB34" s="52" t="n">
        <f aca="false">AF34+AG34+AL34+AQ34+AV34+BA34</f>
        <v>12585.42558</v>
      </c>
      <c r="BC34" s="54" t="n">
        <v>0.971</v>
      </c>
      <c r="BD34" s="32"/>
      <c r="BE34" s="32"/>
      <c r="BF34" s="32"/>
      <c r="BG34" s="32" t="s">
        <v>197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46113</v>
      </c>
      <c r="E35" s="18" t="s">
        <v>98</v>
      </c>
      <c r="F35" s="18" t="s">
        <v>99</v>
      </c>
      <c r="G35" s="18" t="s">
        <v>100</v>
      </c>
      <c r="H35" s="18" t="s">
        <v>101</v>
      </c>
      <c r="I35" s="18" t="s">
        <v>102</v>
      </c>
      <c r="J35" s="50" t="n">
        <v>15500</v>
      </c>
      <c r="K35" s="51" t="n">
        <v>0.4</v>
      </c>
      <c r="L35" s="51" t="n">
        <v>0.97</v>
      </c>
      <c r="M35" s="51" t="n">
        <v>0.6</v>
      </c>
      <c r="N35" s="52" t="n">
        <f aca="false">J35*K35*L35*M35</f>
        <v>3608.4</v>
      </c>
      <c r="O35" s="50" t="n">
        <v>1.05</v>
      </c>
      <c r="P35" s="52" t="n">
        <f aca="false">N35*O35</f>
        <v>3788.82</v>
      </c>
      <c r="Q35" s="50" t="n">
        <v>0.78</v>
      </c>
      <c r="R35" s="52" t="n">
        <f aca="false">P35*Q35</f>
        <v>2955.2796</v>
      </c>
      <c r="S35" s="50" t="n">
        <v>0.05</v>
      </c>
      <c r="T35" s="52" t="n">
        <f aca="false">N35*S35</f>
        <v>180.42</v>
      </c>
      <c r="U35" s="52" t="n">
        <v>0.016</v>
      </c>
      <c r="V35" s="52" t="n">
        <f aca="false">P35*U35</f>
        <v>60.62112</v>
      </c>
      <c r="W35" s="53" t="s">
        <v>195</v>
      </c>
      <c r="X35" s="50" t="n">
        <v>2.2</v>
      </c>
      <c r="Y35" s="53" t="s">
        <v>196</v>
      </c>
      <c r="Z35" s="50" t="n">
        <v>0.095</v>
      </c>
      <c r="AA35" s="50" t="n">
        <v>7.8</v>
      </c>
      <c r="AB35" s="50" t="n">
        <v>9</v>
      </c>
      <c r="AC35" s="52" t="n">
        <f aca="false">IF(W35="EUR",AA35,IF(W35="GBP",AB35,1))</f>
        <v>7.8</v>
      </c>
      <c r="AD35" s="52" t="n">
        <f aca="false">R35*X35</f>
        <v>6501.61512</v>
      </c>
      <c r="AE35" s="52" t="n">
        <f aca="false">IF(Y35="PERCENTAGE_OF_BASE_FREIGHT",AD35*Z35,IF(Y35="PER_CHARGEABLE_KG",R35*Z35,P35*Z35))</f>
        <v>617.6534364</v>
      </c>
      <c r="AF35" s="52" t="n">
        <f aca="false">AD35*AC35</f>
        <v>50712.597936</v>
      </c>
      <c r="AG35" s="52" t="n">
        <f aca="false">AE35*AC35</f>
        <v>4817.69680392</v>
      </c>
      <c r="AH35" s="52" t="s">
        <v>195</v>
      </c>
      <c r="AI35" s="52" t="n">
        <v>1.18</v>
      </c>
      <c r="AJ35" s="52" t="n">
        <f aca="false">IF(AH35="EUR",AA35,IF(AH35="GBP",AB35,1))</f>
        <v>7.8</v>
      </c>
      <c r="AK35" s="52" t="n">
        <f aca="false">N35*AI35</f>
        <v>4257.912</v>
      </c>
      <c r="AL35" s="52" t="n">
        <f aca="false">AK35*AJ35</f>
        <v>33211.7136</v>
      </c>
      <c r="AM35" s="52" t="s">
        <v>195</v>
      </c>
      <c r="AN35" s="52" t="n">
        <v>0.42</v>
      </c>
      <c r="AO35" s="52" t="n">
        <f aca="false">IF(AM35="EUR",AA35,IF(AM35="GBP",AB35,1))</f>
        <v>7.8</v>
      </c>
      <c r="AP35" s="52" t="n">
        <f aca="false">P35*AN35</f>
        <v>1591.3044</v>
      </c>
      <c r="AQ35" s="52" t="n">
        <f aca="false">AP35*AO35</f>
        <v>12412.17432</v>
      </c>
      <c r="AR35" s="52" t="s">
        <v>195</v>
      </c>
      <c r="AS35" s="52" t="n">
        <v>3.2</v>
      </c>
      <c r="AT35" s="52" t="n">
        <f aca="false">IF(AR35="EUR",AA35,IF(AR35="GBP",AB35,1))</f>
        <v>7.8</v>
      </c>
      <c r="AU35" s="52" t="n">
        <f aca="false">T35*AS35</f>
        <v>577.344</v>
      </c>
      <c r="AV35" s="52" t="n">
        <f aca="false">AU35*AT35</f>
        <v>4503.2832</v>
      </c>
      <c r="AW35" s="52" t="s">
        <v>195</v>
      </c>
      <c r="AX35" s="52" t="n">
        <v>2.3</v>
      </c>
      <c r="AY35" s="52" t="n">
        <f aca="false">IF(AW35="EUR",AA35,IF(AW35="GBP",AB35,1))</f>
        <v>7.8</v>
      </c>
      <c r="AZ35" s="52" t="n">
        <f aca="false">V35*AX35</f>
        <v>139.428576</v>
      </c>
      <c r="BA35" s="52" t="n">
        <f aca="false">AZ35*AY35</f>
        <v>1087.5428928</v>
      </c>
      <c r="BB35" s="52" t="n">
        <f aca="false">AF35+AG35+AL35+AQ35+AV35+BA35</f>
        <v>106745.00875272</v>
      </c>
      <c r="BC35" s="54" t="n">
        <v>0.965</v>
      </c>
      <c r="BD35" s="32"/>
      <c r="BE35" s="32"/>
      <c r="BF35" s="32"/>
      <c r="BG35" s="32" t="s">
        <v>197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46113</v>
      </c>
      <c r="E36" s="18" t="s">
        <v>106</v>
      </c>
      <c r="F36" s="18" t="s">
        <v>99</v>
      </c>
      <c r="G36" s="18" t="s">
        <v>100</v>
      </c>
      <c r="H36" s="18" t="s">
        <v>107</v>
      </c>
      <c r="I36" s="18" t="s">
        <v>102</v>
      </c>
      <c r="J36" s="50" t="n">
        <v>15500</v>
      </c>
      <c r="K36" s="51" t="n">
        <v>0.4</v>
      </c>
      <c r="L36" s="51" t="n">
        <v>0.97</v>
      </c>
      <c r="M36" s="51" t="n">
        <v>0.4</v>
      </c>
      <c r="N36" s="52" t="n">
        <f aca="false">J36*K36*L36*M36</f>
        <v>2405.6</v>
      </c>
      <c r="O36" s="50" t="n">
        <v>1.05</v>
      </c>
      <c r="P36" s="52" t="n">
        <f aca="false">N36*O36</f>
        <v>2525.88</v>
      </c>
      <c r="Q36" s="50" t="n">
        <v>0.8</v>
      </c>
      <c r="R36" s="52" t="n">
        <f aca="false">P36*Q36</f>
        <v>2020.704</v>
      </c>
      <c r="S36" s="50" t="n">
        <v>0.05</v>
      </c>
      <c r="T36" s="52" t="n">
        <f aca="false">N36*S36</f>
        <v>120.28</v>
      </c>
      <c r="U36" s="52" t="n">
        <v>0.013</v>
      </c>
      <c r="V36" s="52" t="n">
        <f aca="false">P36*U36</f>
        <v>32.83644</v>
      </c>
      <c r="W36" s="53" t="s">
        <v>195</v>
      </c>
      <c r="X36" s="50" t="n">
        <v>2.75</v>
      </c>
      <c r="Y36" s="53" t="s">
        <v>198</v>
      </c>
      <c r="Z36" s="50" t="n">
        <v>0.21</v>
      </c>
      <c r="AA36" s="50" t="n">
        <v>7.8</v>
      </c>
      <c r="AB36" s="50" t="n">
        <v>9</v>
      </c>
      <c r="AC36" s="52" t="n">
        <f aca="false">IF(W36="EUR",AA36,IF(W36="GBP",AB36,1))</f>
        <v>7.8</v>
      </c>
      <c r="AD36" s="52" t="n">
        <f aca="false">R36*X36</f>
        <v>5556.936</v>
      </c>
      <c r="AE36" s="52" t="n">
        <f aca="false">IF(Y36="PERCENTAGE_OF_BASE_FREIGHT",AD36*Z36,IF(Y36="PER_CHARGEABLE_KG",R36*Z36,P36*Z36))</f>
        <v>424.34784</v>
      </c>
      <c r="AF36" s="52" t="n">
        <f aca="false">AD36*AC36</f>
        <v>43344.1008</v>
      </c>
      <c r="AG36" s="52" t="n">
        <f aca="false">AE36*AC36</f>
        <v>3309.913152</v>
      </c>
      <c r="AH36" s="52" t="s">
        <v>195</v>
      </c>
      <c r="AI36" s="52" t="n">
        <v>1.18</v>
      </c>
      <c r="AJ36" s="52" t="n">
        <f aca="false">IF(AH36="EUR",AA36,IF(AH36="GBP",AB36,1))</f>
        <v>7.8</v>
      </c>
      <c r="AK36" s="52" t="n">
        <f aca="false">N36*AI36</f>
        <v>2838.608</v>
      </c>
      <c r="AL36" s="52" t="n">
        <f aca="false">AK36*AJ36</f>
        <v>22141.1424</v>
      </c>
      <c r="AM36" s="52" t="s">
        <v>195</v>
      </c>
      <c r="AN36" s="52" t="n">
        <v>0.42</v>
      </c>
      <c r="AO36" s="52" t="n">
        <f aca="false">IF(AM36="EUR",AA36,IF(AM36="GBP",AB36,1))</f>
        <v>7.8</v>
      </c>
      <c r="AP36" s="52" t="n">
        <f aca="false">P36*AN36</f>
        <v>1060.8696</v>
      </c>
      <c r="AQ36" s="52" t="n">
        <f aca="false">AP36*AO36</f>
        <v>8274.78288</v>
      </c>
      <c r="AR36" s="52" t="s">
        <v>195</v>
      </c>
      <c r="AS36" s="52" t="n">
        <v>3.2</v>
      </c>
      <c r="AT36" s="52" t="n">
        <f aca="false">IF(AR36="EUR",AA36,IF(AR36="GBP",AB36,1))</f>
        <v>7.8</v>
      </c>
      <c r="AU36" s="52" t="n">
        <f aca="false">T36*AS36</f>
        <v>384.896</v>
      </c>
      <c r="AV36" s="52" t="n">
        <f aca="false">AU36*AT36</f>
        <v>3002.1888</v>
      </c>
      <c r="AW36" s="52" t="s">
        <v>195</v>
      </c>
      <c r="AX36" s="52" t="n">
        <v>2.3</v>
      </c>
      <c r="AY36" s="52" t="n">
        <f aca="false">IF(AW36="EUR",AA36,IF(AW36="GBP",AB36,1))</f>
        <v>7.8</v>
      </c>
      <c r="AZ36" s="52" t="n">
        <f aca="false">V36*AX36</f>
        <v>75.523812</v>
      </c>
      <c r="BA36" s="52" t="n">
        <f aca="false">AZ36*AY36</f>
        <v>589.0857336</v>
      </c>
      <c r="BB36" s="52" t="n">
        <f aca="false">AF36+AG36+AL36+AQ36+AV36+BA36</f>
        <v>80661.2137656</v>
      </c>
      <c r="BC36" s="54" t="n">
        <v>0.976</v>
      </c>
      <c r="BD36" s="32"/>
      <c r="BE36" s="32"/>
      <c r="BF36" s="32"/>
      <c r="BG36" s="32" t="s">
        <v>197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46113</v>
      </c>
      <c r="E37" s="18" t="s">
        <v>109</v>
      </c>
      <c r="F37" s="18" t="s">
        <v>99</v>
      </c>
      <c r="G37" s="18" t="s">
        <v>110</v>
      </c>
      <c r="H37" s="18" t="s">
        <v>107</v>
      </c>
      <c r="I37" s="18" t="s">
        <v>102</v>
      </c>
      <c r="J37" s="50" t="n">
        <v>15500</v>
      </c>
      <c r="K37" s="51" t="n">
        <v>0.4</v>
      </c>
      <c r="L37" s="51" t="n">
        <v>0.03</v>
      </c>
      <c r="M37" s="51" t="n">
        <v>1</v>
      </c>
      <c r="N37" s="52" t="n">
        <f aca="false">J37*K37*L37*M37</f>
        <v>186</v>
      </c>
      <c r="O37" s="50" t="n">
        <v>1.08</v>
      </c>
      <c r="P37" s="52" t="n">
        <f aca="false">N37*O37</f>
        <v>200.88</v>
      </c>
      <c r="Q37" s="50" t="n">
        <v>0.86</v>
      </c>
      <c r="R37" s="52" t="n">
        <f aca="false">P37*Q37</f>
        <v>172.7568</v>
      </c>
      <c r="S37" s="50" t="n">
        <v>0.05</v>
      </c>
      <c r="T37" s="52" t="n">
        <f aca="false">N37*S37</f>
        <v>9.3</v>
      </c>
      <c r="U37" s="52" t="n">
        <v>0.014</v>
      </c>
      <c r="V37" s="52" t="n">
        <f aca="false">P37*U37</f>
        <v>2.81232</v>
      </c>
      <c r="W37" s="53" t="s">
        <v>195</v>
      </c>
      <c r="X37" s="50" t="n">
        <v>3.3</v>
      </c>
      <c r="Y37" s="53" t="s">
        <v>198</v>
      </c>
      <c r="Z37" s="50" t="n">
        <v>0.24</v>
      </c>
      <c r="AA37" s="50" t="n">
        <v>7.8</v>
      </c>
      <c r="AB37" s="50" t="n">
        <v>9</v>
      </c>
      <c r="AC37" s="52" t="n">
        <f aca="false">IF(W37="EUR",AA37,IF(W37="GBP",AB37,1))</f>
        <v>7.8</v>
      </c>
      <c r="AD37" s="52" t="n">
        <f aca="false">R37*X37</f>
        <v>570.09744</v>
      </c>
      <c r="AE37" s="52" t="n">
        <f aca="false">IF(Y37="PERCENTAGE_OF_BASE_FREIGHT",AD37*Z37,IF(Y37="PER_CHARGEABLE_KG",R37*Z37,P37*Z37))</f>
        <v>41.461632</v>
      </c>
      <c r="AF37" s="52" t="n">
        <f aca="false">AD37*AC37</f>
        <v>4446.760032</v>
      </c>
      <c r="AG37" s="52" t="n">
        <f aca="false">AE37*AC37</f>
        <v>323.4007296</v>
      </c>
      <c r="AH37" s="52" t="s">
        <v>195</v>
      </c>
      <c r="AI37" s="52" t="n">
        <v>1.05</v>
      </c>
      <c r="AJ37" s="52" t="n">
        <f aca="false">IF(AH37="EUR",AA37,IF(AH37="GBP",AB37,1))</f>
        <v>7.8</v>
      </c>
      <c r="AK37" s="52" t="n">
        <f aca="false">N37*AI37</f>
        <v>195.3</v>
      </c>
      <c r="AL37" s="52" t="n">
        <f aca="false">AK37*AJ37</f>
        <v>1523.34</v>
      </c>
      <c r="AM37" s="52" t="s">
        <v>195</v>
      </c>
      <c r="AN37" s="52" t="n">
        <v>0.38</v>
      </c>
      <c r="AO37" s="52" t="n">
        <f aca="false">IF(AM37="EUR",AA37,IF(AM37="GBP",AB37,1))</f>
        <v>7.8</v>
      </c>
      <c r="AP37" s="52" t="n">
        <f aca="false">P37*AN37</f>
        <v>76.3344</v>
      </c>
      <c r="AQ37" s="52" t="n">
        <f aca="false">AP37*AO37</f>
        <v>595.40832</v>
      </c>
      <c r="AR37" s="52" t="s">
        <v>195</v>
      </c>
      <c r="AS37" s="52" t="n">
        <v>3.8</v>
      </c>
      <c r="AT37" s="52" t="n">
        <f aca="false">IF(AR37="EUR",AA37,IF(AR37="GBP",AB37,1))</f>
        <v>7.8</v>
      </c>
      <c r="AU37" s="52" t="n">
        <f aca="false">T37*AS37</f>
        <v>35.34</v>
      </c>
      <c r="AV37" s="52" t="n">
        <f aca="false">AU37*AT37</f>
        <v>275.652</v>
      </c>
      <c r="AW37" s="52" t="s">
        <v>195</v>
      </c>
      <c r="AX37" s="52" t="n">
        <v>2.3</v>
      </c>
      <c r="AY37" s="52" t="n">
        <f aca="false">IF(AW37="EUR",AA37,IF(AW37="GBP",AB37,1))</f>
        <v>7.8</v>
      </c>
      <c r="AZ37" s="52" t="n">
        <f aca="false">V37*AX37</f>
        <v>6.468336</v>
      </c>
      <c r="BA37" s="52" t="n">
        <f aca="false">AZ37*AY37</f>
        <v>50.4530208</v>
      </c>
      <c r="BB37" s="52" t="n">
        <f aca="false">AF37+AG37+AL37+AQ37+AV37+BA37</f>
        <v>7215.0141024</v>
      </c>
      <c r="BC37" s="54" t="n">
        <v>0.968</v>
      </c>
      <c r="BD37" s="32"/>
      <c r="BE37" s="32"/>
      <c r="BF37" s="32"/>
      <c r="BG37" s="32" t="s">
        <v>197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46113</v>
      </c>
      <c r="E38" s="18" t="s">
        <v>112</v>
      </c>
      <c r="F38" s="18" t="s">
        <v>113</v>
      </c>
      <c r="G38" s="18" t="s">
        <v>110</v>
      </c>
      <c r="H38" s="18" t="s">
        <v>101</v>
      </c>
      <c r="I38" s="18" t="s">
        <v>102</v>
      </c>
      <c r="J38" s="50" t="n">
        <v>15500</v>
      </c>
      <c r="K38" s="51" t="n">
        <v>0.32</v>
      </c>
      <c r="L38" s="51" t="n">
        <v>1</v>
      </c>
      <c r="M38" s="51" t="n">
        <v>0.35</v>
      </c>
      <c r="N38" s="52" t="n">
        <f aca="false">J38*K38*L38*M38</f>
        <v>1736</v>
      </c>
      <c r="O38" s="50" t="n">
        <v>1.06</v>
      </c>
      <c r="P38" s="52" t="n">
        <f aca="false">N38*O38</f>
        <v>1840.16</v>
      </c>
      <c r="Q38" s="50" t="n">
        <v>0.76</v>
      </c>
      <c r="R38" s="52" t="n">
        <f aca="false">P38*Q38</f>
        <v>1398.5216</v>
      </c>
      <c r="S38" s="50" t="n">
        <v>0.06</v>
      </c>
      <c r="T38" s="52" t="n">
        <f aca="false">N38*S38</f>
        <v>104.16</v>
      </c>
      <c r="U38" s="52" t="n">
        <v>0.017</v>
      </c>
      <c r="V38" s="52" t="n">
        <f aca="false">P38*U38</f>
        <v>31.28272</v>
      </c>
      <c r="W38" s="53" t="s">
        <v>195</v>
      </c>
      <c r="X38" s="50" t="n">
        <v>2.1</v>
      </c>
      <c r="Y38" s="53" t="s">
        <v>196</v>
      </c>
      <c r="Z38" s="50" t="n">
        <v>0.09</v>
      </c>
      <c r="AA38" s="50" t="n">
        <v>7.8</v>
      </c>
      <c r="AB38" s="50" t="n">
        <v>9</v>
      </c>
      <c r="AC38" s="52" t="n">
        <f aca="false">IF(W38="EUR",AA38,IF(W38="GBP",AB38,1))</f>
        <v>7.8</v>
      </c>
      <c r="AD38" s="52" t="n">
        <f aca="false">R38*X38</f>
        <v>2936.89536</v>
      </c>
      <c r="AE38" s="52" t="n">
        <f aca="false">IF(Y38="PERCENTAGE_OF_BASE_FREIGHT",AD38*Z38,IF(Y38="PER_CHARGEABLE_KG",R38*Z38,P38*Z38))</f>
        <v>264.3205824</v>
      </c>
      <c r="AF38" s="52" t="n">
        <f aca="false">AD38*AC38</f>
        <v>22907.783808</v>
      </c>
      <c r="AG38" s="52" t="n">
        <f aca="false">AE38*AC38</f>
        <v>2061.70054272</v>
      </c>
      <c r="AH38" s="52" t="s">
        <v>195</v>
      </c>
      <c r="AI38" s="52" t="n">
        <v>1.05</v>
      </c>
      <c r="AJ38" s="52" t="n">
        <f aca="false">IF(AH38="EUR",AA38,IF(AH38="GBP",AB38,1))</f>
        <v>7.8</v>
      </c>
      <c r="AK38" s="52" t="n">
        <f aca="false">N38*AI38</f>
        <v>1822.8</v>
      </c>
      <c r="AL38" s="52" t="n">
        <f aca="false">AK38*AJ38</f>
        <v>14217.84</v>
      </c>
      <c r="AM38" s="52" t="s">
        <v>195</v>
      </c>
      <c r="AN38" s="52" t="n">
        <v>0.38</v>
      </c>
      <c r="AO38" s="52" t="n">
        <f aca="false">IF(AM38="EUR",AA38,IF(AM38="GBP",AB38,1))</f>
        <v>7.8</v>
      </c>
      <c r="AP38" s="52" t="n">
        <f aca="false">P38*AN38</f>
        <v>699.2608</v>
      </c>
      <c r="AQ38" s="52" t="n">
        <f aca="false">AP38*AO38</f>
        <v>5454.23424</v>
      </c>
      <c r="AR38" s="52" t="s">
        <v>195</v>
      </c>
      <c r="AS38" s="52" t="n">
        <v>3</v>
      </c>
      <c r="AT38" s="52" t="n">
        <f aca="false">IF(AR38="EUR",AA38,IF(AR38="GBP",AB38,1))</f>
        <v>7.8</v>
      </c>
      <c r="AU38" s="52" t="n">
        <f aca="false">T38*AS38</f>
        <v>312.48</v>
      </c>
      <c r="AV38" s="52" t="n">
        <f aca="false">AU38*AT38</f>
        <v>2437.344</v>
      </c>
      <c r="AW38" s="52" t="s">
        <v>195</v>
      </c>
      <c r="AX38" s="52" t="n">
        <v>2.3</v>
      </c>
      <c r="AY38" s="52" t="n">
        <f aca="false">IF(AW38="EUR",AA38,IF(AW38="GBP",AB38,1))</f>
        <v>7.8</v>
      </c>
      <c r="AZ38" s="52" t="n">
        <f aca="false">V38*AX38</f>
        <v>71.950256</v>
      </c>
      <c r="BA38" s="52" t="n">
        <f aca="false">AZ38*AY38</f>
        <v>561.2119968</v>
      </c>
      <c r="BB38" s="52" t="n">
        <f aca="false">AF38+AG38+AL38+AQ38+AV38+BA38</f>
        <v>47640.11458752</v>
      </c>
      <c r="BC38" s="54" t="n">
        <v>0.961</v>
      </c>
      <c r="BD38" s="32"/>
      <c r="BE38" s="32"/>
      <c r="BF38" s="32"/>
      <c r="BG38" s="32" t="s">
        <v>197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46113</v>
      </c>
      <c r="E39" s="18" t="s">
        <v>116</v>
      </c>
      <c r="F39" s="18" t="s">
        <v>113</v>
      </c>
      <c r="G39" s="18" t="s">
        <v>110</v>
      </c>
      <c r="H39" s="18" t="s">
        <v>107</v>
      </c>
      <c r="I39" s="18" t="s">
        <v>102</v>
      </c>
      <c r="J39" s="50" t="n">
        <v>15500</v>
      </c>
      <c r="K39" s="51" t="n">
        <v>0.32</v>
      </c>
      <c r="L39" s="51" t="n">
        <v>1</v>
      </c>
      <c r="M39" s="51" t="n">
        <v>0.65</v>
      </c>
      <c r="N39" s="52" t="n">
        <f aca="false">J39*K39*L39*M39</f>
        <v>3224</v>
      </c>
      <c r="O39" s="50" t="n">
        <v>1.06</v>
      </c>
      <c r="P39" s="52" t="n">
        <f aca="false">N39*O39</f>
        <v>3417.44</v>
      </c>
      <c r="Q39" s="50" t="n">
        <v>0.79</v>
      </c>
      <c r="R39" s="52" t="n">
        <f aca="false">P39*Q39</f>
        <v>2699.7776</v>
      </c>
      <c r="S39" s="50" t="n">
        <v>0.06</v>
      </c>
      <c r="T39" s="52" t="n">
        <f aca="false">N39*S39</f>
        <v>193.44</v>
      </c>
      <c r="U39" s="52" t="n">
        <v>0.014</v>
      </c>
      <c r="V39" s="52" t="n">
        <f aca="false">P39*U39</f>
        <v>47.84416</v>
      </c>
      <c r="W39" s="53" t="s">
        <v>195</v>
      </c>
      <c r="X39" s="50" t="n">
        <v>2.6</v>
      </c>
      <c r="Y39" s="53" t="s">
        <v>198</v>
      </c>
      <c r="Z39" s="50" t="n">
        <v>0.2</v>
      </c>
      <c r="AA39" s="50" t="n">
        <v>7.8</v>
      </c>
      <c r="AB39" s="50" t="n">
        <v>9</v>
      </c>
      <c r="AC39" s="52" t="n">
        <f aca="false">IF(W39="EUR",AA39,IF(W39="GBP",AB39,1))</f>
        <v>7.8</v>
      </c>
      <c r="AD39" s="52" t="n">
        <f aca="false">R39*X39</f>
        <v>7019.42176</v>
      </c>
      <c r="AE39" s="52" t="n">
        <f aca="false">IF(Y39="PERCENTAGE_OF_BASE_FREIGHT",AD39*Z39,IF(Y39="PER_CHARGEABLE_KG",R39*Z39,P39*Z39))</f>
        <v>539.95552</v>
      </c>
      <c r="AF39" s="52" t="n">
        <f aca="false">AD39*AC39</f>
        <v>54751.489728</v>
      </c>
      <c r="AG39" s="52" t="n">
        <f aca="false">AE39*AC39</f>
        <v>4211.653056</v>
      </c>
      <c r="AH39" s="52" t="s">
        <v>195</v>
      </c>
      <c r="AI39" s="52" t="n">
        <v>1.05</v>
      </c>
      <c r="AJ39" s="52" t="n">
        <f aca="false">IF(AH39="EUR",AA39,IF(AH39="GBP",AB39,1))</f>
        <v>7.8</v>
      </c>
      <c r="AK39" s="52" t="n">
        <f aca="false">N39*AI39</f>
        <v>3385.2</v>
      </c>
      <c r="AL39" s="52" t="n">
        <f aca="false">AK39*AJ39</f>
        <v>26404.56</v>
      </c>
      <c r="AM39" s="52" t="s">
        <v>195</v>
      </c>
      <c r="AN39" s="52" t="n">
        <v>0.38</v>
      </c>
      <c r="AO39" s="52" t="n">
        <f aca="false">IF(AM39="EUR",AA39,IF(AM39="GBP",AB39,1))</f>
        <v>7.8</v>
      </c>
      <c r="AP39" s="52" t="n">
        <f aca="false">P39*AN39</f>
        <v>1298.6272</v>
      </c>
      <c r="AQ39" s="52" t="n">
        <f aca="false">AP39*AO39</f>
        <v>10129.29216</v>
      </c>
      <c r="AR39" s="52" t="s">
        <v>195</v>
      </c>
      <c r="AS39" s="52" t="n">
        <v>3</v>
      </c>
      <c r="AT39" s="52" t="n">
        <f aca="false">IF(AR39="EUR",AA39,IF(AR39="GBP",AB39,1))</f>
        <v>7.8</v>
      </c>
      <c r="AU39" s="52" t="n">
        <f aca="false">T39*AS39</f>
        <v>580.32</v>
      </c>
      <c r="AV39" s="52" t="n">
        <f aca="false">AU39*AT39</f>
        <v>4526.496</v>
      </c>
      <c r="AW39" s="52" t="s">
        <v>195</v>
      </c>
      <c r="AX39" s="52" t="n">
        <v>2.3</v>
      </c>
      <c r="AY39" s="52" t="n">
        <f aca="false">IF(AW39="EUR",AA39,IF(AW39="GBP",AB39,1))</f>
        <v>7.8</v>
      </c>
      <c r="AZ39" s="52" t="n">
        <f aca="false">V39*AX39</f>
        <v>110.041568</v>
      </c>
      <c r="BA39" s="52" t="n">
        <f aca="false">AZ39*AY39</f>
        <v>858.3242304</v>
      </c>
      <c r="BB39" s="52" t="n">
        <f aca="false">AF39+AG39+AL39+AQ39+AV39+BA39</f>
        <v>100881.8151744</v>
      </c>
      <c r="BC39" s="54" t="n">
        <v>0.973</v>
      </c>
      <c r="BD39" s="32"/>
      <c r="BE39" s="32"/>
      <c r="BF39" s="32"/>
      <c r="BG39" s="32" t="s">
        <v>197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46113</v>
      </c>
      <c r="E40" s="18" t="s">
        <v>118</v>
      </c>
      <c r="F40" s="18" t="s">
        <v>119</v>
      </c>
      <c r="G40" s="18" t="s">
        <v>100</v>
      </c>
      <c r="H40" s="18" t="s">
        <v>101</v>
      </c>
      <c r="I40" s="18" t="s">
        <v>102</v>
      </c>
      <c r="J40" s="50" t="n">
        <v>15500</v>
      </c>
      <c r="K40" s="51" t="n">
        <v>0.28</v>
      </c>
      <c r="L40" s="51" t="n">
        <v>0.96</v>
      </c>
      <c r="M40" s="51" t="n">
        <v>0.65</v>
      </c>
      <c r="N40" s="52" t="n">
        <f aca="false">J40*K40*L40*M40</f>
        <v>2708.16</v>
      </c>
      <c r="O40" s="50" t="n">
        <v>1.12</v>
      </c>
      <c r="P40" s="52" t="n">
        <f aca="false">N40*O40</f>
        <v>3033.1392</v>
      </c>
      <c r="Q40" s="50" t="n">
        <v>1.02</v>
      </c>
      <c r="R40" s="52" t="n">
        <f aca="false">P40*Q40</f>
        <v>3093.801984</v>
      </c>
      <c r="S40" s="50" t="n">
        <v>0.08</v>
      </c>
      <c r="T40" s="52" t="n">
        <f aca="false">N40*S40</f>
        <v>216.6528</v>
      </c>
      <c r="U40" s="52" t="n">
        <v>0.022</v>
      </c>
      <c r="V40" s="52" t="n">
        <f aca="false">P40*U40</f>
        <v>66.7290624</v>
      </c>
      <c r="W40" s="53" t="s">
        <v>199</v>
      </c>
      <c r="X40" s="50" t="n">
        <v>4</v>
      </c>
      <c r="Y40" s="53" t="s">
        <v>196</v>
      </c>
      <c r="Z40" s="50" t="n">
        <v>0.1</v>
      </c>
      <c r="AA40" s="50" t="n">
        <v>7.8</v>
      </c>
      <c r="AB40" s="50" t="n">
        <v>9</v>
      </c>
      <c r="AC40" s="52" t="n">
        <f aca="false">IF(W40="EUR",AA40,IF(W40="GBP",AB40,1))</f>
        <v>9</v>
      </c>
      <c r="AD40" s="52" t="n">
        <f aca="false">R40*X40</f>
        <v>12375.207936</v>
      </c>
      <c r="AE40" s="52" t="n">
        <f aca="false">IF(Y40="PERCENTAGE_OF_BASE_FREIGHT",AD40*Z40,IF(Y40="PER_CHARGEABLE_KG",R40*Z40,P40*Z40))</f>
        <v>1237.5207936</v>
      </c>
      <c r="AF40" s="52" t="n">
        <f aca="false">AD40*AC40</f>
        <v>111376.871424</v>
      </c>
      <c r="AG40" s="52" t="n">
        <f aca="false">AE40*AC40</f>
        <v>11137.6871424</v>
      </c>
      <c r="AH40" s="52" t="s">
        <v>195</v>
      </c>
      <c r="AI40" s="52" t="n">
        <v>1.18</v>
      </c>
      <c r="AJ40" s="52" t="n">
        <f aca="false">IF(AH40="EUR",AA40,IF(AH40="GBP",AB40,1))</f>
        <v>7.8</v>
      </c>
      <c r="AK40" s="52" t="n">
        <f aca="false">N40*AI40</f>
        <v>3195.6288</v>
      </c>
      <c r="AL40" s="52" t="n">
        <f aca="false">AK40*AJ40</f>
        <v>24925.90464</v>
      </c>
      <c r="AM40" s="52" t="s">
        <v>195</v>
      </c>
      <c r="AN40" s="52" t="n">
        <v>0.42</v>
      </c>
      <c r="AO40" s="52" t="n">
        <f aca="false">IF(AM40="EUR",AA40,IF(AM40="GBP",AB40,1))</f>
        <v>7.8</v>
      </c>
      <c r="AP40" s="52" t="n">
        <f aca="false">P40*AN40</f>
        <v>1273.918464</v>
      </c>
      <c r="AQ40" s="52" t="n">
        <f aca="false">AP40*AO40</f>
        <v>9936.5640192</v>
      </c>
      <c r="AR40" s="52" t="s">
        <v>199</v>
      </c>
      <c r="AS40" s="52" t="n">
        <v>4.8</v>
      </c>
      <c r="AT40" s="52" t="n">
        <f aca="false">IF(AR40="EUR",AA40,IF(AR40="GBP",AB40,1))</f>
        <v>9</v>
      </c>
      <c r="AU40" s="52" t="n">
        <f aca="false">T40*AS40</f>
        <v>1039.93344</v>
      </c>
      <c r="AV40" s="52" t="n">
        <f aca="false">AU40*AT40</f>
        <v>9359.40096</v>
      </c>
      <c r="AW40" s="52" t="s">
        <v>199</v>
      </c>
      <c r="AX40" s="52" t="n">
        <v>2.3</v>
      </c>
      <c r="AY40" s="52" t="n">
        <f aca="false">IF(AW40="EUR",AA40,IF(AW40="GBP",AB40,1))</f>
        <v>9</v>
      </c>
      <c r="AZ40" s="52" t="n">
        <f aca="false">V40*AX40</f>
        <v>153.47684352</v>
      </c>
      <c r="BA40" s="52" t="n">
        <f aca="false">AZ40*AY40</f>
        <v>1381.29159168</v>
      </c>
      <c r="BB40" s="52" t="n">
        <f aca="false">AF40+AG40+AL40+AQ40+AV40+BA40</f>
        <v>168117.71977728</v>
      </c>
      <c r="BC40" s="54" t="n">
        <v>0.93</v>
      </c>
      <c r="BD40" s="32"/>
      <c r="BE40" s="32"/>
      <c r="BF40" s="32"/>
      <c r="BG40" s="32" t="s">
        <v>197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46113</v>
      </c>
      <c r="E41" s="18" t="s">
        <v>122</v>
      </c>
      <c r="F41" s="18" t="s">
        <v>119</v>
      </c>
      <c r="G41" s="18" t="s">
        <v>100</v>
      </c>
      <c r="H41" s="18" t="s">
        <v>107</v>
      </c>
      <c r="I41" s="18" t="s">
        <v>102</v>
      </c>
      <c r="J41" s="50" t="n">
        <v>15500</v>
      </c>
      <c r="K41" s="51" t="n">
        <v>0.28</v>
      </c>
      <c r="L41" s="51" t="n">
        <v>0.96</v>
      </c>
      <c r="M41" s="51" t="n">
        <v>0.25</v>
      </c>
      <c r="N41" s="52" t="n">
        <f aca="false">J41*K41*L41*M41</f>
        <v>1041.6</v>
      </c>
      <c r="O41" s="50" t="n">
        <v>1.12</v>
      </c>
      <c r="P41" s="52" t="n">
        <f aca="false">N41*O41</f>
        <v>1166.592</v>
      </c>
      <c r="Q41" s="50" t="n">
        <v>1</v>
      </c>
      <c r="R41" s="52" t="n">
        <f aca="false">P41*Q41</f>
        <v>1166.592</v>
      </c>
      <c r="S41" s="50" t="n">
        <v>0.08</v>
      </c>
      <c r="T41" s="52" t="n">
        <f aca="false">N41*S41</f>
        <v>83.328</v>
      </c>
      <c r="U41" s="52" t="n">
        <v>0.017</v>
      </c>
      <c r="V41" s="52" t="n">
        <f aca="false">P41*U41</f>
        <v>19.832064</v>
      </c>
      <c r="W41" s="53" t="s">
        <v>199</v>
      </c>
      <c r="X41" s="50" t="n">
        <v>4.7</v>
      </c>
      <c r="Y41" s="53" t="s">
        <v>198</v>
      </c>
      <c r="Z41" s="50" t="n">
        <v>0.33</v>
      </c>
      <c r="AA41" s="50" t="n">
        <v>7.8</v>
      </c>
      <c r="AB41" s="50" t="n">
        <v>9</v>
      </c>
      <c r="AC41" s="52" t="n">
        <f aca="false">IF(W41="EUR",AA41,IF(W41="GBP",AB41,1))</f>
        <v>9</v>
      </c>
      <c r="AD41" s="52" t="n">
        <f aca="false">R41*X41</f>
        <v>5482.9824</v>
      </c>
      <c r="AE41" s="52" t="n">
        <f aca="false">IF(Y41="PERCENTAGE_OF_BASE_FREIGHT",AD41*Z41,IF(Y41="PER_CHARGEABLE_KG",R41*Z41,P41*Z41))</f>
        <v>384.97536</v>
      </c>
      <c r="AF41" s="52" t="n">
        <f aca="false">AD41*AC41</f>
        <v>49346.8416</v>
      </c>
      <c r="AG41" s="52" t="n">
        <f aca="false">AE41*AC41</f>
        <v>3464.77824</v>
      </c>
      <c r="AH41" s="52" t="s">
        <v>195</v>
      </c>
      <c r="AI41" s="52" t="n">
        <v>1.18</v>
      </c>
      <c r="AJ41" s="52" t="n">
        <f aca="false">IF(AH41="EUR",AA41,IF(AH41="GBP",AB41,1))</f>
        <v>7.8</v>
      </c>
      <c r="AK41" s="52" t="n">
        <f aca="false">N41*AI41</f>
        <v>1229.088</v>
      </c>
      <c r="AL41" s="52" t="n">
        <f aca="false">AK41*AJ41</f>
        <v>9586.8864</v>
      </c>
      <c r="AM41" s="52" t="s">
        <v>195</v>
      </c>
      <c r="AN41" s="52" t="n">
        <v>0.42</v>
      </c>
      <c r="AO41" s="52" t="n">
        <f aca="false">IF(AM41="EUR",AA41,IF(AM41="GBP",AB41,1))</f>
        <v>7.8</v>
      </c>
      <c r="AP41" s="52" t="n">
        <f aca="false">P41*AN41</f>
        <v>489.96864</v>
      </c>
      <c r="AQ41" s="52" t="n">
        <f aca="false">AP41*AO41</f>
        <v>3821.755392</v>
      </c>
      <c r="AR41" s="52" t="s">
        <v>199</v>
      </c>
      <c r="AS41" s="52" t="n">
        <v>4.8</v>
      </c>
      <c r="AT41" s="52" t="n">
        <f aca="false">IF(AR41="EUR",AA41,IF(AR41="GBP",AB41,1))</f>
        <v>9</v>
      </c>
      <c r="AU41" s="52" t="n">
        <f aca="false">T41*AS41</f>
        <v>399.9744</v>
      </c>
      <c r="AV41" s="52" t="n">
        <f aca="false">AU41*AT41</f>
        <v>3599.7696</v>
      </c>
      <c r="AW41" s="52" t="s">
        <v>199</v>
      </c>
      <c r="AX41" s="52" t="n">
        <v>2.3</v>
      </c>
      <c r="AY41" s="52" t="n">
        <f aca="false">IF(AW41="EUR",AA41,IF(AW41="GBP",AB41,1))</f>
        <v>9</v>
      </c>
      <c r="AZ41" s="52" t="n">
        <f aca="false">V41*AX41</f>
        <v>45.6137472</v>
      </c>
      <c r="BA41" s="52" t="n">
        <f aca="false">AZ41*AY41</f>
        <v>410.5237248</v>
      </c>
      <c r="BB41" s="52" t="n">
        <f aca="false">AF41+AG41+AL41+AQ41+AV41+BA41</f>
        <v>70230.5549568</v>
      </c>
      <c r="BC41" s="54" t="n">
        <v>0.95</v>
      </c>
      <c r="BD41" s="32"/>
      <c r="BE41" s="32"/>
      <c r="BF41" s="32"/>
      <c r="BG41" s="32" t="s">
        <v>197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46113</v>
      </c>
      <c r="E42" s="18" t="s">
        <v>124</v>
      </c>
      <c r="F42" s="18" t="s">
        <v>119</v>
      </c>
      <c r="G42" s="18" t="s">
        <v>100</v>
      </c>
      <c r="H42" s="18" t="s">
        <v>107</v>
      </c>
      <c r="I42" s="18" t="s">
        <v>125</v>
      </c>
      <c r="J42" s="50" t="n">
        <v>15500</v>
      </c>
      <c r="K42" s="51" t="n">
        <v>0.28</v>
      </c>
      <c r="L42" s="51" t="n">
        <v>0.96</v>
      </c>
      <c r="M42" s="51" t="n">
        <v>0.07</v>
      </c>
      <c r="N42" s="52" t="n">
        <f aca="false">J42*K42*L42*M42</f>
        <v>291.648</v>
      </c>
      <c r="O42" s="50" t="n">
        <v>1.12</v>
      </c>
      <c r="P42" s="52" t="n">
        <f aca="false">N42*O42</f>
        <v>326.64576</v>
      </c>
      <c r="Q42" s="50" t="n">
        <v>0.94</v>
      </c>
      <c r="R42" s="52" t="n">
        <f aca="false">P42*Q42</f>
        <v>307.0470144</v>
      </c>
      <c r="S42" s="50" t="n">
        <v>0.08</v>
      </c>
      <c r="T42" s="52" t="n">
        <f aca="false">N42*S42</f>
        <v>23.33184</v>
      </c>
      <c r="U42" s="52" t="n">
        <v>0.013</v>
      </c>
      <c r="V42" s="52" t="n">
        <f aca="false">P42*U42</f>
        <v>4.24639488</v>
      </c>
      <c r="W42" s="53" t="s">
        <v>199</v>
      </c>
      <c r="X42" s="50" t="n">
        <v>6.2</v>
      </c>
      <c r="Y42" s="53" t="s">
        <v>196</v>
      </c>
      <c r="Z42" s="50" t="n">
        <v>0.115</v>
      </c>
      <c r="AA42" s="50" t="n">
        <v>7.8</v>
      </c>
      <c r="AB42" s="50" t="n">
        <v>9</v>
      </c>
      <c r="AC42" s="52" t="n">
        <f aca="false">IF(W42="EUR",AA42,IF(W42="GBP",AB42,1))</f>
        <v>9</v>
      </c>
      <c r="AD42" s="52" t="n">
        <f aca="false">R42*X42</f>
        <v>1903.69148928</v>
      </c>
      <c r="AE42" s="52" t="n">
        <f aca="false">IF(Y42="PERCENTAGE_OF_BASE_FREIGHT",AD42*Z42,IF(Y42="PER_CHARGEABLE_KG",R42*Z42,P42*Z42))</f>
        <v>218.9245212672</v>
      </c>
      <c r="AF42" s="52" t="n">
        <f aca="false">AD42*AC42</f>
        <v>17133.22340352</v>
      </c>
      <c r="AG42" s="52" t="n">
        <f aca="false">AE42*AC42</f>
        <v>1970.3206914048</v>
      </c>
      <c r="AH42" s="52" t="s">
        <v>195</v>
      </c>
      <c r="AI42" s="52" t="n">
        <v>1.18</v>
      </c>
      <c r="AJ42" s="52" t="n">
        <f aca="false">IF(AH42="EUR",AA42,IF(AH42="GBP",AB42,1))</f>
        <v>7.8</v>
      </c>
      <c r="AK42" s="52" t="n">
        <f aca="false">N42*AI42</f>
        <v>344.14464</v>
      </c>
      <c r="AL42" s="52" t="n">
        <f aca="false">AK42*AJ42</f>
        <v>2684.328192</v>
      </c>
      <c r="AM42" s="52" t="s">
        <v>195</v>
      </c>
      <c r="AN42" s="52" t="n">
        <v>0.42</v>
      </c>
      <c r="AO42" s="52" t="n">
        <f aca="false">IF(AM42="EUR",AA42,IF(AM42="GBP",AB42,1))</f>
        <v>7.8</v>
      </c>
      <c r="AP42" s="52" t="n">
        <f aca="false">P42*AN42</f>
        <v>137.1912192</v>
      </c>
      <c r="AQ42" s="52" t="n">
        <f aca="false">AP42*AO42</f>
        <v>1070.09150976</v>
      </c>
      <c r="AR42" s="52" t="s">
        <v>199</v>
      </c>
      <c r="AS42" s="52" t="n">
        <v>4.8</v>
      </c>
      <c r="AT42" s="52" t="n">
        <f aca="false">IF(AR42="EUR",AA42,IF(AR42="GBP",AB42,1))</f>
        <v>9</v>
      </c>
      <c r="AU42" s="52" t="n">
        <f aca="false">T42*AS42</f>
        <v>111.992832</v>
      </c>
      <c r="AV42" s="52" t="n">
        <f aca="false">AU42*AT42</f>
        <v>1007.935488</v>
      </c>
      <c r="AW42" s="52" t="s">
        <v>199</v>
      </c>
      <c r="AX42" s="52" t="n">
        <v>2.8</v>
      </c>
      <c r="AY42" s="52" t="n">
        <f aca="false">IF(AW42="EUR",AA42,IF(AW42="GBP",AB42,1))</f>
        <v>9</v>
      </c>
      <c r="AZ42" s="52" t="n">
        <f aca="false">V42*AX42</f>
        <v>11.889905664</v>
      </c>
      <c r="BA42" s="52" t="n">
        <f aca="false">AZ42*AY42</f>
        <v>107.009150976</v>
      </c>
      <c r="BB42" s="52" t="n">
        <f aca="false">AF42+AG42+AL42+AQ42+AV42+BA42</f>
        <v>23972.9084356608</v>
      </c>
      <c r="BC42" s="54" t="n">
        <v>0.974</v>
      </c>
      <c r="BD42" s="32"/>
      <c r="BE42" s="32"/>
      <c r="BF42" s="32"/>
      <c r="BG42" s="32" t="s">
        <v>197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46113</v>
      </c>
      <c r="E43" s="18" t="s">
        <v>127</v>
      </c>
      <c r="F43" s="18" t="s">
        <v>119</v>
      </c>
      <c r="G43" s="18" t="s">
        <v>100</v>
      </c>
      <c r="H43" s="18" t="s">
        <v>128</v>
      </c>
      <c r="I43" s="18" t="s">
        <v>125</v>
      </c>
      <c r="J43" s="50" t="n">
        <v>15500</v>
      </c>
      <c r="K43" s="51" t="n">
        <v>0.28</v>
      </c>
      <c r="L43" s="51" t="n">
        <v>0.96</v>
      </c>
      <c r="M43" s="51" t="n">
        <v>0.03</v>
      </c>
      <c r="N43" s="52" t="n">
        <f aca="false">J43*K43*L43*M43</f>
        <v>124.992</v>
      </c>
      <c r="O43" s="50" t="n">
        <v>1.12</v>
      </c>
      <c r="P43" s="52" t="n">
        <f aca="false">N43*O43</f>
        <v>139.99104</v>
      </c>
      <c r="Q43" s="50" t="n">
        <v>0.92</v>
      </c>
      <c r="R43" s="52" t="n">
        <f aca="false">P43*Q43</f>
        <v>128.7917568</v>
      </c>
      <c r="S43" s="50" t="n">
        <v>0.08</v>
      </c>
      <c r="T43" s="52" t="n">
        <f aca="false">N43*S43</f>
        <v>9.99936</v>
      </c>
      <c r="U43" s="52" t="n">
        <v>0.009</v>
      </c>
      <c r="V43" s="52" t="n">
        <f aca="false">P43*U43</f>
        <v>1.25991936</v>
      </c>
      <c r="W43" s="53" t="s">
        <v>199</v>
      </c>
      <c r="X43" s="50" t="n">
        <v>7.5</v>
      </c>
      <c r="Y43" s="53" t="s">
        <v>198</v>
      </c>
      <c r="Z43" s="50" t="n">
        <v>0.58</v>
      </c>
      <c r="AA43" s="50" t="n">
        <v>7.8</v>
      </c>
      <c r="AB43" s="50" t="n">
        <v>9</v>
      </c>
      <c r="AC43" s="52" t="n">
        <f aca="false">IF(W43="EUR",AA43,IF(W43="GBP",AB43,1))</f>
        <v>9</v>
      </c>
      <c r="AD43" s="52" t="n">
        <f aca="false">R43*X43</f>
        <v>965.938176</v>
      </c>
      <c r="AE43" s="52" t="n">
        <f aca="false">IF(Y43="PERCENTAGE_OF_BASE_FREIGHT",AD43*Z43,IF(Y43="PER_CHARGEABLE_KG",R43*Z43,P43*Z43))</f>
        <v>74.699218944</v>
      </c>
      <c r="AF43" s="52" t="n">
        <f aca="false">AD43*AC43</f>
        <v>8693.443584</v>
      </c>
      <c r="AG43" s="52" t="n">
        <f aca="false">AE43*AC43</f>
        <v>672.292970496</v>
      </c>
      <c r="AH43" s="52" t="s">
        <v>195</v>
      </c>
      <c r="AI43" s="52" t="n">
        <v>1.18</v>
      </c>
      <c r="AJ43" s="52" t="n">
        <f aca="false">IF(AH43="EUR",AA43,IF(AH43="GBP",AB43,1))</f>
        <v>7.8</v>
      </c>
      <c r="AK43" s="52" t="n">
        <f aca="false">N43*AI43</f>
        <v>147.49056</v>
      </c>
      <c r="AL43" s="52" t="n">
        <f aca="false">AK43*AJ43</f>
        <v>1150.426368</v>
      </c>
      <c r="AM43" s="52" t="s">
        <v>195</v>
      </c>
      <c r="AN43" s="52" t="n">
        <v>0.42</v>
      </c>
      <c r="AO43" s="52" t="n">
        <f aca="false">IF(AM43="EUR",AA43,IF(AM43="GBP",AB43,1))</f>
        <v>7.8</v>
      </c>
      <c r="AP43" s="52" t="n">
        <f aca="false">P43*AN43</f>
        <v>58.7962368</v>
      </c>
      <c r="AQ43" s="52" t="n">
        <f aca="false">AP43*AO43</f>
        <v>458.61064704</v>
      </c>
      <c r="AR43" s="52" t="s">
        <v>199</v>
      </c>
      <c r="AS43" s="52" t="n">
        <v>4.8</v>
      </c>
      <c r="AT43" s="52" t="n">
        <f aca="false">IF(AR43="EUR",AA43,IF(AR43="GBP",AB43,1))</f>
        <v>9</v>
      </c>
      <c r="AU43" s="52" t="n">
        <f aca="false">T43*AS43</f>
        <v>47.996928</v>
      </c>
      <c r="AV43" s="52" t="n">
        <f aca="false">AU43*AT43</f>
        <v>431.972352</v>
      </c>
      <c r="AW43" s="52" t="s">
        <v>199</v>
      </c>
      <c r="AX43" s="52" t="n">
        <v>3.6</v>
      </c>
      <c r="AY43" s="52" t="n">
        <f aca="false">IF(AW43="EUR",AA43,IF(AW43="GBP",AB43,1))</f>
        <v>9</v>
      </c>
      <c r="AZ43" s="52" t="n">
        <f aca="false">V43*AX43</f>
        <v>4.535709696</v>
      </c>
      <c r="BA43" s="52" t="n">
        <f aca="false">AZ43*AY43</f>
        <v>40.821387264</v>
      </c>
      <c r="BB43" s="52" t="n">
        <f aca="false">AF43+AG43+AL43+AQ43+AV43+BA43</f>
        <v>11447.5673088</v>
      </c>
      <c r="BC43" s="54" t="n">
        <v>0.988</v>
      </c>
      <c r="BD43" s="32"/>
      <c r="BE43" s="32"/>
      <c r="BF43" s="32"/>
      <c r="BG43" s="32" t="s">
        <v>197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46113</v>
      </c>
      <c r="E44" s="18" t="s">
        <v>130</v>
      </c>
      <c r="F44" s="18" t="s">
        <v>119</v>
      </c>
      <c r="G44" s="18" t="s">
        <v>110</v>
      </c>
      <c r="H44" s="18" t="s">
        <v>107</v>
      </c>
      <c r="I44" s="18" t="s">
        <v>125</v>
      </c>
      <c r="J44" s="50" t="n">
        <v>15500</v>
      </c>
      <c r="K44" s="51" t="n">
        <v>0.28</v>
      </c>
      <c r="L44" s="51" t="n">
        <v>0.04</v>
      </c>
      <c r="M44" s="51" t="n">
        <v>1</v>
      </c>
      <c r="N44" s="52" t="n">
        <f aca="false">J44*K44*L44*M44</f>
        <v>173.6</v>
      </c>
      <c r="O44" s="50" t="n">
        <v>1.15</v>
      </c>
      <c r="P44" s="52" t="n">
        <f aca="false">N44*O44</f>
        <v>199.64</v>
      </c>
      <c r="Q44" s="50" t="n">
        <v>0.9</v>
      </c>
      <c r="R44" s="52" t="n">
        <f aca="false">P44*Q44</f>
        <v>179.676</v>
      </c>
      <c r="S44" s="50" t="n">
        <v>0.08</v>
      </c>
      <c r="T44" s="52" t="n">
        <f aca="false">N44*S44</f>
        <v>13.888</v>
      </c>
      <c r="U44" s="52" t="n">
        <v>0.012</v>
      </c>
      <c r="V44" s="52" t="n">
        <f aca="false">P44*U44</f>
        <v>2.39568</v>
      </c>
      <c r="W44" s="53" t="s">
        <v>195</v>
      </c>
      <c r="X44" s="50" t="n">
        <v>6.7</v>
      </c>
      <c r="Y44" s="53" t="s">
        <v>196</v>
      </c>
      <c r="Z44" s="50" t="n">
        <v>0.105</v>
      </c>
      <c r="AA44" s="50" t="n">
        <v>7.8</v>
      </c>
      <c r="AB44" s="50" t="n">
        <v>9</v>
      </c>
      <c r="AC44" s="52" t="n">
        <f aca="false">IF(W44="EUR",AA44,IF(W44="GBP",AB44,1))</f>
        <v>7.8</v>
      </c>
      <c r="AD44" s="52" t="n">
        <f aca="false">R44*X44</f>
        <v>1203.8292</v>
      </c>
      <c r="AE44" s="52" t="n">
        <f aca="false">IF(Y44="PERCENTAGE_OF_BASE_FREIGHT",AD44*Z44,IF(Y44="PER_CHARGEABLE_KG",R44*Z44,P44*Z44))</f>
        <v>126.402066</v>
      </c>
      <c r="AF44" s="52" t="n">
        <f aca="false">AD44*AC44</f>
        <v>9389.86776</v>
      </c>
      <c r="AG44" s="52" t="n">
        <f aca="false">AE44*AC44</f>
        <v>985.9361148</v>
      </c>
      <c r="AH44" s="52" t="s">
        <v>195</v>
      </c>
      <c r="AI44" s="52" t="n">
        <v>1.05</v>
      </c>
      <c r="AJ44" s="52" t="n">
        <f aca="false">IF(AH44="EUR",AA44,IF(AH44="GBP",AB44,1))</f>
        <v>7.8</v>
      </c>
      <c r="AK44" s="52" t="n">
        <f aca="false">N44*AI44</f>
        <v>182.28</v>
      </c>
      <c r="AL44" s="52" t="n">
        <f aca="false">AK44*AJ44</f>
        <v>1421.784</v>
      </c>
      <c r="AM44" s="52" t="s">
        <v>195</v>
      </c>
      <c r="AN44" s="52" t="n">
        <v>0.38</v>
      </c>
      <c r="AO44" s="52" t="n">
        <f aca="false">IF(AM44="EUR",AA44,IF(AM44="GBP",AB44,1))</f>
        <v>7.8</v>
      </c>
      <c r="AP44" s="52" t="n">
        <f aca="false">P44*AN44</f>
        <v>75.8632</v>
      </c>
      <c r="AQ44" s="52" t="n">
        <f aca="false">AP44*AO44</f>
        <v>591.73296</v>
      </c>
      <c r="AR44" s="52" t="s">
        <v>195</v>
      </c>
      <c r="AS44" s="52" t="n">
        <v>5.2</v>
      </c>
      <c r="AT44" s="52" t="n">
        <f aca="false">IF(AR44="EUR",AA44,IF(AR44="GBP",AB44,1))</f>
        <v>7.8</v>
      </c>
      <c r="AU44" s="52" t="n">
        <f aca="false">T44*AS44</f>
        <v>72.2176</v>
      </c>
      <c r="AV44" s="52" t="n">
        <f aca="false">AU44*AT44</f>
        <v>563.29728</v>
      </c>
      <c r="AW44" s="52" t="s">
        <v>195</v>
      </c>
      <c r="AX44" s="52" t="n">
        <v>2.8</v>
      </c>
      <c r="AY44" s="52" t="n">
        <f aca="false">IF(AW44="EUR",AA44,IF(AW44="GBP",AB44,1))</f>
        <v>7.8</v>
      </c>
      <c r="AZ44" s="52" t="n">
        <f aca="false">V44*AX44</f>
        <v>6.707904</v>
      </c>
      <c r="BA44" s="52" t="n">
        <f aca="false">AZ44*AY44</f>
        <v>52.3216512</v>
      </c>
      <c r="BB44" s="52" t="n">
        <f aca="false">AF44+AG44+AL44+AQ44+AV44+BA44</f>
        <v>13004.939766</v>
      </c>
      <c r="BC44" s="54" t="n">
        <v>0.971</v>
      </c>
      <c r="BD44" s="32"/>
      <c r="BE44" s="32"/>
      <c r="BF44" s="32"/>
      <c r="BG44" s="32" t="s">
        <v>197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46143</v>
      </c>
      <c r="E45" s="18" t="s">
        <v>98</v>
      </c>
      <c r="F45" s="18" t="s">
        <v>99</v>
      </c>
      <c r="G45" s="18" t="s">
        <v>100</v>
      </c>
      <c r="H45" s="18" t="s">
        <v>101</v>
      </c>
      <c r="I45" s="18" t="s">
        <v>102</v>
      </c>
      <c r="J45" s="50" t="n">
        <v>16000</v>
      </c>
      <c r="K45" s="51" t="n">
        <v>0.39</v>
      </c>
      <c r="L45" s="51" t="n">
        <v>0.97</v>
      </c>
      <c r="M45" s="51" t="n">
        <v>0.6</v>
      </c>
      <c r="N45" s="52" t="n">
        <f aca="false">J45*K45*L45*M45</f>
        <v>3631.68</v>
      </c>
      <c r="O45" s="50" t="n">
        <v>1.05</v>
      </c>
      <c r="P45" s="52" t="n">
        <f aca="false">N45*O45</f>
        <v>3813.264</v>
      </c>
      <c r="Q45" s="50" t="n">
        <v>0.78</v>
      </c>
      <c r="R45" s="52" t="n">
        <f aca="false">P45*Q45</f>
        <v>2974.34592</v>
      </c>
      <c r="S45" s="50" t="n">
        <v>0.05</v>
      </c>
      <c r="T45" s="52" t="n">
        <f aca="false">N45*S45</f>
        <v>181.584</v>
      </c>
      <c r="U45" s="52" t="n">
        <v>0.016</v>
      </c>
      <c r="V45" s="52" t="n">
        <f aca="false">P45*U45</f>
        <v>61.012224</v>
      </c>
      <c r="W45" s="53" t="s">
        <v>195</v>
      </c>
      <c r="X45" s="50" t="n">
        <v>2.2</v>
      </c>
      <c r="Y45" s="53" t="s">
        <v>196</v>
      </c>
      <c r="Z45" s="50" t="n">
        <v>0.095</v>
      </c>
      <c r="AA45" s="50" t="n">
        <v>7.8</v>
      </c>
      <c r="AB45" s="50" t="n">
        <v>9</v>
      </c>
      <c r="AC45" s="52" t="n">
        <f aca="false">IF(W45="EUR",AA45,IF(W45="GBP",AB45,1))</f>
        <v>7.8</v>
      </c>
      <c r="AD45" s="52" t="n">
        <f aca="false">R45*X45</f>
        <v>6543.561024</v>
      </c>
      <c r="AE45" s="52" t="n">
        <f aca="false">IF(Y45="PERCENTAGE_OF_BASE_FREIGHT",AD45*Z45,IF(Y45="PER_CHARGEABLE_KG",R45*Z45,P45*Z45))</f>
        <v>621.63829728</v>
      </c>
      <c r="AF45" s="52" t="n">
        <f aca="false">AD45*AC45</f>
        <v>51039.7759872</v>
      </c>
      <c r="AG45" s="52" t="n">
        <f aca="false">AE45*AC45</f>
        <v>4848.778718784</v>
      </c>
      <c r="AH45" s="52" t="s">
        <v>195</v>
      </c>
      <c r="AI45" s="52" t="n">
        <v>1.18</v>
      </c>
      <c r="AJ45" s="52" t="n">
        <f aca="false">IF(AH45="EUR",AA45,IF(AH45="GBP",AB45,1))</f>
        <v>7.8</v>
      </c>
      <c r="AK45" s="52" t="n">
        <f aca="false">N45*AI45</f>
        <v>4285.3824</v>
      </c>
      <c r="AL45" s="52" t="n">
        <f aca="false">AK45*AJ45</f>
        <v>33425.98272</v>
      </c>
      <c r="AM45" s="52" t="s">
        <v>195</v>
      </c>
      <c r="AN45" s="52" t="n">
        <v>0.42</v>
      </c>
      <c r="AO45" s="52" t="n">
        <f aca="false">IF(AM45="EUR",AA45,IF(AM45="GBP",AB45,1))</f>
        <v>7.8</v>
      </c>
      <c r="AP45" s="52" t="n">
        <f aca="false">P45*AN45</f>
        <v>1601.57088</v>
      </c>
      <c r="AQ45" s="52" t="n">
        <f aca="false">AP45*AO45</f>
        <v>12492.252864</v>
      </c>
      <c r="AR45" s="52" t="s">
        <v>195</v>
      </c>
      <c r="AS45" s="52" t="n">
        <v>3.2</v>
      </c>
      <c r="AT45" s="52" t="n">
        <f aca="false">IF(AR45="EUR",AA45,IF(AR45="GBP",AB45,1))</f>
        <v>7.8</v>
      </c>
      <c r="AU45" s="52" t="n">
        <f aca="false">T45*AS45</f>
        <v>581.0688</v>
      </c>
      <c r="AV45" s="52" t="n">
        <f aca="false">AU45*AT45</f>
        <v>4532.33664</v>
      </c>
      <c r="AW45" s="52" t="s">
        <v>195</v>
      </c>
      <c r="AX45" s="52" t="n">
        <v>2.3</v>
      </c>
      <c r="AY45" s="52" t="n">
        <f aca="false">IF(AW45="EUR",AA45,IF(AW45="GBP",AB45,1))</f>
        <v>7.8</v>
      </c>
      <c r="AZ45" s="52" t="n">
        <f aca="false">V45*AX45</f>
        <v>140.3281152</v>
      </c>
      <c r="BA45" s="52" t="n">
        <f aca="false">AZ45*AY45</f>
        <v>1094.55929856</v>
      </c>
      <c r="BB45" s="52" t="n">
        <f aca="false">AF45+AG45+AL45+AQ45+AV45+BA45</f>
        <v>107433.686228544</v>
      </c>
      <c r="BC45" s="54" t="n">
        <v>0.965</v>
      </c>
      <c r="BD45" s="32"/>
      <c r="BE45" s="32"/>
      <c r="BF45" s="32"/>
      <c r="BG45" s="32" t="s">
        <v>197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46143</v>
      </c>
      <c r="E46" s="18" t="s">
        <v>106</v>
      </c>
      <c r="F46" s="18" t="s">
        <v>99</v>
      </c>
      <c r="G46" s="18" t="s">
        <v>100</v>
      </c>
      <c r="H46" s="18" t="s">
        <v>107</v>
      </c>
      <c r="I46" s="18" t="s">
        <v>102</v>
      </c>
      <c r="J46" s="50" t="n">
        <v>16000</v>
      </c>
      <c r="K46" s="51" t="n">
        <v>0.39</v>
      </c>
      <c r="L46" s="51" t="n">
        <v>0.97</v>
      </c>
      <c r="M46" s="51" t="n">
        <v>0.4</v>
      </c>
      <c r="N46" s="52" t="n">
        <f aca="false">J46*K46*L46*M46</f>
        <v>2421.12</v>
      </c>
      <c r="O46" s="50" t="n">
        <v>1.05</v>
      </c>
      <c r="P46" s="52" t="n">
        <f aca="false">N46*O46</f>
        <v>2542.176</v>
      </c>
      <c r="Q46" s="50" t="n">
        <v>0.8</v>
      </c>
      <c r="R46" s="52" t="n">
        <f aca="false">P46*Q46</f>
        <v>2033.7408</v>
      </c>
      <c r="S46" s="50" t="n">
        <v>0.05</v>
      </c>
      <c r="T46" s="52" t="n">
        <f aca="false">N46*S46</f>
        <v>121.056</v>
      </c>
      <c r="U46" s="52" t="n">
        <v>0.013</v>
      </c>
      <c r="V46" s="52" t="n">
        <f aca="false">P46*U46</f>
        <v>33.048288</v>
      </c>
      <c r="W46" s="53" t="s">
        <v>195</v>
      </c>
      <c r="X46" s="50" t="n">
        <v>2.75</v>
      </c>
      <c r="Y46" s="53" t="s">
        <v>198</v>
      </c>
      <c r="Z46" s="50" t="n">
        <v>0.21</v>
      </c>
      <c r="AA46" s="50" t="n">
        <v>7.8</v>
      </c>
      <c r="AB46" s="50" t="n">
        <v>9</v>
      </c>
      <c r="AC46" s="52" t="n">
        <f aca="false">IF(W46="EUR",AA46,IF(W46="GBP",AB46,1))</f>
        <v>7.8</v>
      </c>
      <c r="AD46" s="52" t="n">
        <f aca="false">R46*X46</f>
        <v>5592.7872</v>
      </c>
      <c r="AE46" s="52" t="n">
        <f aca="false">IF(Y46="PERCENTAGE_OF_BASE_FREIGHT",AD46*Z46,IF(Y46="PER_CHARGEABLE_KG",R46*Z46,P46*Z46))</f>
        <v>427.085568</v>
      </c>
      <c r="AF46" s="52" t="n">
        <f aca="false">AD46*AC46</f>
        <v>43623.74016</v>
      </c>
      <c r="AG46" s="52" t="n">
        <f aca="false">AE46*AC46</f>
        <v>3331.2674304</v>
      </c>
      <c r="AH46" s="52" t="s">
        <v>195</v>
      </c>
      <c r="AI46" s="52" t="n">
        <v>1.18</v>
      </c>
      <c r="AJ46" s="52" t="n">
        <f aca="false">IF(AH46="EUR",AA46,IF(AH46="GBP",AB46,1))</f>
        <v>7.8</v>
      </c>
      <c r="AK46" s="52" t="n">
        <f aca="false">N46*AI46</f>
        <v>2856.9216</v>
      </c>
      <c r="AL46" s="52" t="n">
        <f aca="false">AK46*AJ46</f>
        <v>22283.98848</v>
      </c>
      <c r="AM46" s="52" t="s">
        <v>195</v>
      </c>
      <c r="AN46" s="52" t="n">
        <v>0.42</v>
      </c>
      <c r="AO46" s="52" t="n">
        <f aca="false">IF(AM46="EUR",AA46,IF(AM46="GBP",AB46,1))</f>
        <v>7.8</v>
      </c>
      <c r="AP46" s="52" t="n">
        <f aca="false">P46*AN46</f>
        <v>1067.71392</v>
      </c>
      <c r="AQ46" s="52" t="n">
        <f aca="false">AP46*AO46</f>
        <v>8328.168576</v>
      </c>
      <c r="AR46" s="52" t="s">
        <v>195</v>
      </c>
      <c r="AS46" s="52" t="n">
        <v>3.2</v>
      </c>
      <c r="AT46" s="52" t="n">
        <f aca="false">IF(AR46="EUR",AA46,IF(AR46="GBP",AB46,1))</f>
        <v>7.8</v>
      </c>
      <c r="AU46" s="52" t="n">
        <f aca="false">T46*AS46</f>
        <v>387.3792</v>
      </c>
      <c r="AV46" s="52" t="n">
        <f aca="false">AU46*AT46</f>
        <v>3021.55776</v>
      </c>
      <c r="AW46" s="52" t="s">
        <v>195</v>
      </c>
      <c r="AX46" s="52" t="n">
        <v>2.3</v>
      </c>
      <c r="AY46" s="52" t="n">
        <f aca="false">IF(AW46="EUR",AA46,IF(AW46="GBP",AB46,1))</f>
        <v>7.8</v>
      </c>
      <c r="AZ46" s="52" t="n">
        <f aca="false">V46*AX46</f>
        <v>76.0110624</v>
      </c>
      <c r="BA46" s="52" t="n">
        <f aca="false">AZ46*AY46</f>
        <v>592.88628672</v>
      </c>
      <c r="BB46" s="52" t="n">
        <f aca="false">AF46+AG46+AL46+AQ46+AV46+BA46</f>
        <v>81181.60869312</v>
      </c>
      <c r="BC46" s="54" t="n">
        <v>0.976</v>
      </c>
      <c r="BD46" s="32"/>
      <c r="BE46" s="32"/>
      <c r="BF46" s="32"/>
      <c r="BG46" s="32" t="s">
        <v>197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46143</v>
      </c>
      <c r="E47" s="18" t="s">
        <v>109</v>
      </c>
      <c r="F47" s="18" t="s">
        <v>99</v>
      </c>
      <c r="G47" s="18" t="s">
        <v>110</v>
      </c>
      <c r="H47" s="18" t="s">
        <v>107</v>
      </c>
      <c r="I47" s="18" t="s">
        <v>102</v>
      </c>
      <c r="J47" s="50" t="n">
        <v>16000</v>
      </c>
      <c r="K47" s="51" t="n">
        <v>0.39</v>
      </c>
      <c r="L47" s="51" t="n">
        <v>0.03</v>
      </c>
      <c r="M47" s="51" t="n">
        <v>1</v>
      </c>
      <c r="N47" s="52" t="n">
        <f aca="false">J47*K47*L47*M47</f>
        <v>187.2</v>
      </c>
      <c r="O47" s="50" t="n">
        <v>1.08</v>
      </c>
      <c r="P47" s="52" t="n">
        <f aca="false">N47*O47</f>
        <v>202.176</v>
      </c>
      <c r="Q47" s="50" t="n">
        <v>0.86</v>
      </c>
      <c r="R47" s="52" t="n">
        <f aca="false">P47*Q47</f>
        <v>173.87136</v>
      </c>
      <c r="S47" s="50" t="n">
        <v>0.05</v>
      </c>
      <c r="T47" s="52" t="n">
        <f aca="false">N47*S47</f>
        <v>9.36</v>
      </c>
      <c r="U47" s="52" t="n">
        <v>0.014</v>
      </c>
      <c r="V47" s="52" t="n">
        <f aca="false">P47*U47</f>
        <v>2.830464</v>
      </c>
      <c r="W47" s="53" t="s">
        <v>195</v>
      </c>
      <c r="X47" s="50" t="n">
        <v>3.3</v>
      </c>
      <c r="Y47" s="53" t="s">
        <v>198</v>
      </c>
      <c r="Z47" s="50" t="n">
        <v>0.24</v>
      </c>
      <c r="AA47" s="50" t="n">
        <v>7.8</v>
      </c>
      <c r="AB47" s="50" t="n">
        <v>9</v>
      </c>
      <c r="AC47" s="52" t="n">
        <f aca="false">IF(W47="EUR",AA47,IF(W47="GBP",AB47,1))</f>
        <v>7.8</v>
      </c>
      <c r="AD47" s="52" t="n">
        <f aca="false">R47*X47</f>
        <v>573.775488</v>
      </c>
      <c r="AE47" s="52" t="n">
        <f aca="false">IF(Y47="PERCENTAGE_OF_BASE_FREIGHT",AD47*Z47,IF(Y47="PER_CHARGEABLE_KG",R47*Z47,P47*Z47))</f>
        <v>41.7291264</v>
      </c>
      <c r="AF47" s="52" t="n">
        <f aca="false">AD47*AC47</f>
        <v>4475.4488064</v>
      </c>
      <c r="AG47" s="52" t="n">
        <f aca="false">AE47*AC47</f>
        <v>325.48718592</v>
      </c>
      <c r="AH47" s="52" t="s">
        <v>195</v>
      </c>
      <c r="AI47" s="52" t="n">
        <v>1.05</v>
      </c>
      <c r="AJ47" s="52" t="n">
        <f aca="false">IF(AH47="EUR",AA47,IF(AH47="GBP",AB47,1))</f>
        <v>7.8</v>
      </c>
      <c r="AK47" s="52" t="n">
        <f aca="false">N47*AI47</f>
        <v>196.56</v>
      </c>
      <c r="AL47" s="52" t="n">
        <f aca="false">AK47*AJ47</f>
        <v>1533.168</v>
      </c>
      <c r="AM47" s="52" t="s">
        <v>195</v>
      </c>
      <c r="AN47" s="52" t="n">
        <v>0.38</v>
      </c>
      <c r="AO47" s="52" t="n">
        <f aca="false">IF(AM47="EUR",AA47,IF(AM47="GBP",AB47,1))</f>
        <v>7.8</v>
      </c>
      <c r="AP47" s="52" t="n">
        <f aca="false">P47*AN47</f>
        <v>76.82688</v>
      </c>
      <c r="AQ47" s="52" t="n">
        <f aca="false">AP47*AO47</f>
        <v>599.249664</v>
      </c>
      <c r="AR47" s="52" t="s">
        <v>195</v>
      </c>
      <c r="AS47" s="52" t="n">
        <v>3.8</v>
      </c>
      <c r="AT47" s="52" t="n">
        <f aca="false">IF(AR47="EUR",AA47,IF(AR47="GBP",AB47,1))</f>
        <v>7.8</v>
      </c>
      <c r="AU47" s="52" t="n">
        <f aca="false">T47*AS47</f>
        <v>35.568</v>
      </c>
      <c r="AV47" s="52" t="n">
        <f aca="false">AU47*AT47</f>
        <v>277.4304</v>
      </c>
      <c r="AW47" s="52" t="s">
        <v>195</v>
      </c>
      <c r="AX47" s="52" t="n">
        <v>2.3</v>
      </c>
      <c r="AY47" s="52" t="n">
        <f aca="false">IF(AW47="EUR",AA47,IF(AW47="GBP",AB47,1))</f>
        <v>7.8</v>
      </c>
      <c r="AZ47" s="52" t="n">
        <f aca="false">V47*AX47</f>
        <v>6.5100672</v>
      </c>
      <c r="BA47" s="52" t="n">
        <f aca="false">AZ47*AY47</f>
        <v>50.77852416</v>
      </c>
      <c r="BB47" s="52" t="n">
        <f aca="false">AF47+AG47+AL47+AQ47+AV47+BA47</f>
        <v>7261.56258048</v>
      </c>
      <c r="BC47" s="54" t="n">
        <v>0.968</v>
      </c>
      <c r="BD47" s="32"/>
      <c r="BE47" s="32"/>
      <c r="BF47" s="32"/>
      <c r="BG47" s="32" t="s">
        <v>197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46143</v>
      </c>
      <c r="E48" s="18" t="s">
        <v>112</v>
      </c>
      <c r="F48" s="18" t="s">
        <v>113</v>
      </c>
      <c r="G48" s="18" t="s">
        <v>110</v>
      </c>
      <c r="H48" s="18" t="s">
        <v>101</v>
      </c>
      <c r="I48" s="18" t="s">
        <v>102</v>
      </c>
      <c r="J48" s="50" t="n">
        <v>16000</v>
      </c>
      <c r="K48" s="51" t="n">
        <v>0.32</v>
      </c>
      <c r="L48" s="51" t="n">
        <v>1</v>
      </c>
      <c r="M48" s="51" t="n">
        <v>0.35</v>
      </c>
      <c r="N48" s="52" t="n">
        <f aca="false">J48*K48*L48*M48</f>
        <v>1792</v>
      </c>
      <c r="O48" s="50" t="n">
        <v>1.06</v>
      </c>
      <c r="P48" s="52" t="n">
        <f aca="false">N48*O48</f>
        <v>1899.52</v>
      </c>
      <c r="Q48" s="50" t="n">
        <v>0.76</v>
      </c>
      <c r="R48" s="52" t="n">
        <f aca="false">P48*Q48</f>
        <v>1443.6352</v>
      </c>
      <c r="S48" s="50" t="n">
        <v>0.06</v>
      </c>
      <c r="T48" s="52" t="n">
        <f aca="false">N48*S48</f>
        <v>107.52</v>
      </c>
      <c r="U48" s="52" t="n">
        <v>0.017</v>
      </c>
      <c r="V48" s="52" t="n">
        <f aca="false">P48*U48</f>
        <v>32.29184</v>
      </c>
      <c r="W48" s="53" t="s">
        <v>195</v>
      </c>
      <c r="X48" s="50" t="n">
        <v>2.1</v>
      </c>
      <c r="Y48" s="53" t="s">
        <v>196</v>
      </c>
      <c r="Z48" s="50" t="n">
        <v>0.09</v>
      </c>
      <c r="AA48" s="50" t="n">
        <v>7.8</v>
      </c>
      <c r="AB48" s="50" t="n">
        <v>9</v>
      </c>
      <c r="AC48" s="52" t="n">
        <f aca="false">IF(W48="EUR",AA48,IF(W48="GBP",AB48,1))</f>
        <v>7.8</v>
      </c>
      <c r="AD48" s="52" t="n">
        <f aca="false">R48*X48</f>
        <v>3031.63392</v>
      </c>
      <c r="AE48" s="52" t="n">
        <f aca="false">IF(Y48="PERCENTAGE_OF_BASE_FREIGHT",AD48*Z48,IF(Y48="PER_CHARGEABLE_KG",R48*Z48,P48*Z48))</f>
        <v>272.8470528</v>
      </c>
      <c r="AF48" s="52" t="n">
        <f aca="false">AD48*AC48</f>
        <v>23646.744576</v>
      </c>
      <c r="AG48" s="52" t="n">
        <f aca="false">AE48*AC48</f>
        <v>2128.20701184</v>
      </c>
      <c r="AH48" s="52" t="s">
        <v>195</v>
      </c>
      <c r="AI48" s="52" t="n">
        <v>1.05</v>
      </c>
      <c r="AJ48" s="52" t="n">
        <f aca="false">IF(AH48="EUR",AA48,IF(AH48="GBP",AB48,1))</f>
        <v>7.8</v>
      </c>
      <c r="AK48" s="52" t="n">
        <f aca="false">N48*AI48</f>
        <v>1881.6</v>
      </c>
      <c r="AL48" s="52" t="n">
        <f aca="false">AK48*AJ48</f>
        <v>14676.48</v>
      </c>
      <c r="AM48" s="52" t="s">
        <v>195</v>
      </c>
      <c r="AN48" s="52" t="n">
        <v>0.38</v>
      </c>
      <c r="AO48" s="52" t="n">
        <f aca="false">IF(AM48="EUR",AA48,IF(AM48="GBP",AB48,1))</f>
        <v>7.8</v>
      </c>
      <c r="AP48" s="52" t="n">
        <f aca="false">P48*AN48</f>
        <v>721.8176</v>
      </c>
      <c r="AQ48" s="52" t="n">
        <f aca="false">AP48*AO48</f>
        <v>5630.17728</v>
      </c>
      <c r="AR48" s="52" t="s">
        <v>195</v>
      </c>
      <c r="AS48" s="52" t="n">
        <v>3</v>
      </c>
      <c r="AT48" s="52" t="n">
        <f aca="false">IF(AR48="EUR",AA48,IF(AR48="GBP",AB48,1))</f>
        <v>7.8</v>
      </c>
      <c r="AU48" s="52" t="n">
        <f aca="false">T48*AS48</f>
        <v>322.56</v>
      </c>
      <c r="AV48" s="52" t="n">
        <f aca="false">AU48*AT48</f>
        <v>2515.968</v>
      </c>
      <c r="AW48" s="52" t="s">
        <v>195</v>
      </c>
      <c r="AX48" s="52" t="n">
        <v>2.3</v>
      </c>
      <c r="AY48" s="52" t="n">
        <f aca="false">IF(AW48="EUR",AA48,IF(AW48="GBP",AB48,1))</f>
        <v>7.8</v>
      </c>
      <c r="AZ48" s="52" t="n">
        <f aca="false">V48*AX48</f>
        <v>74.271232</v>
      </c>
      <c r="BA48" s="52" t="n">
        <f aca="false">AZ48*AY48</f>
        <v>579.3156096</v>
      </c>
      <c r="BB48" s="52" t="n">
        <f aca="false">AF48+AG48+AL48+AQ48+AV48+BA48</f>
        <v>49176.89247744</v>
      </c>
      <c r="BC48" s="54" t="n">
        <v>0.961</v>
      </c>
      <c r="BD48" s="32"/>
      <c r="BE48" s="32"/>
      <c r="BF48" s="32"/>
      <c r="BG48" s="32" t="s">
        <v>197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46143</v>
      </c>
      <c r="E49" s="18" t="s">
        <v>116</v>
      </c>
      <c r="F49" s="18" t="s">
        <v>113</v>
      </c>
      <c r="G49" s="18" t="s">
        <v>110</v>
      </c>
      <c r="H49" s="18" t="s">
        <v>107</v>
      </c>
      <c r="I49" s="18" t="s">
        <v>102</v>
      </c>
      <c r="J49" s="50" t="n">
        <v>16000</v>
      </c>
      <c r="K49" s="51" t="n">
        <v>0.32</v>
      </c>
      <c r="L49" s="51" t="n">
        <v>1</v>
      </c>
      <c r="M49" s="51" t="n">
        <v>0.65</v>
      </c>
      <c r="N49" s="52" t="n">
        <f aca="false">J49*K49*L49*M49</f>
        <v>3328</v>
      </c>
      <c r="O49" s="50" t="n">
        <v>1.06</v>
      </c>
      <c r="P49" s="52" t="n">
        <f aca="false">N49*O49</f>
        <v>3527.68</v>
      </c>
      <c r="Q49" s="50" t="n">
        <v>0.79</v>
      </c>
      <c r="R49" s="52" t="n">
        <f aca="false">P49*Q49</f>
        <v>2786.8672</v>
      </c>
      <c r="S49" s="50" t="n">
        <v>0.06</v>
      </c>
      <c r="T49" s="52" t="n">
        <f aca="false">N49*S49</f>
        <v>199.68</v>
      </c>
      <c r="U49" s="52" t="n">
        <v>0.014</v>
      </c>
      <c r="V49" s="52" t="n">
        <f aca="false">P49*U49</f>
        <v>49.38752</v>
      </c>
      <c r="W49" s="53" t="s">
        <v>195</v>
      </c>
      <c r="X49" s="50" t="n">
        <v>2.6</v>
      </c>
      <c r="Y49" s="53" t="s">
        <v>198</v>
      </c>
      <c r="Z49" s="50" t="n">
        <v>0.2</v>
      </c>
      <c r="AA49" s="50" t="n">
        <v>7.8</v>
      </c>
      <c r="AB49" s="50" t="n">
        <v>9</v>
      </c>
      <c r="AC49" s="52" t="n">
        <f aca="false">IF(W49="EUR",AA49,IF(W49="GBP",AB49,1))</f>
        <v>7.8</v>
      </c>
      <c r="AD49" s="52" t="n">
        <f aca="false">R49*X49</f>
        <v>7245.85472</v>
      </c>
      <c r="AE49" s="52" t="n">
        <f aca="false">IF(Y49="PERCENTAGE_OF_BASE_FREIGHT",AD49*Z49,IF(Y49="PER_CHARGEABLE_KG",R49*Z49,P49*Z49))</f>
        <v>557.37344</v>
      </c>
      <c r="AF49" s="52" t="n">
        <f aca="false">AD49*AC49</f>
        <v>56517.666816</v>
      </c>
      <c r="AG49" s="52" t="n">
        <f aca="false">AE49*AC49</f>
        <v>4347.512832</v>
      </c>
      <c r="AH49" s="52" t="s">
        <v>195</v>
      </c>
      <c r="AI49" s="52" t="n">
        <v>1.05</v>
      </c>
      <c r="AJ49" s="52" t="n">
        <f aca="false">IF(AH49="EUR",AA49,IF(AH49="GBP",AB49,1))</f>
        <v>7.8</v>
      </c>
      <c r="AK49" s="52" t="n">
        <f aca="false">N49*AI49</f>
        <v>3494.4</v>
      </c>
      <c r="AL49" s="52" t="n">
        <f aca="false">AK49*AJ49</f>
        <v>27256.32</v>
      </c>
      <c r="AM49" s="52" t="s">
        <v>195</v>
      </c>
      <c r="AN49" s="52" t="n">
        <v>0.38</v>
      </c>
      <c r="AO49" s="52" t="n">
        <f aca="false">IF(AM49="EUR",AA49,IF(AM49="GBP",AB49,1))</f>
        <v>7.8</v>
      </c>
      <c r="AP49" s="52" t="n">
        <f aca="false">P49*AN49</f>
        <v>1340.5184</v>
      </c>
      <c r="AQ49" s="52" t="n">
        <f aca="false">AP49*AO49</f>
        <v>10456.04352</v>
      </c>
      <c r="AR49" s="52" t="s">
        <v>195</v>
      </c>
      <c r="AS49" s="52" t="n">
        <v>3</v>
      </c>
      <c r="AT49" s="52" t="n">
        <f aca="false">IF(AR49="EUR",AA49,IF(AR49="GBP",AB49,1))</f>
        <v>7.8</v>
      </c>
      <c r="AU49" s="52" t="n">
        <f aca="false">T49*AS49</f>
        <v>599.04</v>
      </c>
      <c r="AV49" s="52" t="n">
        <f aca="false">AU49*AT49</f>
        <v>4672.512</v>
      </c>
      <c r="AW49" s="52" t="s">
        <v>195</v>
      </c>
      <c r="AX49" s="52" t="n">
        <v>2.3</v>
      </c>
      <c r="AY49" s="52" t="n">
        <f aca="false">IF(AW49="EUR",AA49,IF(AW49="GBP",AB49,1))</f>
        <v>7.8</v>
      </c>
      <c r="AZ49" s="52" t="n">
        <f aca="false">V49*AX49</f>
        <v>113.591296</v>
      </c>
      <c r="BA49" s="52" t="n">
        <f aca="false">AZ49*AY49</f>
        <v>886.0121088</v>
      </c>
      <c r="BB49" s="52" t="n">
        <f aca="false">AF49+AG49+AL49+AQ49+AV49+BA49</f>
        <v>104136.0672768</v>
      </c>
      <c r="BC49" s="54" t="n">
        <v>0.973</v>
      </c>
      <c r="BD49" s="32"/>
      <c r="BE49" s="32"/>
      <c r="BF49" s="32"/>
      <c r="BG49" s="32" t="s">
        <v>197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46143</v>
      </c>
      <c r="E50" s="18" t="s">
        <v>118</v>
      </c>
      <c r="F50" s="18" t="s">
        <v>119</v>
      </c>
      <c r="G50" s="18" t="s">
        <v>100</v>
      </c>
      <c r="H50" s="18" t="s">
        <v>101</v>
      </c>
      <c r="I50" s="18" t="s">
        <v>102</v>
      </c>
      <c r="J50" s="50" t="n">
        <v>16000</v>
      </c>
      <c r="K50" s="51" t="n">
        <v>0.29</v>
      </c>
      <c r="L50" s="51" t="n">
        <v>0.96</v>
      </c>
      <c r="M50" s="51" t="n">
        <v>0.65</v>
      </c>
      <c r="N50" s="52" t="n">
        <f aca="false">J50*K50*L50*M50</f>
        <v>2895.36</v>
      </c>
      <c r="O50" s="50" t="n">
        <v>1.12</v>
      </c>
      <c r="P50" s="52" t="n">
        <f aca="false">N50*O50</f>
        <v>3242.8032</v>
      </c>
      <c r="Q50" s="50" t="n">
        <v>1.02</v>
      </c>
      <c r="R50" s="52" t="n">
        <f aca="false">P50*Q50</f>
        <v>3307.659264</v>
      </c>
      <c r="S50" s="50" t="n">
        <v>0.08</v>
      </c>
      <c r="T50" s="52" t="n">
        <f aca="false">N50*S50</f>
        <v>231.6288</v>
      </c>
      <c r="U50" s="52" t="n">
        <v>0.022</v>
      </c>
      <c r="V50" s="52" t="n">
        <f aca="false">P50*U50</f>
        <v>71.3416704</v>
      </c>
      <c r="W50" s="53" t="s">
        <v>199</v>
      </c>
      <c r="X50" s="50" t="n">
        <v>4</v>
      </c>
      <c r="Y50" s="53" t="s">
        <v>196</v>
      </c>
      <c r="Z50" s="50" t="n">
        <v>0.1</v>
      </c>
      <c r="AA50" s="50" t="n">
        <v>7.8</v>
      </c>
      <c r="AB50" s="50" t="n">
        <v>9</v>
      </c>
      <c r="AC50" s="52" t="n">
        <f aca="false">IF(W50="EUR",AA50,IF(W50="GBP",AB50,1))</f>
        <v>9</v>
      </c>
      <c r="AD50" s="52" t="n">
        <f aca="false">R50*X50</f>
        <v>13230.637056</v>
      </c>
      <c r="AE50" s="52" t="n">
        <f aca="false">IF(Y50="PERCENTAGE_OF_BASE_FREIGHT",AD50*Z50,IF(Y50="PER_CHARGEABLE_KG",R50*Z50,P50*Z50))</f>
        <v>1323.0637056</v>
      </c>
      <c r="AF50" s="52" t="n">
        <f aca="false">AD50*AC50</f>
        <v>119075.733504</v>
      </c>
      <c r="AG50" s="52" t="n">
        <f aca="false">AE50*AC50</f>
        <v>11907.5733504</v>
      </c>
      <c r="AH50" s="52" t="s">
        <v>195</v>
      </c>
      <c r="AI50" s="52" t="n">
        <v>1.18</v>
      </c>
      <c r="AJ50" s="52" t="n">
        <f aca="false">IF(AH50="EUR",AA50,IF(AH50="GBP",AB50,1))</f>
        <v>7.8</v>
      </c>
      <c r="AK50" s="52" t="n">
        <f aca="false">N50*AI50</f>
        <v>3416.5248</v>
      </c>
      <c r="AL50" s="52" t="n">
        <f aca="false">AK50*AJ50</f>
        <v>26648.89344</v>
      </c>
      <c r="AM50" s="52" t="s">
        <v>195</v>
      </c>
      <c r="AN50" s="52" t="n">
        <v>0.42</v>
      </c>
      <c r="AO50" s="52" t="n">
        <f aca="false">IF(AM50="EUR",AA50,IF(AM50="GBP",AB50,1))</f>
        <v>7.8</v>
      </c>
      <c r="AP50" s="52" t="n">
        <f aca="false">P50*AN50</f>
        <v>1361.977344</v>
      </c>
      <c r="AQ50" s="52" t="n">
        <f aca="false">AP50*AO50</f>
        <v>10623.4232832</v>
      </c>
      <c r="AR50" s="52" t="s">
        <v>199</v>
      </c>
      <c r="AS50" s="52" t="n">
        <v>4.8</v>
      </c>
      <c r="AT50" s="52" t="n">
        <f aca="false">IF(AR50="EUR",AA50,IF(AR50="GBP",AB50,1))</f>
        <v>9</v>
      </c>
      <c r="AU50" s="52" t="n">
        <f aca="false">T50*AS50</f>
        <v>1111.81824</v>
      </c>
      <c r="AV50" s="52" t="n">
        <f aca="false">AU50*AT50</f>
        <v>10006.36416</v>
      </c>
      <c r="AW50" s="52" t="s">
        <v>199</v>
      </c>
      <c r="AX50" s="52" t="n">
        <v>2.3</v>
      </c>
      <c r="AY50" s="52" t="n">
        <f aca="false">IF(AW50="EUR",AA50,IF(AW50="GBP",AB50,1))</f>
        <v>9</v>
      </c>
      <c r="AZ50" s="52" t="n">
        <f aca="false">V50*AX50</f>
        <v>164.08584192</v>
      </c>
      <c r="BA50" s="52" t="n">
        <f aca="false">AZ50*AY50</f>
        <v>1476.77257728</v>
      </c>
      <c r="BB50" s="52" t="n">
        <f aca="false">AF50+AG50+AL50+AQ50+AV50+BA50</f>
        <v>179738.76031488</v>
      </c>
      <c r="BC50" s="54" t="n">
        <v>0.93</v>
      </c>
      <c r="BD50" s="32"/>
      <c r="BE50" s="32"/>
      <c r="BF50" s="32"/>
      <c r="BG50" s="32" t="s">
        <v>197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46143</v>
      </c>
      <c r="E51" s="18" t="s">
        <v>122</v>
      </c>
      <c r="F51" s="18" t="s">
        <v>119</v>
      </c>
      <c r="G51" s="18" t="s">
        <v>100</v>
      </c>
      <c r="H51" s="18" t="s">
        <v>107</v>
      </c>
      <c r="I51" s="18" t="s">
        <v>102</v>
      </c>
      <c r="J51" s="50" t="n">
        <v>16000</v>
      </c>
      <c r="K51" s="51" t="n">
        <v>0.29</v>
      </c>
      <c r="L51" s="51" t="n">
        <v>0.96</v>
      </c>
      <c r="M51" s="51" t="n">
        <v>0.25</v>
      </c>
      <c r="N51" s="52" t="n">
        <f aca="false">J51*K51*L51*M51</f>
        <v>1113.6</v>
      </c>
      <c r="O51" s="50" t="n">
        <v>1.12</v>
      </c>
      <c r="P51" s="52" t="n">
        <f aca="false">N51*O51</f>
        <v>1247.232</v>
      </c>
      <c r="Q51" s="50" t="n">
        <v>1</v>
      </c>
      <c r="R51" s="52" t="n">
        <f aca="false">P51*Q51</f>
        <v>1247.232</v>
      </c>
      <c r="S51" s="50" t="n">
        <v>0.08</v>
      </c>
      <c r="T51" s="52" t="n">
        <f aca="false">N51*S51</f>
        <v>89.088</v>
      </c>
      <c r="U51" s="52" t="n">
        <v>0.017</v>
      </c>
      <c r="V51" s="52" t="n">
        <f aca="false">P51*U51</f>
        <v>21.202944</v>
      </c>
      <c r="W51" s="53" t="s">
        <v>199</v>
      </c>
      <c r="X51" s="50" t="n">
        <v>4.7</v>
      </c>
      <c r="Y51" s="53" t="s">
        <v>198</v>
      </c>
      <c r="Z51" s="50" t="n">
        <v>0.33</v>
      </c>
      <c r="AA51" s="50" t="n">
        <v>7.8</v>
      </c>
      <c r="AB51" s="50" t="n">
        <v>9</v>
      </c>
      <c r="AC51" s="52" t="n">
        <f aca="false">IF(W51="EUR",AA51,IF(W51="GBP",AB51,1))</f>
        <v>9</v>
      </c>
      <c r="AD51" s="52" t="n">
        <f aca="false">R51*X51</f>
        <v>5861.9904</v>
      </c>
      <c r="AE51" s="52" t="n">
        <f aca="false">IF(Y51="PERCENTAGE_OF_BASE_FREIGHT",AD51*Z51,IF(Y51="PER_CHARGEABLE_KG",R51*Z51,P51*Z51))</f>
        <v>411.58656</v>
      </c>
      <c r="AF51" s="52" t="n">
        <f aca="false">AD51*AC51</f>
        <v>52757.9136</v>
      </c>
      <c r="AG51" s="52" t="n">
        <f aca="false">AE51*AC51</f>
        <v>3704.27904</v>
      </c>
      <c r="AH51" s="52" t="s">
        <v>195</v>
      </c>
      <c r="AI51" s="52" t="n">
        <v>1.18</v>
      </c>
      <c r="AJ51" s="52" t="n">
        <f aca="false">IF(AH51="EUR",AA51,IF(AH51="GBP",AB51,1))</f>
        <v>7.8</v>
      </c>
      <c r="AK51" s="52" t="n">
        <f aca="false">N51*AI51</f>
        <v>1314.048</v>
      </c>
      <c r="AL51" s="52" t="n">
        <f aca="false">AK51*AJ51</f>
        <v>10249.5744</v>
      </c>
      <c r="AM51" s="52" t="s">
        <v>195</v>
      </c>
      <c r="AN51" s="52" t="n">
        <v>0.42</v>
      </c>
      <c r="AO51" s="52" t="n">
        <f aca="false">IF(AM51="EUR",AA51,IF(AM51="GBP",AB51,1))</f>
        <v>7.8</v>
      </c>
      <c r="AP51" s="52" t="n">
        <f aca="false">P51*AN51</f>
        <v>523.83744</v>
      </c>
      <c r="AQ51" s="52" t="n">
        <f aca="false">AP51*AO51</f>
        <v>4085.932032</v>
      </c>
      <c r="AR51" s="52" t="s">
        <v>199</v>
      </c>
      <c r="AS51" s="52" t="n">
        <v>4.8</v>
      </c>
      <c r="AT51" s="52" t="n">
        <f aca="false">IF(AR51="EUR",AA51,IF(AR51="GBP",AB51,1))</f>
        <v>9</v>
      </c>
      <c r="AU51" s="52" t="n">
        <f aca="false">T51*AS51</f>
        <v>427.6224</v>
      </c>
      <c r="AV51" s="52" t="n">
        <f aca="false">AU51*AT51</f>
        <v>3848.6016</v>
      </c>
      <c r="AW51" s="52" t="s">
        <v>199</v>
      </c>
      <c r="AX51" s="52" t="n">
        <v>2.3</v>
      </c>
      <c r="AY51" s="52" t="n">
        <f aca="false">IF(AW51="EUR",AA51,IF(AW51="GBP",AB51,1))</f>
        <v>9</v>
      </c>
      <c r="AZ51" s="52" t="n">
        <f aca="false">V51*AX51</f>
        <v>48.7667712</v>
      </c>
      <c r="BA51" s="52" t="n">
        <f aca="false">AZ51*AY51</f>
        <v>438.9009408</v>
      </c>
      <c r="BB51" s="52" t="n">
        <f aca="false">AF51+AG51+AL51+AQ51+AV51+BA51</f>
        <v>75085.2016128</v>
      </c>
      <c r="BC51" s="54" t="n">
        <v>0.95</v>
      </c>
      <c r="BD51" s="32"/>
      <c r="BE51" s="32"/>
      <c r="BF51" s="32"/>
      <c r="BG51" s="32" t="s">
        <v>197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46143</v>
      </c>
      <c r="E52" s="18" t="s">
        <v>124</v>
      </c>
      <c r="F52" s="18" t="s">
        <v>119</v>
      </c>
      <c r="G52" s="18" t="s">
        <v>100</v>
      </c>
      <c r="H52" s="18" t="s">
        <v>107</v>
      </c>
      <c r="I52" s="18" t="s">
        <v>125</v>
      </c>
      <c r="J52" s="50" t="n">
        <v>16000</v>
      </c>
      <c r="K52" s="51" t="n">
        <v>0.29</v>
      </c>
      <c r="L52" s="51" t="n">
        <v>0.96</v>
      </c>
      <c r="M52" s="51" t="n">
        <v>0.07</v>
      </c>
      <c r="N52" s="52" t="n">
        <f aca="false">J52*K52*L52*M52</f>
        <v>311.808</v>
      </c>
      <c r="O52" s="50" t="n">
        <v>1.12</v>
      </c>
      <c r="P52" s="52" t="n">
        <f aca="false">N52*O52</f>
        <v>349.22496</v>
      </c>
      <c r="Q52" s="50" t="n">
        <v>0.94</v>
      </c>
      <c r="R52" s="52" t="n">
        <f aca="false">P52*Q52</f>
        <v>328.2714624</v>
      </c>
      <c r="S52" s="50" t="n">
        <v>0.08</v>
      </c>
      <c r="T52" s="52" t="n">
        <f aca="false">N52*S52</f>
        <v>24.94464</v>
      </c>
      <c r="U52" s="52" t="n">
        <v>0.013</v>
      </c>
      <c r="V52" s="52" t="n">
        <f aca="false">P52*U52</f>
        <v>4.53992448</v>
      </c>
      <c r="W52" s="53" t="s">
        <v>199</v>
      </c>
      <c r="X52" s="50" t="n">
        <v>6.2</v>
      </c>
      <c r="Y52" s="53" t="s">
        <v>196</v>
      </c>
      <c r="Z52" s="50" t="n">
        <v>0.115</v>
      </c>
      <c r="AA52" s="50" t="n">
        <v>7.8</v>
      </c>
      <c r="AB52" s="50" t="n">
        <v>9</v>
      </c>
      <c r="AC52" s="52" t="n">
        <f aca="false">IF(W52="EUR",AA52,IF(W52="GBP",AB52,1))</f>
        <v>9</v>
      </c>
      <c r="AD52" s="52" t="n">
        <f aca="false">R52*X52</f>
        <v>2035.28306688</v>
      </c>
      <c r="AE52" s="52" t="n">
        <f aca="false">IF(Y52="PERCENTAGE_OF_BASE_FREIGHT",AD52*Z52,IF(Y52="PER_CHARGEABLE_KG",R52*Z52,P52*Z52))</f>
        <v>234.0575526912</v>
      </c>
      <c r="AF52" s="52" t="n">
        <f aca="false">AD52*AC52</f>
        <v>18317.54760192</v>
      </c>
      <c r="AG52" s="52" t="n">
        <f aca="false">AE52*AC52</f>
        <v>2106.5179742208</v>
      </c>
      <c r="AH52" s="52" t="s">
        <v>195</v>
      </c>
      <c r="AI52" s="52" t="n">
        <v>1.18</v>
      </c>
      <c r="AJ52" s="52" t="n">
        <f aca="false">IF(AH52="EUR",AA52,IF(AH52="GBP",AB52,1))</f>
        <v>7.8</v>
      </c>
      <c r="AK52" s="52" t="n">
        <f aca="false">N52*AI52</f>
        <v>367.93344</v>
      </c>
      <c r="AL52" s="52" t="n">
        <f aca="false">AK52*AJ52</f>
        <v>2869.880832</v>
      </c>
      <c r="AM52" s="52" t="s">
        <v>195</v>
      </c>
      <c r="AN52" s="52" t="n">
        <v>0.42</v>
      </c>
      <c r="AO52" s="52" t="n">
        <f aca="false">IF(AM52="EUR",AA52,IF(AM52="GBP",AB52,1))</f>
        <v>7.8</v>
      </c>
      <c r="AP52" s="52" t="n">
        <f aca="false">P52*AN52</f>
        <v>146.6744832</v>
      </c>
      <c r="AQ52" s="52" t="n">
        <f aca="false">AP52*AO52</f>
        <v>1144.06096896</v>
      </c>
      <c r="AR52" s="52" t="s">
        <v>199</v>
      </c>
      <c r="AS52" s="52" t="n">
        <v>4.8</v>
      </c>
      <c r="AT52" s="52" t="n">
        <f aca="false">IF(AR52="EUR",AA52,IF(AR52="GBP",AB52,1))</f>
        <v>9</v>
      </c>
      <c r="AU52" s="52" t="n">
        <f aca="false">T52*AS52</f>
        <v>119.734272</v>
      </c>
      <c r="AV52" s="52" t="n">
        <f aca="false">AU52*AT52</f>
        <v>1077.608448</v>
      </c>
      <c r="AW52" s="52" t="s">
        <v>199</v>
      </c>
      <c r="AX52" s="52" t="n">
        <v>2.8</v>
      </c>
      <c r="AY52" s="52" t="n">
        <f aca="false">IF(AW52="EUR",AA52,IF(AW52="GBP",AB52,1))</f>
        <v>9</v>
      </c>
      <c r="AZ52" s="52" t="n">
        <f aca="false">V52*AX52</f>
        <v>12.711788544</v>
      </c>
      <c r="BA52" s="52" t="n">
        <f aca="false">AZ52*AY52</f>
        <v>114.406096896</v>
      </c>
      <c r="BB52" s="52" t="n">
        <f aca="false">AF52+AG52+AL52+AQ52+AV52+BA52</f>
        <v>25630.0219219968</v>
      </c>
      <c r="BC52" s="54" t="n">
        <v>0.974</v>
      </c>
      <c r="BD52" s="32"/>
      <c r="BE52" s="32"/>
      <c r="BF52" s="32"/>
      <c r="BG52" s="32" t="s">
        <v>197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46143</v>
      </c>
      <c r="E53" s="18" t="s">
        <v>127</v>
      </c>
      <c r="F53" s="18" t="s">
        <v>119</v>
      </c>
      <c r="G53" s="18" t="s">
        <v>100</v>
      </c>
      <c r="H53" s="18" t="s">
        <v>128</v>
      </c>
      <c r="I53" s="18" t="s">
        <v>125</v>
      </c>
      <c r="J53" s="50" t="n">
        <v>16000</v>
      </c>
      <c r="K53" s="51" t="n">
        <v>0.29</v>
      </c>
      <c r="L53" s="51" t="n">
        <v>0.96</v>
      </c>
      <c r="M53" s="51" t="n">
        <v>0.03</v>
      </c>
      <c r="N53" s="52" t="n">
        <f aca="false">J53*K53*L53*M53</f>
        <v>133.632</v>
      </c>
      <c r="O53" s="50" t="n">
        <v>1.12</v>
      </c>
      <c r="P53" s="52" t="n">
        <f aca="false">N53*O53</f>
        <v>149.66784</v>
      </c>
      <c r="Q53" s="50" t="n">
        <v>0.92</v>
      </c>
      <c r="R53" s="52" t="n">
        <f aca="false">P53*Q53</f>
        <v>137.6944128</v>
      </c>
      <c r="S53" s="50" t="n">
        <v>0.08</v>
      </c>
      <c r="T53" s="52" t="n">
        <f aca="false">N53*S53</f>
        <v>10.69056</v>
      </c>
      <c r="U53" s="52" t="n">
        <v>0.009</v>
      </c>
      <c r="V53" s="52" t="n">
        <f aca="false">P53*U53</f>
        <v>1.34701056</v>
      </c>
      <c r="W53" s="53" t="s">
        <v>199</v>
      </c>
      <c r="X53" s="50" t="n">
        <v>7.5</v>
      </c>
      <c r="Y53" s="53" t="s">
        <v>198</v>
      </c>
      <c r="Z53" s="50" t="n">
        <v>0.58</v>
      </c>
      <c r="AA53" s="50" t="n">
        <v>7.8</v>
      </c>
      <c r="AB53" s="50" t="n">
        <v>9</v>
      </c>
      <c r="AC53" s="52" t="n">
        <f aca="false">IF(W53="EUR",AA53,IF(W53="GBP",AB53,1))</f>
        <v>9</v>
      </c>
      <c r="AD53" s="52" t="n">
        <f aca="false">R53*X53</f>
        <v>1032.708096</v>
      </c>
      <c r="AE53" s="52" t="n">
        <f aca="false">IF(Y53="PERCENTAGE_OF_BASE_FREIGHT",AD53*Z53,IF(Y53="PER_CHARGEABLE_KG",R53*Z53,P53*Z53))</f>
        <v>79.862759424</v>
      </c>
      <c r="AF53" s="52" t="n">
        <f aca="false">AD53*AC53</f>
        <v>9294.372864</v>
      </c>
      <c r="AG53" s="52" t="n">
        <f aca="false">AE53*AC53</f>
        <v>718.764834816</v>
      </c>
      <c r="AH53" s="52" t="s">
        <v>195</v>
      </c>
      <c r="AI53" s="52" t="n">
        <v>1.18</v>
      </c>
      <c r="AJ53" s="52" t="n">
        <f aca="false">IF(AH53="EUR",AA53,IF(AH53="GBP",AB53,1))</f>
        <v>7.8</v>
      </c>
      <c r="AK53" s="52" t="n">
        <f aca="false">N53*AI53</f>
        <v>157.68576</v>
      </c>
      <c r="AL53" s="52" t="n">
        <f aca="false">AK53*AJ53</f>
        <v>1229.948928</v>
      </c>
      <c r="AM53" s="52" t="s">
        <v>195</v>
      </c>
      <c r="AN53" s="52" t="n">
        <v>0.42</v>
      </c>
      <c r="AO53" s="52" t="n">
        <f aca="false">IF(AM53="EUR",AA53,IF(AM53="GBP",AB53,1))</f>
        <v>7.8</v>
      </c>
      <c r="AP53" s="52" t="n">
        <f aca="false">P53*AN53</f>
        <v>62.8604928</v>
      </c>
      <c r="AQ53" s="52" t="n">
        <f aca="false">AP53*AO53</f>
        <v>490.31184384</v>
      </c>
      <c r="AR53" s="52" t="s">
        <v>199</v>
      </c>
      <c r="AS53" s="52" t="n">
        <v>4.8</v>
      </c>
      <c r="AT53" s="52" t="n">
        <f aca="false">IF(AR53="EUR",AA53,IF(AR53="GBP",AB53,1))</f>
        <v>9</v>
      </c>
      <c r="AU53" s="52" t="n">
        <f aca="false">T53*AS53</f>
        <v>51.314688</v>
      </c>
      <c r="AV53" s="52" t="n">
        <f aca="false">AU53*AT53</f>
        <v>461.832192</v>
      </c>
      <c r="AW53" s="52" t="s">
        <v>199</v>
      </c>
      <c r="AX53" s="52" t="n">
        <v>3.6</v>
      </c>
      <c r="AY53" s="52" t="n">
        <f aca="false">IF(AW53="EUR",AA53,IF(AW53="GBP",AB53,1))</f>
        <v>9</v>
      </c>
      <c r="AZ53" s="52" t="n">
        <f aca="false">V53*AX53</f>
        <v>4.849238016</v>
      </c>
      <c r="BA53" s="52" t="n">
        <f aca="false">AZ53*AY53</f>
        <v>43.643142144</v>
      </c>
      <c r="BB53" s="52" t="n">
        <f aca="false">AF53+AG53+AL53+AQ53+AV53+BA53</f>
        <v>12238.8738048</v>
      </c>
      <c r="BC53" s="54" t="n">
        <v>0.988</v>
      </c>
      <c r="BD53" s="32"/>
      <c r="BE53" s="32"/>
      <c r="BF53" s="32"/>
      <c r="BG53" s="32" t="s">
        <v>197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46143</v>
      </c>
      <c r="E54" s="18" t="s">
        <v>130</v>
      </c>
      <c r="F54" s="18" t="s">
        <v>119</v>
      </c>
      <c r="G54" s="18" t="s">
        <v>110</v>
      </c>
      <c r="H54" s="18" t="s">
        <v>107</v>
      </c>
      <c r="I54" s="18" t="s">
        <v>125</v>
      </c>
      <c r="J54" s="50" t="n">
        <v>16000</v>
      </c>
      <c r="K54" s="51" t="n">
        <v>0.29</v>
      </c>
      <c r="L54" s="51" t="n">
        <v>0.04</v>
      </c>
      <c r="M54" s="51" t="n">
        <v>1</v>
      </c>
      <c r="N54" s="52" t="n">
        <f aca="false">J54*K54*L54*M54</f>
        <v>185.6</v>
      </c>
      <c r="O54" s="50" t="n">
        <v>1.15</v>
      </c>
      <c r="P54" s="52" t="n">
        <f aca="false">N54*O54</f>
        <v>213.44</v>
      </c>
      <c r="Q54" s="50" t="n">
        <v>0.9</v>
      </c>
      <c r="R54" s="52" t="n">
        <f aca="false">P54*Q54</f>
        <v>192.096</v>
      </c>
      <c r="S54" s="50" t="n">
        <v>0.08</v>
      </c>
      <c r="T54" s="52" t="n">
        <f aca="false">N54*S54</f>
        <v>14.848</v>
      </c>
      <c r="U54" s="52" t="n">
        <v>0.012</v>
      </c>
      <c r="V54" s="52" t="n">
        <f aca="false">P54*U54</f>
        <v>2.56128</v>
      </c>
      <c r="W54" s="53" t="s">
        <v>195</v>
      </c>
      <c r="X54" s="50" t="n">
        <v>6.7</v>
      </c>
      <c r="Y54" s="53" t="s">
        <v>196</v>
      </c>
      <c r="Z54" s="50" t="n">
        <v>0.105</v>
      </c>
      <c r="AA54" s="50" t="n">
        <v>7.8</v>
      </c>
      <c r="AB54" s="50" t="n">
        <v>9</v>
      </c>
      <c r="AC54" s="52" t="n">
        <f aca="false">IF(W54="EUR",AA54,IF(W54="GBP",AB54,1))</f>
        <v>7.8</v>
      </c>
      <c r="AD54" s="52" t="n">
        <f aca="false">R54*X54</f>
        <v>1287.0432</v>
      </c>
      <c r="AE54" s="52" t="n">
        <f aca="false">IF(Y54="PERCENTAGE_OF_BASE_FREIGHT",AD54*Z54,IF(Y54="PER_CHARGEABLE_KG",R54*Z54,P54*Z54))</f>
        <v>135.139536</v>
      </c>
      <c r="AF54" s="52" t="n">
        <f aca="false">AD54*AC54</f>
        <v>10038.93696</v>
      </c>
      <c r="AG54" s="52" t="n">
        <f aca="false">AE54*AC54</f>
        <v>1054.0883808</v>
      </c>
      <c r="AH54" s="52" t="s">
        <v>195</v>
      </c>
      <c r="AI54" s="52" t="n">
        <v>1.05</v>
      </c>
      <c r="AJ54" s="52" t="n">
        <f aca="false">IF(AH54="EUR",AA54,IF(AH54="GBP",AB54,1))</f>
        <v>7.8</v>
      </c>
      <c r="AK54" s="52" t="n">
        <f aca="false">N54*AI54</f>
        <v>194.88</v>
      </c>
      <c r="AL54" s="52" t="n">
        <f aca="false">AK54*AJ54</f>
        <v>1520.064</v>
      </c>
      <c r="AM54" s="52" t="s">
        <v>195</v>
      </c>
      <c r="AN54" s="52" t="n">
        <v>0.38</v>
      </c>
      <c r="AO54" s="52" t="n">
        <f aca="false">IF(AM54="EUR",AA54,IF(AM54="GBP",AB54,1))</f>
        <v>7.8</v>
      </c>
      <c r="AP54" s="52" t="n">
        <f aca="false">P54*AN54</f>
        <v>81.1072</v>
      </c>
      <c r="AQ54" s="52" t="n">
        <f aca="false">AP54*AO54</f>
        <v>632.63616</v>
      </c>
      <c r="AR54" s="52" t="s">
        <v>195</v>
      </c>
      <c r="AS54" s="52" t="n">
        <v>5.2</v>
      </c>
      <c r="AT54" s="52" t="n">
        <f aca="false">IF(AR54="EUR",AA54,IF(AR54="GBP",AB54,1))</f>
        <v>7.8</v>
      </c>
      <c r="AU54" s="52" t="n">
        <f aca="false">T54*AS54</f>
        <v>77.2096</v>
      </c>
      <c r="AV54" s="52" t="n">
        <f aca="false">AU54*AT54</f>
        <v>602.23488</v>
      </c>
      <c r="AW54" s="52" t="s">
        <v>195</v>
      </c>
      <c r="AX54" s="52" t="n">
        <v>2.8</v>
      </c>
      <c r="AY54" s="52" t="n">
        <f aca="false">IF(AW54="EUR",AA54,IF(AW54="GBP",AB54,1))</f>
        <v>7.8</v>
      </c>
      <c r="AZ54" s="52" t="n">
        <f aca="false">V54*AX54</f>
        <v>7.171584</v>
      </c>
      <c r="BA54" s="52" t="n">
        <f aca="false">AZ54*AY54</f>
        <v>55.9383552</v>
      </c>
      <c r="BB54" s="52" t="n">
        <f aca="false">AF54+AG54+AL54+AQ54+AV54+BA54</f>
        <v>13903.898736</v>
      </c>
      <c r="BC54" s="54" t="n">
        <v>0.971</v>
      </c>
      <c r="BD54" s="32"/>
      <c r="BE54" s="32"/>
      <c r="BF54" s="32"/>
      <c r="BG54" s="32" t="s">
        <v>197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46174</v>
      </c>
      <c r="E55" s="18" t="s">
        <v>98</v>
      </c>
      <c r="F55" s="18" t="s">
        <v>99</v>
      </c>
      <c r="G55" s="18" t="s">
        <v>100</v>
      </c>
      <c r="H55" s="18" t="s">
        <v>101</v>
      </c>
      <c r="I55" s="18" t="s">
        <v>102</v>
      </c>
      <c r="J55" s="50" t="n">
        <v>16500</v>
      </c>
      <c r="K55" s="51" t="n">
        <v>0.39</v>
      </c>
      <c r="L55" s="51" t="n">
        <v>0.97</v>
      </c>
      <c r="M55" s="51" t="n">
        <v>0.6</v>
      </c>
      <c r="N55" s="52" t="n">
        <f aca="false">J55*K55*L55*M55</f>
        <v>3745.17</v>
      </c>
      <c r="O55" s="50" t="n">
        <v>1.05</v>
      </c>
      <c r="P55" s="52" t="n">
        <f aca="false">N55*O55</f>
        <v>3932.4285</v>
      </c>
      <c r="Q55" s="50" t="n">
        <v>0.78</v>
      </c>
      <c r="R55" s="52" t="n">
        <f aca="false">P55*Q55</f>
        <v>3067.29423</v>
      </c>
      <c r="S55" s="50" t="n">
        <v>0.05</v>
      </c>
      <c r="T55" s="52" t="n">
        <f aca="false">N55*S55</f>
        <v>187.2585</v>
      </c>
      <c r="U55" s="52" t="n">
        <v>0.016</v>
      </c>
      <c r="V55" s="52" t="n">
        <f aca="false">P55*U55</f>
        <v>62.918856</v>
      </c>
      <c r="W55" s="53" t="s">
        <v>195</v>
      </c>
      <c r="X55" s="50" t="n">
        <v>2.2</v>
      </c>
      <c r="Y55" s="53" t="s">
        <v>196</v>
      </c>
      <c r="Z55" s="50" t="n">
        <v>0.095</v>
      </c>
      <c r="AA55" s="50" t="n">
        <v>7.8</v>
      </c>
      <c r="AB55" s="50" t="n">
        <v>9</v>
      </c>
      <c r="AC55" s="52" t="n">
        <f aca="false">IF(W55="EUR",AA55,IF(W55="GBP",AB55,1))</f>
        <v>7.8</v>
      </c>
      <c r="AD55" s="52" t="n">
        <f aca="false">R55*X55</f>
        <v>6748.047306</v>
      </c>
      <c r="AE55" s="52" t="n">
        <f aca="false">IF(Y55="PERCENTAGE_OF_BASE_FREIGHT",AD55*Z55,IF(Y55="PER_CHARGEABLE_KG",R55*Z55,P55*Z55))</f>
        <v>641.06449407</v>
      </c>
      <c r="AF55" s="52" t="n">
        <f aca="false">AD55*AC55</f>
        <v>52634.7689868</v>
      </c>
      <c r="AG55" s="52" t="n">
        <f aca="false">AE55*AC55</f>
        <v>5000.303053746</v>
      </c>
      <c r="AH55" s="52" t="s">
        <v>195</v>
      </c>
      <c r="AI55" s="52" t="n">
        <v>1.18</v>
      </c>
      <c r="AJ55" s="52" t="n">
        <f aca="false">IF(AH55="EUR",AA55,IF(AH55="GBP",AB55,1))</f>
        <v>7.8</v>
      </c>
      <c r="AK55" s="52" t="n">
        <f aca="false">N55*AI55</f>
        <v>4419.3006</v>
      </c>
      <c r="AL55" s="52" t="n">
        <f aca="false">AK55*AJ55</f>
        <v>34470.54468</v>
      </c>
      <c r="AM55" s="52" t="s">
        <v>195</v>
      </c>
      <c r="AN55" s="52" t="n">
        <v>0.42</v>
      </c>
      <c r="AO55" s="52" t="n">
        <f aca="false">IF(AM55="EUR",AA55,IF(AM55="GBP",AB55,1))</f>
        <v>7.8</v>
      </c>
      <c r="AP55" s="52" t="n">
        <f aca="false">P55*AN55</f>
        <v>1651.61997</v>
      </c>
      <c r="AQ55" s="52" t="n">
        <f aca="false">AP55*AO55</f>
        <v>12882.635766</v>
      </c>
      <c r="AR55" s="52" t="s">
        <v>195</v>
      </c>
      <c r="AS55" s="52" t="n">
        <v>3.2</v>
      </c>
      <c r="AT55" s="52" t="n">
        <f aca="false">IF(AR55="EUR",AA55,IF(AR55="GBP",AB55,1))</f>
        <v>7.8</v>
      </c>
      <c r="AU55" s="52" t="n">
        <f aca="false">T55*AS55</f>
        <v>599.2272</v>
      </c>
      <c r="AV55" s="52" t="n">
        <f aca="false">AU55*AT55</f>
        <v>4673.97216</v>
      </c>
      <c r="AW55" s="52" t="s">
        <v>195</v>
      </c>
      <c r="AX55" s="52" t="n">
        <v>2.3</v>
      </c>
      <c r="AY55" s="52" t="n">
        <f aca="false">IF(AW55="EUR",AA55,IF(AW55="GBP",AB55,1))</f>
        <v>7.8</v>
      </c>
      <c r="AZ55" s="52" t="n">
        <f aca="false">V55*AX55</f>
        <v>144.7133688</v>
      </c>
      <c r="BA55" s="52" t="n">
        <f aca="false">AZ55*AY55</f>
        <v>1128.76427664</v>
      </c>
      <c r="BB55" s="52" t="n">
        <f aca="false">AF55+AG55+AL55+AQ55+AV55+BA55</f>
        <v>110790.988923186</v>
      </c>
      <c r="BC55" s="54" t="n">
        <v>0.965</v>
      </c>
      <c r="BD55" s="32"/>
      <c r="BE55" s="32"/>
      <c r="BF55" s="32"/>
      <c r="BG55" s="32" t="s">
        <v>197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46174</v>
      </c>
      <c r="E56" s="18" t="s">
        <v>106</v>
      </c>
      <c r="F56" s="18" t="s">
        <v>99</v>
      </c>
      <c r="G56" s="18" t="s">
        <v>100</v>
      </c>
      <c r="H56" s="18" t="s">
        <v>107</v>
      </c>
      <c r="I56" s="18" t="s">
        <v>102</v>
      </c>
      <c r="J56" s="50" t="n">
        <v>16500</v>
      </c>
      <c r="K56" s="51" t="n">
        <v>0.39</v>
      </c>
      <c r="L56" s="51" t="n">
        <v>0.97</v>
      </c>
      <c r="M56" s="51" t="n">
        <v>0.4</v>
      </c>
      <c r="N56" s="52" t="n">
        <f aca="false">J56*K56*L56*M56</f>
        <v>2496.78</v>
      </c>
      <c r="O56" s="50" t="n">
        <v>1.05</v>
      </c>
      <c r="P56" s="52" t="n">
        <f aca="false">N56*O56</f>
        <v>2621.619</v>
      </c>
      <c r="Q56" s="50" t="n">
        <v>0.8</v>
      </c>
      <c r="R56" s="52" t="n">
        <f aca="false">P56*Q56</f>
        <v>2097.2952</v>
      </c>
      <c r="S56" s="50" t="n">
        <v>0.05</v>
      </c>
      <c r="T56" s="52" t="n">
        <f aca="false">N56*S56</f>
        <v>124.839</v>
      </c>
      <c r="U56" s="52" t="n">
        <v>0.013</v>
      </c>
      <c r="V56" s="52" t="n">
        <f aca="false">P56*U56</f>
        <v>34.081047</v>
      </c>
      <c r="W56" s="53" t="s">
        <v>195</v>
      </c>
      <c r="X56" s="50" t="n">
        <v>2.75</v>
      </c>
      <c r="Y56" s="53" t="s">
        <v>198</v>
      </c>
      <c r="Z56" s="50" t="n">
        <v>0.21</v>
      </c>
      <c r="AA56" s="50" t="n">
        <v>7.8</v>
      </c>
      <c r="AB56" s="50" t="n">
        <v>9</v>
      </c>
      <c r="AC56" s="52" t="n">
        <f aca="false">IF(W56="EUR",AA56,IF(W56="GBP",AB56,1))</f>
        <v>7.8</v>
      </c>
      <c r="AD56" s="52" t="n">
        <f aca="false">R56*X56</f>
        <v>5767.5618</v>
      </c>
      <c r="AE56" s="52" t="n">
        <f aca="false">IF(Y56="PERCENTAGE_OF_BASE_FREIGHT",AD56*Z56,IF(Y56="PER_CHARGEABLE_KG",R56*Z56,P56*Z56))</f>
        <v>440.431992</v>
      </c>
      <c r="AF56" s="52" t="n">
        <f aca="false">AD56*AC56</f>
        <v>44986.98204</v>
      </c>
      <c r="AG56" s="52" t="n">
        <f aca="false">AE56*AC56</f>
        <v>3435.3695376</v>
      </c>
      <c r="AH56" s="52" t="s">
        <v>195</v>
      </c>
      <c r="AI56" s="52" t="n">
        <v>1.18</v>
      </c>
      <c r="AJ56" s="52" t="n">
        <f aca="false">IF(AH56="EUR",AA56,IF(AH56="GBP",AB56,1))</f>
        <v>7.8</v>
      </c>
      <c r="AK56" s="52" t="n">
        <f aca="false">N56*AI56</f>
        <v>2946.2004</v>
      </c>
      <c r="AL56" s="52" t="n">
        <f aca="false">AK56*AJ56</f>
        <v>22980.36312</v>
      </c>
      <c r="AM56" s="52" t="s">
        <v>195</v>
      </c>
      <c r="AN56" s="52" t="n">
        <v>0.42</v>
      </c>
      <c r="AO56" s="52" t="n">
        <f aca="false">IF(AM56="EUR",AA56,IF(AM56="GBP",AB56,1))</f>
        <v>7.8</v>
      </c>
      <c r="AP56" s="52" t="n">
        <f aca="false">P56*AN56</f>
        <v>1101.07998</v>
      </c>
      <c r="AQ56" s="52" t="n">
        <f aca="false">AP56*AO56</f>
        <v>8588.423844</v>
      </c>
      <c r="AR56" s="52" t="s">
        <v>195</v>
      </c>
      <c r="AS56" s="52" t="n">
        <v>3.2</v>
      </c>
      <c r="AT56" s="52" t="n">
        <f aca="false">IF(AR56="EUR",AA56,IF(AR56="GBP",AB56,1))</f>
        <v>7.8</v>
      </c>
      <c r="AU56" s="52" t="n">
        <f aca="false">T56*AS56</f>
        <v>399.4848</v>
      </c>
      <c r="AV56" s="52" t="n">
        <f aca="false">AU56*AT56</f>
        <v>3115.98144</v>
      </c>
      <c r="AW56" s="52" t="s">
        <v>195</v>
      </c>
      <c r="AX56" s="52" t="n">
        <v>2.3</v>
      </c>
      <c r="AY56" s="52" t="n">
        <f aca="false">IF(AW56="EUR",AA56,IF(AW56="GBP",AB56,1))</f>
        <v>7.8</v>
      </c>
      <c r="AZ56" s="52" t="n">
        <f aca="false">V56*AX56</f>
        <v>78.3864081</v>
      </c>
      <c r="BA56" s="52" t="n">
        <f aca="false">AZ56*AY56</f>
        <v>611.41398318</v>
      </c>
      <c r="BB56" s="52" t="n">
        <f aca="false">AF56+AG56+AL56+AQ56+AV56+BA56</f>
        <v>83718.53396478</v>
      </c>
      <c r="BC56" s="54" t="n">
        <v>0.976</v>
      </c>
      <c r="BD56" s="32"/>
      <c r="BE56" s="32"/>
      <c r="BF56" s="32"/>
      <c r="BG56" s="32" t="s">
        <v>197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46174</v>
      </c>
      <c r="E57" s="18" t="s">
        <v>109</v>
      </c>
      <c r="F57" s="18" t="s">
        <v>99</v>
      </c>
      <c r="G57" s="18" t="s">
        <v>110</v>
      </c>
      <c r="H57" s="18" t="s">
        <v>107</v>
      </c>
      <c r="I57" s="18" t="s">
        <v>102</v>
      </c>
      <c r="J57" s="50" t="n">
        <v>16500</v>
      </c>
      <c r="K57" s="51" t="n">
        <v>0.39</v>
      </c>
      <c r="L57" s="51" t="n">
        <v>0.03</v>
      </c>
      <c r="M57" s="51" t="n">
        <v>1</v>
      </c>
      <c r="N57" s="52" t="n">
        <f aca="false">J57*K57*L57*M57</f>
        <v>193.05</v>
      </c>
      <c r="O57" s="50" t="n">
        <v>1.08</v>
      </c>
      <c r="P57" s="52" t="n">
        <f aca="false">N57*O57</f>
        <v>208.494</v>
      </c>
      <c r="Q57" s="50" t="n">
        <v>0.86</v>
      </c>
      <c r="R57" s="52" t="n">
        <f aca="false">P57*Q57</f>
        <v>179.30484</v>
      </c>
      <c r="S57" s="50" t="n">
        <v>0.05</v>
      </c>
      <c r="T57" s="52" t="n">
        <f aca="false">N57*S57</f>
        <v>9.6525</v>
      </c>
      <c r="U57" s="52" t="n">
        <v>0.014</v>
      </c>
      <c r="V57" s="52" t="n">
        <f aca="false">P57*U57</f>
        <v>2.918916</v>
      </c>
      <c r="W57" s="53" t="s">
        <v>195</v>
      </c>
      <c r="X57" s="50" t="n">
        <v>3.3</v>
      </c>
      <c r="Y57" s="53" t="s">
        <v>198</v>
      </c>
      <c r="Z57" s="50" t="n">
        <v>0.24</v>
      </c>
      <c r="AA57" s="50" t="n">
        <v>7.8</v>
      </c>
      <c r="AB57" s="50" t="n">
        <v>9</v>
      </c>
      <c r="AC57" s="52" t="n">
        <f aca="false">IF(W57="EUR",AA57,IF(W57="GBP",AB57,1))</f>
        <v>7.8</v>
      </c>
      <c r="AD57" s="52" t="n">
        <f aca="false">R57*X57</f>
        <v>591.705972</v>
      </c>
      <c r="AE57" s="52" t="n">
        <f aca="false">IF(Y57="PERCENTAGE_OF_BASE_FREIGHT",AD57*Z57,IF(Y57="PER_CHARGEABLE_KG",R57*Z57,P57*Z57))</f>
        <v>43.0331616</v>
      </c>
      <c r="AF57" s="52" t="n">
        <f aca="false">AD57*AC57</f>
        <v>4615.3065816</v>
      </c>
      <c r="AG57" s="52" t="n">
        <f aca="false">AE57*AC57</f>
        <v>335.65866048</v>
      </c>
      <c r="AH57" s="52" t="s">
        <v>195</v>
      </c>
      <c r="AI57" s="52" t="n">
        <v>1.05</v>
      </c>
      <c r="AJ57" s="52" t="n">
        <f aca="false">IF(AH57="EUR",AA57,IF(AH57="GBP",AB57,1))</f>
        <v>7.8</v>
      </c>
      <c r="AK57" s="52" t="n">
        <f aca="false">N57*AI57</f>
        <v>202.7025</v>
      </c>
      <c r="AL57" s="52" t="n">
        <f aca="false">AK57*AJ57</f>
        <v>1581.0795</v>
      </c>
      <c r="AM57" s="52" t="s">
        <v>195</v>
      </c>
      <c r="AN57" s="52" t="n">
        <v>0.38</v>
      </c>
      <c r="AO57" s="52" t="n">
        <f aca="false">IF(AM57="EUR",AA57,IF(AM57="GBP",AB57,1))</f>
        <v>7.8</v>
      </c>
      <c r="AP57" s="52" t="n">
        <f aca="false">P57*AN57</f>
        <v>79.22772</v>
      </c>
      <c r="AQ57" s="52" t="n">
        <f aca="false">AP57*AO57</f>
        <v>617.976216</v>
      </c>
      <c r="AR57" s="52" t="s">
        <v>195</v>
      </c>
      <c r="AS57" s="52" t="n">
        <v>3.8</v>
      </c>
      <c r="AT57" s="52" t="n">
        <f aca="false">IF(AR57="EUR",AA57,IF(AR57="GBP",AB57,1))</f>
        <v>7.8</v>
      </c>
      <c r="AU57" s="52" t="n">
        <f aca="false">T57*AS57</f>
        <v>36.6795</v>
      </c>
      <c r="AV57" s="52" t="n">
        <f aca="false">AU57*AT57</f>
        <v>286.1001</v>
      </c>
      <c r="AW57" s="52" t="s">
        <v>195</v>
      </c>
      <c r="AX57" s="52" t="n">
        <v>2.3</v>
      </c>
      <c r="AY57" s="52" t="n">
        <f aca="false">IF(AW57="EUR",AA57,IF(AW57="GBP",AB57,1))</f>
        <v>7.8</v>
      </c>
      <c r="AZ57" s="52" t="n">
        <f aca="false">V57*AX57</f>
        <v>6.7135068</v>
      </c>
      <c r="BA57" s="52" t="n">
        <f aca="false">AZ57*AY57</f>
        <v>52.36535304</v>
      </c>
      <c r="BB57" s="52" t="n">
        <f aca="false">AF57+AG57+AL57+AQ57+AV57+BA57</f>
        <v>7488.48641112</v>
      </c>
      <c r="BC57" s="54" t="n">
        <v>0.968</v>
      </c>
      <c r="BD57" s="32"/>
      <c r="BE57" s="32"/>
      <c r="BF57" s="32"/>
      <c r="BG57" s="32" t="s">
        <v>197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46174</v>
      </c>
      <c r="E58" s="18" t="s">
        <v>112</v>
      </c>
      <c r="F58" s="18" t="s">
        <v>113</v>
      </c>
      <c r="G58" s="18" t="s">
        <v>110</v>
      </c>
      <c r="H58" s="18" t="s">
        <v>101</v>
      </c>
      <c r="I58" s="18" t="s">
        <v>102</v>
      </c>
      <c r="J58" s="50" t="n">
        <v>16500</v>
      </c>
      <c r="K58" s="51" t="n">
        <v>0.32</v>
      </c>
      <c r="L58" s="51" t="n">
        <v>1</v>
      </c>
      <c r="M58" s="51" t="n">
        <v>0.35</v>
      </c>
      <c r="N58" s="52" t="n">
        <f aca="false">J58*K58*L58*M58</f>
        <v>1848</v>
      </c>
      <c r="O58" s="50" t="n">
        <v>1.06</v>
      </c>
      <c r="P58" s="52" t="n">
        <f aca="false">N58*O58</f>
        <v>1958.88</v>
      </c>
      <c r="Q58" s="50" t="n">
        <v>0.76</v>
      </c>
      <c r="R58" s="52" t="n">
        <f aca="false">P58*Q58</f>
        <v>1488.7488</v>
      </c>
      <c r="S58" s="50" t="n">
        <v>0.06</v>
      </c>
      <c r="T58" s="52" t="n">
        <f aca="false">N58*S58</f>
        <v>110.88</v>
      </c>
      <c r="U58" s="52" t="n">
        <v>0.017</v>
      </c>
      <c r="V58" s="52" t="n">
        <f aca="false">P58*U58</f>
        <v>33.30096</v>
      </c>
      <c r="W58" s="53" t="s">
        <v>195</v>
      </c>
      <c r="X58" s="50" t="n">
        <v>2.1</v>
      </c>
      <c r="Y58" s="53" t="s">
        <v>196</v>
      </c>
      <c r="Z58" s="50" t="n">
        <v>0.09</v>
      </c>
      <c r="AA58" s="50" t="n">
        <v>7.8</v>
      </c>
      <c r="AB58" s="50" t="n">
        <v>9</v>
      </c>
      <c r="AC58" s="52" t="n">
        <f aca="false">IF(W58="EUR",AA58,IF(W58="GBP",AB58,1))</f>
        <v>7.8</v>
      </c>
      <c r="AD58" s="52" t="n">
        <f aca="false">R58*X58</f>
        <v>3126.37248</v>
      </c>
      <c r="AE58" s="52" t="n">
        <f aca="false">IF(Y58="PERCENTAGE_OF_BASE_FREIGHT",AD58*Z58,IF(Y58="PER_CHARGEABLE_KG",R58*Z58,P58*Z58))</f>
        <v>281.3735232</v>
      </c>
      <c r="AF58" s="52" t="n">
        <f aca="false">AD58*AC58</f>
        <v>24385.705344</v>
      </c>
      <c r="AG58" s="52" t="n">
        <f aca="false">AE58*AC58</f>
        <v>2194.71348096</v>
      </c>
      <c r="AH58" s="52" t="s">
        <v>195</v>
      </c>
      <c r="AI58" s="52" t="n">
        <v>1.05</v>
      </c>
      <c r="AJ58" s="52" t="n">
        <f aca="false">IF(AH58="EUR",AA58,IF(AH58="GBP",AB58,1))</f>
        <v>7.8</v>
      </c>
      <c r="AK58" s="52" t="n">
        <f aca="false">N58*AI58</f>
        <v>1940.4</v>
      </c>
      <c r="AL58" s="52" t="n">
        <f aca="false">AK58*AJ58</f>
        <v>15135.12</v>
      </c>
      <c r="AM58" s="52" t="s">
        <v>195</v>
      </c>
      <c r="AN58" s="52" t="n">
        <v>0.38</v>
      </c>
      <c r="AO58" s="52" t="n">
        <f aca="false">IF(AM58="EUR",AA58,IF(AM58="GBP",AB58,1))</f>
        <v>7.8</v>
      </c>
      <c r="AP58" s="52" t="n">
        <f aca="false">P58*AN58</f>
        <v>744.3744</v>
      </c>
      <c r="AQ58" s="52" t="n">
        <f aca="false">AP58*AO58</f>
        <v>5806.12032</v>
      </c>
      <c r="AR58" s="52" t="s">
        <v>195</v>
      </c>
      <c r="AS58" s="52" t="n">
        <v>3</v>
      </c>
      <c r="AT58" s="52" t="n">
        <f aca="false">IF(AR58="EUR",AA58,IF(AR58="GBP",AB58,1))</f>
        <v>7.8</v>
      </c>
      <c r="AU58" s="52" t="n">
        <f aca="false">T58*AS58</f>
        <v>332.64</v>
      </c>
      <c r="AV58" s="52" t="n">
        <f aca="false">AU58*AT58</f>
        <v>2594.592</v>
      </c>
      <c r="AW58" s="52" t="s">
        <v>195</v>
      </c>
      <c r="AX58" s="52" t="n">
        <v>2.3</v>
      </c>
      <c r="AY58" s="52" t="n">
        <f aca="false">IF(AW58="EUR",AA58,IF(AW58="GBP",AB58,1))</f>
        <v>7.8</v>
      </c>
      <c r="AZ58" s="52" t="n">
        <f aca="false">V58*AX58</f>
        <v>76.592208</v>
      </c>
      <c r="BA58" s="52" t="n">
        <f aca="false">AZ58*AY58</f>
        <v>597.4192224</v>
      </c>
      <c r="BB58" s="52" t="n">
        <f aca="false">AF58+AG58+AL58+AQ58+AV58+BA58</f>
        <v>50713.67036736</v>
      </c>
      <c r="BC58" s="54" t="n">
        <v>0.961</v>
      </c>
      <c r="BD58" s="32"/>
      <c r="BE58" s="32"/>
      <c r="BF58" s="32"/>
      <c r="BG58" s="32" t="s">
        <v>197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46174</v>
      </c>
      <c r="E59" s="18" t="s">
        <v>116</v>
      </c>
      <c r="F59" s="18" t="s">
        <v>113</v>
      </c>
      <c r="G59" s="18" t="s">
        <v>110</v>
      </c>
      <c r="H59" s="18" t="s">
        <v>107</v>
      </c>
      <c r="I59" s="18" t="s">
        <v>102</v>
      </c>
      <c r="J59" s="50" t="n">
        <v>16500</v>
      </c>
      <c r="K59" s="51" t="n">
        <v>0.32</v>
      </c>
      <c r="L59" s="51" t="n">
        <v>1</v>
      </c>
      <c r="M59" s="51" t="n">
        <v>0.65</v>
      </c>
      <c r="N59" s="52" t="n">
        <f aca="false">J59*K59*L59*M59</f>
        <v>3432</v>
      </c>
      <c r="O59" s="50" t="n">
        <v>1.06</v>
      </c>
      <c r="P59" s="52" t="n">
        <f aca="false">N59*O59</f>
        <v>3637.92</v>
      </c>
      <c r="Q59" s="50" t="n">
        <v>0.79</v>
      </c>
      <c r="R59" s="52" t="n">
        <f aca="false">P59*Q59</f>
        <v>2873.9568</v>
      </c>
      <c r="S59" s="50" t="n">
        <v>0.06</v>
      </c>
      <c r="T59" s="52" t="n">
        <f aca="false">N59*S59</f>
        <v>205.92</v>
      </c>
      <c r="U59" s="52" t="n">
        <v>0.014</v>
      </c>
      <c r="V59" s="52" t="n">
        <f aca="false">P59*U59</f>
        <v>50.93088</v>
      </c>
      <c r="W59" s="53" t="s">
        <v>195</v>
      </c>
      <c r="X59" s="50" t="n">
        <v>2.6</v>
      </c>
      <c r="Y59" s="53" t="s">
        <v>198</v>
      </c>
      <c r="Z59" s="50" t="n">
        <v>0.2</v>
      </c>
      <c r="AA59" s="50" t="n">
        <v>7.8</v>
      </c>
      <c r="AB59" s="50" t="n">
        <v>9</v>
      </c>
      <c r="AC59" s="52" t="n">
        <f aca="false">IF(W59="EUR",AA59,IF(W59="GBP",AB59,1))</f>
        <v>7.8</v>
      </c>
      <c r="AD59" s="52" t="n">
        <f aca="false">R59*X59</f>
        <v>7472.28768</v>
      </c>
      <c r="AE59" s="52" t="n">
        <f aca="false">IF(Y59="PERCENTAGE_OF_BASE_FREIGHT",AD59*Z59,IF(Y59="PER_CHARGEABLE_KG",R59*Z59,P59*Z59))</f>
        <v>574.79136</v>
      </c>
      <c r="AF59" s="52" t="n">
        <f aca="false">AD59*AC59</f>
        <v>58283.843904</v>
      </c>
      <c r="AG59" s="52" t="n">
        <f aca="false">AE59*AC59</f>
        <v>4483.372608</v>
      </c>
      <c r="AH59" s="52" t="s">
        <v>195</v>
      </c>
      <c r="AI59" s="52" t="n">
        <v>1.05</v>
      </c>
      <c r="AJ59" s="52" t="n">
        <f aca="false">IF(AH59="EUR",AA59,IF(AH59="GBP",AB59,1))</f>
        <v>7.8</v>
      </c>
      <c r="AK59" s="52" t="n">
        <f aca="false">N59*AI59</f>
        <v>3603.6</v>
      </c>
      <c r="AL59" s="52" t="n">
        <f aca="false">AK59*AJ59</f>
        <v>28108.08</v>
      </c>
      <c r="AM59" s="52" t="s">
        <v>195</v>
      </c>
      <c r="AN59" s="52" t="n">
        <v>0.38</v>
      </c>
      <c r="AO59" s="52" t="n">
        <f aca="false">IF(AM59="EUR",AA59,IF(AM59="GBP",AB59,1))</f>
        <v>7.8</v>
      </c>
      <c r="AP59" s="52" t="n">
        <f aca="false">P59*AN59</f>
        <v>1382.4096</v>
      </c>
      <c r="AQ59" s="52" t="n">
        <f aca="false">AP59*AO59</f>
        <v>10782.79488</v>
      </c>
      <c r="AR59" s="52" t="s">
        <v>195</v>
      </c>
      <c r="AS59" s="52" t="n">
        <v>3</v>
      </c>
      <c r="AT59" s="52" t="n">
        <f aca="false">IF(AR59="EUR",AA59,IF(AR59="GBP",AB59,1))</f>
        <v>7.8</v>
      </c>
      <c r="AU59" s="52" t="n">
        <f aca="false">T59*AS59</f>
        <v>617.76</v>
      </c>
      <c r="AV59" s="52" t="n">
        <f aca="false">AU59*AT59</f>
        <v>4818.528</v>
      </c>
      <c r="AW59" s="52" t="s">
        <v>195</v>
      </c>
      <c r="AX59" s="52" t="n">
        <v>2.3</v>
      </c>
      <c r="AY59" s="52" t="n">
        <f aca="false">IF(AW59="EUR",AA59,IF(AW59="GBP",AB59,1))</f>
        <v>7.8</v>
      </c>
      <c r="AZ59" s="52" t="n">
        <f aca="false">V59*AX59</f>
        <v>117.141024</v>
      </c>
      <c r="BA59" s="52" t="n">
        <f aca="false">AZ59*AY59</f>
        <v>913.6999872</v>
      </c>
      <c r="BB59" s="52" t="n">
        <f aca="false">AF59+AG59+AL59+AQ59+AV59+BA59</f>
        <v>107390.3193792</v>
      </c>
      <c r="BC59" s="54" t="n">
        <v>0.973</v>
      </c>
      <c r="BD59" s="32"/>
      <c r="BE59" s="32"/>
      <c r="BF59" s="32"/>
      <c r="BG59" s="32" t="s">
        <v>197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46174</v>
      </c>
      <c r="E60" s="18" t="s">
        <v>118</v>
      </c>
      <c r="F60" s="18" t="s">
        <v>119</v>
      </c>
      <c r="G60" s="18" t="s">
        <v>100</v>
      </c>
      <c r="H60" s="18" t="s">
        <v>101</v>
      </c>
      <c r="I60" s="18" t="s">
        <v>102</v>
      </c>
      <c r="J60" s="50" t="n">
        <v>16500</v>
      </c>
      <c r="K60" s="51" t="n">
        <v>0.29</v>
      </c>
      <c r="L60" s="51" t="n">
        <v>0.96</v>
      </c>
      <c r="M60" s="51" t="n">
        <v>0.65</v>
      </c>
      <c r="N60" s="52" t="n">
        <f aca="false">J60*K60*L60*M60</f>
        <v>2985.84</v>
      </c>
      <c r="O60" s="50" t="n">
        <v>1.12</v>
      </c>
      <c r="P60" s="52" t="n">
        <f aca="false">N60*O60</f>
        <v>3344.1408</v>
      </c>
      <c r="Q60" s="50" t="n">
        <v>1.02</v>
      </c>
      <c r="R60" s="52" t="n">
        <f aca="false">P60*Q60</f>
        <v>3411.023616</v>
      </c>
      <c r="S60" s="50" t="n">
        <v>0.08</v>
      </c>
      <c r="T60" s="52" t="n">
        <f aca="false">N60*S60</f>
        <v>238.8672</v>
      </c>
      <c r="U60" s="52" t="n">
        <v>0.022</v>
      </c>
      <c r="V60" s="52" t="n">
        <f aca="false">P60*U60</f>
        <v>73.5710976</v>
      </c>
      <c r="W60" s="53" t="s">
        <v>199</v>
      </c>
      <c r="X60" s="50" t="n">
        <v>4</v>
      </c>
      <c r="Y60" s="53" t="s">
        <v>196</v>
      </c>
      <c r="Z60" s="50" t="n">
        <v>0.1</v>
      </c>
      <c r="AA60" s="50" t="n">
        <v>7.8</v>
      </c>
      <c r="AB60" s="50" t="n">
        <v>9</v>
      </c>
      <c r="AC60" s="52" t="n">
        <f aca="false">IF(W60="EUR",AA60,IF(W60="GBP",AB60,1))</f>
        <v>9</v>
      </c>
      <c r="AD60" s="52" t="n">
        <f aca="false">R60*X60</f>
        <v>13644.094464</v>
      </c>
      <c r="AE60" s="52" t="n">
        <f aca="false">IF(Y60="PERCENTAGE_OF_BASE_FREIGHT",AD60*Z60,IF(Y60="PER_CHARGEABLE_KG",R60*Z60,P60*Z60))</f>
        <v>1364.4094464</v>
      </c>
      <c r="AF60" s="52" t="n">
        <f aca="false">AD60*AC60</f>
        <v>122796.850176</v>
      </c>
      <c r="AG60" s="52" t="n">
        <f aca="false">AE60*AC60</f>
        <v>12279.6850176</v>
      </c>
      <c r="AH60" s="52" t="s">
        <v>195</v>
      </c>
      <c r="AI60" s="52" t="n">
        <v>1.18</v>
      </c>
      <c r="AJ60" s="52" t="n">
        <f aca="false">IF(AH60="EUR",AA60,IF(AH60="GBP",AB60,1))</f>
        <v>7.8</v>
      </c>
      <c r="AK60" s="52" t="n">
        <f aca="false">N60*AI60</f>
        <v>3523.2912</v>
      </c>
      <c r="AL60" s="52" t="n">
        <f aca="false">AK60*AJ60</f>
        <v>27481.67136</v>
      </c>
      <c r="AM60" s="52" t="s">
        <v>195</v>
      </c>
      <c r="AN60" s="52" t="n">
        <v>0.42</v>
      </c>
      <c r="AO60" s="52" t="n">
        <f aca="false">IF(AM60="EUR",AA60,IF(AM60="GBP",AB60,1))</f>
        <v>7.8</v>
      </c>
      <c r="AP60" s="52" t="n">
        <f aca="false">P60*AN60</f>
        <v>1404.539136</v>
      </c>
      <c r="AQ60" s="52" t="n">
        <f aca="false">AP60*AO60</f>
        <v>10955.4052608</v>
      </c>
      <c r="AR60" s="52" t="s">
        <v>199</v>
      </c>
      <c r="AS60" s="52" t="n">
        <v>4.8</v>
      </c>
      <c r="AT60" s="52" t="n">
        <f aca="false">IF(AR60="EUR",AA60,IF(AR60="GBP",AB60,1))</f>
        <v>9</v>
      </c>
      <c r="AU60" s="52" t="n">
        <f aca="false">T60*AS60</f>
        <v>1146.56256</v>
      </c>
      <c r="AV60" s="52" t="n">
        <f aca="false">AU60*AT60</f>
        <v>10319.06304</v>
      </c>
      <c r="AW60" s="52" t="s">
        <v>199</v>
      </c>
      <c r="AX60" s="52" t="n">
        <v>2.3</v>
      </c>
      <c r="AY60" s="52" t="n">
        <f aca="false">IF(AW60="EUR",AA60,IF(AW60="GBP",AB60,1))</f>
        <v>9</v>
      </c>
      <c r="AZ60" s="52" t="n">
        <f aca="false">V60*AX60</f>
        <v>169.21352448</v>
      </c>
      <c r="BA60" s="52" t="n">
        <f aca="false">AZ60*AY60</f>
        <v>1522.92172032</v>
      </c>
      <c r="BB60" s="52" t="n">
        <f aca="false">AF60+AG60+AL60+AQ60+AV60+BA60</f>
        <v>185355.59657472</v>
      </c>
      <c r="BC60" s="54" t="n">
        <v>0.93</v>
      </c>
      <c r="BD60" s="32"/>
      <c r="BE60" s="32"/>
      <c r="BF60" s="32"/>
      <c r="BG60" s="32" t="s">
        <v>197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46174</v>
      </c>
      <c r="E61" s="18" t="s">
        <v>122</v>
      </c>
      <c r="F61" s="18" t="s">
        <v>119</v>
      </c>
      <c r="G61" s="18" t="s">
        <v>100</v>
      </c>
      <c r="H61" s="18" t="s">
        <v>107</v>
      </c>
      <c r="I61" s="18" t="s">
        <v>102</v>
      </c>
      <c r="J61" s="50" t="n">
        <v>16500</v>
      </c>
      <c r="K61" s="51" t="n">
        <v>0.29</v>
      </c>
      <c r="L61" s="51" t="n">
        <v>0.96</v>
      </c>
      <c r="M61" s="51" t="n">
        <v>0.25</v>
      </c>
      <c r="N61" s="52" t="n">
        <f aca="false">J61*K61*L61*M61</f>
        <v>1148.4</v>
      </c>
      <c r="O61" s="50" t="n">
        <v>1.12</v>
      </c>
      <c r="P61" s="52" t="n">
        <f aca="false">N61*O61</f>
        <v>1286.208</v>
      </c>
      <c r="Q61" s="50" t="n">
        <v>1</v>
      </c>
      <c r="R61" s="52" t="n">
        <f aca="false">P61*Q61</f>
        <v>1286.208</v>
      </c>
      <c r="S61" s="50" t="n">
        <v>0.08</v>
      </c>
      <c r="T61" s="52" t="n">
        <f aca="false">N61*S61</f>
        <v>91.872</v>
      </c>
      <c r="U61" s="52" t="n">
        <v>0.017</v>
      </c>
      <c r="V61" s="52" t="n">
        <f aca="false">P61*U61</f>
        <v>21.865536</v>
      </c>
      <c r="W61" s="53" t="s">
        <v>199</v>
      </c>
      <c r="X61" s="50" t="n">
        <v>4.7</v>
      </c>
      <c r="Y61" s="53" t="s">
        <v>198</v>
      </c>
      <c r="Z61" s="50" t="n">
        <v>0.33</v>
      </c>
      <c r="AA61" s="50" t="n">
        <v>7.8</v>
      </c>
      <c r="AB61" s="50" t="n">
        <v>9</v>
      </c>
      <c r="AC61" s="52" t="n">
        <f aca="false">IF(W61="EUR",AA61,IF(W61="GBP",AB61,1))</f>
        <v>9</v>
      </c>
      <c r="AD61" s="52" t="n">
        <f aca="false">R61*X61</f>
        <v>6045.1776</v>
      </c>
      <c r="AE61" s="52" t="n">
        <f aca="false">IF(Y61="PERCENTAGE_OF_BASE_FREIGHT",AD61*Z61,IF(Y61="PER_CHARGEABLE_KG",R61*Z61,P61*Z61))</f>
        <v>424.44864</v>
      </c>
      <c r="AF61" s="52" t="n">
        <f aca="false">AD61*AC61</f>
        <v>54406.5984</v>
      </c>
      <c r="AG61" s="52" t="n">
        <f aca="false">AE61*AC61</f>
        <v>3820.03776</v>
      </c>
      <c r="AH61" s="52" t="s">
        <v>195</v>
      </c>
      <c r="AI61" s="52" t="n">
        <v>1.18</v>
      </c>
      <c r="AJ61" s="52" t="n">
        <f aca="false">IF(AH61="EUR",AA61,IF(AH61="GBP",AB61,1))</f>
        <v>7.8</v>
      </c>
      <c r="AK61" s="52" t="n">
        <f aca="false">N61*AI61</f>
        <v>1355.112</v>
      </c>
      <c r="AL61" s="52" t="n">
        <f aca="false">AK61*AJ61</f>
        <v>10569.8736</v>
      </c>
      <c r="AM61" s="52" t="s">
        <v>195</v>
      </c>
      <c r="AN61" s="52" t="n">
        <v>0.42</v>
      </c>
      <c r="AO61" s="52" t="n">
        <f aca="false">IF(AM61="EUR",AA61,IF(AM61="GBP",AB61,1))</f>
        <v>7.8</v>
      </c>
      <c r="AP61" s="52" t="n">
        <f aca="false">P61*AN61</f>
        <v>540.20736</v>
      </c>
      <c r="AQ61" s="52" t="n">
        <f aca="false">AP61*AO61</f>
        <v>4213.617408</v>
      </c>
      <c r="AR61" s="52" t="s">
        <v>199</v>
      </c>
      <c r="AS61" s="52" t="n">
        <v>4.8</v>
      </c>
      <c r="AT61" s="52" t="n">
        <f aca="false">IF(AR61="EUR",AA61,IF(AR61="GBP",AB61,1))</f>
        <v>9</v>
      </c>
      <c r="AU61" s="52" t="n">
        <f aca="false">T61*AS61</f>
        <v>440.9856</v>
      </c>
      <c r="AV61" s="52" t="n">
        <f aca="false">AU61*AT61</f>
        <v>3968.8704</v>
      </c>
      <c r="AW61" s="52" t="s">
        <v>199</v>
      </c>
      <c r="AX61" s="52" t="n">
        <v>2.3</v>
      </c>
      <c r="AY61" s="52" t="n">
        <f aca="false">IF(AW61="EUR",AA61,IF(AW61="GBP",AB61,1))</f>
        <v>9</v>
      </c>
      <c r="AZ61" s="52" t="n">
        <f aca="false">V61*AX61</f>
        <v>50.2907328</v>
      </c>
      <c r="BA61" s="52" t="n">
        <f aca="false">AZ61*AY61</f>
        <v>452.6165952</v>
      </c>
      <c r="BB61" s="52" t="n">
        <f aca="false">AF61+AG61+AL61+AQ61+AV61+BA61</f>
        <v>77431.6141632</v>
      </c>
      <c r="BC61" s="54" t="n">
        <v>0.95</v>
      </c>
      <c r="BD61" s="32"/>
      <c r="BE61" s="32"/>
      <c r="BF61" s="32"/>
      <c r="BG61" s="32" t="s">
        <v>197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46174</v>
      </c>
      <c r="E62" s="18" t="s">
        <v>124</v>
      </c>
      <c r="F62" s="18" t="s">
        <v>119</v>
      </c>
      <c r="G62" s="18" t="s">
        <v>100</v>
      </c>
      <c r="H62" s="18" t="s">
        <v>107</v>
      </c>
      <c r="I62" s="18" t="s">
        <v>125</v>
      </c>
      <c r="J62" s="50" t="n">
        <v>16500</v>
      </c>
      <c r="K62" s="51" t="n">
        <v>0.29</v>
      </c>
      <c r="L62" s="51" t="n">
        <v>0.96</v>
      </c>
      <c r="M62" s="51" t="n">
        <v>0.07</v>
      </c>
      <c r="N62" s="52" t="n">
        <f aca="false">J62*K62*L62*M62</f>
        <v>321.552</v>
      </c>
      <c r="O62" s="50" t="n">
        <v>1.12</v>
      </c>
      <c r="P62" s="52" t="n">
        <f aca="false">N62*O62</f>
        <v>360.13824</v>
      </c>
      <c r="Q62" s="50" t="n">
        <v>0.94</v>
      </c>
      <c r="R62" s="52" t="n">
        <f aca="false">P62*Q62</f>
        <v>338.5299456</v>
      </c>
      <c r="S62" s="50" t="n">
        <v>0.08</v>
      </c>
      <c r="T62" s="52" t="n">
        <f aca="false">N62*S62</f>
        <v>25.72416</v>
      </c>
      <c r="U62" s="52" t="n">
        <v>0.013</v>
      </c>
      <c r="V62" s="52" t="n">
        <f aca="false">P62*U62</f>
        <v>4.68179712</v>
      </c>
      <c r="W62" s="53" t="s">
        <v>199</v>
      </c>
      <c r="X62" s="50" t="n">
        <v>6.2</v>
      </c>
      <c r="Y62" s="53" t="s">
        <v>196</v>
      </c>
      <c r="Z62" s="50" t="n">
        <v>0.115</v>
      </c>
      <c r="AA62" s="50" t="n">
        <v>7.8</v>
      </c>
      <c r="AB62" s="50" t="n">
        <v>9</v>
      </c>
      <c r="AC62" s="52" t="n">
        <f aca="false">IF(W62="EUR",AA62,IF(W62="GBP",AB62,1))</f>
        <v>9</v>
      </c>
      <c r="AD62" s="52" t="n">
        <f aca="false">R62*X62</f>
        <v>2098.88566272</v>
      </c>
      <c r="AE62" s="52" t="n">
        <f aca="false">IF(Y62="PERCENTAGE_OF_BASE_FREIGHT",AD62*Z62,IF(Y62="PER_CHARGEABLE_KG",R62*Z62,P62*Z62))</f>
        <v>241.3718512128</v>
      </c>
      <c r="AF62" s="52" t="n">
        <f aca="false">AD62*AC62</f>
        <v>18889.97096448</v>
      </c>
      <c r="AG62" s="52" t="n">
        <f aca="false">AE62*AC62</f>
        <v>2172.3466609152</v>
      </c>
      <c r="AH62" s="52" t="s">
        <v>195</v>
      </c>
      <c r="AI62" s="52" t="n">
        <v>1.18</v>
      </c>
      <c r="AJ62" s="52" t="n">
        <f aca="false">IF(AH62="EUR",AA62,IF(AH62="GBP",AB62,1))</f>
        <v>7.8</v>
      </c>
      <c r="AK62" s="52" t="n">
        <f aca="false">N62*AI62</f>
        <v>379.43136</v>
      </c>
      <c r="AL62" s="52" t="n">
        <f aca="false">AK62*AJ62</f>
        <v>2959.564608</v>
      </c>
      <c r="AM62" s="52" t="s">
        <v>195</v>
      </c>
      <c r="AN62" s="52" t="n">
        <v>0.42</v>
      </c>
      <c r="AO62" s="52" t="n">
        <f aca="false">IF(AM62="EUR",AA62,IF(AM62="GBP",AB62,1))</f>
        <v>7.8</v>
      </c>
      <c r="AP62" s="52" t="n">
        <f aca="false">P62*AN62</f>
        <v>151.2580608</v>
      </c>
      <c r="AQ62" s="52" t="n">
        <f aca="false">AP62*AO62</f>
        <v>1179.81287424</v>
      </c>
      <c r="AR62" s="52" t="s">
        <v>199</v>
      </c>
      <c r="AS62" s="52" t="n">
        <v>4.8</v>
      </c>
      <c r="AT62" s="52" t="n">
        <f aca="false">IF(AR62="EUR",AA62,IF(AR62="GBP",AB62,1))</f>
        <v>9</v>
      </c>
      <c r="AU62" s="52" t="n">
        <f aca="false">T62*AS62</f>
        <v>123.475968</v>
      </c>
      <c r="AV62" s="52" t="n">
        <f aca="false">AU62*AT62</f>
        <v>1111.283712</v>
      </c>
      <c r="AW62" s="52" t="s">
        <v>199</v>
      </c>
      <c r="AX62" s="52" t="n">
        <v>2.8</v>
      </c>
      <c r="AY62" s="52" t="n">
        <f aca="false">IF(AW62="EUR",AA62,IF(AW62="GBP",AB62,1))</f>
        <v>9</v>
      </c>
      <c r="AZ62" s="52" t="n">
        <f aca="false">V62*AX62</f>
        <v>13.109031936</v>
      </c>
      <c r="BA62" s="52" t="n">
        <f aca="false">AZ62*AY62</f>
        <v>117.981287424</v>
      </c>
      <c r="BB62" s="52" t="n">
        <f aca="false">AF62+AG62+AL62+AQ62+AV62+BA62</f>
        <v>26430.9601070592</v>
      </c>
      <c r="BC62" s="54" t="n">
        <v>0.974</v>
      </c>
      <c r="BD62" s="32"/>
      <c r="BE62" s="32"/>
      <c r="BF62" s="32"/>
      <c r="BG62" s="32" t="s">
        <v>197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46174</v>
      </c>
      <c r="E63" s="18" t="s">
        <v>127</v>
      </c>
      <c r="F63" s="18" t="s">
        <v>119</v>
      </c>
      <c r="G63" s="18" t="s">
        <v>100</v>
      </c>
      <c r="H63" s="18" t="s">
        <v>128</v>
      </c>
      <c r="I63" s="18" t="s">
        <v>125</v>
      </c>
      <c r="J63" s="50" t="n">
        <v>16500</v>
      </c>
      <c r="K63" s="51" t="n">
        <v>0.29</v>
      </c>
      <c r="L63" s="51" t="n">
        <v>0.96</v>
      </c>
      <c r="M63" s="51" t="n">
        <v>0.03</v>
      </c>
      <c r="N63" s="52" t="n">
        <f aca="false">J63*K63*L63*M63</f>
        <v>137.808</v>
      </c>
      <c r="O63" s="50" t="n">
        <v>1.12</v>
      </c>
      <c r="P63" s="52" t="n">
        <f aca="false">N63*O63</f>
        <v>154.34496</v>
      </c>
      <c r="Q63" s="50" t="n">
        <v>0.92</v>
      </c>
      <c r="R63" s="52" t="n">
        <f aca="false">P63*Q63</f>
        <v>141.9973632</v>
      </c>
      <c r="S63" s="50" t="n">
        <v>0.08</v>
      </c>
      <c r="T63" s="52" t="n">
        <f aca="false">N63*S63</f>
        <v>11.02464</v>
      </c>
      <c r="U63" s="52" t="n">
        <v>0.009</v>
      </c>
      <c r="V63" s="52" t="n">
        <f aca="false">P63*U63</f>
        <v>1.38910464</v>
      </c>
      <c r="W63" s="53" t="s">
        <v>199</v>
      </c>
      <c r="X63" s="50" t="n">
        <v>7.5</v>
      </c>
      <c r="Y63" s="53" t="s">
        <v>198</v>
      </c>
      <c r="Z63" s="50" t="n">
        <v>0.58</v>
      </c>
      <c r="AA63" s="50" t="n">
        <v>7.8</v>
      </c>
      <c r="AB63" s="50" t="n">
        <v>9</v>
      </c>
      <c r="AC63" s="52" t="n">
        <f aca="false">IF(W63="EUR",AA63,IF(W63="GBP",AB63,1))</f>
        <v>9</v>
      </c>
      <c r="AD63" s="52" t="n">
        <f aca="false">R63*X63</f>
        <v>1064.980224</v>
      </c>
      <c r="AE63" s="52" t="n">
        <f aca="false">IF(Y63="PERCENTAGE_OF_BASE_FREIGHT",AD63*Z63,IF(Y63="PER_CHARGEABLE_KG",R63*Z63,P63*Z63))</f>
        <v>82.358470656</v>
      </c>
      <c r="AF63" s="52" t="n">
        <f aca="false">AD63*AC63</f>
        <v>9584.822016</v>
      </c>
      <c r="AG63" s="52" t="n">
        <f aca="false">AE63*AC63</f>
        <v>741.226235904</v>
      </c>
      <c r="AH63" s="52" t="s">
        <v>195</v>
      </c>
      <c r="AI63" s="52" t="n">
        <v>1.18</v>
      </c>
      <c r="AJ63" s="52" t="n">
        <f aca="false">IF(AH63="EUR",AA63,IF(AH63="GBP",AB63,1))</f>
        <v>7.8</v>
      </c>
      <c r="AK63" s="52" t="n">
        <f aca="false">N63*AI63</f>
        <v>162.61344</v>
      </c>
      <c r="AL63" s="52" t="n">
        <f aca="false">AK63*AJ63</f>
        <v>1268.384832</v>
      </c>
      <c r="AM63" s="52" t="s">
        <v>195</v>
      </c>
      <c r="AN63" s="52" t="n">
        <v>0.42</v>
      </c>
      <c r="AO63" s="52" t="n">
        <f aca="false">IF(AM63="EUR",AA63,IF(AM63="GBP",AB63,1))</f>
        <v>7.8</v>
      </c>
      <c r="AP63" s="52" t="n">
        <f aca="false">P63*AN63</f>
        <v>64.8248832</v>
      </c>
      <c r="AQ63" s="52" t="n">
        <f aca="false">AP63*AO63</f>
        <v>505.63408896</v>
      </c>
      <c r="AR63" s="52" t="s">
        <v>199</v>
      </c>
      <c r="AS63" s="52" t="n">
        <v>4.8</v>
      </c>
      <c r="AT63" s="52" t="n">
        <f aca="false">IF(AR63="EUR",AA63,IF(AR63="GBP",AB63,1))</f>
        <v>9</v>
      </c>
      <c r="AU63" s="52" t="n">
        <f aca="false">T63*AS63</f>
        <v>52.918272</v>
      </c>
      <c r="AV63" s="52" t="n">
        <f aca="false">AU63*AT63</f>
        <v>476.264448</v>
      </c>
      <c r="AW63" s="52" t="s">
        <v>199</v>
      </c>
      <c r="AX63" s="52" t="n">
        <v>3.6</v>
      </c>
      <c r="AY63" s="52" t="n">
        <f aca="false">IF(AW63="EUR",AA63,IF(AW63="GBP",AB63,1))</f>
        <v>9</v>
      </c>
      <c r="AZ63" s="52" t="n">
        <f aca="false">V63*AX63</f>
        <v>5.000776704</v>
      </c>
      <c r="BA63" s="52" t="n">
        <f aca="false">AZ63*AY63</f>
        <v>45.006990336</v>
      </c>
      <c r="BB63" s="52" t="n">
        <f aca="false">AF63+AG63+AL63+AQ63+AV63+BA63</f>
        <v>12621.3386112</v>
      </c>
      <c r="BC63" s="54" t="n">
        <v>0.988</v>
      </c>
      <c r="BD63" s="32"/>
      <c r="BE63" s="32"/>
      <c r="BF63" s="32"/>
      <c r="BG63" s="32" t="s">
        <v>197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46174</v>
      </c>
      <c r="E64" s="18" t="s">
        <v>130</v>
      </c>
      <c r="F64" s="18" t="s">
        <v>119</v>
      </c>
      <c r="G64" s="18" t="s">
        <v>110</v>
      </c>
      <c r="H64" s="18" t="s">
        <v>107</v>
      </c>
      <c r="I64" s="18" t="s">
        <v>125</v>
      </c>
      <c r="J64" s="50" t="n">
        <v>16500</v>
      </c>
      <c r="K64" s="51" t="n">
        <v>0.29</v>
      </c>
      <c r="L64" s="51" t="n">
        <v>0.04</v>
      </c>
      <c r="M64" s="51" t="n">
        <v>1</v>
      </c>
      <c r="N64" s="52" t="n">
        <f aca="false">J64*K64*L64*M64</f>
        <v>191.4</v>
      </c>
      <c r="O64" s="50" t="n">
        <v>1.15</v>
      </c>
      <c r="P64" s="52" t="n">
        <f aca="false">N64*O64</f>
        <v>220.11</v>
      </c>
      <c r="Q64" s="50" t="n">
        <v>0.9</v>
      </c>
      <c r="R64" s="52" t="n">
        <f aca="false">P64*Q64</f>
        <v>198.099</v>
      </c>
      <c r="S64" s="50" t="n">
        <v>0.08</v>
      </c>
      <c r="T64" s="52" t="n">
        <f aca="false">N64*S64</f>
        <v>15.312</v>
      </c>
      <c r="U64" s="52" t="n">
        <v>0.012</v>
      </c>
      <c r="V64" s="52" t="n">
        <f aca="false">P64*U64</f>
        <v>2.64132</v>
      </c>
      <c r="W64" s="53" t="s">
        <v>195</v>
      </c>
      <c r="X64" s="50" t="n">
        <v>6.7</v>
      </c>
      <c r="Y64" s="53" t="s">
        <v>196</v>
      </c>
      <c r="Z64" s="50" t="n">
        <v>0.105</v>
      </c>
      <c r="AA64" s="50" t="n">
        <v>7.8</v>
      </c>
      <c r="AB64" s="50" t="n">
        <v>9</v>
      </c>
      <c r="AC64" s="52" t="n">
        <f aca="false">IF(W64="EUR",AA64,IF(W64="GBP",AB64,1))</f>
        <v>7.8</v>
      </c>
      <c r="AD64" s="52" t="n">
        <f aca="false">R64*X64</f>
        <v>1327.2633</v>
      </c>
      <c r="AE64" s="52" t="n">
        <f aca="false">IF(Y64="PERCENTAGE_OF_BASE_FREIGHT",AD64*Z64,IF(Y64="PER_CHARGEABLE_KG",R64*Z64,P64*Z64))</f>
        <v>139.3626465</v>
      </c>
      <c r="AF64" s="52" t="n">
        <f aca="false">AD64*AC64</f>
        <v>10352.65374</v>
      </c>
      <c r="AG64" s="52" t="n">
        <f aca="false">AE64*AC64</f>
        <v>1087.0286427</v>
      </c>
      <c r="AH64" s="52" t="s">
        <v>195</v>
      </c>
      <c r="AI64" s="52" t="n">
        <v>1.05</v>
      </c>
      <c r="AJ64" s="52" t="n">
        <f aca="false">IF(AH64="EUR",AA64,IF(AH64="GBP",AB64,1))</f>
        <v>7.8</v>
      </c>
      <c r="AK64" s="52" t="n">
        <f aca="false">N64*AI64</f>
        <v>200.97</v>
      </c>
      <c r="AL64" s="52" t="n">
        <f aca="false">AK64*AJ64</f>
        <v>1567.566</v>
      </c>
      <c r="AM64" s="52" t="s">
        <v>195</v>
      </c>
      <c r="AN64" s="52" t="n">
        <v>0.38</v>
      </c>
      <c r="AO64" s="52" t="n">
        <f aca="false">IF(AM64="EUR",AA64,IF(AM64="GBP",AB64,1))</f>
        <v>7.8</v>
      </c>
      <c r="AP64" s="52" t="n">
        <f aca="false">P64*AN64</f>
        <v>83.6418</v>
      </c>
      <c r="AQ64" s="52" t="n">
        <f aca="false">AP64*AO64</f>
        <v>652.40604</v>
      </c>
      <c r="AR64" s="52" t="s">
        <v>195</v>
      </c>
      <c r="AS64" s="52" t="n">
        <v>5.2</v>
      </c>
      <c r="AT64" s="52" t="n">
        <f aca="false">IF(AR64="EUR",AA64,IF(AR64="GBP",AB64,1))</f>
        <v>7.8</v>
      </c>
      <c r="AU64" s="52" t="n">
        <f aca="false">T64*AS64</f>
        <v>79.6224</v>
      </c>
      <c r="AV64" s="52" t="n">
        <f aca="false">AU64*AT64</f>
        <v>621.05472</v>
      </c>
      <c r="AW64" s="52" t="s">
        <v>195</v>
      </c>
      <c r="AX64" s="52" t="n">
        <v>2.8</v>
      </c>
      <c r="AY64" s="52" t="n">
        <f aca="false">IF(AW64="EUR",AA64,IF(AW64="GBP",AB64,1))</f>
        <v>7.8</v>
      </c>
      <c r="AZ64" s="52" t="n">
        <f aca="false">V64*AX64</f>
        <v>7.395696</v>
      </c>
      <c r="BA64" s="52" t="n">
        <f aca="false">AZ64*AY64</f>
        <v>57.6864288</v>
      </c>
      <c r="BB64" s="52" t="n">
        <f aca="false">AF64+AG64+AL64+AQ64+AV64+BA64</f>
        <v>14338.3955715</v>
      </c>
      <c r="BC64" s="54" t="n">
        <v>0.971</v>
      </c>
      <c r="BD64" s="32"/>
      <c r="BE64" s="32"/>
      <c r="BF64" s="32"/>
      <c r="BG64" s="32" t="s">
        <v>197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46204</v>
      </c>
      <c r="E65" s="18" t="s">
        <v>98</v>
      </c>
      <c r="F65" s="18" t="s">
        <v>99</v>
      </c>
      <c r="G65" s="18" t="s">
        <v>100</v>
      </c>
      <c r="H65" s="18" t="s">
        <v>101</v>
      </c>
      <c r="I65" s="18" t="s">
        <v>102</v>
      </c>
      <c r="J65" s="50" t="n">
        <v>17000</v>
      </c>
      <c r="K65" s="51" t="n">
        <v>0.38</v>
      </c>
      <c r="L65" s="51" t="n">
        <v>0.97</v>
      </c>
      <c r="M65" s="51" t="n">
        <v>0.6</v>
      </c>
      <c r="N65" s="52" t="n">
        <f aca="false">J65*K65*L65*M65</f>
        <v>3759.72</v>
      </c>
      <c r="O65" s="50" t="n">
        <v>1.05</v>
      </c>
      <c r="P65" s="52" t="n">
        <f aca="false">N65*O65</f>
        <v>3947.706</v>
      </c>
      <c r="Q65" s="50" t="n">
        <v>0.78</v>
      </c>
      <c r="R65" s="52" t="n">
        <f aca="false">P65*Q65</f>
        <v>3079.21068</v>
      </c>
      <c r="S65" s="50" t="n">
        <v>0.05</v>
      </c>
      <c r="T65" s="52" t="n">
        <f aca="false">N65*S65</f>
        <v>187.986</v>
      </c>
      <c r="U65" s="52" t="n">
        <v>0.016</v>
      </c>
      <c r="V65" s="52" t="n">
        <f aca="false">P65*U65</f>
        <v>63.163296</v>
      </c>
      <c r="W65" s="53" t="s">
        <v>195</v>
      </c>
      <c r="X65" s="50" t="n">
        <v>2.2</v>
      </c>
      <c r="Y65" s="53" t="s">
        <v>196</v>
      </c>
      <c r="Z65" s="50" t="n">
        <v>0.095</v>
      </c>
      <c r="AA65" s="50" t="n">
        <v>7.8</v>
      </c>
      <c r="AB65" s="50" t="n">
        <v>9</v>
      </c>
      <c r="AC65" s="52" t="n">
        <f aca="false">IF(W65="EUR",AA65,IF(W65="GBP",AB65,1))</f>
        <v>7.8</v>
      </c>
      <c r="AD65" s="52" t="n">
        <f aca="false">R65*X65</f>
        <v>6774.263496</v>
      </c>
      <c r="AE65" s="52" t="n">
        <f aca="false">IF(Y65="PERCENTAGE_OF_BASE_FREIGHT",AD65*Z65,IF(Y65="PER_CHARGEABLE_KG",R65*Z65,P65*Z65))</f>
        <v>643.55503212</v>
      </c>
      <c r="AF65" s="52" t="n">
        <f aca="false">AD65*AC65</f>
        <v>52839.2552688</v>
      </c>
      <c r="AG65" s="52" t="n">
        <f aca="false">AE65*AC65</f>
        <v>5019.729250536</v>
      </c>
      <c r="AH65" s="52" t="s">
        <v>195</v>
      </c>
      <c r="AI65" s="52" t="n">
        <v>1.18</v>
      </c>
      <c r="AJ65" s="52" t="n">
        <f aca="false">IF(AH65="EUR",AA65,IF(AH65="GBP",AB65,1))</f>
        <v>7.8</v>
      </c>
      <c r="AK65" s="52" t="n">
        <f aca="false">N65*AI65</f>
        <v>4436.4696</v>
      </c>
      <c r="AL65" s="52" t="n">
        <f aca="false">AK65*AJ65</f>
        <v>34604.46288</v>
      </c>
      <c r="AM65" s="52" t="s">
        <v>195</v>
      </c>
      <c r="AN65" s="52" t="n">
        <v>0.42</v>
      </c>
      <c r="AO65" s="52" t="n">
        <f aca="false">IF(AM65="EUR",AA65,IF(AM65="GBP",AB65,1))</f>
        <v>7.8</v>
      </c>
      <c r="AP65" s="52" t="n">
        <f aca="false">P65*AN65</f>
        <v>1658.03652</v>
      </c>
      <c r="AQ65" s="52" t="n">
        <f aca="false">AP65*AO65</f>
        <v>12932.684856</v>
      </c>
      <c r="AR65" s="52" t="s">
        <v>195</v>
      </c>
      <c r="AS65" s="52" t="n">
        <v>3.2</v>
      </c>
      <c r="AT65" s="52" t="n">
        <f aca="false">IF(AR65="EUR",AA65,IF(AR65="GBP",AB65,1))</f>
        <v>7.8</v>
      </c>
      <c r="AU65" s="52" t="n">
        <f aca="false">T65*AS65</f>
        <v>601.5552</v>
      </c>
      <c r="AV65" s="52" t="n">
        <f aca="false">AU65*AT65</f>
        <v>4692.13056</v>
      </c>
      <c r="AW65" s="52" t="s">
        <v>195</v>
      </c>
      <c r="AX65" s="52" t="n">
        <v>2.3</v>
      </c>
      <c r="AY65" s="52" t="n">
        <f aca="false">IF(AW65="EUR",AA65,IF(AW65="GBP",AB65,1))</f>
        <v>7.8</v>
      </c>
      <c r="AZ65" s="52" t="n">
        <f aca="false">V65*AX65</f>
        <v>145.2755808</v>
      </c>
      <c r="BA65" s="52" t="n">
        <f aca="false">AZ65*AY65</f>
        <v>1133.14953024</v>
      </c>
      <c r="BB65" s="52" t="n">
        <f aca="false">AF65+AG65+AL65+AQ65+AV65+BA65</f>
        <v>111221.412345576</v>
      </c>
      <c r="BC65" s="54" t="n">
        <v>0.965</v>
      </c>
      <c r="BD65" s="32"/>
      <c r="BE65" s="32"/>
      <c r="BF65" s="32"/>
      <c r="BG65" s="32" t="s">
        <v>197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46204</v>
      </c>
      <c r="E66" s="18" t="s">
        <v>106</v>
      </c>
      <c r="F66" s="18" t="s">
        <v>99</v>
      </c>
      <c r="G66" s="18" t="s">
        <v>100</v>
      </c>
      <c r="H66" s="18" t="s">
        <v>107</v>
      </c>
      <c r="I66" s="18" t="s">
        <v>102</v>
      </c>
      <c r="J66" s="50" t="n">
        <v>17000</v>
      </c>
      <c r="K66" s="51" t="n">
        <v>0.38</v>
      </c>
      <c r="L66" s="51" t="n">
        <v>0.97</v>
      </c>
      <c r="M66" s="51" t="n">
        <v>0.4</v>
      </c>
      <c r="N66" s="52" t="n">
        <f aca="false">J66*K66*L66*M66</f>
        <v>2506.48</v>
      </c>
      <c r="O66" s="50" t="n">
        <v>1.05</v>
      </c>
      <c r="P66" s="52" t="n">
        <f aca="false">N66*O66</f>
        <v>2631.804</v>
      </c>
      <c r="Q66" s="50" t="n">
        <v>0.8</v>
      </c>
      <c r="R66" s="52" t="n">
        <f aca="false">P66*Q66</f>
        <v>2105.4432</v>
      </c>
      <c r="S66" s="50" t="n">
        <v>0.05</v>
      </c>
      <c r="T66" s="52" t="n">
        <f aca="false">N66*S66</f>
        <v>125.324</v>
      </c>
      <c r="U66" s="52" t="n">
        <v>0.013</v>
      </c>
      <c r="V66" s="52" t="n">
        <f aca="false">P66*U66</f>
        <v>34.213452</v>
      </c>
      <c r="W66" s="53" t="s">
        <v>195</v>
      </c>
      <c r="X66" s="50" t="n">
        <v>2.75</v>
      </c>
      <c r="Y66" s="53" t="s">
        <v>198</v>
      </c>
      <c r="Z66" s="50" t="n">
        <v>0.21</v>
      </c>
      <c r="AA66" s="50" t="n">
        <v>7.8</v>
      </c>
      <c r="AB66" s="50" t="n">
        <v>9</v>
      </c>
      <c r="AC66" s="52" t="n">
        <f aca="false">IF(W66="EUR",AA66,IF(W66="GBP",AB66,1))</f>
        <v>7.8</v>
      </c>
      <c r="AD66" s="52" t="n">
        <f aca="false">R66*X66</f>
        <v>5789.9688</v>
      </c>
      <c r="AE66" s="52" t="n">
        <f aca="false">IF(Y66="PERCENTAGE_OF_BASE_FREIGHT",AD66*Z66,IF(Y66="PER_CHARGEABLE_KG",R66*Z66,P66*Z66))</f>
        <v>442.143072</v>
      </c>
      <c r="AF66" s="52" t="n">
        <f aca="false">AD66*AC66</f>
        <v>45161.75664</v>
      </c>
      <c r="AG66" s="52" t="n">
        <f aca="false">AE66*AC66</f>
        <v>3448.7159616</v>
      </c>
      <c r="AH66" s="52" t="s">
        <v>195</v>
      </c>
      <c r="AI66" s="52" t="n">
        <v>1.18</v>
      </c>
      <c r="AJ66" s="52" t="n">
        <f aca="false">IF(AH66="EUR",AA66,IF(AH66="GBP",AB66,1))</f>
        <v>7.8</v>
      </c>
      <c r="AK66" s="52" t="n">
        <f aca="false">N66*AI66</f>
        <v>2957.6464</v>
      </c>
      <c r="AL66" s="52" t="n">
        <f aca="false">AK66*AJ66</f>
        <v>23069.64192</v>
      </c>
      <c r="AM66" s="52" t="s">
        <v>195</v>
      </c>
      <c r="AN66" s="52" t="n">
        <v>0.42</v>
      </c>
      <c r="AO66" s="52" t="n">
        <f aca="false">IF(AM66="EUR",AA66,IF(AM66="GBP",AB66,1))</f>
        <v>7.8</v>
      </c>
      <c r="AP66" s="52" t="n">
        <f aca="false">P66*AN66</f>
        <v>1105.35768</v>
      </c>
      <c r="AQ66" s="52" t="n">
        <f aca="false">AP66*AO66</f>
        <v>8621.789904</v>
      </c>
      <c r="AR66" s="52" t="s">
        <v>195</v>
      </c>
      <c r="AS66" s="52" t="n">
        <v>3.2</v>
      </c>
      <c r="AT66" s="52" t="n">
        <f aca="false">IF(AR66="EUR",AA66,IF(AR66="GBP",AB66,1))</f>
        <v>7.8</v>
      </c>
      <c r="AU66" s="52" t="n">
        <f aca="false">T66*AS66</f>
        <v>401.0368</v>
      </c>
      <c r="AV66" s="52" t="n">
        <f aca="false">AU66*AT66</f>
        <v>3128.08704</v>
      </c>
      <c r="AW66" s="52" t="s">
        <v>195</v>
      </c>
      <c r="AX66" s="52" t="n">
        <v>2.3</v>
      </c>
      <c r="AY66" s="52" t="n">
        <f aca="false">IF(AW66="EUR",AA66,IF(AW66="GBP",AB66,1))</f>
        <v>7.8</v>
      </c>
      <c r="AZ66" s="52" t="n">
        <f aca="false">V66*AX66</f>
        <v>78.6909396</v>
      </c>
      <c r="BA66" s="52" t="n">
        <f aca="false">AZ66*AY66</f>
        <v>613.78932888</v>
      </c>
      <c r="BB66" s="52" t="n">
        <f aca="false">AF66+AG66+AL66+AQ66+AV66+BA66</f>
        <v>84043.78079448</v>
      </c>
      <c r="BC66" s="54" t="n">
        <v>0.976</v>
      </c>
      <c r="BD66" s="32"/>
      <c r="BE66" s="32"/>
      <c r="BF66" s="32"/>
      <c r="BG66" s="32" t="s">
        <v>197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46204</v>
      </c>
      <c r="E67" s="18" t="s">
        <v>109</v>
      </c>
      <c r="F67" s="18" t="s">
        <v>99</v>
      </c>
      <c r="G67" s="18" t="s">
        <v>110</v>
      </c>
      <c r="H67" s="18" t="s">
        <v>107</v>
      </c>
      <c r="I67" s="18" t="s">
        <v>102</v>
      </c>
      <c r="J67" s="50" t="n">
        <v>17000</v>
      </c>
      <c r="K67" s="51" t="n">
        <v>0.38</v>
      </c>
      <c r="L67" s="51" t="n">
        <v>0.03</v>
      </c>
      <c r="M67" s="51" t="n">
        <v>1</v>
      </c>
      <c r="N67" s="52" t="n">
        <f aca="false">J67*K67*L67*M67</f>
        <v>193.8</v>
      </c>
      <c r="O67" s="50" t="n">
        <v>1.08</v>
      </c>
      <c r="P67" s="52" t="n">
        <f aca="false">N67*O67</f>
        <v>209.304</v>
      </c>
      <c r="Q67" s="50" t="n">
        <v>0.86</v>
      </c>
      <c r="R67" s="52" t="n">
        <f aca="false">P67*Q67</f>
        <v>180.00144</v>
      </c>
      <c r="S67" s="50" t="n">
        <v>0.05</v>
      </c>
      <c r="T67" s="52" t="n">
        <f aca="false">N67*S67</f>
        <v>9.69</v>
      </c>
      <c r="U67" s="52" t="n">
        <v>0.014</v>
      </c>
      <c r="V67" s="52" t="n">
        <f aca="false">P67*U67</f>
        <v>2.930256</v>
      </c>
      <c r="W67" s="53" t="s">
        <v>195</v>
      </c>
      <c r="X67" s="50" t="n">
        <v>3.3</v>
      </c>
      <c r="Y67" s="53" t="s">
        <v>198</v>
      </c>
      <c r="Z67" s="50" t="n">
        <v>0.24</v>
      </c>
      <c r="AA67" s="50" t="n">
        <v>7.8</v>
      </c>
      <c r="AB67" s="50" t="n">
        <v>9</v>
      </c>
      <c r="AC67" s="52" t="n">
        <f aca="false">IF(W67="EUR",AA67,IF(W67="GBP",AB67,1))</f>
        <v>7.8</v>
      </c>
      <c r="AD67" s="52" t="n">
        <f aca="false">R67*X67</f>
        <v>594.004752</v>
      </c>
      <c r="AE67" s="52" t="n">
        <f aca="false">IF(Y67="PERCENTAGE_OF_BASE_FREIGHT",AD67*Z67,IF(Y67="PER_CHARGEABLE_KG",R67*Z67,P67*Z67))</f>
        <v>43.2003456</v>
      </c>
      <c r="AF67" s="52" t="n">
        <f aca="false">AD67*AC67</f>
        <v>4633.2370656</v>
      </c>
      <c r="AG67" s="52" t="n">
        <f aca="false">AE67*AC67</f>
        <v>336.96269568</v>
      </c>
      <c r="AH67" s="52" t="s">
        <v>195</v>
      </c>
      <c r="AI67" s="52" t="n">
        <v>1.05</v>
      </c>
      <c r="AJ67" s="52" t="n">
        <f aca="false">IF(AH67="EUR",AA67,IF(AH67="GBP",AB67,1))</f>
        <v>7.8</v>
      </c>
      <c r="AK67" s="52" t="n">
        <f aca="false">N67*AI67</f>
        <v>203.49</v>
      </c>
      <c r="AL67" s="52" t="n">
        <f aca="false">AK67*AJ67</f>
        <v>1587.222</v>
      </c>
      <c r="AM67" s="52" t="s">
        <v>195</v>
      </c>
      <c r="AN67" s="52" t="n">
        <v>0.38</v>
      </c>
      <c r="AO67" s="52" t="n">
        <f aca="false">IF(AM67="EUR",AA67,IF(AM67="GBP",AB67,1))</f>
        <v>7.8</v>
      </c>
      <c r="AP67" s="52" t="n">
        <f aca="false">P67*AN67</f>
        <v>79.53552</v>
      </c>
      <c r="AQ67" s="52" t="n">
        <f aca="false">AP67*AO67</f>
        <v>620.377056</v>
      </c>
      <c r="AR67" s="52" t="s">
        <v>195</v>
      </c>
      <c r="AS67" s="52" t="n">
        <v>3.8</v>
      </c>
      <c r="AT67" s="52" t="n">
        <f aca="false">IF(AR67="EUR",AA67,IF(AR67="GBP",AB67,1))</f>
        <v>7.8</v>
      </c>
      <c r="AU67" s="52" t="n">
        <f aca="false">T67*AS67</f>
        <v>36.822</v>
      </c>
      <c r="AV67" s="52" t="n">
        <f aca="false">AU67*AT67</f>
        <v>287.2116</v>
      </c>
      <c r="AW67" s="52" t="s">
        <v>195</v>
      </c>
      <c r="AX67" s="52" t="n">
        <v>2.3</v>
      </c>
      <c r="AY67" s="52" t="n">
        <f aca="false">IF(AW67="EUR",AA67,IF(AW67="GBP",AB67,1))</f>
        <v>7.8</v>
      </c>
      <c r="AZ67" s="52" t="n">
        <f aca="false">V67*AX67</f>
        <v>6.7395888</v>
      </c>
      <c r="BA67" s="52" t="n">
        <f aca="false">AZ67*AY67</f>
        <v>52.56879264</v>
      </c>
      <c r="BB67" s="52" t="n">
        <f aca="false">AF67+AG67+AL67+AQ67+AV67+BA67</f>
        <v>7517.57920992</v>
      </c>
      <c r="BC67" s="54" t="n">
        <v>0.968</v>
      </c>
      <c r="BD67" s="32"/>
      <c r="BE67" s="32"/>
      <c r="BF67" s="32"/>
      <c r="BG67" s="32" t="s">
        <v>197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46204</v>
      </c>
      <c r="E68" s="18" t="s">
        <v>112</v>
      </c>
      <c r="F68" s="18" t="s">
        <v>113</v>
      </c>
      <c r="G68" s="18" t="s">
        <v>110</v>
      </c>
      <c r="H68" s="18" t="s">
        <v>101</v>
      </c>
      <c r="I68" s="18" t="s">
        <v>102</v>
      </c>
      <c r="J68" s="50" t="n">
        <v>17000</v>
      </c>
      <c r="K68" s="51" t="n">
        <v>0.32</v>
      </c>
      <c r="L68" s="51" t="n">
        <v>1</v>
      </c>
      <c r="M68" s="51" t="n">
        <v>0.35</v>
      </c>
      <c r="N68" s="52" t="n">
        <f aca="false">J68*K68*L68*M68</f>
        <v>1904</v>
      </c>
      <c r="O68" s="50" t="n">
        <v>1.06</v>
      </c>
      <c r="P68" s="52" t="n">
        <f aca="false">N68*O68</f>
        <v>2018.24</v>
      </c>
      <c r="Q68" s="50" t="n">
        <v>0.76</v>
      </c>
      <c r="R68" s="52" t="n">
        <f aca="false">P68*Q68</f>
        <v>1533.8624</v>
      </c>
      <c r="S68" s="50" t="n">
        <v>0.06</v>
      </c>
      <c r="T68" s="52" t="n">
        <f aca="false">N68*S68</f>
        <v>114.24</v>
      </c>
      <c r="U68" s="52" t="n">
        <v>0.017</v>
      </c>
      <c r="V68" s="52" t="n">
        <f aca="false">P68*U68</f>
        <v>34.31008</v>
      </c>
      <c r="W68" s="53" t="s">
        <v>195</v>
      </c>
      <c r="X68" s="50" t="n">
        <v>2.1</v>
      </c>
      <c r="Y68" s="53" t="s">
        <v>196</v>
      </c>
      <c r="Z68" s="50" t="n">
        <v>0.09</v>
      </c>
      <c r="AA68" s="50" t="n">
        <v>7.8</v>
      </c>
      <c r="AB68" s="50" t="n">
        <v>9</v>
      </c>
      <c r="AC68" s="52" t="n">
        <f aca="false">IF(W68="EUR",AA68,IF(W68="GBP",AB68,1))</f>
        <v>7.8</v>
      </c>
      <c r="AD68" s="52" t="n">
        <f aca="false">R68*X68</f>
        <v>3221.11104</v>
      </c>
      <c r="AE68" s="52" t="n">
        <f aca="false">IF(Y68="PERCENTAGE_OF_BASE_FREIGHT",AD68*Z68,IF(Y68="PER_CHARGEABLE_KG",R68*Z68,P68*Z68))</f>
        <v>289.8999936</v>
      </c>
      <c r="AF68" s="52" t="n">
        <f aca="false">AD68*AC68</f>
        <v>25124.666112</v>
      </c>
      <c r="AG68" s="52" t="n">
        <f aca="false">AE68*AC68</f>
        <v>2261.21995008</v>
      </c>
      <c r="AH68" s="52" t="s">
        <v>195</v>
      </c>
      <c r="AI68" s="52" t="n">
        <v>1.05</v>
      </c>
      <c r="AJ68" s="52" t="n">
        <f aca="false">IF(AH68="EUR",AA68,IF(AH68="GBP",AB68,1))</f>
        <v>7.8</v>
      </c>
      <c r="AK68" s="52" t="n">
        <f aca="false">N68*AI68</f>
        <v>1999.2</v>
      </c>
      <c r="AL68" s="52" t="n">
        <f aca="false">AK68*AJ68</f>
        <v>15593.76</v>
      </c>
      <c r="AM68" s="52" t="s">
        <v>195</v>
      </c>
      <c r="AN68" s="52" t="n">
        <v>0.38</v>
      </c>
      <c r="AO68" s="52" t="n">
        <f aca="false">IF(AM68="EUR",AA68,IF(AM68="GBP",AB68,1))</f>
        <v>7.8</v>
      </c>
      <c r="AP68" s="52" t="n">
        <f aca="false">P68*AN68</f>
        <v>766.9312</v>
      </c>
      <c r="AQ68" s="52" t="n">
        <f aca="false">AP68*AO68</f>
        <v>5982.06336</v>
      </c>
      <c r="AR68" s="52" t="s">
        <v>195</v>
      </c>
      <c r="AS68" s="52" t="n">
        <v>3</v>
      </c>
      <c r="AT68" s="52" t="n">
        <f aca="false">IF(AR68="EUR",AA68,IF(AR68="GBP",AB68,1))</f>
        <v>7.8</v>
      </c>
      <c r="AU68" s="52" t="n">
        <f aca="false">T68*AS68</f>
        <v>342.72</v>
      </c>
      <c r="AV68" s="52" t="n">
        <f aca="false">AU68*AT68</f>
        <v>2673.216</v>
      </c>
      <c r="AW68" s="52" t="s">
        <v>195</v>
      </c>
      <c r="AX68" s="52" t="n">
        <v>2.3</v>
      </c>
      <c r="AY68" s="52" t="n">
        <f aca="false">IF(AW68="EUR",AA68,IF(AW68="GBP",AB68,1))</f>
        <v>7.8</v>
      </c>
      <c r="AZ68" s="52" t="n">
        <f aca="false">V68*AX68</f>
        <v>78.913184</v>
      </c>
      <c r="BA68" s="52" t="n">
        <f aca="false">AZ68*AY68</f>
        <v>615.5228352</v>
      </c>
      <c r="BB68" s="52" t="n">
        <f aca="false">AF68+AG68+AL68+AQ68+AV68+BA68</f>
        <v>52250.44825728</v>
      </c>
      <c r="BC68" s="54" t="n">
        <v>0.961</v>
      </c>
      <c r="BD68" s="32"/>
      <c r="BE68" s="32"/>
      <c r="BF68" s="32"/>
      <c r="BG68" s="32" t="s">
        <v>197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46204</v>
      </c>
      <c r="E69" s="18" t="s">
        <v>116</v>
      </c>
      <c r="F69" s="18" t="s">
        <v>113</v>
      </c>
      <c r="G69" s="18" t="s">
        <v>110</v>
      </c>
      <c r="H69" s="18" t="s">
        <v>107</v>
      </c>
      <c r="I69" s="18" t="s">
        <v>102</v>
      </c>
      <c r="J69" s="50" t="n">
        <v>17000</v>
      </c>
      <c r="K69" s="51" t="n">
        <v>0.32</v>
      </c>
      <c r="L69" s="51" t="n">
        <v>1</v>
      </c>
      <c r="M69" s="51" t="n">
        <v>0.65</v>
      </c>
      <c r="N69" s="52" t="n">
        <f aca="false">J69*K69*L69*M69</f>
        <v>3536</v>
      </c>
      <c r="O69" s="50" t="n">
        <v>1.06</v>
      </c>
      <c r="P69" s="52" t="n">
        <f aca="false">N69*O69</f>
        <v>3748.16</v>
      </c>
      <c r="Q69" s="50" t="n">
        <v>0.79</v>
      </c>
      <c r="R69" s="52" t="n">
        <f aca="false">P69*Q69</f>
        <v>2961.0464</v>
      </c>
      <c r="S69" s="50" t="n">
        <v>0.06</v>
      </c>
      <c r="T69" s="52" t="n">
        <f aca="false">N69*S69</f>
        <v>212.16</v>
      </c>
      <c r="U69" s="52" t="n">
        <v>0.014</v>
      </c>
      <c r="V69" s="52" t="n">
        <f aca="false">P69*U69</f>
        <v>52.47424</v>
      </c>
      <c r="W69" s="53" t="s">
        <v>195</v>
      </c>
      <c r="X69" s="50" t="n">
        <v>2.6</v>
      </c>
      <c r="Y69" s="53" t="s">
        <v>198</v>
      </c>
      <c r="Z69" s="50" t="n">
        <v>0.2</v>
      </c>
      <c r="AA69" s="50" t="n">
        <v>7.8</v>
      </c>
      <c r="AB69" s="50" t="n">
        <v>9</v>
      </c>
      <c r="AC69" s="52" t="n">
        <f aca="false">IF(W69="EUR",AA69,IF(W69="GBP",AB69,1))</f>
        <v>7.8</v>
      </c>
      <c r="AD69" s="52" t="n">
        <f aca="false">R69*X69</f>
        <v>7698.72064</v>
      </c>
      <c r="AE69" s="52" t="n">
        <f aca="false">IF(Y69="PERCENTAGE_OF_BASE_FREIGHT",AD69*Z69,IF(Y69="PER_CHARGEABLE_KG",R69*Z69,P69*Z69))</f>
        <v>592.20928</v>
      </c>
      <c r="AF69" s="52" t="n">
        <f aca="false">AD69*AC69</f>
        <v>60050.020992</v>
      </c>
      <c r="AG69" s="52" t="n">
        <f aca="false">AE69*AC69</f>
        <v>4619.232384</v>
      </c>
      <c r="AH69" s="52" t="s">
        <v>195</v>
      </c>
      <c r="AI69" s="52" t="n">
        <v>1.05</v>
      </c>
      <c r="AJ69" s="52" t="n">
        <f aca="false">IF(AH69="EUR",AA69,IF(AH69="GBP",AB69,1))</f>
        <v>7.8</v>
      </c>
      <c r="AK69" s="52" t="n">
        <f aca="false">N69*AI69</f>
        <v>3712.8</v>
      </c>
      <c r="AL69" s="52" t="n">
        <f aca="false">AK69*AJ69</f>
        <v>28959.84</v>
      </c>
      <c r="AM69" s="52" t="s">
        <v>195</v>
      </c>
      <c r="AN69" s="52" t="n">
        <v>0.38</v>
      </c>
      <c r="AO69" s="52" t="n">
        <f aca="false">IF(AM69="EUR",AA69,IF(AM69="GBP",AB69,1))</f>
        <v>7.8</v>
      </c>
      <c r="AP69" s="52" t="n">
        <f aca="false">P69*AN69</f>
        <v>1424.3008</v>
      </c>
      <c r="AQ69" s="52" t="n">
        <f aca="false">AP69*AO69</f>
        <v>11109.54624</v>
      </c>
      <c r="AR69" s="52" t="s">
        <v>195</v>
      </c>
      <c r="AS69" s="52" t="n">
        <v>3</v>
      </c>
      <c r="AT69" s="52" t="n">
        <f aca="false">IF(AR69="EUR",AA69,IF(AR69="GBP",AB69,1))</f>
        <v>7.8</v>
      </c>
      <c r="AU69" s="52" t="n">
        <f aca="false">T69*AS69</f>
        <v>636.48</v>
      </c>
      <c r="AV69" s="52" t="n">
        <f aca="false">AU69*AT69</f>
        <v>4964.544</v>
      </c>
      <c r="AW69" s="52" t="s">
        <v>195</v>
      </c>
      <c r="AX69" s="52" t="n">
        <v>2.3</v>
      </c>
      <c r="AY69" s="52" t="n">
        <f aca="false">IF(AW69="EUR",AA69,IF(AW69="GBP",AB69,1))</f>
        <v>7.8</v>
      </c>
      <c r="AZ69" s="52" t="n">
        <f aca="false">V69*AX69</f>
        <v>120.690752</v>
      </c>
      <c r="BA69" s="52" t="n">
        <f aca="false">AZ69*AY69</f>
        <v>941.3878656</v>
      </c>
      <c r="BB69" s="52" t="n">
        <f aca="false">AF69+AG69+AL69+AQ69+AV69+BA69</f>
        <v>110644.5714816</v>
      </c>
      <c r="BC69" s="54" t="n">
        <v>0.973</v>
      </c>
      <c r="BD69" s="32"/>
      <c r="BE69" s="32"/>
      <c r="BF69" s="32"/>
      <c r="BG69" s="32" t="s">
        <v>197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46204</v>
      </c>
      <c r="E70" s="18" t="s">
        <v>118</v>
      </c>
      <c r="F70" s="18" t="s">
        <v>119</v>
      </c>
      <c r="G70" s="18" t="s">
        <v>100</v>
      </c>
      <c r="H70" s="18" t="s">
        <v>101</v>
      </c>
      <c r="I70" s="18" t="s">
        <v>102</v>
      </c>
      <c r="J70" s="50" t="n">
        <v>17000</v>
      </c>
      <c r="K70" s="51" t="n">
        <v>0.3</v>
      </c>
      <c r="L70" s="51" t="n">
        <v>0.96</v>
      </c>
      <c r="M70" s="51" t="n">
        <v>0.65</v>
      </c>
      <c r="N70" s="52" t="n">
        <f aca="false">J70*K70*L70*M70</f>
        <v>3182.4</v>
      </c>
      <c r="O70" s="50" t="n">
        <v>1.12</v>
      </c>
      <c r="P70" s="52" t="n">
        <f aca="false">N70*O70</f>
        <v>3564.288</v>
      </c>
      <c r="Q70" s="50" t="n">
        <v>1.02</v>
      </c>
      <c r="R70" s="52" t="n">
        <f aca="false">P70*Q70</f>
        <v>3635.57376</v>
      </c>
      <c r="S70" s="50" t="n">
        <v>0.08</v>
      </c>
      <c r="T70" s="52" t="n">
        <f aca="false">N70*S70</f>
        <v>254.592</v>
      </c>
      <c r="U70" s="52" t="n">
        <v>0.022</v>
      </c>
      <c r="V70" s="52" t="n">
        <f aca="false">P70*U70</f>
        <v>78.414336</v>
      </c>
      <c r="W70" s="53" t="s">
        <v>199</v>
      </c>
      <c r="X70" s="50" t="n">
        <v>4</v>
      </c>
      <c r="Y70" s="53" t="s">
        <v>196</v>
      </c>
      <c r="Z70" s="50" t="n">
        <v>0.1</v>
      </c>
      <c r="AA70" s="50" t="n">
        <v>7.8</v>
      </c>
      <c r="AB70" s="50" t="n">
        <v>9</v>
      </c>
      <c r="AC70" s="52" t="n">
        <f aca="false">IF(W70="EUR",AA70,IF(W70="GBP",AB70,1))</f>
        <v>9</v>
      </c>
      <c r="AD70" s="52" t="n">
        <f aca="false">R70*X70</f>
        <v>14542.29504</v>
      </c>
      <c r="AE70" s="52" t="n">
        <f aca="false">IF(Y70="PERCENTAGE_OF_BASE_FREIGHT",AD70*Z70,IF(Y70="PER_CHARGEABLE_KG",R70*Z70,P70*Z70))</f>
        <v>1454.229504</v>
      </c>
      <c r="AF70" s="52" t="n">
        <f aca="false">AD70*AC70</f>
        <v>130880.65536</v>
      </c>
      <c r="AG70" s="52" t="n">
        <f aca="false">AE70*AC70</f>
        <v>13088.065536</v>
      </c>
      <c r="AH70" s="52" t="s">
        <v>195</v>
      </c>
      <c r="AI70" s="52" t="n">
        <v>1.18</v>
      </c>
      <c r="AJ70" s="52" t="n">
        <f aca="false">IF(AH70="EUR",AA70,IF(AH70="GBP",AB70,1))</f>
        <v>7.8</v>
      </c>
      <c r="AK70" s="52" t="n">
        <f aca="false">N70*AI70</f>
        <v>3755.232</v>
      </c>
      <c r="AL70" s="52" t="n">
        <f aca="false">AK70*AJ70</f>
        <v>29290.8096</v>
      </c>
      <c r="AM70" s="52" t="s">
        <v>195</v>
      </c>
      <c r="AN70" s="52" t="n">
        <v>0.42</v>
      </c>
      <c r="AO70" s="52" t="n">
        <f aca="false">IF(AM70="EUR",AA70,IF(AM70="GBP",AB70,1))</f>
        <v>7.8</v>
      </c>
      <c r="AP70" s="52" t="n">
        <f aca="false">P70*AN70</f>
        <v>1497.00096</v>
      </c>
      <c r="AQ70" s="52" t="n">
        <f aca="false">AP70*AO70</f>
        <v>11676.607488</v>
      </c>
      <c r="AR70" s="52" t="s">
        <v>199</v>
      </c>
      <c r="AS70" s="52" t="n">
        <v>4.8</v>
      </c>
      <c r="AT70" s="52" t="n">
        <f aca="false">IF(AR70="EUR",AA70,IF(AR70="GBP",AB70,1))</f>
        <v>9</v>
      </c>
      <c r="AU70" s="52" t="n">
        <f aca="false">T70*AS70</f>
        <v>1222.0416</v>
      </c>
      <c r="AV70" s="52" t="n">
        <f aca="false">AU70*AT70</f>
        <v>10998.3744</v>
      </c>
      <c r="AW70" s="52" t="s">
        <v>199</v>
      </c>
      <c r="AX70" s="52" t="n">
        <v>2.3</v>
      </c>
      <c r="AY70" s="52" t="n">
        <f aca="false">IF(AW70="EUR",AA70,IF(AW70="GBP",AB70,1))</f>
        <v>9</v>
      </c>
      <c r="AZ70" s="52" t="n">
        <f aca="false">V70*AX70</f>
        <v>180.3529728</v>
      </c>
      <c r="BA70" s="52" t="n">
        <f aca="false">AZ70*AY70</f>
        <v>1623.1767552</v>
      </c>
      <c r="BB70" s="52" t="n">
        <f aca="false">AF70+AG70+AL70+AQ70+AV70+BA70</f>
        <v>197557.6891392</v>
      </c>
      <c r="BC70" s="54" t="n">
        <v>0.93</v>
      </c>
      <c r="BD70" s="32"/>
      <c r="BE70" s="32"/>
      <c r="BF70" s="32"/>
      <c r="BG70" s="32" t="s">
        <v>197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46204</v>
      </c>
      <c r="E71" s="18" t="s">
        <v>122</v>
      </c>
      <c r="F71" s="18" t="s">
        <v>119</v>
      </c>
      <c r="G71" s="18" t="s">
        <v>100</v>
      </c>
      <c r="H71" s="18" t="s">
        <v>107</v>
      </c>
      <c r="I71" s="18" t="s">
        <v>102</v>
      </c>
      <c r="J71" s="50" t="n">
        <v>17000</v>
      </c>
      <c r="K71" s="51" t="n">
        <v>0.3</v>
      </c>
      <c r="L71" s="51" t="n">
        <v>0.96</v>
      </c>
      <c r="M71" s="51" t="n">
        <v>0.25</v>
      </c>
      <c r="N71" s="52" t="n">
        <f aca="false">J71*K71*L71*M71</f>
        <v>1224</v>
      </c>
      <c r="O71" s="50" t="n">
        <v>1.12</v>
      </c>
      <c r="P71" s="52" t="n">
        <f aca="false">N71*O71</f>
        <v>1370.88</v>
      </c>
      <c r="Q71" s="50" t="n">
        <v>1</v>
      </c>
      <c r="R71" s="52" t="n">
        <f aca="false">P71*Q71</f>
        <v>1370.88</v>
      </c>
      <c r="S71" s="50" t="n">
        <v>0.08</v>
      </c>
      <c r="T71" s="52" t="n">
        <f aca="false">N71*S71</f>
        <v>97.92</v>
      </c>
      <c r="U71" s="52" t="n">
        <v>0.017</v>
      </c>
      <c r="V71" s="52" t="n">
        <f aca="false">P71*U71</f>
        <v>23.30496</v>
      </c>
      <c r="W71" s="53" t="s">
        <v>199</v>
      </c>
      <c r="X71" s="50" t="n">
        <v>4.7</v>
      </c>
      <c r="Y71" s="53" t="s">
        <v>198</v>
      </c>
      <c r="Z71" s="50" t="n">
        <v>0.33</v>
      </c>
      <c r="AA71" s="50" t="n">
        <v>7.8</v>
      </c>
      <c r="AB71" s="50" t="n">
        <v>9</v>
      </c>
      <c r="AC71" s="52" t="n">
        <f aca="false">IF(W71="EUR",AA71,IF(W71="GBP",AB71,1))</f>
        <v>9</v>
      </c>
      <c r="AD71" s="52" t="n">
        <f aca="false">R71*X71</f>
        <v>6443.136</v>
      </c>
      <c r="AE71" s="52" t="n">
        <f aca="false">IF(Y71="PERCENTAGE_OF_BASE_FREIGHT",AD71*Z71,IF(Y71="PER_CHARGEABLE_KG",R71*Z71,P71*Z71))</f>
        <v>452.3904</v>
      </c>
      <c r="AF71" s="52" t="n">
        <f aca="false">AD71*AC71</f>
        <v>57988.224</v>
      </c>
      <c r="AG71" s="52" t="n">
        <f aca="false">AE71*AC71</f>
        <v>4071.5136</v>
      </c>
      <c r="AH71" s="52" t="s">
        <v>195</v>
      </c>
      <c r="AI71" s="52" t="n">
        <v>1.18</v>
      </c>
      <c r="AJ71" s="52" t="n">
        <f aca="false">IF(AH71="EUR",AA71,IF(AH71="GBP",AB71,1))</f>
        <v>7.8</v>
      </c>
      <c r="AK71" s="52" t="n">
        <f aca="false">N71*AI71</f>
        <v>1444.32</v>
      </c>
      <c r="AL71" s="52" t="n">
        <f aca="false">AK71*AJ71</f>
        <v>11265.696</v>
      </c>
      <c r="AM71" s="52" t="s">
        <v>195</v>
      </c>
      <c r="AN71" s="52" t="n">
        <v>0.42</v>
      </c>
      <c r="AO71" s="52" t="n">
        <f aca="false">IF(AM71="EUR",AA71,IF(AM71="GBP",AB71,1))</f>
        <v>7.8</v>
      </c>
      <c r="AP71" s="52" t="n">
        <f aca="false">P71*AN71</f>
        <v>575.7696</v>
      </c>
      <c r="AQ71" s="52" t="n">
        <f aca="false">AP71*AO71</f>
        <v>4491.00288</v>
      </c>
      <c r="AR71" s="52" t="s">
        <v>199</v>
      </c>
      <c r="AS71" s="52" t="n">
        <v>4.8</v>
      </c>
      <c r="AT71" s="52" t="n">
        <f aca="false">IF(AR71="EUR",AA71,IF(AR71="GBP",AB71,1))</f>
        <v>9</v>
      </c>
      <c r="AU71" s="52" t="n">
        <f aca="false">T71*AS71</f>
        <v>470.016</v>
      </c>
      <c r="AV71" s="52" t="n">
        <f aca="false">AU71*AT71</f>
        <v>4230.144</v>
      </c>
      <c r="AW71" s="52" t="s">
        <v>199</v>
      </c>
      <c r="AX71" s="52" t="n">
        <v>2.3</v>
      </c>
      <c r="AY71" s="52" t="n">
        <f aca="false">IF(AW71="EUR",AA71,IF(AW71="GBP",AB71,1))</f>
        <v>9</v>
      </c>
      <c r="AZ71" s="52" t="n">
        <f aca="false">V71*AX71</f>
        <v>53.601408</v>
      </c>
      <c r="BA71" s="52" t="n">
        <f aca="false">AZ71*AY71</f>
        <v>482.412672</v>
      </c>
      <c r="BB71" s="52" t="n">
        <f aca="false">AF71+AG71+AL71+AQ71+AV71+BA71</f>
        <v>82528.993152</v>
      </c>
      <c r="BC71" s="54" t="n">
        <v>0.95</v>
      </c>
      <c r="BD71" s="32"/>
      <c r="BE71" s="32"/>
      <c r="BF71" s="32"/>
      <c r="BG71" s="32" t="s">
        <v>197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46204</v>
      </c>
      <c r="E72" s="18" t="s">
        <v>124</v>
      </c>
      <c r="F72" s="18" t="s">
        <v>119</v>
      </c>
      <c r="G72" s="18" t="s">
        <v>100</v>
      </c>
      <c r="H72" s="18" t="s">
        <v>107</v>
      </c>
      <c r="I72" s="18" t="s">
        <v>125</v>
      </c>
      <c r="J72" s="50" t="n">
        <v>17000</v>
      </c>
      <c r="K72" s="51" t="n">
        <v>0.3</v>
      </c>
      <c r="L72" s="51" t="n">
        <v>0.96</v>
      </c>
      <c r="M72" s="51" t="n">
        <v>0.07</v>
      </c>
      <c r="N72" s="52" t="n">
        <f aca="false">J72*K72*L72*M72</f>
        <v>342.72</v>
      </c>
      <c r="O72" s="50" t="n">
        <v>1.12</v>
      </c>
      <c r="P72" s="52" t="n">
        <f aca="false">N72*O72</f>
        <v>383.8464</v>
      </c>
      <c r="Q72" s="50" t="n">
        <v>0.94</v>
      </c>
      <c r="R72" s="52" t="n">
        <f aca="false">P72*Q72</f>
        <v>360.815616</v>
      </c>
      <c r="S72" s="50" t="n">
        <v>0.08</v>
      </c>
      <c r="T72" s="52" t="n">
        <f aca="false">N72*S72</f>
        <v>27.4176</v>
      </c>
      <c r="U72" s="52" t="n">
        <v>0.013</v>
      </c>
      <c r="V72" s="52" t="n">
        <f aca="false">P72*U72</f>
        <v>4.9900032</v>
      </c>
      <c r="W72" s="53" t="s">
        <v>199</v>
      </c>
      <c r="X72" s="50" t="n">
        <v>6.2</v>
      </c>
      <c r="Y72" s="53" t="s">
        <v>196</v>
      </c>
      <c r="Z72" s="50" t="n">
        <v>0.115</v>
      </c>
      <c r="AA72" s="50" t="n">
        <v>7.8</v>
      </c>
      <c r="AB72" s="50" t="n">
        <v>9</v>
      </c>
      <c r="AC72" s="52" t="n">
        <f aca="false">IF(W72="EUR",AA72,IF(W72="GBP",AB72,1))</f>
        <v>9</v>
      </c>
      <c r="AD72" s="52" t="n">
        <f aca="false">R72*X72</f>
        <v>2237.0568192</v>
      </c>
      <c r="AE72" s="52" t="n">
        <f aca="false">IF(Y72="PERCENTAGE_OF_BASE_FREIGHT",AD72*Z72,IF(Y72="PER_CHARGEABLE_KG",R72*Z72,P72*Z72))</f>
        <v>257.261534208</v>
      </c>
      <c r="AF72" s="52" t="n">
        <f aca="false">AD72*AC72</f>
        <v>20133.5113728</v>
      </c>
      <c r="AG72" s="52" t="n">
        <f aca="false">AE72*AC72</f>
        <v>2315.353807872</v>
      </c>
      <c r="AH72" s="52" t="s">
        <v>195</v>
      </c>
      <c r="AI72" s="52" t="n">
        <v>1.18</v>
      </c>
      <c r="AJ72" s="52" t="n">
        <f aca="false">IF(AH72="EUR",AA72,IF(AH72="GBP",AB72,1))</f>
        <v>7.8</v>
      </c>
      <c r="AK72" s="52" t="n">
        <f aca="false">N72*AI72</f>
        <v>404.4096</v>
      </c>
      <c r="AL72" s="52" t="n">
        <f aca="false">AK72*AJ72</f>
        <v>3154.39488</v>
      </c>
      <c r="AM72" s="52" t="s">
        <v>195</v>
      </c>
      <c r="AN72" s="52" t="n">
        <v>0.42</v>
      </c>
      <c r="AO72" s="52" t="n">
        <f aca="false">IF(AM72="EUR",AA72,IF(AM72="GBP",AB72,1))</f>
        <v>7.8</v>
      </c>
      <c r="AP72" s="52" t="n">
        <f aca="false">P72*AN72</f>
        <v>161.215488</v>
      </c>
      <c r="AQ72" s="52" t="n">
        <f aca="false">AP72*AO72</f>
        <v>1257.4808064</v>
      </c>
      <c r="AR72" s="52" t="s">
        <v>199</v>
      </c>
      <c r="AS72" s="52" t="n">
        <v>4.8</v>
      </c>
      <c r="AT72" s="52" t="n">
        <f aca="false">IF(AR72="EUR",AA72,IF(AR72="GBP",AB72,1))</f>
        <v>9</v>
      </c>
      <c r="AU72" s="52" t="n">
        <f aca="false">T72*AS72</f>
        <v>131.60448</v>
      </c>
      <c r="AV72" s="52" t="n">
        <f aca="false">AU72*AT72</f>
        <v>1184.44032</v>
      </c>
      <c r="AW72" s="52" t="s">
        <v>199</v>
      </c>
      <c r="AX72" s="52" t="n">
        <v>2.8</v>
      </c>
      <c r="AY72" s="52" t="n">
        <f aca="false">IF(AW72="EUR",AA72,IF(AW72="GBP",AB72,1))</f>
        <v>9</v>
      </c>
      <c r="AZ72" s="52" t="n">
        <f aca="false">V72*AX72</f>
        <v>13.97200896</v>
      </c>
      <c r="BA72" s="52" t="n">
        <f aca="false">AZ72*AY72</f>
        <v>125.74808064</v>
      </c>
      <c r="BB72" s="52" t="n">
        <f aca="false">AF72+AG72+AL72+AQ72+AV72+BA72</f>
        <v>28170.929267712</v>
      </c>
      <c r="BC72" s="54" t="n">
        <v>0.974</v>
      </c>
      <c r="BD72" s="32"/>
      <c r="BE72" s="32"/>
      <c r="BF72" s="32"/>
      <c r="BG72" s="32" t="s">
        <v>197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46204</v>
      </c>
      <c r="E73" s="18" t="s">
        <v>127</v>
      </c>
      <c r="F73" s="18" t="s">
        <v>119</v>
      </c>
      <c r="G73" s="18" t="s">
        <v>100</v>
      </c>
      <c r="H73" s="18" t="s">
        <v>128</v>
      </c>
      <c r="I73" s="18" t="s">
        <v>125</v>
      </c>
      <c r="J73" s="50" t="n">
        <v>17000</v>
      </c>
      <c r="K73" s="51" t="n">
        <v>0.3</v>
      </c>
      <c r="L73" s="51" t="n">
        <v>0.96</v>
      </c>
      <c r="M73" s="51" t="n">
        <v>0.03</v>
      </c>
      <c r="N73" s="52" t="n">
        <f aca="false">J73*K73*L73*M73</f>
        <v>146.88</v>
      </c>
      <c r="O73" s="50" t="n">
        <v>1.12</v>
      </c>
      <c r="P73" s="52" t="n">
        <f aca="false">N73*O73</f>
        <v>164.5056</v>
      </c>
      <c r="Q73" s="50" t="n">
        <v>0.92</v>
      </c>
      <c r="R73" s="52" t="n">
        <f aca="false">P73*Q73</f>
        <v>151.345152</v>
      </c>
      <c r="S73" s="50" t="n">
        <v>0.08</v>
      </c>
      <c r="T73" s="52" t="n">
        <f aca="false">N73*S73</f>
        <v>11.7504</v>
      </c>
      <c r="U73" s="52" t="n">
        <v>0.009</v>
      </c>
      <c r="V73" s="52" t="n">
        <f aca="false">P73*U73</f>
        <v>1.4805504</v>
      </c>
      <c r="W73" s="53" t="s">
        <v>199</v>
      </c>
      <c r="X73" s="50" t="n">
        <v>7.5</v>
      </c>
      <c r="Y73" s="53" t="s">
        <v>198</v>
      </c>
      <c r="Z73" s="50" t="n">
        <v>0.58</v>
      </c>
      <c r="AA73" s="50" t="n">
        <v>7.8</v>
      </c>
      <c r="AB73" s="50" t="n">
        <v>9</v>
      </c>
      <c r="AC73" s="52" t="n">
        <f aca="false">IF(W73="EUR",AA73,IF(W73="GBP",AB73,1))</f>
        <v>9</v>
      </c>
      <c r="AD73" s="52" t="n">
        <f aca="false">R73*X73</f>
        <v>1135.08864</v>
      </c>
      <c r="AE73" s="52" t="n">
        <f aca="false">IF(Y73="PERCENTAGE_OF_BASE_FREIGHT",AD73*Z73,IF(Y73="PER_CHARGEABLE_KG",R73*Z73,P73*Z73))</f>
        <v>87.78018816</v>
      </c>
      <c r="AF73" s="52" t="n">
        <f aca="false">AD73*AC73</f>
        <v>10215.79776</v>
      </c>
      <c r="AG73" s="52" t="n">
        <f aca="false">AE73*AC73</f>
        <v>790.02169344</v>
      </c>
      <c r="AH73" s="52" t="s">
        <v>195</v>
      </c>
      <c r="AI73" s="52" t="n">
        <v>1.18</v>
      </c>
      <c r="AJ73" s="52" t="n">
        <f aca="false">IF(AH73="EUR",AA73,IF(AH73="GBP",AB73,1))</f>
        <v>7.8</v>
      </c>
      <c r="AK73" s="52" t="n">
        <f aca="false">N73*AI73</f>
        <v>173.3184</v>
      </c>
      <c r="AL73" s="52" t="n">
        <f aca="false">AK73*AJ73</f>
        <v>1351.88352</v>
      </c>
      <c r="AM73" s="52" t="s">
        <v>195</v>
      </c>
      <c r="AN73" s="52" t="n">
        <v>0.42</v>
      </c>
      <c r="AO73" s="52" t="n">
        <f aca="false">IF(AM73="EUR",AA73,IF(AM73="GBP",AB73,1))</f>
        <v>7.8</v>
      </c>
      <c r="AP73" s="52" t="n">
        <f aca="false">P73*AN73</f>
        <v>69.092352</v>
      </c>
      <c r="AQ73" s="52" t="n">
        <f aca="false">AP73*AO73</f>
        <v>538.9203456</v>
      </c>
      <c r="AR73" s="52" t="s">
        <v>199</v>
      </c>
      <c r="AS73" s="52" t="n">
        <v>4.8</v>
      </c>
      <c r="AT73" s="52" t="n">
        <f aca="false">IF(AR73="EUR",AA73,IF(AR73="GBP",AB73,1))</f>
        <v>9</v>
      </c>
      <c r="AU73" s="52" t="n">
        <f aca="false">T73*AS73</f>
        <v>56.40192</v>
      </c>
      <c r="AV73" s="52" t="n">
        <f aca="false">AU73*AT73</f>
        <v>507.61728</v>
      </c>
      <c r="AW73" s="52" t="s">
        <v>199</v>
      </c>
      <c r="AX73" s="52" t="n">
        <v>3.6</v>
      </c>
      <c r="AY73" s="52" t="n">
        <f aca="false">IF(AW73="EUR",AA73,IF(AW73="GBP",AB73,1))</f>
        <v>9</v>
      </c>
      <c r="AZ73" s="52" t="n">
        <f aca="false">V73*AX73</f>
        <v>5.32998144</v>
      </c>
      <c r="BA73" s="52" t="n">
        <f aca="false">AZ73*AY73</f>
        <v>47.96983296</v>
      </c>
      <c r="BB73" s="52" t="n">
        <f aca="false">AF73+AG73+AL73+AQ73+AV73+BA73</f>
        <v>13452.210432</v>
      </c>
      <c r="BC73" s="54" t="n">
        <v>0.988</v>
      </c>
      <c r="BD73" s="32"/>
      <c r="BE73" s="32"/>
      <c r="BF73" s="32"/>
      <c r="BG73" s="32" t="s">
        <v>197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46204</v>
      </c>
      <c r="E74" s="18" t="s">
        <v>130</v>
      </c>
      <c r="F74" s="18" t="s">
        <v>119</v>
      </c>
      <c r="G74" s="18" t="s">
        <v>110</v>
      </c>
      <c r="H74" s="18" t="s">
        <v>107</v>
      </c>
      <c r="I74" s="18" t="s">
        <v>125</v>
      </c>
      <c r="J74" s="50" t="n">
        <v>17000</v>
      </c>
      <c r="K74" s="51" t="n">
        <v>0.3</v>
      </c>
      <c r="L74" s="51" t="n">
        <v>0.04</v>
      </c>
      <c r="M74" s="51" t="n">
        <v>1</v>
      </c>
      <c r="N74" s="52" t="n">
        <f aca="false">J74*K74*L74*M74</f>
        <v>204</v>
      </c>
      <c r="O74" s="50" t="n">
        <v>1.15</v>
      </c>
      <c r="P74" s="52" t="n">
        <f aca="false">N74*O74</f>
        <v>234.6</v>
      </c>
      <c r="Q74" s="50" t="n">
        <v>0.9</v>
      </c>
      <c r="R74" s="52" t="n">
        <f aca="false">P74*Q74</f>
        <v>211.14</v>
      </c>
      <c r="S74" s="50" t="n">
        <v>0.08</v>
      </c>
      <c r="T74" s="52" t="n">
        <f aca="false">N74*S74</f>
        <v>16.32</v>
      </c>
      <c r="U74" s="52" t="n">
        <v>0.012</v>
      </c>
      <c r="V74" s="52" t="n">
        <f aca="false">P74*U74</f>
        <v>2.8152</v>
      </c>
      <c r="W74" s="53" t="s">
        <v>195</v>
      </c>
      <c r="X74" s="50" t="n">
        <v>6.7</v>
      </c>
      <c r="Y74" s="53" t="s">
        <v>196</v>
      </c>
      <c r="Z74" s="50" t="n">
        <v>0.105</v>
      </c>
      <c r="AA74" s="50" t="n">
        <v>7.8</v>
      </c>
      <c r="AB74" s="50" t="n">
        <v>9</v>
      </c>
      <c r="AC74" s="52" t="n">
        <f aca="false">IF(W74="EUR",AA74,IF(W74="GBP",AB74,1))</f>
        <v>7.8</v>
      </c>
      <c r="AD74" s="52" t="n">
        <f aca="false">R74*X74</f>
        <v>1414.638</v>
      </c>
      <c r="AE74" s="52" t="n">
        <f aca="false">IF(Y74="PERCENTAGE_OF_BASE_FREIGHT",AD74*Z74,IF(Y74="PER_CHARGEABLE_KG",R74*Z74,P74*Z74))</f>
        <v>148.53699</v>
      </c>
      <c r="AF74" s="52" t="n">
        <f aca="false">AD74*AC74</f>
        <v>11034.1764</v>
      </c>
      <c r="AG74" s="52" t="n">
        <f aca="false">AE74*AC74</f>
        <v>1158.588522</v>
      </c>
      <c r="AH74" s="52" t="s">
        <v>195</v>
      </c>
      <c r="AI74" s="52" t="n">
        <v>1.05</v>
      </c>
      <c r="AJ74" s="52" t="n">
        <f aca="false">IF(AH74="EUR",AA74,IF(AH74="GBP",AB74,1))</f>
        <v>7.8</v>
      </c>
      <c r="AK74" s="52" t="n">
        <f aca="false">N74*AI74</f>
        <v>214.2</v>
      </c>
      <c r="AL74" s="52" t="n">
        <f aca="false">AK74*AJ74</f>
        <v>1670.76</v>
      </c>
      <c r="AM74" s="52" t="s">
        <v>195</v>
      </c>
      <c r="AN74" s="52" t="n">
        <v>0.38</v>
      </c>
      <c r="AO74" s="52" t="n">
        <f aca="false">IF(AM74="EUR",AA74,IF(AM74="GBP",AB74,1))</f>
        <v>7.8</v>
      </c>
      <c r="AP74" s="52" t="n">
        <f aca="false">P74*AN74</f>
        <v>89.148</v>
      </c>
      <c r="AQ74" s="52" t="n">
        <f aca="false">AP74*AO74</f>
        <v>695.3544</v>
      </c>
      <c r="AR74" s="52" t="s">
        <v>195</v>
      </c>
      <c r="AS74" s="52" t="n">
        <v>5.2</v>
      </c>
      <c r="AT74" s="52" t="n">
        <f aca="false">IF(AR74="EUR",AA74,IF(AR74="GBP",AB74,1))</f>
        <v>7.8</v>
      </c>
      <c r="AU74" s="52" t="n">
        <f aca="false">T74*AS74</f>
        <v>84.864</v>
      </c>
      <c r="AV74" s="52" t="n">
        <f aca="false">AU74*AT74</f>
        <v>661.9392</v>
      </c>
      <c r="AW74" s="52" t="s">
        <v>195</v>
      </c>
      <c r="AX74" s="52" t="n">
        <v>2.8</v>
      </c>
      <c r="AY74" s="52" t="n">
        <f aca="false">IF(AW74="EUR",AA74,IF(AW74="GBP",AB74,1))</f>
        <v>7.8</v>
      </c>
      <c r="AZ74" s="52" t="n">
        <f aca="false">V74*AX74</f>
        <v>7.88256</v>
      </c>
      <c r="BA74" s="52" t="n">
        <f aca="false">AZ74*AY74</f>
        <v>61.483968</v>
      </c>
      <c r="BB74" s="52" t="n">
        <f aca="false">AF74+AG74+AL74+AQ74+AV74+BA74</f>
        <v>15282.30249</v>
      </c>
      <c r="BC74" s="54" t="n">
        <v>0.971</v>
      </c>
      <c r="BD74" s="32"/>
      <c r="BE74" s="32"/>
      <c r="BF74" s="32"/>
      <c r="BG74" s="32" t="s">
        <v>197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46235</v>
      </c>
      <c r="E75" s="18" t="s">
        <v>98</v>
      </c>
      <c r="F75" s="18" t="s">
        <v>99</v>
      </c>
      <c r="G75" s="18" t="s">
        <v>100</v>
      </c>
      <c r="H75" s="18" t="s">
        <v>101</v>
      </c>
      <c r="I75" s="18" t="s">
        <v>102</v>
      </c>
      <c r="J75" s="50" t="n">
        <v>16000</v>
      </c>
      <c r="K75" s="51" t="n">
        <v>0.38</v>
      </c>
      <c r="L75" s="51" t="n">
        <v>0.97</v>
      </c>
      <c r="M75" s="51" t="n">
        <v>0.6</v>
      </c>
      <c r="N75" s="52" t="n">
        <f aca="false">J75*K75*L75*M75</f>
        <v>3538.56</v>
      </c>
      <c r="O75" s="50" t="n">
        <v>1.05</v>
      </c>
      <c r="P75" s="52" t="n">
        <f aca="false">N75*O75</f>
        <v>3715.488</v>
      </c>
      <c r="Q75" s="50" t="n">
        <v>0.78</v>
      </c>
      <c r="R75" s="52" t="n">
        <f aca="false">P75*Q75</f>
        <v>2898.08064</v>
      </c>
      <c r="S75" s="50" t="n">
        <v>0.05</v>
      </c>
      <c r="T75" s="52" t="n">
        <f aca="false">N75*S75</f>
        <v>176.928</v>
      </c>
      <c r="U75" s="52" t="n">
        <v>0.016</v>
      </c>
      <c r="V75" s="52" t="n">
        <f aca="false">P75*U75</f>
        <v>59.447808</v>
      </c>
      <c r="W75" s="53" t="s">
        <v>195</v>
      </c>
      <c r="X75" s="50" t="n">
        <v>2.2</v>
      </c>
      <c r="Y75" s="53" t="s">
        <v>196</v>
      </c>
      <c r="Z75" s="50" t="n">
        <v>0.095</v>
      </c>
      <c r="AA75" s="50" t="n">
        <v>7.8</v>
      </c>
      <c r="AB75" s="50" t="n">
        <v>9</v>
      </c>
      <c r="AC75" s="52" t="n">
        <f aca="false">IF(W75="EUR",AA75,IF(W75="GBP",AB75,1))</f>
        <v>7.8</v>
      </c>
      <c r="AD75" s="52" t="n">
        <f aca="false">R75*X75</f>
        <v>6375.777408</v>
      </c>
      <c r="AE75" s="52" t="n">
        <f aca="false">IF(Y75="PERCENTAGE_OF_BASE_FREIGHT",AD75*Z75,IF(Y75="PER_CHARGEABLE_KG",R75*Z75,P75*Z75))</f>
        <v>605.69885376</v>
      </c>
      <c r="AF75" s="52" t="n">
        <f aca="false">AD75*AC75</f>
        <v>49731.0637824</v>
      </c>
      <c r="AG75" s="52" t="n">
        <f aca="false">AE75*AC75</f>
        <v>4724.451059328</v>
      </c>
      <c r="AH75" s="52" t="s">
        <v>195</v>
      </c>
      <c r="AI75" s="52" t="n">
        <v>1.18</v>
      </c>
      <c r="AJ75" s="52" t="n">
        <f aca="false">IF(AH75="EUR",AA75,IF(AH75="GBP",AB75,1))</f>
        <v>7.8</v>
      </c>
      <c r="AK75" s="52" t="n">
        <f aca="false">N75*AI75</f>
        <v>4175.5008</v>
      </c>
      <c r="AL75" s="52" t="n">
        <f aca="false">AK75*AJ75</f>
        <v>32568.90624</v>
      </c>
      <c r="AM75" s="52" t="s">
        <v>195</v>
      </c>
      <c r="AN75" s="52" t="n">
        <v>0.42</v>
      </c>
      <c r="AO75" s="52" t="n">
        <f aca="false">IF(AM75="EUR",AA75,IF(AM75="GBP",AB75,1))</f>
        <v>7.8</v>
      </c>
      <c r="AP75" s="52" t="n">
        <f aca="false">P75*AN75</f>
        <v>1560.50496</v>
      </c>
      <c r="AQ75" s="52" t="n">
        <f aca="false">AP75*AO75</f>
        <v>12171.938688</v>
      </c>
      <c r="AR75" s="52" t="s">
        <v>195</v>
      </c>
      <c r="AS75" s="52" t="n">
        <v>3.2</v>
      </c>
      <c r="AT75" s="52" t="n">
        <f aca="false">IF(AR75="EUR",AA75,IF(AR75="GBP",AB75,1))</f>
        <v>7.8</v>
      </c>
      <c r="AU75" s="52" t="n">
        <f aca="false">T75*AS75</f>
        <v>566.1696</v>
      </c>
      <c r="AV75" s="52" t="n">
        <f aca="false">AU75*AT75</f>
        <v>4416.12288</v>
      </c>
      <c r="AW75" s="52" t="s">
        <v>195</v>
      </c>
      <c r="AX75" s="52" t="n">
        <v>2.3</v>
      </c>
      <c r="AY75" s="52" t="n">
        <f aca="false">IF(AW75="EUR",AA75,IF(AW75="GBP",AB75,1))</f>
        <v>7.8</v>
      </c>
      <c r="AZ75" s="52" t="n">
        <f aca="false">V75*AX75</f>
        <v>136.7299584</v>
      </c>
      <c r="BA75" s="52" t="n">
        <f aca="false">AZ75*AY75</f>
        <v>1066.49367552</v>
      </c>
      <c r="BB75" s="52" t="n">
        <f aca="false">AF75+AG75+AL75+AQ75+AV75+BA75</f>
        <v>104678.976325248</v>
      </c>
      <c r="BC75" s="54" t="n">
        <v>0.965</v>
      </c>
      <c r="BD75" s="32" t="s">
        <v>77</v>
      </c>
      <c r="BE75" s="32"/>
      <c r="BF75" s="32"/>
      <c r="BG75" s="32" t="s">
        <v>197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46235</v>
      </c>
      <c r="E76" s="18" t="s">
        <v>106</v>
      </c>
      <c r="F76" s="18" t="s">
        <v>99</v>
      </c>
      <c r="G76" s="18" t="s">
        <v>100</v>
      </c>
      <c r="H76" s="18" t="s">
        <v>107</v>
      </c>
      <c r="I76" s="18" t="s">
        <v>102</v>
      </c>
      <c r="J76" s="50" t="n">
        <v>16000</v>
      </c>
      <c r="K76" s="51" t="n">
        <v>0.38</v>
      </c>
      <c r="L76" s="51" t="n">
        <v>0.97</v>
      </c>
      <c r="M76" s="51" t="n">
        <v>0.4</v>
      </c>
      <c r="N76" s="52" t="n">
        <f aca="false">J76*K76*L76*M76</f>
        <v>2359.04</v>
      </c>
      <c r="O76" s="50" t="n">
        <v>1.05</v>
      </c>
      <c r="P76" s="52" t="n">
        <f aca="false">N76*O76</f>
        <v>2476.992</v>
      </c>
      <c r="Q76" s="50" t="n">
        <v>0.8</v>
      </c>
      <c r="R76" s="52" t="n">
        <f aca="false">P76*Q76</f>
        <v>1981.5936</v>
      </c>
      <c r="S76" s="50" t="n">
        <v>0.05</v>
      </c>
      <c r="T76" s="52" t="n">
        <f aca="false">N76*S76</f>
        <v>117.952</v>
      </c>
      <c r="U76" s="52" t="n">
        <v>0.013</v>
      </c>
      <c r="V76" s="52" t="n">
        <f aca="false">P76*U76</f>
        <v>32.200896</v>
      </c>
      <c r="W76" s="53" t="s">
        <v>195</v>
      </c>
      <c r="X76" s="50" t="n">
        <v>2.75</v>
      </c>
      <c r="Y76" s="53" t="s">
        <v>198</v>
      </c>
      <c r="Z76" s="50" t="n">
        <v>0.21</v>
      </c>
      <c r="AA76" s="50" t="n">
        <v>7.8</v>
      </c>
      <c r="AB76" s="50" t="n">
        <v>9</v>
      </c>
      <c r="AC76" s="52" t="n">
        <f aca="false">IF(W76="EUR",AA76,IF(W76="GBP",AB76,1))</f>
        <v>7.8</v>
      </c>
      <c r="AD76" s="52" t="n">
        <f aca="false">R76*X76</f>
        <v>5449.3824</v>
      </c>
      <c r="AE76" s="52" t="n">
        <f aca="false">IF(Y76="PERCENTAGE_OF_BASE_FREIGHT",AD76*Z76,IF(Y76="PER_CHARGEABLE_KG",R76*Z76,P76*Z76))</f>
        <v>416.134656</v>
      </c>
      <c r="AF76" s="52" t="n">
        <f aca="false">AD76*AC76</f>
        <v>42505.18272</v>
      </c>
      <c r="AG76" s="52" t="n">
        <f aca="false">AE76*AC76</f>
        <v>3245.8503168</v>
      </c>
      <c r="AH76" s="52" t="s">
        <v>195</v>
      </c>
      <c r="AI76" s="52" t="n">
        <v>1.18</v>
      </c>
      <c r="AJ76" s="52" t="n">
        <f aca="false">IF(AH76="EUR",AA76,IF(AH76="GBP",AB76,1))</f>
        <v>7.8</v>
      </c>
      <c r="AK76" s="52" t="n">
        <f aca="false">N76*AI76</f>
        <v>2783.6672</v>
      </c>
      <c r="AL76" s="52" t="n">
        <f aca="false">AK76*AJ76</f>
        <v>21712.60416</v>
      </c>
      <c r="AM76" s="52" t="s">
        <v>195</v>
      </c>
      <c r="AN76" s="52" t="n">
        <v>0.42</v>
      </c>
      <c r="AO76" s="52" t="n">
        <f aca="false">IF(AM76="EUR",AA76,IF(AM76="GBP",AB76,1))</f>
        <v>7.8</v>
      </c>
      <c r="AP76" s="52" t="n">
        <f aca="false">P76*AN76</f>
        <v>1040.33664</v>
      </c>
      <c r="AQ76" s="52" t="n">
        <f aca="false">AP76*AO76</f>
        <v>8114.625792</v>
      </c>
      <c r="AR76" s="52" t="s">
        <v>195</v>
      </c>
      <c r="AS76" s="52" t="n">
        <v>3.2</v>
      </c>
      <c r="AT76" s="52" t="n">
        <f aca="false">IF(AR76="EUR",AA76,IF(AR76="GBP",AB76,1))</f>
        <v>7.8</v>
      </c>
      <c r="AU76" s="52" t="n">
        <f aca="false">T76*AS76</f>
        <v>377.4464</v>
      </c>
      <c r="AV76" s="52" t="n">
        <f aca="false">AU76*AT76</f>
        <v>2944.08192</v>
      </c>
      <c r="AW76" s="52" t="s">
        <v>195</v>
      </c>
      <c r="AX76" s="52" t="n">
        <v>2.3</v>
      </c>
      <c r="AY76" s="52" t="n">
        <f aca="false">IF(AW76="EUR",AA76,IF(AW76="GBP",AB76,1))</f>
        <v>7.8</v>
      </c>
      <c r="AZ76" s="52" t="n">
        <f aca="false">V76*AX76</f>
        <v>74.0620608</v>
      </c>
      <c r="BA76" s="52" t="n">
        <f aca="false">AZ76*AY76</f>
        <v>577.68407424</v>
      </c>
      <c r="BB76" s="52" t="n">
        <f aca="false">AF76+AG76+AL76+AQ76+AV76+BA76</f>
        <v>79100.02898304</v>
      </c>
      <c r="BC76" s="54" t="n">
        <v>0.976</v>
      </c>
      <c r="BD76" s="32" t="s">
        <v>77</v>
      </c>
      <c r="BE76" s="32"/>
      <c r="BF76" s="32"/>
      <c r="BG76" s="32" t="s">
        <v>197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46235</v>
      </c>
      <c r="E77" s="18" t="s">
        <v>109</v>
      </c>
      <c r="F77" s="18" t="s">
        <v>99</v>
      </c>
      <c r="G77" s="18" t="s">
        <v>110</v>
      </c>
      <c r="H77" s="18" t="s">
        <v>107</v>
      </c>
      <c r="I77" s="18" t="s">
        <v>102</v>
      </c>
      <c r="J77" s="50" t="n">
        <v>16000</v>
      </c>
      <c r="K77" s="51" t="n">
        <v>0.38</v>
      </c>
      <c r="L77" s="51" t="n">
        <v>0.03</v>
      </c>
      <c r="M77" s="51" t="n">
        <v>1</v>
      </c>
      <c r="N77" s="52" t="n">
        <f aca="false">J77*K77*L77*M77</f>
        <v>182.4</v>
      </c>
      <c r="O77" s="50" t="n">
        <v>1.08</v>
      </c>
      <c r="P77" s="52" t="n">
        <f aca="false">N77*O77</f>
        <v>196.992</v>
      </c>
      <c r="Q77" s="50" t="n">
        <v>0.86</v>
      </c>
      <c r="R77" s="52" t="n">
        <f aca="false">P77*Q77</f>
        <v>169.41312</v>
      </c>
      <c r="S77" s="50" t="n">
        <v>0.05</v>
      </c>
      <c r="T77" s="52" t="n">
        <f aca="false">N77*S77</f>
        <v>9.12</v>
      </c>
      <c r="U77" s="52" t="n">
        <v>0.014</v>
      </c>
      <c r="V77" s="52" t="n">
        <f aca="false">P77*U77</f>
        <v>2.757888</v>
      </c>
      <c r="W77" s="53" t="s">
        <v>195</v>
      </c>
      <c r="X77" s="50" t="n">
        <v>3.3</v>
      </c>
      <c r="Y77" s="53" t="s">
        <v>198</v>
      </c>
      <c r="Z77" s="50" t="n">
        <v>0.24</v>
      </c>
      <c r="AA77" s="50" t="n">
        <v>7.8</v>
      </c>
      <c r="AB77" s="50" t="n">
        <v>9</v>
      </c>
      <c r="AC77" s="52" t="n">
        <f aca="false">IF(W77="EUR",AA77,IF(W77="GBP",AB77,1))</f>
        <v>7.8</v>
      </c>
      <c r="AD77" s="52" t="n">
        <f aca="false">R77*X77</f>
        <v>559.063296</v>
      </c>
      <c r="AE77" s="52" t="n">
        <f aca="false">IF(Y77="PERCENTAGE_OF_BASE_FREIGHT",AD77*Z77,IF(Y77="PER_CHARGEABLE_KG",R77*Z77,P77*Z77))</f>
        <v>40.6591488</v>
      </c>
      <c r="AF77" s="52" t="n">
        <f aca="false">AD77*AC77</f>
        <v>4360.6937088</v>
      </c>
      <c r="AG77" s="52" t="n">
        <f aca="false">AE77*AC77</f>
        <v>317.14136064</v>
      </c>
      <c r="AH77" s="52" t="s">
        <v>195</v>
      </c>
      <c r="AI77" s="52" t="n">
        <v>1.05</v>
      </c>
      <c r="AJ77" s="52" t="n">
        <f aca="false">IF(AH77="EUR",AA77,IF(AH77="GBP",AB77,1))</f>
        <v>7.8</v>
      </c>
      <c r="AK77" s="52" t="n">
        <f aca="false">N77*AI77</f>
        <v>191.52</v>
      </c>
      <c r="AL77" s="52" t="n">
        <f aca="false">AK77*AJ77</f>
        <v>1493.856</v>
      </c>
      <c r="AM77" s="52" t="s">
        <v>195</v>
      </c>
      <c r="AN77" s="52" t="n">
        <v>0.38</v>
      </c>
      <c r="AO77" s="52" t="n">
        <f aca="false">IF(AM77="EUR",AA77,IF(AM77="GBP",AB77,1))</f>
        <v>7.8</v>
      </c>
      <c r="AP77" s="52" t="n">
        <f aca="false">P77*AN77</f>
        <v>74.85696</v>
      </c>
      <c r="AQ77" s="52" t="n">
        <f aca="false">AP77*AO77</f>
        <v>583.884288</v>
      </c>
      <c r="AR77" s="52" t="s">
        <v>195</v>
      </c>
      <c r="AS77" s="52" t="n">
        <v>3.8</v>
      </c>
      <c r="AT77" s="52" t="n">
        <f aca="false">IF(AR77="EUR",AA77,IF(AR77="GBP",AB77,1))</f>
        <v>7.8</v>
      </c>
      <c r="AU77" s="52" t="n">
        <f aca="false">T77*AS77</f>
        <v>34.656</v>
      </c>
      <c r="AV77" s="52" t="n">
        <f aca="false">AU77*AT77</f>
        <v>270.3168</v>
      </c>
      <c r="AW77" s="52" t="s">
        <v>195</v>
      </c>
      <c r="AX77" s="52" t="n">
        <v>2.3</v>
      </c>
      <c r="AY77" s="52" t="n">
        <f aca="false">IF(AW77="EUR",AA77,IF(AW77="GBP",AB77,1))</f>
        <v>7.8</v>
      </c>
      <c r="AZ77" s="52" t="n">
        <f aca="false">V77*AX77</f>
        <v>6.3431424</v>
      </c>
      <c r="BA77" s="52" t="n">
        <f aca="false">AZ77*AY77</f>
        <v>49.47651072</v>
      </c>
      <c r="BB77" s="52" t="n">
        <f aca="false">AF77+AG77+AL77+AQ77+AV77+BA77</f>
        <v>7075.36866816</v>
      </c>
      <c r="BC77" s="54" t="n">
        <v>0.968</v>
      </c>
      <c r="BD77" s="32" t="s">
        <v>77</v>
      </c>
      <c r="BE77" s="32"/>
      <c r="BF77" s="32"/>
      <c r="BG77" s="32" t="s">
        <v>197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46235</v>
      </c>
      <c r="E78" s="18" t="s">
        <v>112</v>
      </c>
      <c r="F78" s="18" t="s">
        <v>113</v>
      </c>
      <c r="G78" s="18" t="s">
        <v>110</v>
      </c>
      <c r="H78" s="18" t="s">
        <v>101</v>
      </c>
      <c r="I78" s="18" t="s">
        <v>102</v>
      </c>
      <c r="J78" s="50" t="n">
        <v>16000</v>
      </c>
      <c r="K78" s="51" t="n">
        <v>0.32</v>
      </c>
      <c r="L78" s="51" t="n">
        <v>1</v>
      </c>
      <c r="M78" s="51" t="n">
        <v>0.35</v>
      </c>
      <c r="N78" s="52" t="n">
        <f aca="false">J78*K78*L78*M78</f>
        <v>1792</v>
      </c>
      <c r="O78" s="50" t="n">
        <v>1.06</v>
      </c>
      <c r="P78" s="52" t="n">
        <f aca="false">N78*O78</f>
        <v>1899.52</v>
      </c>
      <c r="Q78" s="50" t="n">
        <v>0.76</v>
      </c>
      <c r="R78" s="52" t="n">
        <f aca="false">P78*Q78</f>
        <v>1443.6352</v>
      </c>
      <c r="S78" s="50" t="n">
        <v>0.06</v>
      </c>
      <c r="T78" s="52" t="n">
        <f aca="false">N78*S78</f>
        <v>107.52</v>
      </c>
      <c r="U78" s="52" t="n">
        <v>0.017</v>
      </c>
      <c r="V78" s="52" t="n">
        <f aca="false">P78*U78</f>
        <v>32.29184</v>
      </c>
      <c r="W78" s="53" t="s">
        <v>195</v>
      </c>
      <c r="X78" s="50" t="n">
        <v>2.1</v>
      </c>
      <c r="Y78" s="53" t="s">
        <v>196</v>
      </c>
      <c r="Z78" s="50" t="n">
        <v>0.09</v>
      </c>
      <c r="AA78" s="50" t="n">
        <v>7.8</v>
      </c>
      <c r="AB78" s="50" t="n">
        <v>9</v>
      </c>
      <c r="AC78" s="52" t="n">
        <f aca="false">IF(W78="EUR",AA78,IF(W78="GBP",AB78,1))</f>
        <v>7.8</v>
      </c>
      <c r="AD78" s="52" t="n">
        <f aca="false">R78*X78</f>
        <v>3031.63392</v>
      </c>
      <c r="AE78" s="52" t="n">
        <f aca="false">IF(Y78="PERCENTAGE_OF_BASE_FREIGHT",AD78*Z78,IF(Y78="PER_CHARGEABLE_KG",R78*Z78,P78*Z78))</f>
        <v>272.8470528</v>
      </c>
      <c r="AF78" s="52" t="n">
        <f aca="false">AD78*AC78</f>
        <v>23646.744576</v>
      </c>
      <c r="AG78" s="52" t="n">
        <f aca="false">AE78*AC78</f>
        <v>2128.20701184</v>
      </c>
      <c r="AH78" s="52" t="s">
        <v>195</v>
      </c>
      <c r="AI78" s="52" t="n">
        <v>1.05</v>
      </c>
      <c r="AJ78" s="52" t="n">
        <f aca="false">IF(AH78="EUR",AA78,IF(AH78="GBP",AB78,1))</f>
        <v>7.8</v>
      </c>
      <c r="AK78" s="52" t="n">
        <f aca="false">N78*AI78</f>
        <v>1881.6</v>
      </c>
      <c r="AL78" s="52" t="n">
        <f aca="false">AK78*AJ78</f>
        <v>14676.48</v>
      </c>
      <c r="AM78" s="52" t="s">
        <v>195</v>
      </c>
      <c r="AN78" s="52" t="n">
        <v>0.38</v>
      </c>
      <c r="AO78" s="52" t="n">
        <f aca="false">IF(AM78="EUR",AA78,IF(AM78="GBP",AB78,1))</f>
        <v>7.8</v>
      </c>
      <c r="AP78" s="52" t="n">
        <f aca="false">P78*AN78</f>
        <v>721.8176</v>
      </c>
      <c r="AQ78" s="52" t="n">
        <f aca="false">AP78*AO78</f>
        <v>5630.17728</v>
      </c>
      <c r="AR78" s="52" t="s">
        <v>195</v>
      </c>
      <c r="AS78" s="52" t="n">
        <v>3</v>
      </c>
      <c r="AT78" s="52" t="n">
        <f aca="false">IF(AR78="EUR",AA78,IF(AR78="GBP",AB78,1))</f>
        <v>7.8</v>
      </c>
      <c r="AU78" s="52" t="n">
        <f aca="false">T78*AS78</f>
        <v>322.56</v>
      </c>
      <c r="AV78" s="52" t="n">
        <f aca="false">AU78*AT78</f>
        <v>2515.968</v>
      </c>
      <c r="AW78" s="52" t="s">
        <v>195</v>
      </c>
      <c r="AX78" s="52" t="n">
        <v>2.3</v>
      </c>
      <c r="AY78" s="52" t="n">
        <f aca="false">IF(AW78="EUR",AA78,IF(AW78="GBP",AB78,1))</f>
        <v>7.8</v>
      </c>
      <c r="AZ78" s="52" t="n">
        <f aca="false">V78*AX78</f>
        <v>74.271232</v>
      </c>
      <c r="BA78" s="52" t="n">
        <f aca="false">AZ78*AY78</f>
        <v>579.3156096</v>
      </c>
      <c r="BB78" s="52" t="n">
        <f aca="false">AF78+AG78+AL78+AQ78+AV78+BA78</f>
        <v>49176.89247744</v>
      </c>
      <c r="BC78" s="54" t="n">
        <v>0.961</v>
      </c>
      <c r="BD78" s="32" t="s">
        <v>77</v>
      </c>
      <c r="BE78" s="32"/>
      <c r="BF78" s="32"/>
      <c r="BG78" s="32" t="s">
        <v>197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46235</v>
      </c>
      <c r="E79" s="18" t="s">
        <v>116</v>
      </c>
      <c r="F79" s="18" t="s">
        <v>113</v>
      </c>
      <c r="G79" s="18" t="s">
        <v>110</v>
      </c>
      <c r="H79" s="18" t="s">
        <v>107</v>
      </c>
      <c r="I79" s="18" t="s">
        <v>102</v>
      </c>
      <c r="J79" s="50" t="n">
        <v>16000</v>
      </c>
      <c r="K79" s="51" t="n">
        <v>0.32</v>
      </c>
      <c r="L79" s="51" t="n">
        <v>1</v>
      </c>
      <c r="M79" s="51" t="n">
        <v>0.65</v>
      </c>
      <c r="N79" s="52" t="n">
        <f aca="false">J79*K79*L79*M79</f>
        <v>3328</v>
      </c>
      <c r="O79" s="50" t="n">
        <v>1.06</v>
      </c>
      <c r="P79" s="52" t="n">
        <f aca="false">N79*O79</f>
        <v>3527.68</v>
      </c>
      <c r="Q79" s="50" t="n">
        <v>0.79</v>
      </c>
      <c r="R79" s="52" t="n">
        <f aca="false">P79*Q79</f>
        <v>2786.8672</v>
      </c>
      <c r="S79" s="50" t="n">
        <v>0.06</v>
      </c>
      <c r="T79" s="52" t="n">
        <f aca="false">N79*S79</f>
        <v>199.68</v>
      </c>
      <c r="U79" s="52" t="n">
        <v>0.014</v>
      </c>
      <c r="V79" s="52" t="n">
        <f aca="false">P79*U79</f>
        <v>49.38752</v>
      </c>
      <c r="W79" s="53" t="s">
        <v>195</v>
      </c>
      <c r="X79" s="50" t="n">
        <v>2.6</v>
      </c>
      <c r="Y79" s="53" t="s">
        <v>198</v>
      </c>
      <c r="Z79" s="50" t="n">
        <v>0.2</v>
      </c>
      <c r="AA79" s="50" t="n">
        <v>7.8</v>
      </c>
      <c r="AB79" s="50" t="n">
        <v>9</v>
      </c>
      <c r="AC79" s="52" t="n">
        <f aca="false">IF(W79="EUR",AA79,IF(W79="GBP",AB79,1))</f>
        <v>7.8</v>
      </c>
      <c r="AD79" s="52" t="n">
        <f aca="false">R79*X79</f>
        <v>7245.85472</v>
      </c>
      <c r="AE79" s="52" t="n">
        <f aca="false">IF(Y79="PERCENTAGE_OF_BASE_FREIGHT",AD79*Z79,IF(Y79="PER_CHARGEABLE_KG",R79*Z79,P79*Z79))</f>
        <v>557.37344</v>
      </c>
      <c r="AF79" s="52" t="n">
        <f aca="false">AD79*AC79</f>
        <v>56517.666816</v>
      </c>
      <c r="AG79" s="52" t="n">
        <f aca="false">AE79*AC79</f>
        <v>4347.512832</v>
      </c>
      <c r="AH79" s="52" t="s">
        <v>195</v>
      </c>
      <c r="AI79" s="52" t="n">
        <v>1.05</v>
      </c>
      <c r="AJ79" s="52" t="n">
        <f aca="false">IF(AH79="EUR",AA79,IF(AH79="GBP",AB79,1))</f>
        <v>7.8</v>
      </c>
      <c r="AK79" s="52" t="n">
        <f aca="false">N79*AI79</f>
        <v>3494.4</v>
      </c>
      <c r="AL79" s="52" t="n">
        <f aca="false">AK79*AJ79</f>
        <v>27256.32</v>
      </c>
      <c r="AM79" s="52" t="s">
        <v>195</v>
      </c>
      <c r="AN79" s="52" t="n">
        <v>0.38</v>
      </c>
      <c r="AO79" s="52" t="n">
        <f aca="false">IF(AM79="EUR",AA79,IF(AM79="GBP",AB79,1))</f>
        <v>7.8</v>
      </c>
      <c r="AP79" s="52" t="n">
        <f aca="false">P79*AN79</f>
        <v>1340.5184</v>
      </c>
      <c r="AQ79" s="52" t="n">
        <f aca="false">AP79*AO79</f>
        <v>10456.04352</v>
      </c>
      <c r="AR79" s="52" t="s">
        <v>195</v>
      </c>
      <c r="AS79" s="52" t="n">
        <v>3</v>
      </c>
      <c r="AT79" s="52" t="n">
        <f aca="false">IF(AR79="EUR",AA79,IF(AR79="GBP",AB79,1))</f>
        <v>7.8</v>
      </c>
      <c r="AU79" s="52" t="n">
        <f aca="false">T79*AS79</f>
        <v>599.04</v>
      </c>
      <c r="AV79" s="52" t="n">
        <f aca="false">AU79*AT79</f>
        <v>4672.512</v>
      </c>
      <c r="AW79" s="52" t="s">
        <v>195</v>
      </c>
      <c r="AX79" s="52" t="n">
        <v>2.3</v>
      </c>
      <c r="AY79" s="52" t="n">
        <f aca="false">IF(AW79="EUR",AA79,IF(AW79="GBP",AB79,1))</f>
        <v>7.8</v>
      </c>
      <c r="AZ79" s="52" t="n">
        <f aca="false">V79*AX79</f>
        <v>113.591296</v>
      </c>
      <c r="BA79" s="52" t="n">
        <f aca="false">AZ79*AY79</f>
        <v>886.0121088</v>
      </c>
      <c r="BB79" s="52" t="n">
        <f aca="false">AF79+AG79+AL79+AQ79+AV79+BA79</f>
        <v>104136.0672768</v>
      </c>
      <c r="BC79" s="54" t="n">
        <v>0.973</v>
      </c>
      <c r="BD79" s="32" t="s">
        <v>77</v>
      </c>
      <c r="BE79" s="32"/>
      <c r="BF79" s="32"/>
      <c r="BG79" s="32" t="s">
        <v>197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46235</v>
      </c>
      <c r="E80" s="18" t="s">
        <v>118</v>
      </c>
      <c r="F80" s="18" t="s">
        <v>119</v>
      </c>
      <c r="G80" s="18" t="s">
        <v>100</v>
      </c>
      <c r="H80" s="18" t="s">
        <v>101</v>
      </c>
      <c r="I80" s="18" t="s">
        <v>102</v>
      </c>
      <c r="J80" s="50" t="n">
        <v>16000</v>
      </c>
      <c r="K80" s="51" t="n">
        <v>0.3</v>
      </c>
      <c r="L80" s="51" t="n">
        <v>0.96</v>
      </c>
      <c r="M80" s="51" t="n">
        <v>0.65</v>
      </c>
      <c r="N80" s="52" t="n">
        <f aca="false">J80*K80*L80*M80</f>
        <v>2995.2</v>
      </c>
      <c r="O80" s="50" t="n">
        <v>1.12</v>
      </c>
      <c r="P80" s="52" t="n">
        <f aca="false">N80*O80</f>
        <v>3354.624</v>
      </c>
      <c r="Q80" s="50" t="n">
        <v>1.02</v>
      </c>
      <c r="R80" s="52" t="n">
        <f aca="false">P80*Q80</f>
        <v>3421.71648</v>
      </c>
      <c r="S80" s="50" t="n">
        <v>0.08</v>
      </c>
      <c r="T80" s="52" t="n">
        <f aca="false">N80*S80</f>
        <v>239.616</v>
      </c>
      <c r="U80" s="52" t="n">
        <v>0.022</v>
      </c>
      <c r="V80" s="52" t="n">
        <f aca="false">P80*U80</f>
        <v>73.801728</v>
      </c>
      <c r="W80" s="53" t="s">
        <v>199</v>
      </c>
      <c r="X80" s="50" t="n">
        <v>4</v>
      </c>
      <c r="Y80" s="53" t="s">
        <v>196</v>
      </c>
      <c r="Z80" s="50" t="n">
        <v>0.1</v>
      </c>
      <c r="AA80" s="50" t="n">
        <v>7.8</v>
      </c>
      <c r="AB80" s="50" t="n">
        <v>9</v>
      </c>
      <c r="AC80" s="52" t="n">
        <f aca="false">IF(W80="EUR",AA80,IF(W80="GBP",AB80,1))</f>
        <v>9</v>
      </c>
      <c r="AD80" s="52" t="n">
        <f aca="false">R80*X80</f>
        <v>13686.86592</v>
      </c>
      <c r="AE80" s="52" t="n">
        <f aca="false">IF(Y80="PERCENTAGE_OF_BASE_FREIGHT",AD80*Z80,IF(Y80="PER_CHARGEABLE_KG",R80*Z80,P80*Z80))</f>
        <v>1368.686592</v>
      </c>
      <c r="AF80" s="52" t="n">
        <f aca="false">AD80*AC80</f>
        <v>123181.79328</v>
      </c>
      <c r="AG80" s="52" t="n">
        <f aca="false">AE80*AC80</f>
        <v>12318.179328</v>
      </c>
      <c r="AH80" s="52" t="s">
        <v>195</v>
      </c>
      <c r="AI80" s="52" t="n">
        <v>1.18</v>
      </c>
      <c r="AJ80" s="52" t="n">
        <f aca="false">IF(AH80="EUR",AA80,IF(AH80="GBP",AB80,1))</f>
        <v>7.8</v>
      </c>
      <c r="AK80" s="52" t="n">
        <f aca="false">N80*AI80</f>
        <v>3534.336</v>
      </c>
      <c r="AL80" s="52" t="n">
        <f aca="false">AK80*AJ80</f>
        <v>27567.8208</v>
      </c>
      <c r="AM80" s="52" t="s">
        <v>195</v>
      </c>
      <c r="AN80" s="52" t="n">
        <v>0.42</v>
      </c>
      <c r="AO80" s="52" t="n">
        <f aca="false">IF(AM80="EUR",AA80,IF(AM80="GBP",AB80,1))</f>
        <v>7.8</v>
      </c>
      <c r="AP80" s="52" t="n">
        <f aca="false">P80*AN80</f>
        <v>1408.94208</v>
      </c>
      <c r="AQ80" s="52" t="n">
        <f aca="false">AP80*AO80</f>
        <v>10989.748224</v>
      </c>
      <c r="AR80" s="52" t="s">
        <v>199</v>
      </c>
      <c r="AS80" s="52" t="n">
        <v>4.8</v>
      </c>
      <c r="AT80" s="52" t="n">
        <f aca="false">IF(AR80="EUR",AA80,IF(AR80="GBP",AB80,1))</f>
        <v>9</v>
      </c>
      <c r="AU80" s="52" t="n">
        <f aca="false">T80*AS80</f>
        <v>1150.1568</v>
      </c>
      <c r="AV80" s="52" t="n">
        <f aca="false">AU80*AT80</f>
        <v>10351.4112</v>
      </c>
      <c r="AW80" s="52" t="s">
        <v>199</v>
      </c>
      <c r="AX80" s="52" t="n">
        <v>2.3</v>
      </c>
      <c r="AY80" s="52" t="n">
        <f aca="false">IF(AW80="EUR",AA80,IF(AW80="GBP",AB80,1))</f>
        <v>9</v>
      </c>
      <c r="AZ80" s="52" t="n">
        <f aca="false">V80*AX80</f>
        <v>169.7439744</v>
      </c>
      <c r="BA80" s="52" t="n">
        <f aca="false">AZ80*AY80</f>
        <v>1527.6957696</v>
      </c>
      <c r="BB80" s="52" t="n">
        <f aca="false">AF80+AG80+AL80+AQ80+AV80+BA80</f>
        <v>185936.6486016</v>
      </c>
      <c r="BC80" s="54" t="n">
        <v>0.93</v>
      </c>
      <c r="BD80" s="32" t="s">
        <v>77</v>
      </c>
      <c r="BE80" s="32"/>
      <c r="BF80" s="32"/>
      <c r="BG80" s="32" t="s">
        <v>197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46235</v>
      </c>
      <c r="E81" s="18" t="s">
        <v>122</v>
      </c>
      <c r="F81" s="18" t="s">
        <v>119</v>
      </c>
      <c r="G81" s="18" t="s">
        <v>100</v>
      </c>
      <c r="H81" s="18" t="s">
        <v>107</v>
      </c>
      <c r="I81" s="18" t="s">
        <v>102</v>
      </c>
      <c r="J81" s="50" t="n">
        <v>16000</v>
      </c>
      <c r="K81" s="51" t="n">
        <v>0.3</v>
      </c>
      <c r="L81" s="51" t="n">
        <v>0.96</v>
      </c>
      <c r="M81" s="51" t="n">
        <v>0.25</v>
      </c>
      <c r="N81" s="52" t="n">
        <f aca="false">J81*K81*L81*M81</f>
        <v>1152</v>
      </c>
      <c r="O81" s="50" t="n">
        <v>1.12</v>
      </c>
      <c r="P81" s="52" t="n">
        <f aca="false">N81*O81</f>
        <v>1290.24</v>
      </c>
      <c r="Q81" s="50" t="n">
        <v>1</v>
      </c>
      <c r="R81" s="52" t="n">
        <f aca="false">P81*Q81</f>
        <v>1290.24</v>
      </c>
      <c r="S81" s="50" t="n">
        <v>0.08</v>
      </c>
      <c r="T81" s="52" t="n">
        <f aca="false">N81*S81</f>
        <v>92.16</v>
      </c>
      <c r="U81" s="52" t="n">
        <v>0.017</v>
      </c>
      <c r="V81" s="52" t="n">
        <f aca="false">P81*U81</f>
        <v>21.93408</v>
      </c>
      <c r="W81" s="53" t="s">
        <v>199</v>
      </c>
      <c r="X81" s="50" t="n">
        <v>4.7</v>
      </c>
      <c r="Y81" s="53" t="s">
        <v>198</v>
      </c>
      <c r="Z81" s="50" t="n">
        <v>0.33</v>
      </c>
      <c r="AA81" s="50" t="n">
        <v>7.8</v>
      </c>
      <c r="AB81" s="50" t="n">
        <v>9</v>
      </c>
      <c r="AC81" s="52" t="n">
        <f aca="false">IF(W81="EUR",AA81,IF(W81="GBP",AB81,1))</f>
        <v>9</v>
      </c>
      <c r="AD81" s="52" t="n">
        <f aca="false">R81*X81</f>
        <v>6064.128</v>
      </c>
      <c r="AE81" s="52" t="n">
        <f aca="false">IF(Y81="PERCENTAGE_OF_BASE_FREIGHT",AD81*Z81,IF(Y81="PER_CHARGEABLE_KG",R81*Z81,P81*Z81))</f>
        <v>425.7792</v>
      </c>
      <c r="AF81" s="52" t="n">
        <f aca="false">AD81*AC81</f>
        <v>54577.152</v>
      </c>
      <c r="AG81" s="52" t="n">
        <f aca="false">AE81*AC81</f>
        <v>3832.0128</v>
      </c>
      <c r="AH81" s="52" t="s">
        <v>195</v>
      </c>
      <c r="AI81" s="52" t="n">
        <v>1.18</v>
      </c>
      <c r="AJ81" s="52" t="n">
        <f aca="false">IF(AH81="EUR",AA81,IF(AH81="GBP",AB81,1))</f>
        <v>7.8</v>
      </c>
      <c r="AK81" s="52" t="n">
        <f aca="false">N81*AI81</f>
        <v>1359.36</v>
      </c>
      <c r="AL81" s="52" t="n">
        <f aca="false">AK81*AJ81</f>
        <v>10603.008</v>
      </c>
      <c r="AM81" s="52" t="s">
        <v>195</v>
      </c>
      <c r="AN81" s="52" t="n">
        <v>0.42</v>
      </c>
      <c r="AO81" s="52" t="n">
        <f aca="false">IF(AM81="EUR",AA81,IF(AM81="GBP",AB81,1))</f>
        <v>7.8</v>
      </c>
      <c r="AP81" s="52" t="n">
        <f aca="false">P81*AN81</f>
        <v>541.9008</v>
      </c>
      <c r="AQ81" s="52" t="n">
        <f aca="false">AP81*AO81</f>
        <v>4226.82624</v>
      </c>
      <c r="AR81" s="52" t="s">
        <v>199</v>
      </c>
      <c r="AS81" s="52" t="n">
        <v>4.8</v>
      </c>
      <c r="AT81" s="52" t="n">
        <f aca="false">IF(AR81="EUR",AA81,IF(AR81="GBP",AB81,1))</f>
        <v>9</v>
      </c>
      <c r="AU81" s="52" t="n">
        <f aca="false">T81*AS81</f>
        <v>442.368</v>
      </c>
      <c r="AV81" s="52" t="n">
        <f aca="false">AU81*AT81</f>
        <v>3981.312</v>
      </c>
      <c r="AW81" s="52" t="s">
        <v>199</v>
      </c>
      <c r="AX81" s="52" t="n">
        <v>2.3</v>
      </c>
      <c r="AY81" s="52" t="n">
        <f aca="false">IF(AW81="EUR",AA81,IF(AW81="GBP",AB81,1))</f>
        <v>9</v>
      </c>
      <c r="AZ81" s="52" t="n">
        <f aca="false">V81*AX81</f>
        <v>50.448384</v>
      </c>
      <c r="BA81" s="52" t="n">
        <f aca="false">AZ81*AY81</f>
        <v>454.035456</v>
      </c>
      <c r="BB81" s="52" t="n">
        <f aca="false">AF81+AG81+AL81+AQ81+AV81+BA81</f>
        <v>77674.346496</v>
      </c>
      <c r="BC81" s="54" t="n">
        <v>0.95</v>
      </c>
      <c r="BD81" s="32" t="s">
        <v>77</v>
      </c>
      <c r="BE81" s="32"/>
      <c r="BF81" s="32"/>
      <c r="BG81" s="32" t="s">
        <v>197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46235</v>
      </c>
      <c r="E82" s="18" t="s">
        <v>124</v>
      </c>
      <c r="F82" s="18" t="s">
        <v>119</v>
      </c>
      <c r="G82" s="18" t="s">
        <v>100</v>
      </c>
      <c r="H82" s="18" t="s">
        <v>107</v>
      </c>
      <c r="I82" s="18" t="s">
        <v>125</v>
      </c>
      <c r="J82" s="50" t="n">
        <v>16000</v>
      </c>
      <c r="K82" s="51" t="n">
        <v>0.3</v>
      </c>
      <c r="L82" s="51" t="n">
        <v>0.96</v>
      </c>
      <c r="M82" s="51" t="n">
        <v>0.07</v>
      </c>
      <c r="N82" s="52" t="n">
        <f aca="false">J82*K82*L82*M82</f>
        <v>322.56</v>
      </c>
      <c r="O82" s="50" t="n">
        <v>1.12</v>
      </c>
      <c r="P82" s="52" t="n">
        <f aca="false">N82*O82</f>
        <v>361.2672</v>
      </c>
      <c r="Q82" s="50" t="n">
        <v>0.94</v>
      </c>
      <c r="R82" s="52" t="n">
        <f aca="false">P82*Q82</f>
        <v>339.591168</v>
      </c>
      <c r="S82" s="50" t="n">
        <v>0.08</v>
      </c>
      <c r="T82" s="52" t="n">
        <f aca="false">N82*S82</f>
        <v>25.8048</v>
      </c>
      <c r="U82" s="52" t="n">
        <v>0.013</v>
      </c>
      <c r="V82" s="52" t="n">
        <f aca="false">P82*U82</f>
        <v>4.6964736</v>
      </c>
      <c r="W82" s="53" t="s">
        <v>199</v>
      </c>
      <c r="X82" s="50" t="n">
        <v>6.2</v>
      </c>
      <c r="Y82" s="53" t="s">
        <v>196</v>
      </c>
      <c r="Z82" s="50" t="n">
        <v>0.115</v>
      </c>
      <c r="AA82" s="50" t="n">
        <v>7.8</v>
      </c>
      <c r="AB82" s="50" t="n">
        <v>9</v>
      </c>
      <c r="AC82" s="52" t="n">
        <f aca="false">IF(W82="EUR",AA82,IF(W82="GBP",AB82,1))</f>
        <v>9</v>
      </c>
      <c r="AD82" s="52" t="n">
        <f aca="false">R82*X82</f>
        <v>2105.4652416</v>
      </c>
      <c r="AE82" s="52" t="n">
        <f aca="false">IF(Y82="PERCENTAGE_OF_BASE_FREIGHT",AD82*Z82,IF(Y82="PER_CHARGEABLE_KG",R82*Z82,P82*Z82))</f>
        <v>242.128502784</v>
      </c>
      <c r="AF82" s="52" t="n">
        <f aca="false">AD82*AC82</f>
        <v>18949.1871744</v>
      </c>
      <c r="AG82" s="52" t="n">
        <f aca="false">AE82*AC82</f>
        <v>2179.156525056</v>
      </c>
      <c r="AH82" s="52" t="s">
        <v>195</v>
      </c>
      <c r="AI82" s="52" t="n">
        <v>1.18</v>
      </c>
      <c r="AJ82" s="52" t="n">
        <f aca="false">IF(AH82="EUR",AA82,IF(AH82="GBP",AB82,1))</f>
        <v>7.8</v>
      </c>
      <c r="AK82" s="52" t="n">
        <f aca="false">N82*AI82</f>
        <v>380.6208</v>
      </c>
      <c r="AL82" s="52" t="n">
        <f aca="false">AK82*AJ82</f>
        <v>2968.84224</v>
      </c>
      <c r="AM82" s="52" t="s">
        <v>195</v>
      </c>
      <c r="AN82" s="52" t="n">
        <v>0.42</v>
      </c>
      <c r="AO82" s="52" t="n">
        <f aca="false">IF(AM82="EUR",AA82,IF(AM82="GBP",AB82,1))</f>
        <v>7.8</v>
      </c>
      <c r="AP82" s="52" t="n">
        <f aca="false">P82*AN82</f>
        <v>151.732224</v>
      </c>
      <c r="AQ82" s="52" t="n">
        <f aca="false">AP82*AO82</f>
        <v>1183.5113472</v>
      </c>
      <c r="AR82" s="52" t="s">
        <v>199</v>
      </c>
      <c r="AS82" s="52" t="n">
        <v>4.8</v>
      </c>
      <c r="AT82" s="52" t="n">
        <f aca="false">IF(AR82="EUR",AA82,IF(AR82="GBP",AB82,1))</f>
        <v>9</v>
      </c>
      <c r="AU82" s="52" t="n">
        <f aca="false">T82*AS82</f>
        <v>123.86304</v>
      </c>
      <c r="AV82" s="52" t="n">
        <f aca="false">AU82*AT82</f>
        <v>1114.76736</v>
      </c>
      <c r="AW82" s="52" t="s">
        <v>199</v>
      </c>
      <c r="AX82" s="52" t="n">
        <v>2.8</v>
      </c>
      <c r="AY82" s="52" t="n">
        <f aca="false">IF(AW82="EUR",AA82,IF(AW82="GBP",AB82,1))</f>
        <v>9</v>
      </c>
      <c r="AZ82" s="52" t="n">
        <f aca="false">V82*AX82</f>
        <v>13.15012608</v>
      </c>
      <c r="BA82" s="52" t="n">
        <f aca="false">AZ82*AY82</f>
        <v>118.35113472</v>
      </c>
      <c r="BB82" s="52" t="n">
        <f aca="false">AF82+AG82+AL82+AQ82+AV82+BA82</f>
        <v>26513.815781376</v>
      </c>
      <c r="BC82" s="54" t="n">
        <v>0.974</v>
      </c>
      <c r="BD82" s="32" t="s">
        <v>77</v>
      </c>
      <c r="BE82" s="32"/>
      <c r="BF82" s="32"/>
      <c r="BG82" s="32" t="s">
        <v>197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46235</v>
      </c>
      <c r="E83" s="18" t="s">
        <v>127</v>
      </c>
      <c r="F83" s="18" t="s">
        <v>119</v>
      </c>
      <c r="G83" s="18" t="s">
        <v>100</v>
      </c>
      <c r="H83" s="18" t="s">
        <v>128</v>
      </c>
      <c r="I83" s="18" t="s">
        <v>125</v>
      </c>
      <c r="J83" s="50" t="n">
        <v>16000</v>
      </c>
      <c r="K83" s="51" t="n">
        <v>0.3</v>
      </c>
      <c r="L83" s="51" t="n">
        <v>0.96</v>
      </c>
      <c r="M83" s="51" t="n">
        <v>0.03</v>
      </c>
      <c r="N83" s="52" t="n">
        <f aca="false">J83*K83*L83*M83</f>
        <v>138.24</v>
      </c>
      <c r="O83" s="50" t="n">
        <v>1.12</v>
      </c>
      <c r="P83" s="52" t="n">
        <f aca="false">N83*O83</f>
        <v>154.8288</v>
      </c>
      <c r="Q83" s="50" t="n">
        <v>0.92</v>
      </c>
      <c r="R83" s="52" t="n">
        <f aca="false">P83*Q83</f>
        <v>142.442496</v>
      </c>
      <c r="S83" s="50" t="n">
        <v>0.08</v>
      </c>
      <c r="T83" s="52" t="n">
        <f aca="false">N83*S83</f>
        <v>11.0592</v>
      </c>
      <c r="U83" s="52" t="n">
        <v>0.009</v>
      </c>
      <c r="V83" s="52" t="n">
        <f aca="false">P83*U83</f>
        <v>1.3934592</v>
      </c>
      <c r="W83" s="53" t="s">
        <v>199</v>
      </c>
      <c r="X83" s="50" t="n">
        <v>7.5</v>
      </c>
      <c r="Y83" s="53" t="s">
        <v>198</v>
      </c>
      <c r="Z83" s="50" t="n">
        <v>0.58</v>
      </c>
      <c r="AA83" s="50" t="n">
        <v>7.8</v>
      </c>
      <c r="AB83" s="50" t="n">
        <v>9</v>
      </c>
      <c r="AC83" s="52" t="n">
        <f aca="false">IF(W83="EUR",AA83,IF(W83="GBP",AB83,1))</f>
        <v>9</v>
      </c>
      <c r="AD83" s="52" t="n">
        <f aca="false">R83*X83</f>
        <v>1068.31872</v>
      </c>
      <c r="AE83" s="52" t="n">
        <f aca="false">IF(Y83="PERCENTAGE_OF_BASE_FREIGHT",AD83*Z83,IF(Y83="PER_CHARGEABLE_KG",R83*Z83,P83*Z83))</f>
        <v>82.61664768</v>
      </c>
      <c r="AF83" s="52" t="n">
        <f aca="false">AD83*AC83</f>
        <v>9614.86848</v>
      </c>
      <c r="AG83" s="52" t="n">
        <f aca="false">AE83*AC83</f>
        <v>743.54982912</v>
      </c>
      <c r="AH83" s="52" t="s">
        <v>195</v>
      </c>
      <c r="AI83" s="52" t="n">
        <v>1.18</v>
      </c>
      <c r="AJ83" s="52" t="n">
        <f aca="false">IF(AH83="EUR",AA83,IF(AH83="GBP",AB83,1))</f>
        <v>7.8</v>
      </c>
      <c r="AK83" s="52" t="n">
        <f aca="false">N83*AI83</f>
        <v>163.1232</v>
      </c>
      <c r="AL83" s="52" t="n">
        <f aca="false">AK83*AJ83</f>
        <v>1272.36096</v>
      </c>
      <c r="AM83" s="52" t="s">
        <v>195</v>
      </c>
      <c r="AN83" s="52" t="n">
        <v>0.42</v>
      </c>
      <c r="AO83" s="52" t="n">
        <f aca="false">IF(AM83="EUR",AA83,IF(AM83="GBP",AB83,1))</f>
        <v>7.8</v>
      </c>
      <c r="AP83" s="52" t="n">
        <f aca="false">P83*AN83</f>
        <v>65.028096</v>
      </c>
      <c r="AQ83" s="52" t="n">
        <f aca="false">AP83*AO83</f>
        <v>507.2191488</v>
      </c>
      <c r="AR83" s="52" t="s">
        <v>199</v>
      </c>
      <c r="AS83" s="52" t="n">
        <v>4.8</v>
      </c>
      <c r="AT83" s="52" t="n">
        <f aca="false">IF(AR83="EUR",AA83,IF(AR83="GBP",AB83,1))</f>
        <v>9</v>
      </c>
      <c r="AU83" s="52" t="n">
        <f aca="false">T83*AS83</f>
        <v>53.08416</v>
      </c>
      <c r="AV83" s="52" t="n">
        <f aca="false">AU83*AT83</f>
        <v>477.75744</v>
      </c>
      <c r="AW83" s="52" t="s">
        <v>199</v>
      </c>
      <c r="AX83" s="52" t="n">
        <v>3.6</v>
      </c>
      <c r="AY83" s="52" t="n">
        <f aca="false">IF(AW83="EUR",AA83,IF(AW83="GBP",AB83,1))</f>
        <v>9</v>
      </c>
      <c r="AZ83" s="52" t="n">
        <f aca="false">V83*AX83</f>
        <v>5.01645312</v>
      </c>
      <c r="BA83" s="52" t="n">
        <f aca="false">AZ83*AY83</f>
        <v>45.14807808</v>
      </c>
      <c r="BB83" s="52" t="n">
        <f aca="false">AF83+AG83+AL83+AQ83+AV83+BA83</f>
        <v>12660.903936</v>
      </c>
      <c r="BC83" s="54" t="n">
        <v>0.988</v>
      </c>
      <c r="BD83" s="32" t="s">
        <v>77</v>
      </c>
      <c r="BE83" s="32"/>
      <c r="BF83" s="32"/>
      <c r="BG83" s="32" t="s">
        <v>197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46235</v>
      </c>
      <c r="E84" s="18" t="s">
        <v>130</v>
      </c>
      <c r="F84" s="18" t="s">
        <v>119</v>
      </c>
      <c r="G84" s="18" t="s">
        <v>110</v>
      </c>
      <c r="H84" s="18" t="s">
        <v>107</v>
      </c>
      <c r="I84" s="18" t="s">
        <v>125</v>
      </c>
      <c r="J84" s="50" t="n">
        <v>16000</v>
      </c>
      <c r="K84" s="51" t="n">
        <v>0.3</v>
      </c>
      <c r="L84" s="51" t="n">
        <v>0.04</v>
      </c>
      <c r="M84" s="51" t="n">
        <v>1</v>
      </c>
      <c r="N84" s="52" t="n">
        <f aca="false">J84*K84*L84*M84</f>
        <v>192</v>
      </c>
      <c r="O84" s="50" t="n">
        <v>1.15</v>
      </c>
      <c r="P84" s="52" t="n">
        <f aca="false">N84*O84</f>
        <v>220.8</v>
      </c>
      <c r="Q84" s="50" t="n">
        <v>0.9</v>
      </c>
      <c r="R84" s="52" t="n">
        <f aca="false">P84*Q84</f>
        <v>198.72</v>
      </c>
      <c r="S84" s="50" t="n">
        <v>0.08</v>
      </c>
      <c r="T84" s="52" t="n">
        <f aca="false">N84*S84</f>
        <v>15.36</v>
      </c>
      <c r="U84" s="52" t="n">
        <v>0.012</v>
      </c>
      <c r="V84" s="52" t="n">
        <f aca="false">P84*U84</f>
        <v>2.6496</v>
      </c>
      <c r="W84" s="53" t="s">
        <v>195</v>
      </c>
      <c r="X84" s="50" t="n">
        <v>6.7</v>
      </c>
      <c r="Y84" s="53" t="s">
        <v>196</v>
      </c>
      <c r="Z84" s="50" t="n">
        <v>0.105</v>
      </c>
      <c r="AA84" s="50" t="n">
        <v>7.8</v>
      </c>
      <c r="AB84" s="50" t="n">
        <v>9</v>
      </c>
      <c r="AC84" s="52" t="n">
        <f aca="false">IF(W84="EUR",AA84,IF(W84="GBP",AB84,1))</f>
        <v>7.8</v>
      </c>
      <c r="AD84" s="52" t="n">
        <f aca="false">R84*X84</f>
        <v>1331.424</v>
      </c>
      <c r="AE84" s="52" t="n">
        <f aca="false">IF(Y84="PERCENTAGE_OF_BASE_FREIGHT",AD84*Z84,IF(Y84="PER_CHARGEABLE_KG",R84*Z84,P84*Z84))</f>
        <v>139.79952</v>
      </c>
      <c r="AF84" s="52" t="n">
        <f aca="false">AD84*AC84</f>
        <v>10385.1072</v>
      </c>
      <c r="AG84" s="52" t="n">
        <f aca="false">AE84*AC84</f>
        <v>1090.436256</v>
      </c>
      <c r="AH84" s="52" t="s">
        <v>195</v>
      </c>
      <c r="AI84" s="52" t="n">
        <v>1.05</v>
      </c>
      <c r="AJ84" s="52" t="n">
        <f aca="false">IF(AH84="EUR",AA84,IF(AH84="GBP",AB84,1))</f>
        <v>7.8</v>
      </c>
      <c r="AK84" s="52" t="n">
        <f aca="false">N84*AI84</f>
        <v>201.6</v>
      </c>
      <c r="AL84" s="52" t="n">
        <f aca="false">AK84*AJ84</f>
        <v>1572.48</v>
      </c>
      <c r="AM84" s="52" t="s">
        <v>195</v>
      </c>
      <c r="AN84" s="52" t="n">
        <v>0.38</v>
      </c>
      <c r="AO84" s="52" t="n">
        <f aca="false">IF(AM84="EUR",AA84,IF(AM84="GBP",AB84,1))</f>
        <v>7.8</v>
      </c>
      <c r="AP84" s="52" t="n">
        <f aca="false">P84*AN84</f>
        <v>83.904</v>
      </c>
      <c r="AQ84" s="52" t="n">
        <f aca="false">AP84*AO84</f>
        <v>654.4512</v>
      </c>
      <c r="AR84" s="52" t="s">
        <v>195</v>
      </c>
      <c r="AS84" s="52" t="n">
        <v>5.2</v>
      </c>
      <c r="AT84" s="52" t="n">
        <f aca="false">IF(AR84="EUR",AA84,IF(AR84="GBP",AB84,1))</f>
        <v>7.8</v>
      </c>
      <c r="AU84" s="52" t="n">
        <f aca="false">T84*AS84</f>
        <v>79.872</v>
      </c>
      <c r="AV84" s="52" t="n">
        <f aca="false">AU84*AT84</f>
        <v>623.0016</v>
      </c>
      <c r="AW84" s="52" t="s">
        <v>195</v>
      </c>
      <c r="AX84" s="52" t="n">
        <v>2.8</v>
      </c>
      <c r="AY84" s="52" t="n">
        <f aca="false">IF(AW84="EUR",AA84,IF(AW84="GBP",AB84,1))</f>
        <v>7.8</v>
      </c>
      <c r="AZ84" s="52" t="n">
        <f aca="false">V84*AX84</f>
        <v>7.41888</v>
      </c>
      <c r="BA84" s="52" t="n">
        <f aca="false">AZ84*AY84</f>
        <v>57.867264</v>
      </c>
      <c r="BB84" s="52" t="n">
        <f aca="false">AF84+AG84+AL84+AQ84+AV84+BA84</f>
        <v>14383.34352</v>
      </c>
      <c r="BC84" s="54" t="n">
        <v>0.971</v>
      </c>
      <c r="BD84" s="32" t="s">
        <v>77</v>
      </c>
      <c r="BE84" s="32"/>
      <c r="BF84" s="32"/>
      <c r="BG84" s="32" t="s">
        <v>197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46266</v>
      </c>
      <c r="E85" s="18" t="s">
        <v>98</v>
      </c>
      <c r="F85" s="18" t="s">
        <v>99</v>
      </c>
      <c r="G85" s="18" t="s">
        <v>100</v>
      </c>
      <c r="H85" s="18" t="s">
        <v>101</v>
      </c>
      <c r="I85" s="18" t="s">
        <v>102</v>
      </c>
      <c r="J85" s="50" t="n">
        <v>16000</v>
      </c>
      <c r="K85" s="51" t="n">
        <v>0.38</v>
      </c>
      <c r="L85" s="51" t="n">
        <v>0.97</v>
      </c>
      <c r="M85" s="51" t="n">
        <v>0.6</v>
      </c>
      <c r="N85" s="52" t="n">
        <f aca="false">J85*K85*L85*M85</f>
        <v>3538.56</v>
      </c>
      <c r="O85" s="50" t="n">
        <v>1.05</v>
      </c>
      <c r="P85" s="52" t="n">
        <f aca="false">N85*O85</f>
        <v>3715.488</v>
      </c>
      <c r="Q85" s="50" t="n">
        <v>0.78</v>
      </c>
      <c r="R85" s="52" t="n">
        <f aca="false">P85*Q85</f>
        <v>2898.08064</v>
      </c>
      <c r="S85" s="50" t="n">
        <v>0.05</v>
      </c>
      <c r="T85" s="52" t="n">
        <f aca="false">N85*S85</f>
        <v>176.928</v>
      </c>
      <c r="U85" s="52" t="n">
        <v>0.016</v>
      </c>
      <c r="V85" s="52" t="n">
        <f aca="false">P85*U85</f>
        <v>59.447808</v>
      </c>
      <c r="W85" s="53" t="s">
        <v>195</v>
      </c>
      <c r="X85" s="50" t="n">
        <v>2.2</v>
      </c>
      <c r="Y85" s="53" t="s">
        <v>196</v>
      </c>
      <c r="Z85" s="50" t="n">
        <v>0.095</v>
      </c>
      <c r="AA85" s="50" t="n">
        <v>7.8</v>
      </c>
      <c r="AB85" s="50" t="n">
        <v>9</v>
      </c>
      <c r="AC85" s="52" t="n">
        <f aca="false">IF(W85="EUR",AA85,IF(W85="GBP",AB85,1))</f>
        <v>7.8</v>
      </c>
      <c r="AD85" s="52" t="n">
        <f aca="false">R85*X85</f>
        <v>6375.777408</v>
      </c>
      <c r="AE85" s="52" t="n">
        <f aca="false">IF(Y85="PERCENTAGE_OF_BASE_FREIGHT",AD85*Z85,IF(Y85="PER_CHARGEABLE_KG",R85*Z85,P85*Z85))</f>
        <v>605.69885376</v>
      </c>
      <c r="AF85" s="52" t="n">
        <f aca="false">AD85*AC85</f>
        <v>49731.0637824</v>
      </c>
      <c r="AG85" s="52" t="n">
        <f aca="false">AE85*AC85</f>
        <v>4724.451059328</v>
      </c>
      <c r="AH85" s="52" t="s">
        <v>195</v>
      </c>
      <c r="AI85" s="52" t="n">
        <v>1.18</v>
      </c>
      <c r="AJ85" s="52" t="n">
        <f aca="false">IF(AH85="EUR",AA85,IF(AH85="GBP",AB85,1))</f>
        <v>7.8</v>
      </c>
      <c r="AK85" s="52" t="n">
        <f aca="false">N85*AI85</f>
        <v>4175.5008</v>
      </c>
      <c r="AL85" s="52" t="n">
        <f aca="false">AK85*AJ85</f>
        <v>32568.90624</v>
      </c>
      <c r="AM85" s="52" t="s">
        <v>195</v>
      </c>
      <c r="AN85" s="52" t="n">
        <v>0.42</v>
      </c>
      <c r="AO85" s="52" t="n">
        <f aca="false">IF(AM85="EUR",AA85,IF(AM85="GBP",AB85,1))</f>
        <v>7.8</v>
      </c>
      <c r="AP85" s="52" t="n">
        <f aca="false">P85*AN85</f>
        <v>1560.50496</v>
      </c>
      <c r="AQ85" s="52" t="n">
        <f aca="false">AP85*AO85</f>
        <v>12171.938688</v>
      </c>
      <c r="AR85" s="52" t="s">
        <v>195</v>
      </c>
      <c r="AS85" s="52" t="n">
        <v>3.2</v>
      </c>
      <c r="AT85" s="52" t="n">
        <f aca="false">IF(AR85="EUR",AA85,IF(AR85="GBP",AB85,1))</f>
        <v>7.8</v>
      </c>
      <c r="AU85" s="52" t="n">
        <f aca="false">T85*AS85</f>
        <v>566.1696</v>
      </c>
      <c r="AV85" s="52" t="n">
        <f aca="false">AU85*AT85</f>
        <v>4416.12288</v>
      </c>
      <c r="AW85" s="52" t="s">
        <v>195</v>
      </c>
      <c r="AX85" s="52" t="n">
        <v>2.3</v>
      </c>
      <c r="AY85" s="52" t="n">
        <f aca="false">IF(AW85="EUR",AA85,IF(AW85="GBP",AB85,1))</f>
        <v>7.8</v>
      </c>
      <c r="AZ85" s="52" t="n">
        <f aca="false">V85*AX85</f>
        <v>136.7299584</v>
      </c>
      <c r="BA85" s="52" t="n">
        <f aca="false">AZ85*AY85</f>
        <v>1066.49367552</v>
      </c>
      <c r="BB85" s="52" t="n">
        <f aca="false">AF85+AG85+AL85+AQ85+AV85+BA85</f>
        <v>104678.976325248</v>
      </c>
      <c r="BC85" s="54" t="n">
        <v>0.965</v>
      </c>
      <c r="BD85" s="32"/>
      <c r="BE85" s="32"/>
      <c r="BF85" s="32"/>
      <c r="BG85" s="32" t="s">
        <v>197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46266</v>
      </c>
      <c r="E86" s="18" t="s">
        <v>106</v>
      </c>
      <c r="F86" s="18" t="s">
        <v>99</v>
      </c>
      <c r="G86" s="18" t="s">
        <v>100</v>
      </c>
      <c r="H86" s="18" t="s">
        <v>107</v>
      </c>
      <c r="I86" s="18" t="s">
        <v>102</v>
      </c>
      <c r="J86" s="50" t="n">
        <v>16000</v>
      </c>
      <c r="K86" s="51" t="n">
        <v>0.38</v>
      </c>
      <c r="L86" s="51" t="n">
        <v>0.97</v>
      </c>
      <c r="M86" s="51" t="n">
        <v>0.4</v>
      </c>
      <c r="N86" s="52" t="n">
        <f aca="false">J86*K86*L86*M86</f>
        <v>2359.04</v>
      </c>
      <c r="O86" s="50" t="n">
        <v>1.05</v>
      </c>
      <c r="P86" s="52" t="n">
        <f aca="false">N86*O86</f>
        <v>2476.992</v>
      </c>
      <c r="Q86" s="50" t="n">
        <v>0.8</v>
      </c>
      <c r="R86" s="52" t="n">
        <f aca="false">P86*Q86</f>
        <v>1981.5936</v>
      </c>
      <c r="S86" s="50" t="n">
        <v>0.05</v>
      </c>
      <c r="T86" s="52" t="n">
        <f aca="false">N86*S86</f>
        <v>117.952</v>
      </c>
      <c r="U86" s="52" t="n">
        <v>0.013</v>
      </c>
      <c r="V86" s="52" t="n">
        <f aca="false">P86*U86</f>
        <v>32.200896</v>
      </c>
      <c r="W86" s="53" t="s">
        <v>195</v>
      </c>
      <c r="X86" s="50" t="n">
        <v>2.75</v>
      </c>
      <c r="Y86" s="53" t="s">
        <v>198</v>
      </c>
      <c r="Z86" s="50" t="n">
        <v>0.21</v>
      </c>
      <c r="AA86" s="50" t="n">
        <v>7.8</v>
      </c>
      <c r="AB86" s="50" t="n">
        <v>9</v>
      </c>
      <c r="AC86" s="52" t="n">
        <f aca="false">IF(W86="EUR",AA86,IF(W86="GBP",AB86,1))</f>
        <v>7.8</v>
      </c>
      <c r="AD86" s="52" t="n">
        <f aca="false">R86*X86</f>
        <v>5449.3824</v>
      </c>
      <c r="AE86" s="52" t="n">
        <f aca="false">IF(Y86="PERCENTAGE_OF_BASE_FREIGHT",AD86*Z86,IF(Y86="PER_CHARGEABLE_KG",R86*Z86,P86*Z86))</f>
        <v>416.134656</v>
      </c>
      <c r="AF86" s="52" t="n">
        <f aca="false">AD86*AC86</f>
        <v>42505.18272</v>
      </c>
      <c r="AG86" s="52" t="n">
        <f aca="false">AE86*AC86</f>
        <v>3245.8503168</v>
      </c>
      <c r="AH86" s="52" t="s">
        <v>195</v>
      </c>
      <c r="AI86" s="52" t="n">
        <v>1.18</v>
      </c>
      <c r="AJ86" s="52" t="n">
        <f aca="false">IF(AH86="EUR",AA86,IF(AH86="GBP",AB86,1))</f>
        <v>7.8</v>
      </c>
      <c r="AK86" s="52" t="n">
        <f aca="false">N86*AI86</f>
        <v>2783.6672</v>
      </c>
      <c r="AL86" s="52" t="n">
        <f aca="false">AK86*AJ86</f>
        <v>21712.60416</v>
      </c>
      <c r="AM86" s="52" t="s">
        <v>195</v>
      </c>
      <c r="AN86" s="52" t="n">
        <v>0.42</v>
      </c>
      <c r="AO86" s="52" t="n">
        <f aca="false">IF(AM86="EUR",AA86,IF(AM86="GBP",AB86,1))</f>
        <v>7.8</v>
      </c>
      <c r="AP86" s="52" t="n">
        <f aca="false">P86*AN86</f>
        <v>1040.33664</v>
      </c>
      <c r="AQ86" s="52" t="n">
        <f aca="false">AP86*AO86</f>
        <v>8114.625792</v>
      </c>
      <c r="AR86" s="52" t="s">
        <v>195</v>
      </c>
      <c r="AS86" s="52" t="n">
        <v>3.2</v>
      </c>
      <c r="AT86" s="52" t="n">
        <f aca="false">IF(AR86="EUR",AA86,IF(AR86="GBP",AB86,1))</f>
        <v>7.8</v>
      </c>
      <c r="AU86" s="52" t="n">
        <f aca="false">T86*AS86</f>
        <v>377.4464</v>
      </c>
      <c r="AV86" s="52" t="n">
        <f aca="false">AU86*AT86</f>
        <v>2944.08192</v>
      </c>
      <c r="AW86" s="52" t="s">
        <v>195</v>
      </c>
      <c r="AX86" s="52" t="n">
        <v>2.3</v>
      </c>
      <c r="AY86" s="52" t="n">
        <f aca="false">IF(AW86="EUR",AA86,IF(AW86="GBP",AB86,1))</f>
        <v>7.8</v>
      </c>
      <c r="AZ86" s="52" t="n">
        <f aca="false">V86*AX86</f>
        <v>74.0620608</v>
      </c>
      <c r="BA86" s="52" t="n">
        <f aca="false">AZ86*AY86</f>
        <v>577.68407424</v>
      </c>
      <c r="BB86" s="52" t="n">
        <f aca="false">AF86+AG86+AL86+AQ86+AV86+BA86</f>
        <v>79100.02898304</v>
      </c>
      <c r="BC86" s="54" t="n">
        <v>0.976</v>
      </c>
      <c r="BD86" s="32"/>
      <c r="BE86" s="32"/>
      <c r="BF86" s="32"/>
      <c r="BG86" s="32" t="s">
        <v>197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46266</v>
      </c>
      <c r="E87" s="18" t="s">
        <v>109</v>
      </c>
      <c r="F87" s="18" t="s">
        <v>99</v>
      </c>
      <c r="G87" s="18" t="s">
        <v>110</v>
      </c>
      <c r="H87" s="18" t="s">
        <v>107</v>
      </c>
      <c r="I87" s="18" t="s">
        <v>102</v>
      </c>
      <c r="J87" s="50" t="n">
        <v>16000</v>
      </c>
      <c r="K87" s="51" t="n">
        <v>0.38</v>
      </c>
      <c r="L87" s="51" t="n">
        <v>0.03</v>
      </c>
      <c r="M87" s="51" t="n">
        <v>1</v>
      </c>
      <c r="N87" s="52" t="n">
        <f aca="false">J87*K87*L87*M87</f>
        <v>182.4</v>
      </c>
      <c r="O87" s="50" t="n">
        <v>1.08</v>
      </c>
      <c r="P87" s="52" t="n">
        <f aca="false">N87*O87</f>
        <v>196.992</v>
      </c>
      <c r="Q87" s="50" t="n">
        <v>0.86</v>
      </c>
      <c r="R87" s="52" t="n">
        <f aca="false">P87*Q87</f>
        <v>169.41312</v>
      </c>
      <c r="S87" s="50" t="n">
        <v>0.05</v>
      </c>
      <c r="T87" s="52" t="n">
        <f aca="false">N87*S87</f>
        <v>9.12</v>
      </c>
      <c r="U87" s="52" t="n">
        <v>0.014</v>
      </c>
      <c r="V87" s="52" t="n">
        <f aca="false">P87*U87</f>
        <v>2.757888</v>
      </c>
      <c r="W87" s="53" t="s">
        <v>195</v>
      </c>
      <c r="X87" s="50" t="n">
        <v>3.3</v>
      </c>
      <c r="Y87" s="53" t="s">
        <v>198</v>
      </c>
      <c r="Z87" s="50" t="n">
        <v>0.24</v>
      </c>
      <c r="AA87" s="50" t="n">
        <v>7.8</v>
      </c>
      <c r="AB87" s="50" t="n">
        <v>9</v>
      </c>
      <c r="AC87" s="52" t="n">
        <f aca="false">IF(W87="EUR",AA87,IF(W87="GBP",AB87,1))</f>
        <v>7.8</v>
      </c>
      <c r="AD87" s="52" t="n">
        <f aca="false">R87*X87</f>
        <v>559.063296</v>
      </c>
      <c r="AE87" s="52" t="n">
        <f aca="false">IF(Y87="PERCENTAGE_OF_BASE_FREIGHT",AD87*Z87,IF(Y87="PER_CHARGEABLE_KG",R87*Z87,P87*Z87))</f>
        <v>40.6591488</v>
      </c>
      <c r="AF87" s="52" t="n">
        <f aca="false">AD87*AC87</f>
        <v>4360.6937088</v>
      </c>
      <c r="AG87" s="52" t="n">
        <f aca="false">AE87*AC87</f>
        <v>317.14136064</v>
      </c>
      <c r="AH87" s="52" t="s">
        <v>195</v>
      </c>
      <c r="AI87" s="52" t="n">
        <v>1.05</v>
      </c>
      <c r="AJ87" s="52" t="n">
        <f aca="false">IF(AH87="EUR",AA87,IF(AH87="GBP",AB87,1))</f>
        <v>7.8</v>
      </c>
      <c r="AK87" s="52" t="n">
        <f aca="false">N87*AI87</f>
        <v>191.52</v>
      </c>
      <c r="AL87" s="52" t="n">
        <f aca="false">AK87*AJ87</f>
        <v>1493.856</v>
      </c>
      <c r="AM87" s="52" t="s">
        <v>195</v>
      </c>
      <c r="AN87" s="52" t="n">
        <v>0.38</v>
      </c>
      <c r="AO87" s="52" t="n">
        <f aca="false">IF(AM87="EUR",AA87,IF(AM87="GBP",AB87,1))</f>
        <v>7.8</v>
      </c>
      <c r="AP87" s="52" t="n">
        <f aca="false">P87*AN87</f>
        <v>74.85696</v>
      </c>
      <c r="AQ87" s="52" t="n">
        <f aca="false">AP87*AO87</f>
        <v>583.884288</v>
      </c>
      <c r="AR87" s="52" t="s">
        <v>195</v>
      </c>
      <c r="AS87" s="52" t="n">
        <v>3.8</v>
      </c>
      <c r="AT87" s="52" t="n">
        <f aca="false">IF(AR87="EUR",AA87,IF(AR87="GBP",AB87,1))</f>
        <v>7.8</v>
      </c>
      <c r="AU87" s="52" t="n">
        <f aca="false">T87*AS87</f>
        <v>34.656</v>
      </c>
      <c r="AV87" s="52" t="n">
        <f aca="false">AU87*AT87</f>
        <v>270.3168</v>
      </c>
      <c r="AW87" s="52" t="s">
        <v>195</v>
      </c>
      <c r="AX87" s="52" t="n">
        <v>2.3</v>
      </c>
      <c r="AY87" s="52" t="n">
        <f aca="false">IF(AW87="EUR",AA87,IF(AW87="GBP",AB87,1))</f>
        <v>7.8</v>
      </c>
      <c r="AZ87" s="52" t="n">
        <f aca="false">V87*AX87</f>
        <v>6.3431424</v>
      </c>
      <c r="BA87" s="52" t="n">
        <f aca="false">AZ87*AY87</f>
        <v>49.47651072</v>
      </c>
      <c r="BB87" s="52" t="n">
        <f aca="false">AF87+AG87+AL87+AQ87+AV87+BA87</f>
        <v>7075.36866816</v>
      </c>
      <c r="BC87" s="54" t="n">
        <v>0.968</v>
      </c>
      <c r="BD87" s="32"/>
      <c r="BE87" s="32"/>
      <c r="BF87" s="32"/>
      <c r="BG87" s="32" t="s">
        <v>197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46266</v>
      </c>
      <c r="E88" s="18" t="s">
        <v>112</v>
      </c>
      <c r="F88" s="18" t="s">
        <v>113</v>
      </c>
      <c r="G88" s="18" t="s">
        <v>110</v>
      </c>
      <c r="H88" s="18" t="s">
        <v>101</v>
      </c>
      <c r="I88" s="18" t="s">
        <v>102</v>
      </c>
      <c r="J88" s="50" t="n">
        <v>16000</v>
      </c>
      <c r="K88" s="51" t="n">
        <v>0.31</v>
      </c>
      <c r="L88" s="51" t="n">
        <v>1</v>
      </c>
      <c r="M88" s="51" t="n">
        <v>0.35</v>
      </c>
      <c r="N88" s="52" t="n">
        <f aca="false">J88*K88*L88*M88</f>
        <v>1736</v>
      </c>
      <c r="O88" s="50" t="n">
        <v>1.06</v>
      </c>
      <c r="P88" s="52" t="n">
        <f aca="false">N88*O88</f>
        <v>1840.16</v>
      </c>
      <c r="Q88" s="50" t="n">
        <v>0.76</v>
      </c>
      <c r="R88" s="52" t="n">
        <f aca="false">P88*Q88</f>
        <v>1398.5216</v>
      </c>
      <c r="S88" s="50" t="n">
        <v>0.06</v>
      </c>
      <c r="T88" s="52" t="n">
        <f aca="false">N88*S88</f>
        <v>104.16</v>
      </c>
      <c r="U88" s="52" t="n">
        <v>0.017</v>
      </c>
      <c r="V88" s="52" t="n">
        <f aca="false">P88*U88</f>
        <v>31.28272</v>
      </c>
      <c r="W88" s="53" t="s">
        <v>195</v>
      </c>
      <c r="X88" s="50" t="n">
        <v>2.1</v>
      </c>
      <c r="Y88" s="53" t="s">
        <v>196</v>
      </c>
      <c r="Z88" s="50" t="n">
        <v>0.09</v>
      </c>
      <c r="AA88" s="50" t="n">
        <v>7.8</v>
      </c>
      <c r="AB88" s="50" t="n">
        <v>9</v>
      </c>
      <c r="AC88" s="52" t="n">
        <f aca="false">IF(W88="EUR",AA88,IF(W88="GBP",AB88,1))</f>
        <v>7.8</v>
      </c>
      <c r="AD88" s="52" t="n">
        <f aca="false">R88*X88</f>
        <v>2936.89536</v>
      </c>
      <c r="AE88" s="52" t="n">
        <f aca="false">IF(Y88="PERCENTAGE_OF_BASE_FREIGHT",AD88*Z88,IF(Y88="PER_CHARGEABLE_KG",R88*Z88,P88*Z88))</f>
        <v>264.3205824</v>
      </c>
      <c r="AF88" s="52" t="n">
        <f aca="false">AD88*AC88</f>
        <v>22907.783808</v>
      </c>
      <c r="AG88" s="52" t="n">
        <f aca="false">AE88*AC88</f>
        <v>2061.70054272</v>
      </c>
      <c r="AH88" s="52" t="s">
        <v>195</v>
      </c>
      <c r="AI88" s="52" t="n">
        <v>1.05</v>
      </c>
      <c r="AJ88" s="52" t="n">
        <f aca="false">IF(AH88="EUR",AA88,IF(AH88="GBP",AB88,1))</f>
        <v>7.8</v>
      </c>
      <c r="AK88" s="52" t="n">
        <f aca="false">N88*AI88</f>
        <v>1822.8</v>
      </c>
      <c r="AL88" s="52" t="n">
        <f aca="false">AK88*AJ88</f>
        <v>14217.84</v>
      </c>
      <c r="AM88" s="52" t="s">
        <v>195</v>
      </c>
      <c r="AN88" s="52" t="n">
        <v>0.38</v>
      </c>
      <c r="AO88" s="52" t="n">
        <f aca="false">IF(AM88="EUR",AA88,IF(AM88="GBP",AB88,1))</f>
        <v>7.8</v>
      </c>
      <c r="AP88" s="52" t="n">
        <f aca="false">P88*AN88</f>
        <v>699.2608</v>
      </c>
      <c r="AQ88" s="52" t="n">
        <f aca="false">AP88*AO88</f>
        <v>5454.23424</v>
      </c>
      <c r="AR88" s="52" t="s">
        <v>195</v>
      </c>
      <c r="AS88" s="52" t="n">
        <v>3</v>
      </c>
      <c r="AT88" s="52" t="n">
        <f aca="false">IF(AR88="EUR",AA88,IF(AR88="GBP",AB88,1))</f>
        <v>7.8</v>
      </c>
      <c r="AU88" s="52" t="n">
        <f aca="false">T88*AS88</f>
        <v>312.48</v>
      </c>
      <c r="AV88" s="52" t="n">
        <f aca="false">AU88*AT88</f>
        <v>2437.344</v>
      </c>
      <c r="AW88" s="52" t="s">
        <v>195</v>
      </c>
      <c r="AX88" s="52" t="n">
        <v>2.3</v>
      </c>
      <c r="AY88" s="52" t="n">
        <f aca="false">IF(AW88="EUR",AA88,IF(AW88="GBP",AB88,1))</f>
        <v>7.8</v>
      </c>
      <c r="AZ88" s="52" t="n">
        <f aca="false">V88*AX88</f>
        <v>71.950256</v>
      </c>
      <c r="BA88" s="52" t="n">
        <f aca="false">AZ88*AY88</f>
        <v>561.2119968</v>
      </c>
      <c r="BB88" s="52" t="n">
        <f aca="false">AF88+AG88+AL88+AQ88+AV88+BA88</f>
        <v>47640.11458752</v>
      </c>
      <c r="BC88" s="54" t="n">
        <v>0.961</v>
      </c>
      <c r="BD88" s="32"/>
      <c r="BE88" s="32"/>
      <c r="BF88" s="32"/>
      <c r="BG88" s="32" t="s">
        <v>197</v>
      </c>
    </row>
    <row r="89" customFormat="false" ht="15" hidden="false" customHeight="false" outlineLevel="0" collapsed="false">
      <c r="A89" s="18" t="s">
        <v>193</v>
      </c>
      <c r="B89" s="18" t="s">
        <v>194</v>
      </c>
      <c r="C89" s="18"/>
      <c r="D89" s="49" t="n">
        <v>46266</v>
      </c>
      <c r="E89" s="18" t="s">
        <v>116</v>
      </c>
      <c r="F89" s="18" t="s">
        <v>113</v>
      </c>
      <c r="G89" s="18" t="s">
        <v>110</v>
      </c>
      <c r="H89" s="18" t="s">
        <v>107</v>
      </c>
      <c r="I89" s="18" t="s">
        <v>102</v>
      </c>
      <c r="J89" s="50" t="n">
        <v>16000</v>
      </c>
      <c r="K89" s="51" t="n">
        <v>0.31</v>
      </c>
      <c r="L89" s="51" t="n">
        <v>1</v>
      </c>
      <c r="M89" s="51" t="n">
        <v>0.65</v>
      </c>
      <c r="N89" s="52" t="n">
        <f aca="false">J89*K89*L89*M89</f>
        <v>3224</v>
      </c>
      <c r="O89" s="50" t="n">
        <v>1.06</v>
      </c>
      <c r="P89" s="52" t="n">
        <f aca="false">N89*O89</f>
        <v>3417.44</v>
      </c>
      <c r="Q89" s="50" t="n">
        <v>0.79</v>
      </c>
      <c r="R89" s="52" t="n">
        <f aca="false">P89*Q89</f>
        <v>2699.7776</v>
      </c>
      <c r="S89" s="50" t="n">
        <v>0.06</v>
      </c>
      <c r="T89" s="52" t="n">
        <f aca="false">N89*S89</f>
        <v>193.44</v>
      </c>
      <c r="U89" s="52" t="n">
        <v>0.014</v>
      </c>
      <c r="V89" s="52" t="n">
        <f aca="false">P89*U89</f>
        <v>47.84416</v>
      </c>
      <c r="W89" s="53" t="s">
        <v>195</v>
      </c>
      <c r="X89" s="50" t="n">
        <v>2.6</v>
      </c>
      <c r="Y89" s="53" t="s">
        <v>198</v>
      </c>
      <c r="Z89" s="50" t="n">
        <v>0.2</v>
      </c>
      <c r="AA89" s="50" t="n">
        <v>7.8</v>
      </c>
      <c r="AB89" s="50" t="n">
        <v>9</v>
      </c>
      <c r="AC89" s="52" t="n">
        <f aca="false">IF(W89="EUR",AA89,IF(W89="GBP",AB89,1))</f>
        <v>7.8</v>
      </c>
      <c r="AD89" s="52" t="n">
        <f aca="false">R89*X89</f>
        <v>7019.42176</v>
      </c>
      <c r="AE89" s="52" t="n">
        <f aca="false">IF(Y89="PERCENTAGE_OF_BASE_FREIGHT",AD89*Z89,IF(Y89="PER_CHARGEABLE_KG",R89*Z89,P89*Z89))</f>
        <v>539.95552</v>
      </c>
      <c r="AF89" s="52" t="n">
        <f aca="false">AD89*AC89</f>
        <v>54751.489728</v>
      </c>
      <c r="AG89" s="52" t="n">
        <f aca="false">AE89*AC89</f>
        <v>4211.653056</v>
      </c>
      <c r="AH89" s="52" t="s">
        <v>195</v>
      </c>
      <c r="AI89" s="52" t="n">
        <v>1.05</v>
      </c>
      <c r="AJ89" s="52" t="n">
        <f aca="false">IF(AH89="EUR",AA89,IF(AH89="GBP",AB89,1))</f>
        <v>7.8</v>
      </c>
      <c r="AK89" s="52" t="n">
        <f aca="false">N89*AI89</f>
        <v>3385.2</v>
      </c>
      <c r="AL89" s="52" t="n">
        <f aca="false">AK89*AJ89</f>
        <v>26404.56</v>
      </c>
      <c r="AM89" s="52" t="s">
        <v>195</v>
      </c>
      <c r="AN89" s="52" t="n">
        <v>0.38</v>
      </c>
      <c r="AO89" s="52" t="n">
        <f aca="false">IF(AM89="EUR",AA89,IF(AM89="GBP",AB89,1))</f>
        <v>7.8</v>
      </c>
      <c r="AP89" s="52" t="n">
        <f aca="false">P89*AN89</f>
        <v>1298.6272</v>
      </c>
      <c r="AQ89" s="52" t="n">
        <f aca="false">AP89*AO89</f>
        <v>10129.29216</v>
      </c>
      <c r="AR89" s="52" t="s">
        <v>195</v>
      </c>
      <c r="AS89" s="52" t="n">
        <v>3</v>
      </c>
      <c r="AT89" s="52" t="n">
        <f aca="false">IF(AR89="EUR",AA89,IF(AR89="GBP",AB89,1))</f>
        <v>7.8</v>
      </c>
      <c r="AU89" s="52" t="n">
        <f aca="false">T89*AS89</f>
        <v>580.32</v>
      </c>
      <c r="AV89" s="52" t="n">
        <f aca="false">AU89*AT89</f>
        <v>4526.496</v>
      </c>
      <c r="AW89" s="52" t="s">
        <v>195</v>
      </c>
      <c r="AX89" s="52" t="n">
        <v>2.3</v>
      </c>
      <c r="AY89" s="52" t="n">
        <f aca="false">IF(AW89="EUR",AA89,IF(AW89="GBP",AB89,1))</f>
        <v>7.8</v>
      </c>
      <c r="AZ89" s="52" t="n">
        <f aca="false">V89*AX89</f>
        <v>110.041568</v>
      </c>
      <c r="BA89" s="52" t="n">
        <f aca="false">AZ89*AY89</f>
        <v>858.3242304</v>
      </c>
      <c r="BB89" s="52" t="n">
        <f aca="false">AF89+AG89+AL89+AQ89+AV89+BA89</f>
        <v>100881.8151744</v>
      </c>
      <c r="BC89" s="54" t="n">
        <v>0.973</v>
      </c>
      <c r="BD89" s="32"/>
      <c r="BE89" s="32"/>
      <c r="BF89" s="32"/>
      <c r="BG89" s="32" t="s">
        <v>197</v>
      </c>
    </row>
    <row r="90" customFormat="false" ht="15" hidden="false" customHeight="false" outlineLevel="0" collapsed="false">
      <c r="A90" s="18" t="s">
        <v>193</v>
      </c>
      <c r="B90" s="18" t="s">
        <v>194</v>
      </c>
      <c r="C90" s="18"/>
      <c r="D90" s="49" t="n">
        <v>46266</v>
      </c>
      <c r="E90" s="18" t="s">
        <v>118</v>
      </c>
      <c r="F90" s="18" t="s">
        <v>119</v>
      </c>
      <c r="G90" s="18" t="s">
        <v>100</v>
      </c>
      <c r="H90" s="18" t="s">
        <v>101</v>
      </c>
      <c r="I90" s="18" t="s">
        <v>102</v>
      </c>
      <c r="J90" s="50" t="n">
        <v>16000</v>
      </c>
      <c r="K90" s="51" t="n">
        <v>0.31</v>
      </c>
      <c r="L90" s="51" t="n">
        <v>0.96</v>
      </c>
      <c r="M90" s="51" t="n">
        <v>0.65</v>
      </c>
      <c r="N90" s="52" t="n">
        <f aca="false">J90*K90*L90*M90</f>
        <v>3095.04</v>
      </c>
      <c r="O90" s="50" t="n">
        <v>1.12</v>
      </c>
      <c r="P90" s="52" t="n">
        <f aca="false">N90*O90</f>
        <v>3466.4448</v>
      </c>
      <c r="Q90" s="50" t="n">
        <v>1.02</v>
      </c>
      <c r="R90" s="52" t="n">
        <f aca="false">P90*Q90</f>
        <v>3535.773696</v>
      </c>
      <c r="S90" s="50" t="n">
        <v>0.08</v>
      </c>
      <c r="T90" s="52" t="n">
        <f aca="false">N90*S90</f>
        <v>247.6032</v>
      </c>
      <c r="U90" s="52" t="n">
        <v>0.022</v>
      </c>
      <c r="V90" s="52" t="n">
        <f aca="false">P90*U90</f>
        <v>76.2617856</v>
      </c>
      <c r="W90" s="53" t="s">
        <v>199</v>
      </c>
      <c r="X90" s="50" t="n">
        <v>4</v>
      </c>
      <c r="Y90" s="53" t="s">
        <v>196</v>
      </c>
      <c r="Z90" s="50" t="n">
        <v>0.1</v>
      </c>
      <c r="AA90" s="50" t="n">
        <v>7.8</v>
      </c>
      <c r="AB90" s="50" t="n">
        <v>9</v>
      </c>
      <c r="AC90" s="52" t="n">
        <f aca="false">IF(W90="EUR",AA90,IF(W90="GBP",AB90,1))</f>
        <v>9</v>
      </c>
      <c r="AD90" s="52" t="n">
        <f aca="false">R90*X90</f>
        <v>14143.094784</v>
      </c>
      <c r="AE90" s="52" t="n">
        <f aca="false">IF(Y90="PERCENTAGE_OF_BASE_FREIGHT",AD90*Z90,IF(Y90="PER_CHARGEABLE_KG",R90*Z90,P90*Z90))</f>
        <v>1414.3094784</v>
      </c>
      <c r="AF90" s="52" t="n">
        <f aca="false">AD90*AC90</f>
        <v>127287.853056</v>
      </c>
      <c r="AG90" s="52" t="n">
        <f aca="false">AE90*AC90</f>
        <v>12728.7853056</v>
      </c>
      <c r="AH90" s="52" t="s">
        <v>195</v>
      </c>
      <c r="AI90" s="52" t="n">
        <v>1.18</v>
      </c>
      <c r="AJ90" s="52" t="n">
        <f aca="false">IF(AH90="EUR",AA90,IF(AH90="GBP",AB90,1))</f>
        <v>7.8</v>
      </c>
      <c r="AK90" s="52" t="n">
        <f aca="false">N90*AI90</f>
        <v>3652.1472</v>
      </c>
      <c r="AL90" s="52" t="n">
        <f aca="false">AK90*AJ90</f>
        <v>28486.74816</v>
      </c>
      <c r="AM90" s="52" t="s">
        <v>195</v>
      </c>
      <c r="AN90" s="52" t="n">
        <v>0.42</v>
      </c>
      <c r="AO90" s="52" t="n">
        <f aca="false">IF(AM90="EUR",AA90,IF(AM90="GBP",AB90,1))</f>
        <v>7.8</v>
      </c>
      <c r="AP90" s="52" t="n">
        <f aca="false">P90*AN90</f>
        <v>1455.906816</v>
      </c>
      <c r="AQ90" s="52" t="n">
        <f aca="false">AP90*AO90</f>
        <v>11356.0731648</v>
      </c>
      <c r="AR90" s="52" t="s">
        <v>199</v>
      </c>
      <c r="AS90" s="52" t="n">
        <v>4.8</v>
      </c>
      <c r="AT90" s="52" t="n">
        <f aca="false">IF(AR90="EUR",AA90,IF(AR90="GBP",AB90,1))</f>
        <v>9</v>
      </c>
      <c r="AU90" s="52" t="n">
        <f aca="false">T90*AS90</f>
        <v>1188.49536</v>
      </c>
      <c r="AV90" s="52" t="n">
        <f aca="false">AU90*AT90</f>
        <v>10696.45824</v>
      </c>
      <c r="AW90" s="52" t="s">
        <v>199</v>
      </c>
      <c r="AX90" s="52" t="n">
        <v>2.3</v>
      </c>
      <c r="AY90" s="52" t="n">
        <f aca="false">IF(AW90="EUR",AA90,IF(AW90="GBP",AB90,1))</f>
        <v>9</v>
      </c>
      <c r="AZ90" s="52" t="n">
        <f aca="false">V90*AX90</f>
        <v>175.40210688</v>
      </c>
      <c r="BA90" s="52" t="n">
        <f aca="false">AZ90*AY90</f>
        <v>1578.61896192</v>
      </c>
      <c r="BB90" s="52" t="n">
        <f aca="false">AF90+AG90+AL90+AQ90+AV90+BA90</f>
        <v>192134.53688832</v>
      </c>
      <c r="BC90" s="54" t="n">
        <v>0.93</v>
      </c>
      <c r="BD90" s="32"/>
      <c r="BE90" s="32"/>
      <c r="BF90" s="32"/>
      <c r="BG90" s="32" t="s">
        <v>197</v>
      </c>
    </row>
    <row r="91" customFormat="false" ht="15" hidden="false" customHeight="false" outlineLevel="0" collapsed="false">
      <c r="A91" s="18" t="s">
        <v>193</v>
      </c>
      <c r="B91" s="18" t="s">
        <v>194</v>
      </c>
      <c r="C91" s="18"/>
      <c r="D91" s="49" t="n">
        <v>46266</v>
      </c>
      <c r="E91" s="18" t="s">
        <v>122</v>
      </c>
      <c r="F91" s="18" t="s">
        <v>119</v>
      </c>
      <c r="G91" s="18" t="s">
        <v>100</v>
      </c>
      <c r="H91" s="18" t="s">
        <v>107</v>
      </c>
      <c r="I91" s="18" t="s">
        <v>102</v>
      </c>
      <c r="J91" s="50" t="n">
        <v>16000</v>
      </c>
      <c r="K91" s="51" t="n">
        <v>0.31</v>
      </c>
      <c r="L91" s="51" t="n">
        <v>0.96</v>
      </c>
      <c r="M91" s="51" t="n">
        <v>0.25</v>
      </c>
      <c r="N91" s="52" t="n">
        <f aca="false">J91*K91*L91*M91</f>
        <v>1190.4</v>
      </c>
      <c r="O91" s="50" t="n">
        <v>1.12</v>
      </c>
      <c r="P91" s="52" t="n">
        <f aca="false">N91*O91</f>
        <v>1333.248</v>
      </c>
      <c r="Q91" s="50" t="n">
        <v>1</v>
      </c>
      <c r="R91" s="52" t="n">
        <f aca="false">P91*Q91</f>
        <v>1333.248</v>
      </c>
      <c r="S91" s="50" t="n">
        <v>0.08</v>
      </c>
      <c r="T91" s="52" t="n">
        <f aca="false">N91*S91</f>
        <v>95.232</v>
      </c>
      <c r="U91" s="52" t="n">
        <v>0.017</v>
      </c>
      <c r="V91" s="52" t="n">
        <f aca="false">P91*U91</f>
        <v>22.665216</v>
      </c>
      <c r="W91" s="53" t="s">
        <v>199</v>
      </c>
      <c r="X91" s="50" t="n">
        <v>4.7</v>
      </c>
      <c r="Y91" s="53" t="s">
        <v>198</v>
      </c>
      <c r="Z91" s="50" t="n">
        <v>0.33</v>
      </c>
      <c r="AA91" s="50" t="n">
        <v>7.8</v>
      </c>
      <c r="AB91" s="50" t="n">
        <v>9</v>
      </c>
      <c r="AC91" s="52" t="n">
        <f aca="false">IF(W91="EUR",AA91,IF(W91="GBP",AB91,1))</f>
        <v>9</v>
      </c>
      <c r="AD91" s="52" t="n">
        <f aca="false">R91*X91</f>
        <v>6266.2656</v>
      </c>
      <c r="AE91" s="52" t="n">
        <f aca="false">IF(Y91="PERCENTAGE_OF_BASE_FREIGHT",AD91*Z91,IF(Y91="PER_CHARGEABLE_KG",R91*Z91,P91*Z91))</f>
        <v>439.97184</v>
      </c>
      <c r="AF91" s="52" t="n">
        <f aca="false">AD91*AC91</f>
        <v>56396.3904</v>
      </c>
      <c r="AG91" s="52" t="n">
        <f aca="false">AE91*AC91</f>
        <v>3959.74656</v>
      </c>
      <c r="AH91" s="52" t="s">
        <v>195</v>
      </c>
      <c r="AI91" s="52" t="n">
        <v>1.18</v>
      </c>
      <c r="AJ91" s="52" t="n">
        <f aca="false">IF(AH91="EUR",AA91,IF(AH91="GBP",AB91,1))</f>
        <v>7.8</v>
      </c>
      <c r="AK91" s="52" t="n">
        <f aca="false">N91*AI91</f>
        <v>1404.672</v>
      </c>
      <c r="AL91" s="52" t="n">
        <f aca="false">AK91*AJ91</f>
        <v>10956.4416</v>
      </c>
      <c r="AM91" s="52" t="s">
        <v>195</v>
      </c>
      <c r="AN91" s="52" t="n">
        <v>0.42</v>
      </c>
      <c r="AO91" s="52" t="n">
        <f aca="false">IF(AM91="EUR",AA91,IF(AM91="GBP",AB91,1))</f>
        <v>7.8</v>
      </c>
      <c r="AP91" s="52" t="n">
        <f aca="false">P91*AN91</f>
        <v>559.96416</v>
      </c>
      <c r="AQ91" s="52" t="n">
        <f aca="false">AP91*AO91</f>
        <v>4367.720448</v>
      </c>
      <c r="AR91" s="52" t="s">
        <v>199</v>
      </c>
      <c r="AS91" s="52" t="n">
        <v>4.8</v>
      </c>
      <c r="AT91" s="52" t="n">
        <f aca="false">IF(AR91="EUR",AA91,IF(AR91="GBP",AB91,1))</f>
        <v>9</v>
      </c>
      <c r="AU91" s="52" t="n">
        <f aca="false">T91*AS91</f>
        <v>457.1136</v>
      </c>
      <c r="AV91" s="52" t="n">
        <f aca="false">AU91*AT91</f>
        <v>4114.0224</v>
      </c>
      <c r="AW91" s="52" t="s">
        <v>199</v>
      </c>
      <c r="AX91" s="52" t="n">
        <v>2.3</v>
      </c>
      <c r="AY91" s="52" t="n">
        <f aca="false">IF(AW91="EUR",AA91,IF(AW91="GBP",AB91,1))</f>
        <v>9</v>
      </c>
      <c r="AZ91" s="52" t="n">
        <f aca="false">V91*AX91</f>
        <v>52.1299968</v>
      </c>
      <c r="BA91" s="52" t="n">
        <f aca="false">AZ91*AY91</f>
        <v>469.1699712</v>
      </c>
      <c r="BB91" s="52" t="n">
        <f aca="false">AF91+AG91+AL91+AQ91+AV91+BA91</f>
        <v>80263.4913792</v>
      </c>
      <c r="BC91" s="54" t="n">
        <v>0.95</v>
      </c>
      <c r="BD91" s="32"/>
      <c r="BE91" s="32"/>
      <c r="BF91" s="32"/>
      <c r="BG91" s="32" t="s">
        <v>197</v>
      </c>
    </row>
    <row r="92" customFormat="false" ht="15" hidden="false" customHeight="false" outlineLevel="0" collapsed="false">
      <c r="A92" s="18" t="s">
        <v>193</v>
      </c>
      <c r="B92" s="18" t="s">
        <v>194</v>
      </c>
      <c r="C92" s="18"/>
      <c r="D92" s="49" t="n">
        <v>46266</v>
      </c>
      <c r="E92" s="18" t="s">
        <v>124</v>
      </c>
      <c r="F92" s="18" t="s">
        <v>119</v>
      </c>
      <c r="G92" s="18" t="s">
        <v>100</v>
      </c>
      <c r="H92" s="18" t="s">
        <v>107</v>
      </c>
      <c r="I92" s="18" t="s">
        <v>125</v>
      </c>
      <c r="J92" s="50" t="n">
        <v>16000</v>
      </c>
      <c r="K92" s="51" t="n">
        <v>0.31</v>
      </c>
      <c r="L92" s="51" t="n">
        <v>0.96</v>
      </c>
      <c r="M92" s="51" t="n">
        <v>0.07</v>
      </c>
      <c r="N92" s="52" t="n">
        <f aca="false">J92*K92*L92*M92</f>
        <v>333.312</v>
      </c>
      <c r="O92" s="50" t="n">
        <v>1.12</v>
      </c>
      <c r="P92" s="52" t="n">
        <f aca="false">N92*O92</f>
        <v>373.30944</v>
      </c>
      <c r="Q92" s="50" t="n">
        <v>0.94</v>
      </c>
      <c r="R92" s="52" t="n">
        <f aca="false">P92*Q92</f>
        <v>350.9108736</v>
      </c>
      <c r="S92" s="50" t="n">
        <v>0.08</v>
      </c>
      <c r="T92" s="52" t="n">
        <f aca="false">N92*S92</f>
        <v>26.66496</v>
      </c>
      <c r="U92" s="52" t="n">
        <v>0.013</v>
      </c>
      <c r="V92" s="52" t="n">
        <f aca="false">P92*U92</f>
        <v>4.85302272</v>
      </c>
      <c r="W92" s="53" t="s">
        <v>199</v>
      </c>
      <c r="X92" s="50" t="n">
        <v>6.2</v>
      </c>
      <c r="Y92" s="53" t="s">
        <v>196</v>
      </c>
      <c r="Z92" s="50" t="n">
        <v>0.115</v>
      </c>
      <c r="AA92" s="50" t="n">
        <v>7.8</v>
      </c>
      <c r="AB92" s="50" t="n">
        <v>9</v>
      </c>
      <c r="AC92" s="52" t="n">
        <f aca="false">IF(W92="EUR",AA92,IF(W92="GBP",AB92,1))</f>
        <v>9</v>
      </c>
      <c r="AD92" s="52" t="n">
        <f aca="false">R92*X92</f>
        <v>2175.64741632</v>
      </c>
      <c r="AE92" s="52" t="n">
        <f aca="false">IF(Y92="PERCENTAGE_OF_BASE_FREIGHT",AD92*Z92,IF(Y92="PER_CHARGEABLE_KG",R92*Z92,P92*Z92))</f>
        <v>250.1994528768</v>
      </c>
      <c r="AF92" s="52" t="n">
        <f aca="false">AD92*AC92</f>
        <v>19580.82674688</v>
      </c>
      <c r="AG92" s="52" t="n">
        <f aca="false">AE92*AC92</f>
        <v>2251.7950758912</v>
      </c>
      <c r="AH92" s="52" t="s">
        <v>195</v>
      </c>
      <c r="AI92" s="52" t="n">
        <v>1.18</v>
      </c>
      <c r="AJ92" s="52" t="n">
        <f aca="false">IF(AH92="EUR",AA92,IF(AH92="GBP",AB92,1))</f>
        <v>7.8</v>
      </c>
      <c r="AK92" s="52" t="n">
        <f aca="false">N92*AI92</f>
        <v>393.30816</v>
      </c>
      <c r="AL92" s="52" t="n">
        <f aca="false">AK92*AJ92</f>
        <v>3067.803648</v>
      </c>
      <c r="AM92" s="52" t="s">
        <v>195</v>
      </c>
      <c r="AN92" s="52" t="n">
        <v>0.42</v>
      </c>
      <c r="AO92" s="52" t="n">
        <f aca="false">IF(AM92="EUR",AA92,IF(AM92="GBP",AB92,1))</f>
        <v>7.8</v>
      </c>
      <c r="AP92" s="52" t="n">
        <f aca="false">P92*AN92</f>
        <v>156.7899648</v>
      </c>
      <c r="AQ92" s="52" t="n">
        <f aca="false">AP92*AO92</f>
        <v>1222.96172544</v>
      </c>
      <c r="AR92" s="52" t="s">
        <v>199</v>
      </c>
      <c r="AS92" s="52" t="n">
        <v>4.8</v>
      </c>
      <c r="AT92" s="52" t="n">
        <f aca="false">IF(AR92="EUR",AA92,IF(AR92="GBP",AB92,1))</f>
        <v>9</v>
      </c>
      <c r="AU92" s="52" t="n">
        <f aca="false">T92*AS92</f>
        <v>127.991808</v>
      </c>
      <c r="AV92" s="52" t="n">
        <f aca="false">AU92*AT92</f>
        <v>1151.926272</v>
      </c>
      <c r="AW92" s="52" t="s">
        <v>199</v>
      </c>
      <c r="AX92" s="52" t="n">
        <v>2.8</v>
      </c>
      <c r="AY92" s="52" t="n">
        <f aca="false">IF(AW92="EUR",AA92,IF(AW92="GBP",AB92,1))</f>
        <v>9</v>
      </c>
      <c r="AZ92" s="52" t="n">
        <f aca="false">V92*AX92</f>
        <v>13.588463616</v>
      </c>
      <c r="BA92" s="52" t="n">
        <f aca="false">AZ92*AY92</f>
        <v>122.296172544</v>
      </c>
      <c r="BB92" s="52" t="n">
        <f aca="false">AF92+AG92+AL92+AQ92+AV92+BA92</f>
        <v>27397.6096407552</v>
      </c>
      <c r="BC92" s="54" t="n">
        <v>0.974</v>
      </c>
      <c r="BD92" s="32"/>
      <c r="BE92" s="32"/>
      <c r="BF92" s="32"/>
      <c r="BG92" s="32" t="s">
        <v>197</v>
      </c>
    </row>
    <row r="93" customFormat="false" ht="15" hidden="false" customHeight="false" outlineLevel="0" collapsed="false">
      <c r="A93" s="18" t="s">
        <v>193</v>
      </c>
      <c r="B93" s="18" t="s">
        <v>194</v>
      </c>
      <c r="C93" s="18"/>
      <c r="D93" s="49" t="n">
        <v>46266</v>
      </c>
      <c r="E93" s="18" t="s">
        <v>127</v>
      </c>
      <c r="F93" s="18" t="s">
        <v>119</v>
      </c>
      <c r="G93" s="18" t="s">
        <v>100</v>
      </c>
      <c r="H93" s="18" t="s">
        <v>128</v>
      </c>
      <c r="I93" s="18" t="s">
        <v>125</v>
      </c>
      <c r="J93" s="50" t="n">
        <v>16000</v>
      </c>
      <c r="K93" s="51" t="n">
        <v>0.31</v>
      </c>
      <c r="L93" s="51" t="n">
        <v>0.96</v>
      </c>
      <c r="M93" s="51" t="n">
        <v>0.03</v>
      </c>
      <c r="N93" s="52" t="n">
        <f aca="false">J93*K93*L93*M93</f>
        <v>142.848</v>
      </c>
      <c r="O93" s="50" t="n">
        <v>1.12</v>
      </c>
      <c r="P93" s="52" t="n">
        <f aca="false">N93*O93</f>
        <v>159.98976</v>
      </c>
      <c r="Q93" s="50" t="n">
        <v>0.92</v>
      </c>
      <c r="R93" s="52" t="n">
        <f aca="false">P93*Q93</f>
        <v>147.1905792</v>
      </c>
      <c r="S93" s="50" t="n">
        <v>0.08</v>
      </c>
      <c r="T93" s="52" t="n">
        <f aca="false">N93*S93</f>
        <v>11.42784</v>
      </c>
      <c r="U93" s="52" t="n">
        <v>0.009</v>
      </c>
      <c r="V93" s="52" t="n">
        <f aca="false">P93*U93</f>
        <v>1.43990784</v>
      </c>
      <c r="W93" s="53" t="s">
        <v>199</v>
      </c>
      <c r="X93" s="50" t="n">
        <v>7.5</v>
      </c>
      <c r="Y93" s="53" t="s">
        <v>198</v>
      </c>
      <c r="Z93" s="50" t="n">
        <v>0.58</v>
      </c>
      <c r="AA93" s="50" t="n">
        <v>7.8</v>
      </c>
      <c r="AB93" s="50" t="n">
        <v>9</v>
      </c>
      <c r="AC93" s="52" t="n">
        <f aca="false">IF(W93="EUR",AA93,IF(W93="GBP",AB93,1))</f>
        <v>9</v>
      </c>
      <c r="AD93" s="52" t="n">
        <f aca="false">R93*X93</f>
        <v>1103.929344</v>
      </c>
      <c r="AE93" s="52" t="n">
        <f aca="false">IF(Y93="PERCENTAGE_OF_BASE_FREIGHT",AD93*Z93,IF(Y93="PER_CHARGEABLE_KG",R93*Z93,P93*Z93))</f>
        <v>85.370535936</v>
      </c>
      <c r="AF93" s="52" t="n">
        <f aca="false">AD93*AC93</f>
        <v>9935.364096</v>
      </c>
      <c r="AG93" s="52" t="n">
        <f aca="false">AE93*AC93</f>
        <v>768.334823424</v>
      </c>
      <c r="AH93" s="52" t="s">
        <v>195</v>
      </c>
      <c r="AI93" s="52" t="n">
        <v>1.18</v>
      </c>
      <c r="AJ93" s="52" t="n">
        <f aca="false">IF(AH93="EUR",AA93,IF(AH93="GBP",AB93,1))</f>
        <v>7.8</v>
      </c>
      <c r="AK93" s="52" t="n">
        <f aca="false">N93*AI93</f>
        <v>168.56064</v>
      </c>
      <c r="AL93" s="52" t="n">
        <f aca="false">AK93*AJ93</f>
        <v>1314.772992</v>
      </c>
      <c r="AM93" s="52" t="s">
        <v>195</v>
      </c>
      <c r="AN93" s="52" t="n">
        <v>0.42</v>
      </c>
      <c r="AO93" s="52" t="n">
        <f aca="false">IF(AM93="EUR",AA93,IF(AM93="GBP",AB93,1))</f>
        <v>7.8</v>
      </c>
      <c r="AP93" s="52" t="n">
        <f aca="false">P93*AN93</f>
        <v>67.1956992</v>
      </c>
      <c r="AQ93" s="52" t="n">
        <f aca="false">AP93*AO93</f>
        <v>524.12645376</v>
      </c>
      <c r="AR93" s="52" t="s">
        <v>199</v>
      </c>
      <c r="AS93" s="52" t="n">
        <v>4.8</v>
      </c>
      <c r="AT93" s="52" t="n">
        <f aca="false">IF(AR93="EUR",AA93,IF(AR93="GBP",AB93,1))</f>
        <v>9</v>
      </c>
      <c r="AU93" s="52" t="n">
        <f aca="false">T93*AS93</f>
        <v>54.853632</v>
      </c>
      <c r="AV93" s="52" t="n">
        <f aca="false">AU93*AT93</f>
        <v>493.682688</v>
      </c>
      <c r="AW93" s="52" t="s">
        <v>199</v>
      </c>
      <c r="AX93" s="52" t="n">
        <v>3.6</v>
      </c>
      <c r="AY93" s="52" t="n">
        <f aca="false">IF(AW93="EUR",AA93,IF(AW93="GBP",AB93,1))</f>
        <v>9</v>
      </c>
      <c r="AZ93" s="52" t="n">
        <f aca="false">V93*AX93</f>
        <v>5.183668224</v>
      </c>
      <c r="BA93" s="52" t="n">
        <f aca="false">AZ93*AY93</f>
        <v>46.653014016</v>
      </c>
      <c r="BB93" s="52" t="n">
        <f aca="false">AF93+AG93+AL93+AQ93+AV93+BA93</f>
        <v>13082.9340672</v>
      </c>
      <c r="BC93" s="54" t="n">
        <v>0.988</v>
      </c>
      <c r="BD93" s="32"/>
      <c r="BE93" s="32"/>
      <c r="BF93" s="32"/>
      <c r="BG93" s="32" t="s">
        <v>197</v>
      </c>
    </row>
    <row r="94" customFormat="false" ht="15" hidden="false" customHeight="false" outlineLevel="0" collapsed="false">
      <c r="A94" s="18" t="s">
        <v>193</v>
      </c>
      <c r="B94" s="18" t="s">
        <v>194</v>
      </c>
      <c r="C94" s="18"/>
      <c r="D94" s="49" t="n">
        <v>46266</v>
      </c>
      <c r="E94" s="18" t="s">
        <v>130</v>
      </c>
      <c r="F94" s="18" t="s">
        <v>119</v>
      </c>
      <c r="G94" s="18" t="s">
        <v>110</v>
      </c>
      <c r="H94" s="18" t="s">
        <v>107</v>
      </c>
      <c r="I94" s="18" t="s">
        <v>125</v>
      </c>
      <c r="J94" s="50" t="n">
        <v>16000</v>
      </c>
      <c r="K94" s="51" t="n">
        <v>0.31</v>
      </c>
      <c r="L94" s="51" t="n">
        <v>0.04</v>
      </c>
      <c r="M94" s="51" t="n">
        <v>1</v>
      </c>
      <c r="N94" s="52" t="n">
        <f aca="false">J94*K94*L94*M94</f>
        <v>198.4</v>
      </c>
      <c r="O94" s="50" t="n">
        <v>1.15</v>
      </c>
      <c r="P94" s="52" t="n">
        <f aca="false">N94*O94</f>
        <v>228.16</v>
      </c>
      <c r="Q94" s="50" t="n">
        <v>0.9</v>
      </c>
      <c r="R94" s="52" t="n">
        <f aca="false">P94*Q94</f>
        <v>205.344</v>
      </c>
      <c r="S94" s="50" t="n">
        <v>0.08</v>
      </c>
      <c r="T94" s="52" t="n">
        <f aca="false">N94*S94</f>
        <v>15.872</v>
      </c>
      <c r="U94" s="52" t="n">
        <v>0.012</v>
      </c>
      <c r="V94" s="52" t="n">
        <f aca="false">P94*U94</f>
        <v>2.73792</v>
      </c>
      <c r="W94" s="53" t="s">
        <v>195</v>
      </c>
      <c r="X94" s="50" t="n">
        <v>6.7</v>
      </c>
      <c r="Y94" s="53" t="s">
        <v>196</v>
      </c>
      <c r="Z94" s="50" t="n">
        <v>0.105</v>
      </c>
      <c r="AA94" s="50" t="n">
        <v>7.8</v>
      </c>
      <c r="AB94" s="50" t="n">
        <v>9</v>
      </c>
      <c r="AC94" s="52" t="n">
        <f aca="false">IF(W94="EUR",AA94,IF(W94="GBP",AB94,1))</f>
        <v>7.8</v>
      </c>
      <c r="AD94" s="52" t="n">
        <f aca="false">R94*X94</f>
        <v>1375.8048</v>
      </c>
      <c r="AE94" s="52" t="n">
        <f aca="false">IF(Y94="PERCENTAGE_OF_BASE_FREIGHT",AD94*Z94,IF(Y94="PER_CHARGEABLE_KG",R94*Z94,P94*Z94))</f>
        <v>144.459504</v>
      </c>
      <c r="AF94" s="52" t="n">
        <f aca="false">AD94*AC94</f>
        <v>10731.27744</v>
      </c>
      <c r="AG94" s="52" t="n">
        <f aca="false">AE94*AC94</f>
        <v>1126.7841312</v>
      </c>
      <c r="AH94" s="52" t="s">
        <v>195</v>
      </c>
      <c r="AI94" s="52" t="n">
        <v>1.05</v>
      </c>
      <c r="AJ94" s="52" t="n">
        <f aca="false">IF(AH94="EUR",AA94,IF(AH94="GBP",AB94,1))</f>
        <v>7.8</v>
      </c>
      <c r="AK94" s="52" t="n">
        <f aca="false">N94*AI94</f>
        <v>208.32</v>
      </c>
      <c r="AL94" s="52" t="n">
        <f aca="false">AK94*AJ94</f>
        <v>1624.896</v>
      </c>
      <c r="AM94" s="52" t="s">
        <v>195</v>
      </c>
      <c r="AN94" s="52" t="n">
        <v>0.38</v>
      </c>
      <c r="AO94" s="52" t="n">
        <f aca="false">IF(AM94="EUR",AA94,IF(AM94="GBP",AB94,1))</f>
        <v>7.8</v>
      </c>
      <c r="AP94" s="52" t="n">
        <f aca="false">P94*AN94</f>
        <v>86.7008</v>
      </c>
      <c r="AQ94" s="52" t="n">
        <f aca="false">AP94*AO94</f>
        <v>676.26624</v>
      </c>
      <c r="AR94" s="52" t="s">
        <v>195</v>
      </c>
      <c r="AS94" s="52" t="n">
        <v>5.2</v>
      </c>
      <c r="AT94" s="52" t="n">
        <f aca="false">IF(AR94="EUR",AA94,IF(AR94="GBP",AB94,1))</f>
        <v>7.8</v>
      </c>
      <c r="AU94" s="52" t="n">
        <f aca="false">T94*AS94</f>
        <v>82.5344</v>
      </c>
      <c r="AV94" s="52" t="n">
        <f aca="false">AU94*AT94</f>
        <v>643.76832</v>
      </c>
      <c r="AW94" s="52" t="s">
        <v>195</v>
      </c>
      <c r="AX94" s="52" t="n">
        <v>2.8</v>
      </c>
      <c r="AY94" s="52" t="n">
        <f aca="false">IF(AW94="EUR",AA94,IF(AW94="GBP",AB94,1))</f>
        <v>7.8</v>
      </c>
      <c r="AZ94" s="52" t="n">
        <f aca="false">V94*AX94</f>
        <v>7.666176</v>
      </c>
      <c r="BA94" s="52" t="n">
        <f aca="false">AZ94*AY94</f>
        <v>59.7961728</v>
      </c>
      <c r="BB94" s="52" t="n">
        <f aca="false">AF94+AG94+AL94+AQ94+AV94+BA94</f>
        <v>14862.788304</v>
      </c>
      <c r="BC94" s="54" t="n">
        <v>0.971</v>
      </c>
      <c r="BD94" s="32"/>
      <c r="BE94" s="32"/>
      <c r="BF94" s="32"/>
      <c r="BG94" s="32" t="s">
        <v>197</v>
      </c>
    </row>
    <row r="95" customFormat="false" ht="15" hidden="false" customHeight="false" outlineLevel="0" collapsed="false">
      <c r="A95" s="18" t="s">
        <v>193</v>
      </c>
      <c r="B95" s="18" t="s">
        <v>194</v>
      </c>
      <c r="C95" s="18"/>
      <c r="D95" s="49" t="n">
        <v>46296</v>
      </c>
      <c r="E95" s="18" t="s">
        <v>98</v>
      </c>
      <c r="F95" s="18" t="s">
        <v>99</v>
      </c>
      <c r="G95" s="18" t="s">
        <v>100</v>
      </c>
      <c r="H95" s="18" t="s">
        <v>101</v>
      </c>
      <c r="I95" s="18" t="s">
        <v>102</v>
      </c>
      <c r="J95" s="50" t="n">
        <v>18000</v>
      </c>
      <c r="K95" s="51" t="n">
        <v>0.36</v>
      </c>
      <c r="L95" s="51" t="n">
        <v>0.97</v>
      </c>
      <c r="M95" s="51" t="n">
        <v>0.6</v>
      </c>
      <c r="N95" s="52" t="n">
        <f aca="false">J95*K95*L95*M95</f>
        <v>3771.36</v>
      </c>
      <c r="O95" s="50" t="n">
        <v>1.05</v>
      </c>
      <c r="P95" s="52" t="n">
        <f aca="false">N95*O95</f>
        <v>3959.928</v>
      </c>
      <c r="Q95" s="50" t="n">
        <v>0.7878</v>
      </c>
      <c r="R95" s="52" t="n">
        <f aca="false">P95*Q95</f>
        <v>3119.6312784</v>
      </c>
      <c r="S95" s="50" t="n">
        <v>0.05</v>
      </c>
      <c r="T95" s="52" t="n">
        <f aca="false">N95*S95</f>
        <v>188.568</v>
      </c>
      <c r="U95" s="52" t="n">
        <v>0.016</v>
      </c>
      <c r="V95" s="52" t="n">
        <f aca="false">P95*U95</f>
        <v>63.358848</v>
      </c>
      <c r="W95" s="53" t="s">
        <v>195</v>
      </c>
      <c r="X95" s="50" t="n">
        <v>2.2</v>
      </c>
      <c r="Y95" s="53" t="s">
        <v>196</v>
      </c>
      <c r="Z95" s="50" t="n">
        <v>0.095</v>
      </c>
      <c r="AA95" s="50" t="n">
        <v>7.8</v>
      </c>
      <c r="AB95" s="50" t="n">
        <v>9</v>
      </c>
      <c r="AC95" s="52" t="n">
        <f aca="false">IF(W95="EUR",AA95,IF(W95="GBP",AB95,1))</f>
        <v>7.8</v>
      </c>
      <c r="AD95" s="52" t="n">
        <f aca="false">R95*X95</f>
        <v>6863.18881248</v>
      </c>
      <c r="AE95" s="52" t="n">
        <f aca="false">IF(Y95="PERCENTAGE_OF_BASE_FREIGHT",AD95*Z95,IF(Y95="PER_CHARGEABLE_KG",R95*Z95,P95*Z95))</f>
        <v>652.0029371856</v>
      </c>
      <c r="AF95" s="52" t="n">
        <f aca="false">AD95*AC95</f>
        <v>53532.872737344</v>
      </c>
      <c r="AG95" s="52" t="n">
        <f aca="false">AE95*AC95</f>
        <v>5085.62291004768</v>
      </c>
      <c r="AH95" s="52" t="s">
        <v>195</v>
      </c>
      <c r="AI95" s="52" t="n">
        <v>1.18</v>
      </c>
      <c r="AJ95" s="52" t="n">
        <f aca="false">IF(AH95="EUR",AA95,IF(AH95="GBP",AB95,1))</f>
        <v>7.8</v>
      </c>
      <c r="AK95" s="52" t="n">
        <f aca="false">N95*AI95</f>
        <v>4450.2048</v>
      </c>
      <c r="AL95" s="52" t="n">
        <f aca="false">AK95*AJ95</f>
        <v>34711.59744</v>
      </c>
      <c r="AM95" s="52" t="s">
        <v>195</v>
      </c>
      <c r="AN95" s="52" t="n">
        <v>0.42</v>
      </c>
      <c r="AO95" s="52" t="n">
        <f aca="false">IF(AM95="EUR",AA95,IF(AM95="GBP",AB95,1))</f>
        <v>7.8</v>
      </c>
      <c r="AP95" s="52" t="n">
        <f aca="false">P95*AN95</f>
        <v>1663.16976</v>
      </c>
      <c r="AQ95" s="52" t="n">
        <f aca="false">AP95*AO95</f>
        <v>12972.724128</v>
      </c>
      <c r="AR95" s="52" t="s">
        <v>195</v>
      </c>
      <c r="AS95" s="52" t="n">
        <v>3.2</v>
      </c>
      <c r="AT95" s="52" t="n">
        <f aca="false">IF(AR95="EUR",AA95,IF(AR95="GBP",AB95,1))</f>
        <v>7.8</v>
      </c>
      <c r="AU95" s="52" t="n">
        <f aca="false">T95*AS95</f>
        <v>603.4176</v>
      </c>
      <c r="AV95" s="52" t="n">
        <f aca="false">AU95*AT95</f>
        <v>4706.65728</v>
      </c>
      <c r="AW95" s="52" t="s">
        <v>195</v>
      </c>
      <c r="AX95" s="52" t="n">
        <v>2.3</v>
      </c>
      <c r="AY95" s="52" t="n">
        <f aca="false">IF(AW95="EUR",AA95,IF(AW95="GBP",AB95,1))</f>
        <v>7.8</v>
      </c>
      <c r="AZ95" s="52" t="n">
        <f aca="false">V95*AX95</f>
        <v>145.7253504</v>
      </c>
      <c r="BA95" s="52" t="n">
        <f aca="false">AZ95*AY95</f>
        <v>1136.65773312</v>
      </c>
      <c r="BB95" s="52" t="n">
        <f aca="false">AF95+AG95+AL95+AQ95+AV95+BA95</f>
        <v>112146.132228512</v>
      </c>
      <c r="BC95" s="54" t="n">
        <v>0.965</v>
      </c>
      <c r="BD95" s="32"/>
      <c r="BE95" s="32"/>
      <c r="BF95" s="32"/>
      <c r="BG95" s="32" t="s">
        <v>197</v>
      </c>
    </row>
    <row r="96" customFormat="false" ht="15" hidden="false" customHeight="false" outlineLevel="0" collapsed="false">
      <c r="A96" s="18" t="s">
        <v>193</v>
      </c>
      <c r="B96" s="18" t="s">
        <v>194</v>
      </c>
      <c r="C96" s="18"/>
      <c r="D96" s="49" t="n">
        <v>46296</v>
      </c>
      <c r="E96" s="18" t="s">
        <v>106</v>
      </c>
      <c r="F96" s="18" t="s">
        <v>99</v>
      </c>
      <c r="G96" s="18" t="s">
        <v>100</v>
      </c>
      <c r="H96" s="18" t="s">
        <v>107</v>
      </c>
      <c r="I96" s="18" t="s">
        <v>102</v>
      </c>
      <c r="J96" s="50" t="n">
        <v>18000</v>
      </c>
      <c r="K96" s="51" t="n">
        <v>0.36</v>
      </c>
      <c r="L96" s="51" t="n">
        <v>0.97</v>
      </c>
      <c r="M96" s="51" t="n">
        <v>0.4</v>
      </c>
      <c r="N96" s="52" t="n">
        <f aca="false">J96*K96*L96*M96</f>
        <v>2514.24</v>
      </c>
      <c r="O96" s="50" t="n">
        <v>1.05</v>
      </c>
      <c r="P96" s="52" t="n">
        <f aca="false">N96*O96</f>
        <v>2639.952</v>
      </c>
      <c r="Q96" s="50" t="n">
        <v>0.808</v>
      </c>
      <c r="R96" s="52" t="n">
        <f aca="false">P96*Q96</f>
        <v>2133.081216</v>
      </c>
      <c r="S96" s="50" t="n">
        <v>0.05</v>
      </c>
      <c r="T96" s="52" t="n">
        <f aca="false">N96*S96</f>
        <v>125.712</v>
      </c>
      <c r="U96" s="52" t="n">
        <v>0.013</v>
      </c>
      <c r="V96" s="52" t="n">
        <f aca="false">P96*U96</f>
        <v>34.319376</v>
      </c>
      <c r="W96" s="53" t="s">
        <v>195</v>
      </c>
      <c r="X96" s="50" t="n">
        <v>2.75</v>
      </c>
      <c r="Y96" s="53" t="s">
        <v>198</v>
      </c>
      <c r="Z96" s="50" t="n">
        <v>0.21</v>
      </c>
      <c r="AA96" s="50" t="n">
        <v>7.8</v>
      </c>
      <c r="AB96" s="50" t="n">
        <v>9</v>
      </c>
      <c r="AC96" s="52" t="n">
        <f aca="false">IF(W96="EUR",AA96,IF(W96="GBP",AB96,1))</f>
        <v>7.8</v>
      </c>
      <c r="AD96" s="52" t="n">
        <f aca="false">R96*X96</f>
        <v>5865.973344</v>
      </c>
      <c r="AE96" s="52" t="n">
        <f aca="false">IF(Y96="PERCENTAGE_OF_BASE_FREIGHT",AD96*Z96,IF(Y96="PER_CHARGEABLE_KG",R96*Z96,P96*Z96))</f>
        <v>447.94705536</v>
      </c>
      <c r="AF96" s="52" t="n">
        <f aca="false">AD96*AC96</f>
        <v>45754.5920832</v>
      </c>
      <c r="AG96" s="52" t="n">
        <f aca="false">AE96*AC96</f>
        <v>3493.987031808</v>
      </c>
      <c r="AH96" s="52" t="s">
        <v>195</v>
      </c>
      <c r="AI96" s="52" t="n">
        <v>1.18</v>
      </c>
      <c r="AJ96" s="52" t="n">
        <f aca="false">IF(AH96="EUR",AA96,IF(AH96="GBP",AB96,1))</f>
        <v>7.8</v>
      </c>
      <c r="AK96" s="52" t="n">
        <f aca="false">N96*AI96</f>
        <v>2966.8032</v>
      </c>
      <c r="AL96" s="52" t="n">
        <f aca="false">AK96*AJ96</f>
        <v>23141.06496</v>
      </c>
      <c r="AM96" s="52" t="s">
        <v>195</v>
      </c>
      <c r="AN96" s="52" t="n">
        <v>0.42</v>
      </c>
      <c r="AO96" s="52" t="n">
        <f aca="false">IF(AM96="EUR",AA96,IF(AM96="GBP",AB96,1))</f>
        <v>7.8</v>
      </c>
      <c r="AP96" s="52" t="n">
        <f aca="false">P96*AN96</f>
        <v>1108.77984</v>
      </c>
      <c r="AQ96" s="52" t="n">
        <f aca="false">AP96*AO96</f>
        <v>8648.482752</v>
      </c>
      <c r="AR96" s="52" t="s">
        <v>195</v>
      </c>
      <c r="AS96" s="52" t="n">
        <v>3.2</v>
      </c>
      <c r="AT96" s="52" t="n">
        <f aca="false">IF(AR96="EUR",AA96,IF(AR96="GBP",AB96,1))</f>
        <v>7.8</v>
      </c>
      <c r="AU96" s="52" t="n">
        <f aca="false">T96*AS96</f>
        <v>402.2784</v>
      </c>
      <c r="AV96" s="52" t="n">
        <f aca="false">AU96*AT96</f>
        <v>3137.77152</v>
      </c>
      <c r="AW96" s="52" t="s">
        <v>195</v>
      </c>
      <c r="AX96" s="52" t="n">
        <v>2.3</v>
      </c>
      <c r="AY96" s="52" t="n">
        <f aca="false">IF(AW96="EUR",AA96,IF(AW96="GBP",AB96,1))</f>
        <v>7.8</v>
      </c>
      <c r="AZ96" s="52" t="n">
        <f aca="false">V96*AX96</f>
        <v>78.9345648</v>
      </c>
      <c r="BA96" s="52" t="n">
        <f aca="false">AZ96*AY96</f>
        <v>615.68960544</v>
      </c>
      <c r="BB96" s="52" t="n">
        <f aca="false">AF96+AG96+AL96+AQ96+AV96+BA96</f>
        <v>84791.587952448</v>
      </c>
      <c r="BC96" s="54" t="n">
        <v>0.976</v>
      </c>
      <c r="BD96" s="32"/>
      <c r="BE96" s="32"/>
      <c r="BF96" s="32"/>
      <c r="BG96" s="32" t="s">
        <v>197</v>
      </c>
    </row>
    <row r="97" customFormat="false" ht="15" hidden="false" customHeight="false" outlineLevel="0" collapsed="false">
      <c r="A97" s="18" t="s">
        <v>193</v>
      </c>
      <c r="B97" s="18" t="s">
        <v>194</v>
      </c>
      <c r="C97" s="18"/>
      <c r="D97" s="49" t="n">
        <v>46296</v>
      </c>
      <c r="E97" s="18" t="s">
        <v>109</v>
      </c>
      <c r="F97" s="18" t="s">
        <v>99</v>
      </c>
      <c r="G97" s="18" t="s">
        <v>110</v>
      </c>
      <c r="H97" s="18" t="s">
        <v>107</v>
      </c>
      <c r="I97" s="18" t="s">
        <v>102</v>
      </c>
      <c r="J97" s="50" t="n">
        <v>18000</v>
      </c>
      <c r="K97" s="51" t="n">
        <v>0.36</v>
      </c>
      <c r="L97" s="51" t="n">
        <v>0.03</v>
      </c>
      <c r="M97" s="51" t="n">
        <v>1</v>
      </c>
      <c r="N97" s="52" t="n">
        <f aca="false">J97*K97*L97*M97</f>
        <v>194.4</v>
      </c>
      <c r="O97" s="50" t="n">
        <v>1.08</v>
      </c>
      <c r="P97" s="52" t="n">
        <f aca="false">N97*O97</f>
        <v>209.952</v>
      </c>
      <c r="Q97" s="50" t="n">
        <v>0.8686</v>
      </c>
      <c r="R97" s="52" t="n">
        <f aca="false">P97*Q97</f>
        <v>182.3643072</v>
      </c>
      <c r="S97" s="50" t="n">
        <v>0.05</v>
      </c>
      <c r="T97" s="52" t="n">
        <f aca="false">N97*S97</f>
        <v>9.72</v>
      </c>
      <c r="U97" s="52" t="n">
        <v>0.014</v>
      </c>
      <c r="V97" s="52" t="n">
        <f aca="false">P97*U97</f>
        <v>2.939328</v>
      </c>
      <c r="W97" s="53" t="s">
        <v>195</v>
      </c>
      <c r="X97" s="50" t="n">
        <v>3.3</v>
      </c>
      <c r="Y97" s="53" t="s">
        <v>198</v>
      </c>
      <c r="Z97" s="50" t="n">
        <v>0.24</v>
      </c>
      <c r="AA97" s="50" t="n">
        <v>7.8</v>
      </c>
      <c r="AB97" s="50" t="n">
        <v>9</v>
      </c>
      <c r="AC97" s="52" t="n">
        <f aca="false">IF(W97="EUR",AA97,IF(W97="GBP",AB97,1))</f>
        <v>7.8</v>
      </c>
      <c r="AD97" s="52" t="n">
        <f aca="false">R97*X97</f>
        <v>601.80221376</v>
      </c>
      <c r="AE97" s="52" t="n">
        <f aca="false">IF(Y97="PERCENTAGE_OF_BASE_FREIGHT",AD97*Z97,IF(Y97="PER_CHARGEABLE_KG",R97*Z97,P97*Z97))</f>
        <v>43.767433728</v>
      </c>
      <c r="AF97" s="52" t="n">
        <f aca="false">AD97*AC97</f>
        <v>4694.057267328</v>
      </c>
      <c r="AG97" s="52" t="n">
        <f aca="false">AE97*AC97</f>
        <v>341.3859830784</v>
      </c>
      <c r="AH97" s="52" t="s">
        <v>195</v>
      </c>
      <c r="AI97" s="52" t="n">
        <v>1.05</v>
      </c>
      <c r="AJ97" s="52" t="n">
        <f aca="false">IF(AH97="EUR",AA97,IF(AH97="GBP",AB97,1))</f>
        <v>7.8</v>
      </c>
      <c r="AK97" s="52" t="n">
        <f aca="false">N97*AI97</f>
        <v>204.12</v>
      </c>
      <c r="AL97" s="52" t="n">
        <f aca="false">AK97*AJ97</f>
        <v>1592.136</v>
      </c>
      <c r="AM97" s="52" t="s">
        <v>195</v>
      </c>
      <c r="AN97" s="52" t="n">
        <v>0.38</v>
      </c>
      <c r="AO97" s="52" t="n">
        <f aca="false">IF(AM97="EUR",AA97,IF(AM97="GBP",AB97,1))</f>
        <v>7.8</v>
      </c>
      <c r="AP97" s="52" t="n">
        <f aca="false">P97*AN97</f>
        <v>79.78176</v>
      </c>
      <c r="AQ97" s="52" t="n">
        <f aca="false">AP97*AO97</f>
        <v>622.297728</v>
      </c>
      <c r="AR97" s="52" t="s">
        <v>195</v>
      </c>
      <c r="AS97" s="52" t="n">
        <v>3.8</v>
      </c>
      <c r="AT97" s="52" t="n">
        <f aca="false">IF(AR97="EUR",AA97,IF(AR97="GBP",AB97,1))</f>
        <v>7.8</v>
      </c>
      <c r="AU97" s="52" t="n">
        <f aca="false">T97*AS97</f>
        <v>36.936</v>
      </c>
      <c r="AV97" s="52" t="n">
        <f aca="false">AU97*AT97</f>
        <v>288.1008</v>
      </c>
      <c r="AW97" s="52" t="s">
        <v>195</v>
      </c>
      <c r="AX97" s="52" t="n">
        <v>2.3</v>
      </c>
      <c r="AY97" s="52" t="n">
        <f aca="false">IF(AW97="EUR",AA97,IF(AW97="GBP",AB97,1))</f>
        <v>7.8</v>
      </c>
      <c r="AZ97" s="52" t="n">
        <f aca="false">V97*AX97</f>
        <v>6.7604544</v>
      </c>
      <c r="BA97" s="52" t="n">
        <f aca="false">AZ97*AY97</f>
        <v>52.73154432</v>
      </c>
      <c r="BB97" s="52" t="n">
        <f aca="false">AF97+AG97+AL97+AQ97+AV97+BA97</f>
        <v>7590.7093227264</v>
      </c>
      <c r="BC97" s="54" t="n">
        <v>0.968</v>
      </c>
      <c r="BD97" s="32"/>
      <c r="BE97" s="32"/>
      <c r="BF97" s="32"/>
      <c r="BG97" s="32" t="s">
        <v>197</v>
      </c>
    </row>
    <row r="98" customFormat="false" ht="15" hidden="false" customHeight="false" outlineLevel="0" collapsed="false">
      <c r="A98" s="18" t="s">
        <v>193</v>
      </c>
      <c r="B98" s="18" t="s">
        <v>194</v>
      </c>
      <c r="C98" s="18"/>
      <c r="D98" s="49" t="n">
        <v>46296</v>
      </c>
      <c r="E98" s="18" t="s">
        <v>112</v>
      </c>
      <c r="F98" s="18" t="s">
        <v>113</v>
      </c>
      <c r="G98" s="18" t="s">
        <v>110</v>
      </c>
      <c r="H98" s="18" t="s">
        <v>101</v>
      </c>
      <c r="I98" s="18" t="s">
        <v>102</v>
      </c>
      <c r="J98" s="50" t="n">
        <v>18000</v>
      </c>
      <c r="K98" s="51" t="n">
        <v>0.31</v>
      </c>
      <c r="L98" s="51" t="n">
        <v>1</v>
      </c>
      <c r="M98" s="51" t="n">
        <v>0.35</v>
      </c>
      <c r="N98" s="52" t="n">
        <f aca="false">J98*K98*L98*M98</f>
        <v>1953</v>
      </c>
      <c r="O98" s="50" t="n">
        <v>1.06</v>
      </c>
      <c r="P98" s="52" t="n">
        <f aca="false">N98*O98</f>
        <v>2070.18</v>
      </c>
      <c r="Q98" s="50" t="n">
        <v>0.7676</v>
      </c>
      <c r="R98" s="52" t="n">
        <f aca="false">P98*Q98</f>
        <v>1589.070168</v>
      </c>
      <c r="S98" s="50" t="n">
        <v>0.06</v>
      </c>
      <c r="T98" s="52" t="n">
        <f aca="false">N98*S98</f>
        <v>117.18</v>
      </c>
      <c r="U98" s="52" t="n">
        <v>0.017</v>
      </c>
      <c r="V98" s="52" t="n">
        <f aca="false">P98*U98</f>
        <v>35.19306</v>
      </c>
      <c r="W98" s="53" t="s">
        <v>195</v>
      </c>
      <c r="X98" s="50" t="n">
        <v>2.1</v>
      </c>
      <c r="Y98" s="53" t="s">
        <v>196</v>
      </c>
      <c r="Z98" s="50" t="n">
        <v>0.09</v>
      </c>
      <c r="AA98" s="50" t="n">
        <v>7.8</v>
      </c>
      <c r="AB98" s="50" t="n">
        <v>9</v>
      </c>
      <c r="AC98" s="52" t="n">
        <f aca="false">IF(W98="EUR",AA98,IF(W98="GBP",AB98,1))</f>
        <v>7.8</v>
      </c>
      <c r="AD98" s="52" t="n">
        <f aca="false">R98*X98</f>
        <v>3337.0473528</v>
      </c>
      <c r="AE98" s="52" t="n">
        <f aca="false">IF(Y98="PERCENTAGE_OF_BASE_FREIGHT",AD98*Z98,IF(Y98="PER_CHARGEABLE_KG",R98*Z98,P98*Z98))</f>
        <v>300.334261752</v>
      </c>
      <c r="AF98" s="52" t="n">
        <f aca="false">AD98*AC98</f>
        <v>26028.96935184</v>
      </c>
      <c r="AG98" s="52" t="n">
        <f aca="false">AE98*AC98</f>
        <v>2342.6072416656</v>
      </c>
      <c r="AH98" s="52" t="s">
        <v>195</v>
      </c>
      <c r="AI98" s="52" t="n">
        <v>1.05</v>
      </c>
      <c r="AJ98" s="52" t="n">
        <f aca="false">IF(AH98="EUR",AA98,IF(AH98="GBP",AB98,1))</f>
        <v>7.8</v>
      </c>
      <c r="AK98" s="52" t="n">
        <f aca="false">N98*AI98</f>
        <v>2050.65</v>
      </c>
      <c r="AL98" s="52" t="n">
        <f aca="false">AK98*AJ98</f>
        <v>15995.07</v>
      </c>
      <c r="AM98" s="52" t="s">
        <v>195</v>
      </c>
      <c r="AN98" s="52" t="n">
        <v>0.38</v>
      </c>
      <c r="AO98" s="52" t="n">
        <f aca="false">IF(AM98="EUR",AA98,IF(AM98="GBP",AB98,1))</f>
        <v>7.8</v>
      </c>
      <c r="AP98" s="52" t="n">
        <f aca="false">P98*AN98</f>
        <v>786.6684</v>
      </c>
      <c r="AQ98" s="52" t="n">
        <f aca="false">AP98*AO98</f>
        <v>6136.01352</v>
      </c>
      <c r="AR98" s="52" t="s">
        <v>195</v>
      </c>
      <c r="AS98" s="52" t="n">
        <v>3</v>
      </c>
      <c r="AT98" s="52" t="n">
        <f aca="false">IF(AR98="EUR",AA98,IF(AR98="GBP",AB98,1))</f>
        <v>7.8</v>
      </c>
      <c r="AU98" s="52" t="n">
        <f aca="false">T98*AS98</f>
        <v>351.54</v>
      </c>
      <c r="AV98" s="52" t="n">
        <f aca="false">AU98*AT98</f>
        <v>2742.012</v>
      </c>
      <c r="AW98" s="52" t="s">
        <v>195</v>
      </c>
      <c r="AX98" s="52" t="n">
        <v>2.3</v>
      </c>
      <c r="AY98" s="52" t="n">
        <f aca="false">IF(AW98="EUR",AA98,IF(AW98="GBP",AB98,1))</f>
        <v>7.8</v>
      </c>
      <c r="AZ98" s="52" t="n">
        <f aca="false">V98*AX98</f>
        <v>80.944038</v>
      </c>
      <c r="BA98" s="52" t="n">
        <f aca="false">AZ98*AY98</f>
        <v>631.3634964</v>
      </c>
      <c r="BB98" s="52" t="n">
        <f aca="false">AF98+AG98+AL98+AQ98+AV98+BA98</f>
        <v>53876.0356099056</v>
      </c>
      <c r="BC98" s="54" t="n">
        <v>0.961</v>
      </c>
      <c r="BD98" s="32"/>
      <c r="BE98" s="32"/>
      <c r="BF98" s="32"/>
      <c r="BG98" s="32" t="s">
        <v>197</v>
      </c>
    </row>
    <row r="99" customFormat="false" ht="15" hidden="false" customHeight="false" outlineLevel="0" collapsed="false">
      <c r="A99" s="18" t="s">
        <v>193</v>
      </c>
      <c r="B99" s="18" t="s">
        <v>194</v>
      </c>
      <c r="C99" s="18"/>
      <c r="D99" s="49" t="n">
        <v>46296</v>
      </c>
      <c r="E99" s="18" t="s">
        <v>116</v>
      </c>
      <c r="F99" s="18" t="s">
        <v>113</v>
      </c>
      <c r="G99" s="18" t="s">
        <v>110</v>
      </c>
      <c r="H99" s="18" t="s">
        <v>107</v>
      </c>
      <c r="I99" s="18" t="s">
        <v>102</v>
      </c>
      <c r="J99" s="50" t="n">
        <v>18000</v>
      </c>
      <c r="K99" s="51" t="n">
        <v>0.31</v>
      </c>
      <c r="L99" s="51" t="n">
        <v>1</v>
      </c>
      <c r="M99" s="51" t="n">
        <v>0.65</v>
      </c>
      <c r="N99" s="52" t="n">
        <f aca="false">J99*K99*L99*M99</f>
        <v>3627</v>
      </c>
      <c r="O99" s="50" t="n">
        <v>1.06</v>
      </c>
      <c r="P99" s="52" t="n">
        <f aca="false">N99*O99</f>
        <v>3844.62</v>
      </c>
      <c r="Q99" s="50" t="n">
        <v>0.7979</v>
      </c>
      <c r="R99" s="52" t="n">
        <f aca="false">P99*Q99</f>
        <v>3067.622298</v>
      </c>
      <c r="S99" s="50" t="n">
        <v>0.06</v>
      </c>
      <c r="T99" s="52" t="n">
        <f aca="false">N99*S99</f>
        <v>217.62</v>
      </c>
      <c r="U99" s="52" t="n">
        <v>0.014</v>
      </c>
      <c r="V99" s="52" t="n">
        <f aca="false">P99*U99</f>
        <v>53.82468</v>
      </c>
      <c r="W99" s="53" t="s">
        <v>195</v>
      </c>
      <c r="X99" s="50" t="n">
        <v>2.6</v>
      </c>
      <c r="Y99" s="53" t="s">
        <v>198</v>
      </c>
      <c r="Z99" s="50" t="n">
        <v>0.2</v>
      </c>
      <c r="AA99" s="50" t="n">
        <v>7.8</v>
      </c>
      <c r="AB99" s="50" t="n">
        <v>9</v>
      </c>
      <c r="AC99" s="52" t="n">
        <f aca="false">IF(W99="EUR",AA99,IF(W99="GBP",AB99,1))</f>
        <v>7.8</v>
      </c>
      <c r="AD99" s="52" t="n">
        <f aca="false">R99*X99</f>
        <v>7975.8179748</v>
      </c>
      <c r="AE99" s="52" t="n">
        <f aca="false">IF(Y99="PERCENTAGE_OF_BASE_FREIGHT",AD99*Z99,IF(Y99="PER_CHARGEABLE_KG",R99*Z99,P99*Z99))</f>
        <v>613.5244596</v>
      </c>
      <c r="AF99" s="52" t="n">
        <f aca="false">AD99*AC99</f>
        <v>62211.38020344</v>
      </c>
      <c r="AG99" s="52" t="n">
        <f aca="false">AE99*AC99</f>
        <v>4785.49078488</v>
      </c>
      <c r="AH99" s="52" t="s">
        <v>195</v>
      </c>
      <c r="AI99" s="52" t="n">
        <v>1.05</v>
      </c>
      <c r="AJ99" s="52" t="n">
        <f aca="false">IF(AH99="EUR",AA99,IF(AH99="GBP",AB99,1))</f>
        <v>7.8</v>
      </c>
      <c r="AK99" s="52" t="n">
        <f aca="false">N99*AI99</f>
        <v>3808.35</v>
      </c>
      <c r="AL99" s="52" t="n">
        <f aca="false">AK99*AJ99</f>
        <v>29705.13</v>
      </c>
      <c r="AM99" s="52" t="s">
        <v>195</v>
      </c>
      <c r="AN99" s="52" t="n">
        <v>0.38</v>
      </c>
      <c r="AO99" s="52" t="n">
        <f aca="false">IF(AM99="EUR",AA99,IF(AM99="GBP",AB99,1))</f>
        <v>7.8</v>
      </c>
      <c r="AP99" s="52" t="n">
        <f aca="false">P99*AN99</f>
        <v>1460.9556</v>
      </c>
      <c r="AQ99" s="52" t="n">
        <f aca="false">AP99*AO99</f>
        <v>11395.45368</v>
      </c>
      <c r="AR99" s="52" t="s">
        <v>195</v>
      </c>
      <c r="AS99" s="52" t="n">
        <v>3</v>
      </c>
      <c r="AT99" s="52" t="n">
        <f aca="false">IF(AR99="EUR",AA99,IF(AR99="GBP",AB99,1))</f>
        <v>7.8</v>
      </c>
      <c r="AU99" s="52" t="n">
        <f aca="false">T99*AS99</f>
        <v>652.86</v>
      </c>
      <c r="AV99" s="52" t="n">
        <f aca="false">AU99*AT99</f>
        <v>5092.308</v>
      </c>
      <c r="AW99" s="52" t="s">
        <v>195</v>
      </c>
      <c r="AX99" s="52" t="n">
        <v>2.3</v>
      </c>
      <c r="AY99" s="52" t="n">
        <f aca="false">IF(AW99="EUR",AA99,IF(AW99="GBP",AB99,1))</f>
        <v>7.8</v>
      </c>
      <c r="AZ99" s="52" t="n">
        <f aca="false">V99*AX99</f>
        <v>123.796764</v>
      </c>
      <c r="BA99" s="52" t="n">
        <f aca="false">AZ99*AY99</f>
        <v>965.6147592</v>
      </c>
      <c r="BB99" s="52" t="n">
        <f aca="false">AF99+AG99+AL99+AQ99+AV99+BA99</f>
        <v>114155.37742752</v>
      </c>
      <c r="BC99" s="54" t="n">
        <v>0.973</v>
      </c>
      <c r="BD99" s="32"/>
      <c r="BE99" s="32"/>
      <c r="BF99" s="32"/>
      <c r="BG99" s="32" t="s">
        <v>197</v>
      </c>
    </row>
    <row r="100" customFormat="false" ht="15" hidden="false" customHeight="false" outlineLevel="0" collapsed="false">
      <c r="A100" s="18" t="s">
        <v>193</v>
      </c>
      <c r="B100" s="18" t="s">
        <v>194</v>
      </c>
      <c r="C100" s="18"/>
      <c r="D100" s="49" t="n">
        <v>46296</v>
      </c>
      <c r="E100" s="18" t="s">
        <v>118</v>
      </c>
      <c r="F100" s="18" t="s">
        <v>119</v>
      </c>
      <c r="G100" s="18" t="s">
        <v>100</v>
      </c>
      <c r="H100" s="18" t="s">
        <v>101</v>
      </c>
      <c r="I100" s="18" t="s">
        <v>102</v>
      </c>
      <c r="J100" s="50" t="n">
        <v>18000</v>
      </c>
      <c r="K100" s="51" t="n">
        <v>0.33</v>
      </c>
      <c r="L100" s="51" t="n">
        <v>0.96</v>
      </c>
      <c r="M100" s="51" t="n">
        <v>0.65</v>
      </c>
      <c r="N100" s="52" t="n">
        <f aca="false">J100*K100*L100*M100</f>
        <v>3706.56</v>
      </c>
      <c r="O100" s="50" t="n">
        <v>1.12</v>
      </c>
      <c r="P100" s="52" t="n">
        <f aca="false">N100*O100</f>
        <v>4151.3472</v>
      </c>
      <c r="Q100" s="50" t="n">
        <v>1.0302</v>
      </c>
      <c r="R100" s="52" t="n">
        <f aca="false">P100*Q100</f>
        <v>4276.71788544</v>
      </c>
      <c r="S100" s="50" t="n">
        <v>0.08</v>
      </c>
      <c r="T100" s="52" t="n">
        <f aca="false">N100*S100</f>
        <v>296.5248</v>
      </c>
      <c r="U100" s="52" t="n">
        <v>0.022</v>
      </c>
      <c r="V100" s="52" t="n">
        <f aca="false">P100*U100</f>
        <v>91.3296384</v>
      </c>
      <c r="W100" s="53" t="s">
        <v>199</v>
      </c>
      <c r="X100" s="50" t="n">
        <v>4</v>
      </c>
      <c r="Y100" s="53" t="s">
        <v>196</v>
      </c>
      <c r="Z100" s="50" t="n">
        <v>0.1</v>
      </c>
      <c r="AA100" s="50" t="n">
        <v>7.8</v>
      </c>
      <c r="AB100" s="50" t="n">
        <v>9</v>
      </c>
      <c r="AC100" s="52" t="n">
        <f aca="false">IF(W100="EUR",AA100,IF(W100="GBP",AB100,1))</f>
        <v>9</v>
      </c>
      <c r="AD100" s="52" t="n">
        <f aca="false">R100*X100</f>
        <v>17106.87154176</v>
      </c>
      <c r="AE100" s="52" t="n">
        <f aca="false">IF(Y100="PERCENTAGE_OF_BASE_FREIGHT",AD100*Z100,IF(Y100="PER_CHARGEABLE_KG",R100*Z100,P100*Z100))</f>
        <v>1710.687154176</v>
      </c>
      <c r="AF100" s="52" t="n">
        <f aca="false">AD100*AC100</f>
        <v>153961.84387584</v>
      </c>
      <c r="AG100" s="52" t="n">
        <f aca="false">AE100*AC100</f>
        <v>15396.184387584</v>
      </c>
      <c r="AH100" s="52" t="s">
        <v>195</v>
      </c>
      <c r="AI100" s="52" t="n">
        <v>1.18</v>
      </c>
      <c r="AJ100" s="52" t="n">
        <f aca="false">IF(AH100="EUR",AA100,IF(AH100="GBP",AB100,1))</f>
        <v>7.8</v>
      </c>
      <c r="AK100" s="52" t="n">
        <f aca="false">N100*AI100</f>
        <v>4373.7408</v>
      </c>
      <c r="AL100" s="52" t="n">
        <f aca="false">AK100*AJ100</f>
        <v>34115.17824</v>
      </c>
      <c r="AM100" s="52" t="s">
        <v>195</v>
      </c>
      <c r="AN100" s="52" t="n">
        <v>0.42</v>
      </c>
      <c r="AO100" s="52" t="n">
        <f aca="false">IF(AM100="EUR",AA100,IF(AM100="GBP",AB100,1))</f>
        <v>7.8</v>
      </c>
      <c r="AP100" s="52" t="n">
        <f aca="false">P100*AN100</f>
        <v>1743.565824</v>
      </c>
      <c r="AQ100" s="52" t="n">
        <f aca="false">AP100*AO100</f>
        <v>13599.8134272</v>
      </c>
      <c r="AR100" s="52" t="s">
        <v>199</v>
      </c>
      <c r="AS100" s="52" t="n">
        <v>4.8</v>
      </c>
      <c r="AT100" s="52" t="n">
        <f aca="false">IF(AR100="EUR",AA100,IF(AR100="GBP",AB100,1))</f>
        <v>9</v>
      </c>
      <c r="AU100" s="52" t="n">
        <f aca="false">T100*AS100</f>
        <v>1423.31904</v>
      </c>
      <c r="AV100" s="52" t="n">
        <f aca="false">AU100*AT100</f>
        <v>12809.87136</v>
      </c>
      <c r="AW100" s="52" t="s">
        <v>199</v>
      </c>
      <c r="AX100" s="52" t="n">
        <v>2.3</v>
      </c>
      <c r="AY100" s="52" t="n">
        <f aca="false">IF(AW100="EUR",AA100,IF(AW100="GBP",AB100,1))</f>
        <v>9</v>
      </c>
      <c r="AZ100" s="52" t="n">
        <f aca="false">V100*AX100</f>
        <v>210.05816832</v>
      </c>
      <c r="BA100" s="52" t="n">
        <f aca="false">AZ100*AY100</f>
        <v>1890.52351488</v>
      </c>
      <c r="BB100" s="52" t="n">
        <f aca="false">AF100+AG100+AL100+AQ100+AV100+BA100</f>
        <v>231773.414805504</v>
      </c>
      <c r="BC100" s="54" t="n">
        <v>0.93</v>
      </c>
      <c r="BD100" s="32"/>
      <c r="BE100" s="32"/>
      <c r="BF100" s="32"/>
      <c r="BG100" s="32" t="s">
        <v>197</v>
      </c>
    </row>
    <row r="101" customFormat="false" ht="15" hidden="false" customHeight="false" outlineLevel="0" collapsed="false">
      <c r="A101" s="18" t="s">
        <v>193</v>
      </c>
      <c r="B101" s="18" t="s">
        <v>194</v>
      </c>
      <c r="C101" s="18"/>
      <c r="D101" s="49" t="n">
        <v>46296</v>
      </c>
      <c r="E101" s="18" t="s">
        <v>122</v>
      </c>
      <c r="F101" s="18" t="s">
        <v>119</v>
      </c>
      <c r="G101" s="18" t="s">
        <v>100</v>
      </c>
      <c r="H101" s="18" t="s">
        <v>107</v>
      </c>
      <c r="I101" s="18" t="s">
        <v>102</v>
      </c>
      <c r="J101" s="50" t="n">
        <v>18000</v>
      </c>
      <c r="K101" s="51" t="n">
        <v>0.33</v>
      </c>
      <c r="L101" s="51" t="n">
        <v>0.96</v>
      </c>
      <c r="M101" s="51" t="n">
        <v>0.25</v>
      </c>
      <c r="N101" s="52" t="n">
        <f aca="false">J101*K101*L101*M101</f>
        <v>1425.6</v>
      </c>
      <c r="O101" s="50" t="n">
        <v>1.12</v>
      </c>
      <c r="P101" s="52" t="n">
        <f aca="false">N101*O101</f>
        <v>1596.672</v>
      </c>
      <c r="Q101" s="50" t="n">
        <v>1.01</v>
      </c>
      <c r="R101" s="52" t="n">
        <f aca="false">P101*Q101</f>
        <v>1612.63872</v>
      </c>
      <c r="S101" s="50" t="n">
        <v>0.08</v>
      </c>
      <c r="T101" s="52" t="n">
        <f aca="false">N101*S101</f>
        <v>114.048</v>
      </c>
      <c r="U101" s="52" t="n">
        <v>0.017</v>
      </c>
      <c r="V101" s="52" t="n">
        <f aca="false">P101*U101</f>
        <v>27.143424</v>
      </c>
      <c r="W101" s="53" t="s">
        <v>199</v>
      </c>
      <c r="X101" s="50" t="n">
        <v>4.7</v>
      </c>
      <c r="Y101" s="53" t="s">
        <v>198</v>
      </c>
      <c r="Z101" s="50" t="n">
        <v>0.33</v>
      </c>
      <c r="AA101" s="50" t="n">
        <v>7.8</v>
      </c>
      <c r="AB101" s="50" t="n">
        <v>9</v>
      </c>
      <c r="AC101" s="52" t="n">
        <f aca="false">IF(W101="EUR",AA101,IF(W101="GBP",AB101,1))</f>
        <v>9</v>
      </c>
      <c r="AD101" s="52" t="n">
        <f aca="false">R101*X101</f>
        <v>7579.401984</v>
      </c>
      <c r="AE101" s="52" t="n">
        <f aca="false">IF(Y101="PERCENTAGE_OF_BASE_FREIGHT",AD101*Z101,IF(Y101="PER_CHARGEABLE_KG",R101*Z101,P101*Z101))</f>
        <v>532.1707776</v>
      </c>
      <c r="AF101" s="52" t="n">
        <f aca="false">AD101*AC101</f>
        <v>68214.617856</v>
      </c>
      <c r="AG101" s="52" t="n">
        <f aca="false">AE101*AC101</f>
        <v>4789.5369984</v>
      </c>
      <c r="AH101" s="52" t="s">
        <v>195</v>
      </c>
      <c r="AI101" s="52" t="n">
        <v>1.18</v>
      </c>
      <c r="AJ101" s="52" t="n">
        <f aca="false">IF(AH101="EUR",AA101,IF(AH101="GBP",AB101,1))</f>
        <v>7.8</v>
      </c>
      <c r="AK101" s="52" t="n">
        <f aca="false">N101*AI101</f>
        <v>1682.208</v>
      </c>
      <c r="AL101" s="52" t="n">
        <f aca="false">AK101*AJ101</f>
        <v>13121.2224</v>
      </c>
      <c r="AM101" s="52" t="s">
        <v>195</v>
      </c>
      <c r="AN101" s="52" t="n">
        <v>0.42</v>
      </c>
      <c r="AO101" s="52" t="n">
        <f aca="false">IF(AM101="EUR",AA101,IF(AM101="GBP",AB101,1))</f>
        <v>7.8</v>
      </c>
      <c r="AP101" s="52" t="n">
        <f aca="false">P101*AN101</f>
        <v>670.60224</v>
      </c>
      <c r="AQ101" s="52" t="n">
        <f aca="false">AP101*AO101</f>
        <v>5230.697472</v>
      </c>
      <c r="AR101" s="52" t="s">
        <v>199</v>
      </c>
      <c r="AS101" s="52" t="n">
        <v>4.8</v>
      </c>
      <c r="AT101" s="52" t="n">
        <f aca="false">IF(AR101="EUR",AA101,IF(AR101="GBP",AB101,1))</f>
        <v>9</v>
      </c>
      <c r="AU101" s="52" t="n">
        <f aca="false">T101*AS101</f>
        <v>547.4304</v>
      </c>
      <c r="AV101" s="52" t="n">
        <f aca="false">AU101*AT101</f>
        <v>4926.8736</v>
      </c>
      <c r="AW101" s="52" t="s">
        <v>199</v>
      </c>
      <c r="AX101" s="52" t="n">
        <v>2.3</v>
      </c>
      <c r="AY101" s="52" t="n">
        <f aca="false">IF(AW101="EUR",AA101,IF(AW101="GBP",AB101,1))</f>
        <v>9</v>
      </c>
      <c r="AZ101" s="52" t="n">
        <f aca="false">V101*AX101</f>
        <v>62.4298752</v>
      </c>
      <c r="BA101" s="52" t="n">
        <f aca="false">AZ101*AY101</f>
        <v>561.8688768</v>
      </c>
      <c r="BB101" s="52" t="n">
        <f aca="false">AF101+AG101+AL101+AQ101+AV101+BA101</f>
        <v>96844.8172032</v>
      </c>
      <c r="BC101" s="54" t="n">
        <v>0.95</v>
      </c>
      <c r="BD101" s="32"/>
      <c r="BE101" s="32"/>
      <c r="BF101" s="32"/>
      <c r="BG101" s="32" t="s">
        <v>197</v>
      </c>
    </row>
    <row r="102" customFormat="false" ht="15" hidden="false" customHeight="false" outlineLevel="0" collapsed="false">
      <c r="A102" s="18" t="s">
        <v>193</v>
      </c>
      <c r="B102" s="18" t="s">
        <v>194</v>
      </c>
      <c r="C102" s="18"/>
      <c r="D102" s="49" t="n">
        <v>46296</v>
      </c>
      <c r="E102" s="18" t="s">
        <v>124</v>
      </c>
      <c r="F102" s="18" t="s">
        <v>119</v>
      </c>
      <c r="G102" s="18" t="s">
        <v>100</v>
      </c>
      <c r="H102" s="18" t="s">
        <v>107</v>
      </c>
      <c r="I102" s="18" t="s">
        <v>125</v>
      </c>
      <c r="J102" s="50" t="n">
        <v>18000</v>
      </c>
      <c r="K102" s="51" t="n">
        <v>0.33</v>
      </c>
      <c r="L102" s="51" t="n">
        <v>0.96</v>
      </c>
      <c r="M102" s="51" t="n">
        <v>0.07</v>
      </c>
      <c r="N102" s="52" t="n">
        <f aca="false">J102*K102*L102*M102</f>
        <v>399.168</v>
      </c>
      <c r="O102" s="50" t="n">
        <v>1.12</v>
      </c>
      <c r="P102" s="52" t="n">
        <f aca="false">N102*O102</f>
        <v>447.06816</v>
      </c>
      <c r="Q102" s="50" t="n">
        <v>0.9494</v>
      </c>
      <c r="R102" s="52" t="n">
        <f aca="false">P102*Q102</f>
        <v>424.446511104</v>
      </c>
      <c r="S102" s="50" t="n">
        <v>0.08</v>
      </c>
      <c r="T102" s="52" t="n">
        <f aca="false">N102*S102</f>
        <v>31.93344</v>
      </c>
      <c r="U102" s="52" t="n">
        <v>0.013</v>
      </c>
      <c r="V102" s="52" t="n">
        <f aca="false">P102*U102</f>
        <v>5.81188608</v>
      </c>
      <c r="W102" s="53" t="s">
        <v>199</v>
      </c>
      <c r="X102" s="50" t="n">
        <v>6.2</v>
      </c>
      <c r="Y102" s="53" t="s">
        <v>196</v>
      </c>
      <c r="Z102" s="50" t="n">
        <v>0.115</v>
      </c>
      <c r="AA102" s="50" t="n">
        <v>7.8</v>
      </c>
      <c r="AB102" s="50" t="n">
        <v>9</v>
      </c>
      <c r="AC102" s="52" t="n">
        <f aca="false">IF(W102="EUR",AA102,IF(W102="GBP",AB102,1))</f>
        <v>9</v>
      </c>
      <c r="AD102" s="52" t="n">
        <f aca="false">R102*X102</f>
        <v>2631.5683688448</v>
      </c>
      <c r="AE102" s="52" t="n">
        <f aca="false">IF(Y102="PERCENTAGE_OF_BASE_FREIGHT",AD102*Z102,IF(Y102="PER_CHARGEABLE_KG",R102*Z102,P102*Z102))</f>
        <v>302.630362417152</v>
      </c>
      <c r="AF102" s="52" t="n">
        <f aca="false">AD102*AC102</f>
        <v>23684.1153196032</v>
      </c>
      <c r="AG102" s="52" t="n">
        <f aca="false">AE102*AC102</f>
        <v>2723.67326175437</v>
      </c>
      <c r="AH102" s="52" t="s">
        <v>195</v>
      </c>
      <c r="AI102" s="52" t="n">
        <v>1.18</v>
      </c>
      <c r="AJ102" s="52" t="n">
        <f aca="false">IF(AH102="EUR",AA102,IF(AH102="GBP",AB102,1))</f>
        <v>7.8</v>
      </c>
      <c r="AK102" s="52" t="n">
        <f aca="false">N102*AI102</f>
        <v>471.01824</v>
      </c>
      <c r="AL102" s="52" t="n">
        <f aca="false">AK102*AJ102</f>
        <v>3673.942272</v>
      </c>
      <c r="AM102" s="52" t="s">
        <v>195</v>
      </c>
      <c r="AN102" s="52" t="n">
        <v>0.42</v>
      </c>
      <c r="AO102" s="52" t="n">
        <f aca="false">IF(AM102="EUR",AA102,IF(AM102="GBP",AB102,1))</f>
        <v>7.8</v>
      </c>
      <c r="AP102" s="52" t="n">
        <f aca="false">P102*AN102</f>
        <v>187.7686272</v>
      </c>
      <c r="AQ102" s="52" t="n">
        <f aca="false">AP102*AO102</f>
        <v>1464.59529216</v>
      </c>
      <c r="AR102" s="52" t="s">
        <v>199</v>
      </c>
      <c r="AS102" s="52" t="n">
        <v>4.8</v>
      </c>
      <c r="AT102" s="52" t="n">
        <f aca="false">IF(AR102="EUR",AA102,IF(AR102="GBP",AB102,1))</f>
        <v>9</v>
      </c>
      <c r="AU102" s="52" t="n">
        <f aca="false">T102*AS102</f>
        <v>153.280512</v>
      </c>
      <c r="AV102" s="52" t="n">
        <f aca="false">AU102*AT102</f>
        <v>1379.524608</v>
      </c>
      <c r="AW102" s="52" t="s">
        <v>199</v>
      </c>
      <c r="AX102" s="52" t="n">
        <v>2.8</v>
      </c>
      <c r="AY102" s="52" t="n">
        <f aca="false">IF(AW102="EUR",AA102,IF(AW102="GBP",AB102,1))</f>
        <v>9</v>
      </c>
      <c r="AZ102" s="52" t="n">
        <f aca="false">V102*AX102</f>
        <v>16.273281024</v>
      </c>
      <c r="BA102" s="52" t="n">
        <f aca="false">AZ102*AY102</f>
        <v>146.459529216</v>
      </c>
      <c r="BB102" s="52" t="n">
        <f aca="false">AF102+AG102+AL102+AQ102+AV102+BA102</f>
        <v>33072.3102827336</v>
      </c>
      <c r="BC102" s="54" t="n">
        <v>0.974</v>
      </c>
      <c r="BD102" s="32"/>
      <c r="BE102" s="32"/>
      <c r="BF102" s="32"/>
      <c r="BG102" s="32" t="s">
        <v>197</v>
      </c>
    </row>
    <row r="103" customFormat="false" ht="15" hidden="false" customHeight="false" outlineLevel="0" collapsed="false">
      <c r="A103" s="18" t="s">
        <v>193</v>
      </c>
      <c r="B103" s="18" t="s">
        <v>194</v>
      </c>
      <c r="C103" s="18"/>
      <c r="D103" s="49" t="n">
        <v>46296</v>
      </c>
      <c r="E103" s="18" t="s">
        <v>127</v>
      </c>
      <c r="F103" s="18" t="s">
        <v>119</v>
      </c>
      <c r="G103" s="18" t="s">
        <v>100</v>
      </c>
      <c r="H103" s="18" t="s">
        <v>128</v>
      </c>
      <c r="I103" s="18" t="s">
        <v>125</v>
      </c>
      <c r="J103" s="50" t="n">
        <v>18000</v>
      </c>
      <c r="K103" s="51" t="n">
        <v>0.33</v>
      </c>
      <c r="L103" s="51" t="n">
        <v>0.96</v>
      </c>
      <c r="M103" s="51" t="n">
        <v>0.03</v>
      </c>
      <c r="N103" s="52" t="n">
        <f aca="false">J103*K103*L103*M103</f>
        <v>171.072</v>
      </c>
      <c r="O103" s="50" t="n">
        <v>1.12</v>
      </c>
      <c r="P103" s="52" t="n">
        <f aca="false">N103*O103</f>
        <v>191.60064</v>
      </c>
      <c r="Q103" s="50" t="n">
        <v>0.9292</v>
      </c>
      <c r="R103" s="52" t="n">
        <f aca="false">P103*Q103</f>
        <v>178.035314688</v>
      </c>
      <c r="S103" s="50" t="n">
        <v>0.08</v>
      </c>
      <c r="T103" s="52" t="n">
        <f aca="false">N103*S103</f>
        <v>13.68576</v>
      </c>
      <c r="U103" s="52" t="n">
        <v>0.009</v>
      </c>
      <c r="V103" s="52" t="n">
        <f aca="false">P103*U103</f>
        <v>1.72440576</v>
      </c>
      <c r="W103" s="53" t="s">
        <v>199</v>
      </c>
      <c r="X103" s="50" t="n">
        <v>7.5</v>
      </c>
      <c r="Y103" s="53" t="s">
        <v>198</v>
      </c>
      <c r="Z103" s="50" t="n">
        <v>0.58</v>
      </c>
      <c r="AA103" s="50" t="n">
        <v>7.8</v>
      </c>
      <c r="AB103" s="50" t="n">
        <v>9</v>
      </c>
      <c r="AC103" s="52" t="n">
        <f aca="false">IF(W103="EUR",AA103,IF(W103="GBP",AB103,1))</f>
        <v>9</v>
      </c>
      <c r="AD103" s="52" t="n">
        <f aca="false">R103*X103</f>
        <v>1335.26486016</v>
      </c>
      <c r="AE103" s="52" t="n">
        <f aca="false">IF(Y103="PERCENTAGE_OF_BASE_FREIGHT",AD103*Z103,IF(Y103="PER_CHARGEABLE_KG",R103*Z103,P103*Z103))</f>
        <v>103.26048251904</v>
      </c>
      <c r="AF103" s="52" t="n">
        <f aca="false">AD103*AC103</f>
        <v>12017.38374144</v>
      </c>
      <c r="AG103" s="52" t="n">
        <f aca="false">AE103*AC103</f>
        <v>929.34434267136</v>
      </c>
      <c r="AH103" s="52" t="s">
        <v>195</v>
      </c>
      <c r="AI103" s="52" t="n">
        <v>1.18</v>
      </c>
      <c r="AJ103" s="52" t="n">
        <f aca="false">IF(AH103="EUR",AA103,IF(AH103="GBP",AB103,1))</f>
        <v>7.8</v>
      </c>
      <c r="AK103" s="52" t="n">
        <f aca="false">N103*AI103</f>
        <v>201.86496</v>
      </c>
      <c r="AL103" s="52" t="n">
        <f aca="false">AK103*AJ103</f>
        <v>1574.546688</v>
      </c>
      <c r="AM103" s="52" t="s">
        <v>195</v>
      </c>
      <c r="AN103" s="52" t="n">
        <v>0.42</v>
      </c>
      <c r="AO103" s="52" t="n">
        <f aca="false">IF(AM103="EUR",AA103,IF(AM103="GBP",AB103,1))</f>
        <v>7.8</v>
      </c>
      <c r="AP103" s="52" t="n">
        <f aca="false">P103*AN103</f>
        <v>80.4722688</v>
      </c>
      <c r="AQ103" s="52" t="n">
        <f aca="false">AP103*AO103</f>
        <v>627.68369664</v>
      </c>
      <c r="AR103" s="52" t="s">
        <v>199</v>
      </c>
      <c r="AS103" s="52" t="n">
        <v>4.8</v>
      </c>
      <c r="AT103" s="52" t="n">
        <f aca="false">IF(AR103="EUR",AA103,IF(AR103="GBP",AB103,1))</f>
        <v>9</v>
      </c>
      <c r="AU103" s="52" t="n">
        <f aca="false">T103*AS103</f>
        <v>65.691648</v>
      </c>
      <c r="AV103" s="52" t="n">
        <f aca="false">AU103*AT103</f>
        <v>591.224832</v>
      </c>
      <c r="AW103" s="52" t="s">
        <v>199</v>
      </c>
      <c r="AX103" s="52" t="n">
        <v>3.6</v>
      </c>
      <c r="AY103" s="52" t="n">
        <f aca="false">IF(AW103="EUR",AA103,IF(AW103="GBP",AB103,1))</f>
        <v>9</v>
      </c>
      <c r="AZ103" s="52" t="n">
        <f aca="false">V103*AX103</f>
        <v>6.207860736</v>
      </c>
      <c r="BA103" s="52" t="n">
        <f aca="false">AZ103*AY103</f>
        <v>55.870746624</v>
      </c>
      <c r="BB103" s="52" t="n">
        <f aca="false">AF103+AG103+AL103+AQ103+AV103+BA103</f>
        <v>15796.0540473754</v>
      </c>
      <c r="BC103" s="54" t="n">
        <v>0.988</v>
      </c>
      <c r="BD103" s="32"/>
      <c r="BE103" s="32"/>
      <c r="BF103" s="32"/>
      <c r="BG103" s="32" t="s">
        <v>197</v>
      </c>
    </row>
    <row r="104" customFormat="false" ht="15" hidden="false" customHeight="false" outlineLevel="0" collapsed="false">
      <c r="A104" s="18" t="s">
        <v>193</v>
      </c>
      <c r="B104" s="18" t="s">
        <v>194</v>
      </c>
      <c r="C104" s="18"/>
      <c r="D104" s="49" t="n">
        <v>46296</v>
      </c>
      <c r="E104" s="18" t="s">
        <v>130</v>
      </c>
      <c r="F104" s="18" t="s">
        <v>119</v>
      </c>
      <c r="G104" s="18" t="s">
        <v>110</v>
      </c>
      <c r="H104" s="18" t="s">
        <v>107</v>
      </c>
      <c r="I104" s="18" t="s">
        <v>125</v>
      </c>
      <c r="J104" s="50" t="n">
        <v>18000</v>
      </c>
      <c r="K104" s="51" t="n">
        <v>0.33</v>
      </c>
      <c r="L104" s="51" t="n">
        <v>0.04</v>
      </c>
      <c r="M104" s="51" t="n">
        <v>1</v>
      </c>
      <c r="N104" s="52" t="n">
        <f aca="false">J104*K104*L104*M104</f>
        <v>237.6</v>
      </c>
      <c r="O104" s="50" t="n">
        <v>1.15</v>
      </c>
      <c r="P104" s="52" t="n">
        <f aca="false">N104*O104</f>
        <v>273.24</v>
      </c>
      <c r="Q104" s="50" t="n">
        <v>0.909</v>
      </c>
      <c r="R104" s="52" t="n">
        <f aca="false">P104*Q104</f>
        <v>248.37516</v>
      </c>
      <c r="S104" s="50" t="n">
        <v>0.08</v>
      </c>
      <c r="T104" s="52" t="n">
        <f aca="false">N104*S104</f>
        <v>19.008</v>
      </c>
      <c r="U104" s="52" t="n">
        <v>0.012</v>
      </c>
      <c r="V104" s="52" t="n">
        <f aca="false">P104*U104</f>
        <v>3.27888</v>
      </c>
      <c r="W104" s="53" t="s">
        <v>195</v>
      </c>
      <c r="X104" s="50" t="n">
        <v>6.7</v>
      </c>
      <c r="Y104" s="53" t="s">
        <v>196</v>
      </c>
      <c r="Z104" s="50" t="n">
        <v>0.105</v>
      </c>
      <c r="AA104" s="50" t="n">
        <v>7.8</v>
      </c>
      <c r="AB104" s="50" t="n">
        <v>9</v>
      </c>
      <c r="AC104" s="52" t="n">
        <f aca="false">IF(W104="EUR",AA104,IF(W104="GBP",AB104,1))</f>
        <v>7.8</v>
      </c>
      <c r="AD104" s="52" t="n">
        <f aca="false">R104*X104</f>
        <v>1664.113572</v>
      </c>
      <c r="AE104" s="52" t="n">
        <f aca="false">IF(Y104="PERCENTAGE_OF_BASE_FREIGHT",AD104*Z104,IF(Y104="PER_CHARGEABLE_KG",R104*Z104,P104*Z104))</f>
        <v>174.73192506</v>
      </c>
      <c r="AF104" s="52" t="n">
        <f aca="false">AD104*AC104</f>
        <v>12980.0858616</v>
      </c>
      <c r="AG104" s="52" t="n">
        <f aca="false">AE104*AC104</f>
        <v>1362.909015468</v>
      </c>
      <c r="AH104" s="52" t="s">
        <v>195</v>
      </c>
      <c r="AI104" s="52" t="n">
        <v>1.05</v>
      </c>
      <c r="AJ104" s="52" t="n">
        <f aca="false">IF(AH104="EUR",AA104,IF(AH104="GBP",AB104,1))</f>
        <v>7.8</v>
      </c>
      <c r="AK104" s="52" t="n">
        <f aca="false">N104*AI104</f>
        <v>249.48</v>
      </c>
      <c r="AL104" s="52" t="n">
        <f aca="false">AK104*AJ104</f>
        <v>1945.944</v>
      </c>
      <c r="AM104" s="52" t="s">
        <v>195</v>
      </c>
      <c r="AN104" s="52" t="n">
        <v>0.38</v>
      </c>
      <c r="AO104" s="52" t="n">
        <f aca="false">IF(AM104="EUR",AA104,IF(AM104="GBP",AB104,1))</f>
        <v>7.8</v>
      </c>
      <c r="AP104" s="52" t="n">
        <f aca="false">P104*AN104</f>
        <v>103.8312</v>
      </c>
      <c r="AQ104" s="52" t="n">
        <f aca="false">AP104*AO104</f>
        <v>809.88336</v>
      </c>
      <c r="AR104" s="52" t="s">
        <v>195</v>
      </c>
      <c r="AS104" s="52" t="n">
        <v>5.2</v>
      </c>
      <c r="AT104" s="52" t="n">
        <f aca="false">IF(AR104="EUR",AA104,IF(AR104="GBP",AB104,1))</f>
        <v>7.8</v>
      </c>
      <c r="AU104" s="52" t="n">
        <f aca="false">T104*AS104</f>
        <v>98.8416</v>
      </c>
      <c r="AV104" s="52" t="n">
        <f aca="false">AU104*AT104</f>
        <v>770.96448</v>
      </c>
      <c r="AW104" s="52" t="s">
        <v>195</v>
      </c>
      <c r="AX104" s="52" t="n">
        <v>2.8</v>
      </c>
      <c r="AY104" s="52" t="n">
        <f aca="false">IF(AW104="EUR",AA104,IF(AW104="GBP",AB104,1))</f>
        <v>7.8</v>
      </c>
      <c r="AZ104" s="52" t="n">
        <f aca="false">V104*AX104</f>
        <v>9.180864</v>
      </c>
      <c r="BA104" s="52" t="n">
        <f aca="false">AZ104*AY104</f>
        <v>71.6107392</v>
      </c>
      <c r="BB104" s="52" t="n">
        <f aca="false">AF104+AG104+AL104+AQ104+AV104+BA104</f>
        <v>17941.397456268</v>
      </c>
      <c r="BC104" s="54" t="n">
        <v>0.971</v>
      </c>
      <c r="BD104" s="32"/>
      <c r="BE104" s="32"/>
      <c r="BF104" s="32"/>
      <c r="BG104" s="32" t="s">
        <v>197</v>
      </c>
    </row>
    <row r="105" customFormat="false" ht="15" hidden="false" customHeight="false" outlineLevel="0" collapsed="false">
      <c r="A105" s="18" t="s">
        <v>193</v>
      </c>
      <c r="B105" s="18" t="s">
        <v>194</v>
      </c>
      <c r="C105" s="18"/>
      <c r="D105" s="49" t="n">
        <v>46327</v>
      </c>
      <c r="E105" s="18" t="s">
        <v>98</v>
      </c>
      <c r="F105" s="18" t="s">
        <v>99</v>
      </c>
      <c r="G105" s="18" t="s">
        <v>100</v>
      </c>
      <c r="H105" s="18" t="s">
        <v>101</v>
      </c>
      <c r="I105" s="18" t="s">
        <v>102</v>
      </c>
      <c r="J105" s="50" t="n">
        <v>22000</v>
      </c>
      <c r="K105" s="51" t="n">
        <v>0.34</v>
      </c>
      <c r="L105" s="51" t="n">
        <v>0.97</v>
      </c>
      <c r="M105" s="51" t="n">
        <v>0.6</v>
      </c>
      <c r="N105" s="52" t="n">
        <f aca="false">J105*K105*L105*M105</f>
        <v>4353.36</v>
      </c>
      <c r="O105" s="50" t="n">
        <v>1.05</v>
      </c>
      <c r="P105" s="52" t="n">
        <f aca="false">N105*O105</f>
        <v>4571.028</v>
      </c>
      <c r="Q105" s="50" t="n">
        <v>0.7878</v>
      </c>
      <c r="R105" s="52" t="n">
        <f aca="false">P105*Q105</f>
        <v>3601.0558584</v>
      </c>
      <c r="S105" s="50" t="n">
        <v>0.05</v>
      </c>
      <c r="T105" s="52" t="n">
        <f aca="false">N105*S105</f>
        <v>217.668</v>
      </c>
      <c r="U105" s="52" t="n">
        <v>0.016</v>
      </c>
      <c r="V105" s="52" t="n">
        <f aca="false">P105*U105</f>
        <v>73.136448</v>
      </c>
      <c r="W105" s="53" t="s">
        <v>195</v>
      </c>
      <c r="X105" s="50" t="n">
        <v>2.2</v>
      </c>
      <c r="Y105" s="53" t="s">
        <v>196</v>
      </c>
      <c r="Z105" s="50" t="n">
        <v>0.095</v>
      </c>
      <c r="AA105" s="50" t="n">
        <v>7.8</v>
      </c>
      <c r="AB105" s="50" t="n">
        <v>9</v>
      </c>
      <c r="AC105" s="52" t="n">
        <f aca="false">IF(W105="EUR",AA105,IF(W105="GBP",AB105,1))</f>
        <v>7.8</v>
      </c>
      <c r="AD105" s="52" t="n">
        <f aca="false">R105*X105</f>
        <v>7922.32288848</v>
      </c>
      <c r="AE105" s="52" t="n">
        <f aca="false">IF(Y105="PERCENTAGE_OF_BASE_FREIGHT",AD105*Z105,IF(Y105="PER_CHARGEABLE_KG",R105*Z105,P105*Z105))</f>
        <v>752.6206744056</v>
      </c>
      <c r="AF105" s="52" t="n">
        <f aca="false">AD105*AC105</f>
        <v>61794.118530144</v>
      </c>
      <c r="AG105" s="52" t="n">
        <f aca="false">AE105*AC105</f>
        <v>5870.44126036368</v>
      </c>
      <c r="AH105" s="52" t="s">
        <v>195</v>
      </c>
      <c r="AI105" s="52" t="n">
        <v>1.18</v>
      </c>
      <c r="AJ105" s="52" t="n">
        <f aca="false">IF(AH105="EUR",AA105,IF(AH105="GBP",AB105,1))</f>
        <v>7.8</v>
      </c>
      <c r="AK105" s="52" t="n">
        <f aca="false">N105*AI105</f>
        <v>5136.9648</v>
      </c>
      <c r="AL105" s="52" t="n">
        <f aca="false">AK105*AJ105</f>
        <v>40068.32544</v>
      </c>
      <c r="AM105" s="52" t="s">
        <v>195</v>
      </c>
      <c r="AN105" s="52" t="n">
        <v>0.42</v>
      </c>
      <c r="AO105" s="52" t="n">
        <f aca="false">IF(AM105="EUR",AA105,IF(AM105="GBP",AB105,1))</f>
        <v>7.8</v>
      </c>
      <c r="AP105" s="52" t="n">
        <f aca="false">P105*AN105</f>
        <v>1919.83176</v>
      </c>
      <c r="AQ105" s="52" t="n">
        <f aca="false">AP105*AO105</f>
        <v>14974.687728</v>
      </c>
      <c r="AR105" s="52" t="s">
        <v>195</v>
      </c>
      <c r="AS105" s="52" t="n">
        <v>3.2</v>
      </c>
      <c r="AT105" s="52" t="n">
        <f aca="false">IF(AR105="EUR",AA105,IF(AR105="GBP",AB105,1))</f>
        <v>7.8</v>
      </c>
      <c r="AU105" s="52" t="n">
        <f aca="false">T105*AS105</f>
        <v>696.5376</v>
      </c>
      <c r="AV105" s="52" t="n">
        <f aca="false">AU105*AT105</f>
        <v>5432.99328</v>
      </c>
      <c r="AW105" s="52" t="s">
        <v>195</v>
      </c>
      <c r="AX105" s="52" t="n">
        <v>2.3</v>
      </c>
      <c r="AY105" s="52" t="n">
        <f aca="false">IF(AW105="EUR",AA105,IF(AW105="GBP",AB105,1))</f>
        <v>7.8</v>
      </c>
      <c r="AZ105" s="52" t="n">
        <f aca="false">V105*AX105</f>
        <v>168.2138304</v>
      </c>
      <c r="BA105" s="52" t="n">
        <f aca="false">AZ105*AY105</f>
        <v>1312.06787712</v>
      </c>
      <c r="BB105" s="52" t="n">
        <f aca="false">AF105+AG105+AL105+AQ105+AV105+BA105</f>
        <v>129452.634115628</v>
      </c>
      <c r="BC105" s="54" t="n">
        <v>0.965</v>
      </c>
      <c r="BD105" s="32"/>
      <c r="BE105" s="32"/>
      <c r="BF105" s="32"/>
      <c r="BG105" s="32" t="s">
        <v>197</v>
      </c>
    </row>
    <row r="106" customFormat="false" ht="15" hidden="false" customHeight="false" outlineLevel="0" collapsed="false">
      <c r="A106" s="18" t="s">
        <v>193</v>
      </c>
      <c r="B106" s="18" t="s">
        <v>194</v>
      </c>
      <c r="C106" s="18"/>
      <c r="D106" s="49" t="n">
        <v>46327</v>
      </c>
      <c r="E106" s="18" t="s">
        <v>106</v>
      </c>
      <c r="F106" s="18" t="s">
        <v>99</v>
      </c>
      <c r="G106" s="18" t="s">
        <v>100</v>
      </c>
      <c r="H106" s="18" t="s">
        <v>107</v>
      </c>
      <c r="I106" s="18" t="s">
        <v>102</v>
      </c>
      <c r="J106" s="50" t="n">
        <v>22000</v>
      </c>
      <c r="K106" s="51" t="n">
        <v>0.34</v>
      </c>
      <c r="L106" s="51" t="n">
        <v>0.97</v>
      </c>
      <c r="M106" s="51" t="n">
        <v>0.4</v>
      </c>
      <c r="N106" s="52" t="n">
        <f aca="false">J106*K106*L106*M106</f>
        <v>2902.24</v>
      </c>
      <c r="O106" s="50" t="n">
        <v>1.05</v>
      </c>
      <c r="P106" s="52" t="n">
        <f aca="false">N106*O106</f>
        <v>3047.352</v>
      </c>
      <c r="Q106" s="50" t="n">
        <v>0.808</v>
      </c>
      <c r="R106" s="52" t="n">
        <f aca="false">P106*Q106</f>
        <v>2462.260416</v>
      </c>
      <c r="S106" s="50" t="n">
        <v>0.05</v>
      </c>
      <c r="T106" s="52" t="n">
        <f aca="false">N106*S106</f>
        <v>145.112</v>
      </c>
      <c r="U106" s="52" t="n">
        <v>0.013</v>
      </c>
      <c r="V106" s="52" t="n">
        <f aca="false">P106*U106</f>
        <v>39.615576</v>
      </c>
      <c r="W106" s="53" t="s">
        <v>195</v>
      </c>
      <c r="X106" s="50" t="n">
        <v>2.75</v>
      </c>
      <c r="Y106" s="53" t="s">
        <v>198</v>
      </c>
      <c r="Z106" s="50" t="n">
        <v>0.21</v>
      </c>
      <c r="AA106" s="50" t="n">
        <v>7.8</v>
      </c>
      <c r="AB106" s="50" t="n">
        <v>9</v>
      </c>
      <c r="AC106" s="52" t="n">
        <f aca="false">IF(W106="EUR",AA106,IF(W106="GBP",AB106,1))</f>
        <v>7.8</v>
      </c>
      <c r="AD106" s="52" t="n">
        <f aca="false">R106*X106</f>
        <v>6771.216144</v>
      </c>
      <c r="AE106" s="52" t="n">
        <f aca="false">IF(Y106="PERCENTAGE_OF_BASE_FREIGHT",AD106*Z106,IF(Y106="PER_CHARGEABLE_KG",R106*Z106,P106*Z106))</f>
        <v>517.07468736</v>
      </c>
      <c r="AF106" s="52" t="n">
        <f aca="false">AD106*AC106</f>
        <v>52815.4859232</v>
      </c>
      <c r="AG106" s="52" t="n">
        <f aca="false">AE106*AC106</f>
        <v>4033.182561408</v>
      </c>
      <c r="AH106" s="52" t="s">
        <v>195</v>
      </c>
      <c r="AI106" s="52" t="n">
        <v>1.18</v>
      </c>
      <c r="AJ106" s="52" t="n">
        <f aca="false">IF(AH106="EUR",AA106,IF(AH106="GBP",AB106,1))</f>
        <v>7.8</v>
      </c>
      <c r="AK106" s="52" t="n">
        <f aca="false">N106*AI106</f>
        <v>3424.6432</v>
      </c>
      <c r="AL106" s="52" t="n">
        <f aca="false">AK106*AJ106</f>
        <v>26712.21696</v>
      </c>
      <c r="AM106" s="52" t="s">
        <v>195</v>
      </c>
      <c r="AN106" s="52" t="n">
        <v>0.42</v>
      </c>
      <c r="AO106" s="52" t="n">
        <f aca="false">IF(AM106="EUR",AA106,IF(AM106="GBP",AB106,1))</f>
        <v>7.8</v>
      </c>
      <c r="AP106" s="52" t="n">
        <f aca="false">P106*AN106</f>
        <v>1279.88784</v>
      </c>
      <c r="AQ106" s="52" t="n">
        <f aca="false">AP106*AO106</f>
        <v>9983.125152</v>
      </c>
      <c r="AR106" s="52" t="s">
        <v>195</v>
      </c>
      <c r="AS106" s="52" t="n">
        <v>3.2</v>
      </c>
      <c r="AT106" s="52" t="n">
        <f aca="false">IF(AR106="EUR",AA106,IF(AR106="GBP",AB106,1))</f>
        <v>7.8</v>
      </c>
      <c r="AU106" s="52" t="n">
        <f aca="false">T106*AS106</f>
        <v>464.3584</v>
      </c>
      <c r="AV106" s="52" t="n">
        <f aca="false">AU106*AT106</f>
        <v>3621.99552</v>
      </c>
      <c r="AW106" s="52" t="s">
        <v>195</v>
      </c>
      <c r="AX106" s="52" t="n">
        <v>2.3</v>
      </c>
      <c r="AY106" s="52" t="n">
        <f aca="false">IF(AW106="EUR",AA106,IF(AW106="GBP",AB106,1))</f>
        <v>7.8</v>
      </c>
      <c r="AZ106" s="52" t="n">
        <f aca="false">V106*AX106</f>
        <v>91.1158248</v>
      </c>
      <c r="BA106" s="52" t="n">
        <f aca="false">AZ106*AY106</f>
        <v>710.70343344</v>
      </c>
      <c r="BB106" s="52" t="n">
        <f aca="false">AF106+AG106+AL106+AQ106+AV106+BA106</f>
        <v>97876.709550048</v>
      </c>
      <c r="BC106" s="54" t="n">
        <v>0.976</v>
      </c>
      <c r="BD106" s="32"/>
      <c r="BE106" s="32"/>
      <c r="BF106" s="32"/>
      <c r="BG106" s="32" t="s">
        <v>197</v>
      </c>
    </row>
    <row r="107" customFormat="false" ht="15" hidden="false" customHeight="false" outlineLevel="0" collapsed="false">
      <c r="A107" s="18" t="s">
        <v>193</v>
      </c>
      <c r="B107" s="18" t="s">
        <v>194</v>
      </c>
      <c r="C107" s="18"/>
      <c r="D107" s="49" t="n">
        <v>46327</v>
      </c>
      <c r="E107" s="18" t="s">
        <v>109</v>
      </c>
      <c r="F107" s="18" t="s">
        <v>99</v>
      </c>
      <c r="G107" s="18" t="s">
        <v>110</v>
      </c>
      <c r="H107" s="18" t="s">
        <v>107</v>
      </c>
      <c r="I107" s="18" t="s">
        <v>102</v>
      </c>
      <c r="J107" s="50" t="n">
        <v>22000</v>
      </c>
      <c r="K107" s="51" t="n">
        <v>0.34</v>
      </c>
      <c r="L107" s="51" t="n">
        <v>0.03</v>
      </c>
      <c r="M107" s="51" t="n">
        <v>1</v>
      </c>
      <c r="N107" s="52" t="n">
        <f aca="false">J107*K107*L107*M107</f>
        <v>224.4</v>
      </c>
      <c r="O107" s="50" t="n">
        <v>1.08</v>
      </c>
      <c r="P107" s="52" t="n">
        <f aca="false">N107*O107</f>
        <v>242.352</v>
      </c>
      <c r="Q107" s="50" t="n">
        <v>0.8686</v>
      </c>
      <c r="R107" s="52" t="n">
        <f aca="false">P107*Q107</f>
        <v>210.5069472</v>
      </c>
      <c r="S107" s="50" t="n">
        <v>0.05</v>
      </c>
      <c r="T107" s="52" t="n">
        <f aca="false">N107*S107</f>
        <v>11.22</v>
      </c>
      <c r="U107" s="52" t="n">
        <v>0.014</v>
      </c>
      <c r="V107" s="52" t="n">
        <f aca="false">P107*U107</f>
        <v>3.392928</v>
      </c>
      <c r="W107" s="53" t="s">
        <v>195</v>
      </c>
      <c r="X107" s="50" t="n">
        <v>3.3</v>
      </c>
      <c r="Y107" s="53" t="s">
        <v>198</v>
      </c>
      <c r="Z107" s="50" t="n">
        <v>0.24</v>
      </c>
      <c r="AA107" s="50" t="n">
        <v>7.8</v>
      </c>
      <c r="AB107" s="50" t="n">
        <v>9</v>
      </c>
      <c r="AC107" s="52" t="n">
        <f aca="false">IF(W107="EUR",AA107,IF(W107="GBP",AB107,1))</f>
        <v>7.8</v>
      </c>
      <c r="AD107" s="52" t="n">
        <f aca="false">R107*X107</f>
        <v>694.67292576</v>
      </c>
      <c r="AE107" s="52" t="n">
        <f aca="false">IF(Y107="PERCENTAGE_OF_BASE_FREIGHT",AD107*Z107,IF(Y107="PER_CHARGEABLE_KG",R107*Z107,P107*Z107))</f>
        <v>50.521667328</v>
      </c>
      <c r="AF107" s="52" t="n">
        <f aca="false">AD107*AC107</f>
        <v>5418.448820928</v>
      </c>
      <c r="AG107" s="52" t="n">
        <f aca="false">AE107*AC107</f>
        <v>394.0690051584</v>
      </c>
      <c r="AH107" s="52" t="s">
        <v>195</v>
      </c>
      <c r="AI107" s="52" t="n">
        <v>1.05</v>
      </c>
      <c r="AJ107" s="52" t="n">
        <f aca="false">IF(AH107="EUR",AA107,IF(AH107="GBP",AB107,1))</f>
        <v>7.8</v>
      </c>
      <c r="AK107" s="52" t="n">
        <f aca="false">N107*AI107</f>
        <v>235.62</v>
      </c>
      <c r="AL107" s="52" t="n">
        <f aca="false">AK107*AJ107</f>
        <v>1837.836</v>
      </c>
      <c r="AM107" s="52" t="s">
        <v>195</v>
      </c>
      <c r="AN107" s="52" t="n">
        <v>0.38</v>
      </c>
      <c r="AO107" s="52" t="n">
        <f aca="false">IF(AM107="EUR",AA107,IF(AM107="GBP",AB107,1))</f>
        <v>7.8</v>
      </c>
      <c r="AP107" s="52" t="n">
        <f aca="false">P107*AN107</f>
        <v>92.09376</v>
      </c>
      <c r="AQ107" s="52" t="n">
        <f aca="false">AP107*AO107</f>
        <v>718.331328</v>
      </c>
      <c r="AR107" s="52" t="s">
        <v>195</v>
      </c>
      <c r="AS107" s="52" t="n">
        <v>3.8</v>
      </c>
      <c r="AT107" s="52" t="n">
        <f aca="false">IF(AR107="EUR",AA107,IF(AR107="GBP",AB107,1))</f>
        <v>7.8</v>
      </c>
      <c r="AU107" s="52" t="n">
        <f aca="false">T107*AS107</f>
        <v>42.636</v>
      </c>
      <c r="AV107" s="52" t="n">
        <f aca="false">AU107*AT107</f>
        <v>332.5608</v>
      </c>
      <c r="AW107" s="52" t="s">
        <v>195</v>
      </c>
      <c r="AX107" s="52" t="n">
        <v>2.3</v>
      </c>
      <c r="AY107" s="52" t="n">
        <f aca="false">IF(AW107="EUR",AA107,IF(AW107="GBP",AB107,1))</f>
        <v>7.8</v>
      </c>
      <c r="AZ107" s="52" t="n">
        <f aca="false">V107*AX107</f>
        <v>7.8037344</v>
      </c>
      <c r="BA107" s="52" t="n">
        <f aca="false">AZ107*AY107</f>
        <v>60.86912832</v>
      </c>
      <c r="BB107" s="52" t="n">
        <f aca="false">AF107+AG107+AL107+AQ107+AV107+BA107</f>
        <v>8762.1150824064</v>
      </c>
      <c r="BC107" s="54" t="n">
        <v>0.968</v>
      </c>
      <c r="BD107" s="32"/>
      <c r="BE107" s="32"/>
      <c r="BF107" s="32"/>
      <c r="BG107" s="32" t="s">
        <v>197</v>
      </c>
    </row>
    <row r="108" customFormat="false" ht="15" hidden="false" customHeight="false" outlineLevel="0" collapsed="false">
      <c r="A108" s="18" t="s">
        <v>193</v>
      </c>
      <c r="B108" s="18" t="s">
        <v>194</v>
      </c>
      <c r="C108" s="18"/>
      <c r="D108" s="49" t="n">
        <v>46327</v>
      </c>
      <c r="E108" s="18" t="s">
        <v>112</v>
      </c>
      <c r="F108" s="18" t="s">
        <v>113</v>
      </c>
      <c r="G108" s="18" t="s">
        <v>110</v>
      </c>
      <c r="H108" s="18" t="s">
        <v>101</v>
      </c>
      <c r="I108" s="18" t="s">
        <v>102</v>
      </c>
      <c r="J108" s="50" t="n">
        <v>22000</v>
      </c>
      <c r="K108" s="51" t="n">
        <v>0.3</v>
      </c>
      <c r="L108" s="51" t="n">
        <v>1</v>
      </c>
      <c r="M108" s="51" t="n">
        <v>0.35</v>
      </c>
      <c r="N108" s="52" t="n">
        <f aca="false">J108*K108*L108*M108</f>
        <v>2310</v>
      </c>
      <c r="O108" s="50" t="n">
        <v>1.06</v>
      </c>
      <c r="P108" s="52" t="n">
        <f aca="false">N108*O108</f>
        <v>2448.6</v>
      </c>
      <c r="Q108" s="50" t="n">
        <v>0.7676</v>
      </c>
      <c r="R108" s="52" t="n">
        <f aca="false">P108*Q108</f>
        <v>1879.54536</v>
      </c>
      <c r="S108" s="50" t="n">
        <v>0.06</v>
      </c>
      <c r="T108" s="52" t="n">
        <f aca="false">N108*S108</f>
        <v>138.6</v>
      </c>
      <c r="U108" s="52" t="n">
        <v>0.017</v>
      </c>
      <c r="V108" s="52" t="n">
        <f aca="false">P108*U108</f>
        <v>41.6262</v>
      </c>
      <c r="W108" s="53" t="s">
        <v>195</v>
      </c>
      <c r="X108" s="50" t="n">
        <v>2.1</v>
      </c>
      <c r="Y108" s="53" t="s">
        <v>196</v>
      </c>
      <c r="Z108" s="50" t="n">
        <v>0.09</v>
      </c>
      <c r="AA108" s="50" t="n">
        <v>7.8</v>
      </c>
      <c r="AB108" s="50" t="n">
        <v>9</v>
      </c>
      <c r="AC108" s="52" t="n">
        <f aca="false">IF(W108="EUR",AA108,IF(W108="GBP",AB108,1))</f>
        <v>7.8</v>
      </c>
      <c r="AD108" s="52" t="n">
        <f aca="false">R108*X108</f>
        <v>3947.045256</v>
      </c>
      <c r="AE108" s="52" t="n">
        <f aca="false">IF(Y108="PERCENTAGE_OF_BASE_FREIGHT",AD108*Z108,IF(Y108="PER_CHARGEABLE_KG",R108*Z108,P108*Z108))</f>
        <v>355.23407304</v>
      </c>
      <c r="AF108" s="52" t="n">
        <f aca="false">AD108*AC108</f>
        <v>30786.9529968</v>
      </c>
      <c r="AG108" s="52" t="n">
        <f aca="false">AE108*AC108</f>
        <v>2770.825769712</v>
      </c>
      <c r="AH108" s="52" t="s">
        <v>195</v>
      </c>
      <c r="AI108" s="52" t="n">
        <v>1.05</v>
      </c>
      <c r="AJ108" s="52" t="n">
        <f aca="false">IF(AH108="EUR",AA108,IF(AH108="GBP",AB108,1))</f>
        <v>7.8</v>
      </c>
      <c r="AK108" s="52" t="n">
        <f aca="false">N108*AI108</f>
        <v>2425.5</v>
      </c>
      <c r="AL108" s="52" t="n">
        <f aca="false">AK108*AJ108</f>
        <v>18918.9</v>
      </c>
      <c r="AM108" s="52" t="s">
        <v>195</v>
      </c>
      <c r="AN108" s="52" t="n">
        <v>0.38</v>
      </c>
      <c r="AO108" s="52" t="n">
        <f aca="false">IF(AM108="EUR",AA108,IF(AM108="GBP",AB108,1))</f>
        <v>7.8</v>
      </c>
      <c r="AP108" s="52" t="n">
        <f aca="false">P108*AN108</f>
        <v>930.468</v>
      </c>
      <c r="AQ108" s="52" t="n">
        <f aca="false">AP108*AO108</f>
        <v>7257.6504</v>
      </c>
      <c r="AR108" s="52" t="s">
        <v>195</v>
      </c>
      <c r="AS108" s="52" t="n">
        <v>3</v>
      </c>
      <c r="AT108" s="52" t="n">
        <f aca="false">IF(AR108="EUR",AA108,IF(AR108="GBP",AB108,1))</f>
        <v>7.8</v>
      </c>
      <c r="AU108" s="52" t="n">
        <f aca="false">T108*AS108</f>
        <v>415.8</v>
      </c>
      <c r="AV108" s="52" t="n">
        <f aca="false">AU108*AT108</f>
        <v>3243.24</v>
      </c>
      <c r="AW108" s="52" t="s">
        <v>195</v>
      </c>
      <c r="AX108" s="52" t="n">
        <v>2.3</v>
      </c>
      <c r="AY108" s="52" t="n">
        <f aca="false">IF(AW108="EUR",AA108,IF(AW108="GBP",AB108,1))</f>
        <v>7.8</v>
      </c>
      <c r="AZ108" s="52" t="n">
        <f aca="false">V108*AX108</f>
        <v>95.74026</v>
      </c>
      <c r="BA108" s="52" t="n">
        <f aca="false">AZ108*AY108</f>
        <v>746.774028</v>
      </c>
      <c r="BB108" s="52" t="n">
        <f aca="false">AF108+AG108+AL108+AQ108+AV108+BA108</f>
        <v>63724.343194512</v>
      </c>
      <c r="BC108" s="54" t="n">
        <v>0.961</v>
      </c>
      <c r="BD108" s="32"/>
      <c r="BE108" s="32"/>
      <c r="BF108" s="32"/>
      <c r="BG108" s="32" t="s">
        <v>197</v>
      </c>
    </row>
    <row r="109" customFormat="false" ht="15" hidden="false" customHeight="false" outlineLevel="0" collapsed="false">
      <c r="A109" s="18" t="s">
        <v>193</v>
      </c>
      <c r="B109" s="18" t="s">
        <v>194</v>
      </c>
      <c r="C109" s="18"/>
      <c r="D109" s="49" t="n">
        <v>46327</v>
      </c>
      <c r="E109" s="18" t="s">
        <v>116</v>
      </c>
      <c r="F109" s="18" t="s">
        <v>113</v>
      </c>
      <c r="G109" s="18" t="s">
        <v>110</v>
      </c>
      <c r="H109" s="18" t="s">
        <v>107</v>
      </c>
      <c r="I109" s="18" t="s">
        <v>102</v>
      </c>
      <c r="J109" s="50" t="n">
        <v>22000</v>
      </c>
      <c r="K109" s="51" t="n">
        <v>0.3</v>
      </c>
      <c r="L109" s="51" t="n">
        <v>1</v>
      </c>
      <c r="M109" s="51" t="n">
        <v>0.65</v>
      </c>
      <c r="N109" s="52" t="n">
        <f aca="false">J109*K109*L109*M109</f>
        <v>4290</v>
      </c>
      <c r="O109" s="50" t="n">
        <v>1.06</v>
      </c>
      <c r="P109" s="52" t="n">
        <f aca="false">N109*O109</f>
        <v>4547.4</v>
      </c>
      <c r="Q109" s="50" t="n">
        <v>0.7979</v>
      </c>
      <c r="R109" s="52" t="n">
        <f aca="false">P109*Q109</f>
        <v>3628.37046</v>
      </c>
      <c r="S109" s="50" t="n">
        <v>0.06</v>
      </c>
      <c r="T109" s="52" t="n">
        <f aca="false">N109*S109</f>
        <v>257.4</v>
      </c>
      <c r="U109" s="52" t="n">
        <v>0.014</v>
      </c>
      <c r="V109" s="52" t="n">
        <f aca="false">P109*U109</f>
        <v>63.6636</v>
      </c>
      <c r="W109" s="53" t="s">
        <v>195</v>
      </c>
      <c r="X109" s="50" t="n">
        <v>2.6</v>
      </c>
      <c r="Y109" s="53" t="s">
        <v>198</v>
      </c>
      <c r="Z109" s="50" t="n">
        <v>0.2</v>
      </c>
      <c r="AA109" s="50" t="n">
        <v>7.8</v>
      </c>
      <c r="AB109" s="50" t="n">
        <v>9</v>
      </c>
      <c r="AC109" s="52" t="n">
        <f aca="false">IF(W109="EUR",AA109,IF(W109="GBP",AB109,1))</f>
        <v>7.8</v>
      </c>
      <c r="AD109" s="52" t="n">
        <f aca="false">R109*X109</f>
        <v>9433.763196</v>
      </c>
      <c r="AE109" s="52" t="n">
        <f aca="false">IF(Y109="PERCENTAGE_OF_BASE_FREIGHT",AD109*Z109,IF(Y109="PER_CHARGEABLE_KG",R109*Z109,P109*Z109))</f>
        <v>725.674092</v>
      </c>
      <c r="AF109" s="52" t="n">
        <f aca="false">AD109*AC109</f>
        <v>73583.3529288</v>
      </c>
      <c r="AG109" s="52" t="n">
        <f aca="false">AE109*AC109</f>
        <v>5660.2579176</v>
      </c>
      <c r="AH109" s="52" t="s">
        <v>195</v>
      </c>
      <c r="AI109" s="52" t="n">
        <v>1.05</v>
      </c>
      <c r="AJ109" s="52" t="n">
        <f aca="false">IF(AH109="EUR",AA109,IF(AH109="GBP",AB109,1))</f>
        <v>7.8</v>
      </c>
      <c r="AK109" s="52" t="n">
        <f aca="false">N109*AI109</f>
        <v>4504.5</v>
      </c>
      <c r="AL109" s="52" t="n">
        <f aca="false">AK109*AJ109</f>
        <v>35135.1</v>
      </c>
      <c r="AM109" s="52" t="s">
        <v>195</v>
      </c>
      <c r="AN109" s="52" t="n">
        <v>0.38</v>
      </c>
      <c r="AO109" s="52" t="n">
        <f aca="false">IF(AM109="EUR",AA109,IF(AM109="GBP",AB109,1))</f>
        <v>7.8</v>
      </c>
      <c r="AP109" s="52" t="n">
        <f aca="false">P109*AN109</f>
        <v>1728.012</v>
      </c>
      <c r="AQ109" s="52" t="n">
        <f aca="false">AP109*AO109</f>
        <v>13478.4936</v>
      </c>
      <c r="AR109" s="52" t="s">
        <v>195</v>
      </c>
      <c r="AS109" s="52" t="n">
        <v>3</v>
      </c>
      <c r="AT109" s="52" t="n">
        <f aca="false">IF(AR109="EUR",AA109,IF(AR109="GBP",AB109,1))</f>
        <v>7.8</v>
      </c>
      <c r="AU109" s="52" t="n">
        <f aca="false">T109*AS109</f>
        <v>772.2</v>
      </c>
      <c r="AV109" s="52" t="n">
        <f aca="false">AU109*AT109</f>
        <v>6023.16</v>
      </c>
      <c r="AW109" s="52" t="s">
        <v>195</v>
      </c>
      <c r="AX109" s="52" t="n">
        <v>2.3</v>
      </c>
      <c r="AY109" s="52" t="n">
        <f aca="false">IF(AW109="EUR",AA109,IF(AW109="GBP",AB109,1))</f>
        <v>7.8</v>
      </c>
      <c r="AZ109" s="52" t="n">
        <f aca="false">V109*AX109</f>
        <v>146.42628</v>
      </c>
      <c r="BA109" s="52" t="n">
        <f aca="false">AZ109*AY109</f>
        <v>1142.124984</v>
      </c>
      <c r="BB109" s="52" t="n">
        <f aca="false">AF109+AG109+AL109+AQ109+AV109+BA109</f>
        <v>135022.4894304</v>
      </c>
      <c r="BC109" s="54" t="n">
        <v>0.973</v>
      </c>
      <c r="BD109" s="32"/>
      <c r="BE109" s="32"/>
      <c r="BF109" s="32"/>
      <c r="BG109" s="32" t="s">
        <v>197</v>
      </c>
    </row>
    <row r="110" customFormat="false" ht="15" hidden="false" customHeight="false" outlineLevel="0" collapsed="false">
      <c r="A110" s="18" t="s">
        <v>193</v>
      </c>
      <c r="B110" s="18" t="s">
        <v>194</v>
      </c>
      <c r="C110" s="18"/>
      <c r="D110" s="49" t="n">
        <v>46327</v>
      </c>
      <c r="E110" s="18" t="s">
        <v>118</v>
      </c>
      <c r="F110" s="18" t="s">
        <v>119</v>
      </c>
      <c r="G110" s="18" t="s">
        <v>100</v>
      </c>
      <c r="H110" s="18" t="s">
        <v>101</v>
      </c>
      <c r="I110" s="18" t="s">
        <v>102</v>
      </c>
      <c r="J110" s="50" t="n">
        <v>22000</v>
      </c>
      <c r="K110" s="51" t="n">
        <v>0.36</v>
      </c>
      <c r="L110" s="51" t="n">
        <v>0.96</v>
      </c>
      <c r="M110" s="51" t="n">
        <v>0.65</v>
      </c>
      <c r="N110" s="52" t="n">
        <f aca="false">J110*K110*L110*M110</f>
        <v>4942.08</v>
      </c>
      <c r="O110" s="50" t="n">
        <v>1.12</v>
      </c>
      <c r="P110" s="52" t="n">
        <f aca="false">N110*O110</f>
        <v>5535.1296</v>
      </c>
      <c r="Q110" s="50" t="n">
        <v>1.0302</v>
      </c>
      <c r="R110" s="52" t="n">
        <f aca="false">P110*Q110</f>
        <v>5702.29051392</v>
      </c>
      <c r="S110" s="50" t="n">
        <v>0.08</v>
      </c>
      <c r="T110" s="52" t="n">
        <f aca="false">N110*S110</f>
        <v>395.3664</v>
      </c>
      <c r="U110" s="52" t="n">
        <v>0.022</v>
      </c>
      <c r="V110" s="52" t="n">
        <f aca="false">P110*U110</f>
        <v>121.7728512</v>
      </c>
      <c r="W110" s="53" t="s">
        <v>199</v>
      </c>
      <c r="X110" s="50" t="n">
        <v>4</v>
      </c>
      <c r="Y110" s="53" t="s">
        <v>196</v>
      </c>
      <c r="Z110" s="50" t="n">
        <v>0.1</v>
      </c>
      <c r="AA110" s="50" t="n">
        <v>7.8</v>
      </c>
      <c r="AB110" s="50" t="n">
        <v>9</v>
      </c>
      <c r="AC110" s="52" t="n">
        <f aca="false">IF(W110="EUR",AA110,IF(W110="GBP",AB110,1))</f>
        <v>9</v>
      </c>
      <c r="AD110" s="52" t="n">
        <f aca="false">R110*X110</f>
        <v>22809.16205568</v>
      </c>
      <c r="AE110" s="52" t="n">
        <f aca="false">IF(Y110="PERCENTAGE_OF_BASE_FREIGHT",AD110*Z110,IF(Y110="PER_CHARGEABLE_KG",R110*Z110,P110*Z110))</f>
        <v>2280.916205568</v>
      </c>
      <c r="AF110" s="52" t="n">
        <f aca="false">AD110*AC110</f>
        <v>205282.45850112</v>
      </c>
      <c r="AG110" s="52" t="n">
        <f aca="false">AE110*AC110</f>
        <v>20528.245850112</v>
      </c>
      <c r="AH110" s="52" t="s">
        <v>195</v>
      </c>
      <c r="AI110" s="52" t="n">
        <v>1.18</v>
      </c>
      <c r="AJ110" s="52" t="n">
        <f aca="false">IF(AH110="EUR",AA110,IF(AH110="GBP",AB110,1))</f>
        <v>7.8</v>
      </c>
      <c r="AK110" s="52" t="n">
        <f aca="false">N110*AI110</f>
        <v>5831.6544</v>
      </c>
      <c r="AL110" s="52" t="n">
        <f aca="false">AK110*AJ110</f>
        <v>45486.90432</v>
      </c>
      <c r="AM110" s="52" t="s">
        <v>195</v>
      </c>
      <c r="AN110" s="52" t="n">
        <v>0.42</v>
      </c>
      <c r="AO110" s="52" t="n">
        <f aca="false">IF(AM110="EUR",AA110,IF(AM110="GBP",AB110,1))</f>
        <v>7.8</v>
      </c>
      <c r="AP110" s="52" t="n">
        <f aca="false">P110*AN110</f>
        <v>2324.754432</v>
      </c>
      <c r="AQ110" s="52" t="n">
        <f aca="false">AP110*AO110</f>
        <v>18133.0845696</v>
      </c>
      <c r="AR110" s="52" t="s">
        <v>199</v>
      </c>
      <c r="AS110" s="52" t="n">
        <v>4.8</v>
      </c>
      <c r="AT110" s="52" t="n">
        <f aca="false">IF(AR110="EUR",AA110,IF(AR110="GBP",AB110,1))</f>
        <v>9</v>
      </c>
      <c r="AU110" s="52" t="n">
        <f aca="false">T110*AS110</f>
        <v>1897.75872</v>
      </c>
      <c r="AV110" s="52" t="n">
        <f aca="false">AU110*AT110</f>
        <v>17079.82848</v>
      </c>
      <c r="AW110" s="52" t="s">
        <v>199</v>
      </c>
      <c r="AX110" s="52" t="n">
        <v>2.3</v>
      </c>
      <c r="AY110" s="52" t="n">
        <f aca="false">IF(AW110="EUR",AA110,IF(AW110="GBP",AB110,1))</f>
        <v>9</v>
      </c>
      <c r="AZ110" s="52" t="n">
        <f aca="false">V110*AX110</f>
        <v>280.07755776</v>
      </c>
      <c r="BA110" s="52" t="n">
        <f aca="false">AZ110*AY110</f>
        <v>2520.69801984</v>
      </c>
      <c r="BB110" s="52" t="n">
        <f aca="false">AF110+AG110+AL110+AQ110+AV110+BA110</f>
        <v>309031.219740672</v>
      </c>
      <c r="BC110" s="54" t="n">
        <v>0.93</v>
      </c>
      <c r="BD110" s="32"/>
      <c r="BE110" s="32"/>
      <c r="BF110" s="32"/>
      <c r="BG110" s="32" t="s">
        <v>197</v>
      </c>
    </row>
    <row r="111" customFormat="false" ht="15" hidden="false" customHeight="false" outlineLevel="0" collapsed="false">
      <c r="A111" s="18" t="s">
        <v>193</v>
      </c>
      <c r="B111" s="18" t="s">
        <v>194</v>
      </c>
      <c r="C111" s="18"/>
      <c r="D111" s="49" t="n">
        <v>46327</v>
      </c>
      <c r="E111" s="18" t="s">
        <v>122</v>
      </c>
      <c r="F111" s="18" t="s">
        <v>119</v>
      </c>
      <c r="G111" s="18" t="s">
        <v>100</v>
      </c>
      <c r="H111" s="18" t="s">
        <v>107</v>
      </c>
      <c r="I111" s="18" t="s">
        <v>102</v>
      </c>
      <c r="J111" s="50" t="n">
        <v>22000</v>
      </c>
      <c r="K111" s="51" t="n">
        <v>0.36</v>
      </c>
      <c r="L111" s="51" t="n">
        <v>0.96</v>
      </c>
      <c r="M111" s="51" t="n">
        <v>0.25</v>
      </c>
      <c r="N111" s="52" t="n">
        <f aca="false">J111*K111*L111*M111</f>
        <v>1900.8</v>
      </c>
      <c r="O111" s="50" t="n">
        <v>1.12</v>
      </c>
      <c r="P111" s="52" t="n">
        <f aca="false">N111*O111</f>
        <v>2128.896</v>
      </c>
      <c r="Q111" s="50" t="n">
        <v>1.01</v>
      </c>
      <c r="R111" s="52" t="n">
        <f aca="false">P111*Q111</f>
        <v>2150.18496</v>
      </c>
      <c r="S111" s="50" t="n">
        <v>0.08</v>
      </c>
      <c r="T111" s="52" t="n">
        <f aca="false">N111*S111</f>
        <v>152.064</v>
      </c>
      <c r="U111" s="52" t="n">
        <v>0.017</v>
      </c>
      <c r="V111" s="52" t="n">
        <f aca="false">P111*U111</f>
        <v>36.191232</v>
      </c>
      <c r="W111" s="53" t="s">
        <v>199</v>
      </c>
      <c r="X111" s="50" t="n">
        <v>4.7</v>
      </c>
      <c r="Y111" s="53" t="s">
        <v>198</v>
      </c>
      <c r="Z111" s="50" t="n">
        <v>0.33</v>
      </c>
      <c r="AA111" s="50" t="n">
        <v>7.8</v>
      </c>
      <c r="AB111" s="50" t="n">
        <v>9</v>
      </c>
      <c r="AC111" s="52" t="n">
        <f aca="false">IF(W111="EUR",AA111,IF(W111="GBP",AB111,1))</f>
        <v>9</v>
      </c>
      <c r="AD111" s="52" t="n">
        <f aca="false">R111*X111</f>
        <v>10105.869312</v>
      </c>
      <c r="AE111" s="52" t="n">
        <f aca="false">IF(Y111="PERCENTAGE_OF_BASE_FREIGHT",AD111*Z111,IF(Y111="PER_CHARGEABLE_KG",R111*Z111,P111*Z111))</f>
        <v>709.5610368</v>
      </c>
      <c r="AF111" s="52" t="n">
        <f aca="false">AD111*AC111</f>
        <v>90952.823808</v>
      </c>
      <c r="AG111" s="52" t="n">
        <f aca="false">AE111*AC111</f>
        <v>6386.0493312</v>
      </c>
      <c r="AH111" s="52" t="s">
        <v>195</v>
      </c>
      <c r="AI111" s="52" t="n">
        <v>1.18</v>
      </c>
      <c r="AJ111" s="52" t="n">
        <f aca="false">IF(AH111="EUR",AA111,IF(AH111="GBP",AB111,1))</f>
        <v>7.8</v>
      </c>
      <c r="AK111" s="52" t="n">
        <f aca="false">N111*AI111</f>
        <v>2242.944</v>
      </c>
      <c r="AL111" s="52" t="n">
        <f aca="false">AK111*AJ111</f>
        <v>17494.9632</v>
      </c>
      <c r="AM111" s="52" t="s">
        <v>195</v>
      </c>
      <c r="AN111" s="52" t="n">
        <v>0.42</v>
      </c>
      <c r="AO111" s="52" t="n">
        <f aca="false">IF(AM111="EUR",AA111,IF(AM111="GBP",AB111,1))</f>
        <v>7.8</v>
      </c>
      <c r="AP111" s="52" t="n">
        <f aca="false">P111*AN111</f>
        <v>894.13632</v>
      </c>
      <c r="AQ111" s="52" t="n">
        <f aca="false">AP111*AO111</f>
        <v>6974.263296</v>
      </c>
      <c r="AR111" s="52" t="s">
        <v>199</v>
      </c>
      <c r="AS111" s="52" t="n">
        <v>4.8</v>
      </c>
      <c r="AT111" s="52" t="n">
        <f aca="false">IF(AR111="EUR",AA111,IF(AR111="GBP",AB111,1))</f>
        <v>9</v>
      </c>
      <c r="AU111" s="52" t="n">
        <f aca="false">T111*AS111</f>
        <v>729.9072</v>
      </c>
      <c r="AV111" s="52" t="n">
        <f aca="false">AU111*AT111</f>
        <v>6569.1648</v>
      </c>
      <c r="AW111" s="52" t="s">
        <v>199</v>
      </c>
      <c r="AX111" s="52" t="n">
        <v>2.3</v>
      </c>
      <c r="AY111" s="52" t="n">
        <f aca="false">IF(AW111="EUR",AA111,IF(AW111="GBP",AB111,1))</f>
        <v>9</v>
      </c>
      <c r="AZ111" s="52" t="n">
        <f aca="false">V111*AX111</f>
        <v>83.2398336</v>
      </c>
      <c r="BA111" s="52" t="n">
        <f aca="false">AZ111*AY111</f>
        <v>749.1585024</v>
      </c>
      <c r="BB111" s="52" t="n">
        <f aca="false">AF111+AG111+AL111+AQ111+AV111+BA111</f>
        <v>129126.4229376</v>
      </c>
      <c r="BC111" s="54" t="n">
        <v>0.95</v>
      </c>
      <c r="BD111" s="32"/>
      <c r="BE111" s="32"/>
      <c r="BF111" s="32"/>
      <c r="BG111" s="32" t="s">
        <v>197</v>
      </c>
    </row>
    <row r="112" customFormat="false" ht="15" hidden="false" customHeight="false" outlineLevel="0" collapsed="false">
      <c r="A112" s="18" t="s">
        <v>193</v>
      </c>
      <c r="B112" s="18" t="s">
        <v>194</v>
      </c>
      <c r="C112" s="18"/>
      <c r="D112" s="49" t="n">
        <v>46327</v>
      </c>
      <c r="E112" s="18" t="s">
        <v>124</v>
      </c>
      <c r="F112" s="18" t="s">
        <v>119</v>
      </c>
      <c r="G112" s="18" t="s">
        <v>100</v>
      </c>
      <c r="H112" s="18" t="s">
        <v>107</v>
      </c>
      <c r="I112" s="18" t="s">
        <v>125</v>
      </c>
      <c r="J112" s="50" t="n">
        <v>22000</v>
      </c>
      <c r="K112" s="51" t="n">
        <v>0.36</v>
      </c>
      <c r="L112" s="51" t="n">
        <v>0.96</v>
      </c>
      <c r="M112" s="51" t="n">
        <v>0.07</v>
      </c>
      <c r="N112" s="52" t="n">
        <f aca="false">J112*K112*L112*M112</f>
        <v>532.224</v>
      </c>
      <c r="O112" s="50" t="n">
        <v>1.12</v>
      </c>
      <c r="P112" s="52" t="n">
        <f aca="false">N112*O112</f>
        <v>596.09088</v>
      </c>
      <c r="Q112" s="50" t="n">
        <v>0.9494</v>
      </c>
      <c r="R112" s="52" t="n">
        <f aca="false">P112*Q112</f>
        <v>565.928681472</v>
      </c>
      <c r="S112" s="50" t="n">
        <v>0.08</v>
      </c>
      <c r="T112" s="52" t="n">
        <f aca="false">N112*S112</f>
        <v>42.57792</v>
      </c>
      <c r="U112" s="52" t="n">
        <v>0.013</v>
      </c>
      <c r="V112" s="52" t="n">
        <f aca="false">P112*U112</f>
        <v>7.74918144</v>
      </c>
      <c r="W112" s="53" t="s">
        <v>199</v>
      </c>
      <c r="X112" s="50" t="n">
        <v>6.2</v>
      </c>
      <c r="Y112" s="53" t="s">
        <v>196</v>
      </c>
      <c r="Z112" s="50" t="n">
        <v>0.115</v>
      </c>
      <c r="AA112" s="50" t="n">
        <v>7.8</v>
      </c>
      <c r="AB112" s="50" t="n">
        <v>9</v>
      </c>
      <c r="AC112" s="52" t="n">
        <f aca="false">IF(W112="EUR",AA112,IF(W112="GBP",AB112,1))</f>
        <v>9</v>
      </c>
      <c r="AD112" s="52" t="n">
        <f aca="false">R112*X112</f>
        <v>3508.7578251264</v>
      </c>
      <c r="AE112" s="52" t="n">
        <f aca="false">IF(Y112="PERCENTAGE_OF_BASE_FREIGHT",AD112*Z112,IF(Y112="PER_CHARGEABLE_KG",R112*Z112,P112*Z112))</f>
        <v>403.507149889536</v>
      </c>
      <c r="AF112" s="52" t="n">
        <f aca="false">AD112*AC112</f>
        <v>31578.8204261376</v>
      </c>
      <c r="AG112" s="52" t="n">
        <f aca="false">AE112*AC112</f>
        <v>3631.56434900582</v>
      </c>
      <c r="AH112" s="52" t="s">
        <v>195</v>
      </c>
      <c r="AI112" s="52" t="n">
        <v>1.18</v>
      </c>
      <c r="AJ112" s="52" t="n">
        <f aca="false">IF(AH112="EUR",AA112,IF(AH112="GBP",AB112,1))</f>
        <v>7.8</v>
      </c>
      <c r="AK112" s="52" t="n">
        <f aca="false">N112*AI112</f>
        <v>628.02432</v>
      </c>
      <c r="AL112" s="52" t="n">
        <f aca="false">AK112*AJ112</f>
        <v>4898.589696</v>
      </c>
      <c r="AM112" s="52" t="s">
        <v>195</v>
      </c>
      <c r="AN112" s="52" t="n">
        <v>0.42</v>
      </c>
      <c r="AO112" s="52" t="n">
        <f aca="false">IF(AM112="EUR",AA112,IF(AM112="GBP",AB112,1))</f>
        <v>7.8</v>
      </c>
      <c r="AP112" s="52" t="n">
        <f aca="false">P112*AN112</f>
        <v>250.3581696</v>
      </c>
      <c r="AQ112" s="52" t="n">
        <f aca="false">AP112*AO112</f>
        <v>1952.79372288</v>
      </c>
      <c r="AR112" s="52" t="s">
        <v>199</v>
      </c>
      <c r="AS112" s="52" t="n">
        <v>4.8</v>
      </c>
      <c r="AT112" s="52" t="n">
        <f aca="false">IF(AR112="EUR",AA112,IF(AR112="GBP",AB112,1))</f>
        <v>9</v>
      </c>
      <c r="AU112" s="52" t="n">
        <f aca="false">T112*AS112</f>
        <v>204.374016</v>
      </c>
      <c r="AV112" s="52" t="n">
        <f aca="false">AU112*AT112</f>
        <v>1839.366144</v>
      </c>
      <c r="AW112" s="52" t="s">
        <v>199</v>
      </c>
      <c r="AX112" s="52" t="n">
        <v>2.8</v>
      </c>
      <c r="AY112" s="52" t="n">
        <f aca="false">IF(AW112="EUR",AA112,IF(AW112="GBP",AB112,1))</f>
        <v>9</v>
      </c>
      <c r="AZ112" s="52" t="n">
        <f aca="false">V112*AX112</f>
        <v>21.697708032</v>
      </c>
      <c r="BA112" s="52" t="n">
        <f aca="false">AZ112*AY112</f>
        <v>195.279372288</v>
      </c>
      <c r="BB112" s="52" t="n">
        <f aca="false">AF112+AG112+AL112+AQ112+AV112+BA112</f>
        <v>44096.4137103114</v>
      </c>
      <c r="BC112" s="54" t="n">
        <v>0.974</v>
      </c>
      <c r="BD112" s="32"/>
      <c r="BE112" s="32"/>
      <c r="BF112" s="32"/>
      <c r="BG112" s="32" t="s">
        <v>197</v>
      </c>
    </row>
    <row r="113" customFormat="false" ht="15" hidden="false" customHeight="false" outlineLevel="0" collapsed="false">
      <c r="A113" s="18" t="s">
        <v>193</v>
      </c>
      <c r="B113" s="18" t="s">
        <v>194</v>
      </c>
      <c r="C113" s="18"/>
      <c r="D113" s="49" t="n">
        <v>46327</v>
      </c>
      <c r="E113" s="18" t="s">
        <v>127</v>
      </c>
      <c r="F113" s="18" t="s">
        <v>119</v>
      </c>
      <c r="G113" s="18" t="s">
        <v>100</v>
      </c>
      <c r="H113" s="18" t="s">
        <v>128</v>
      </c>
      <c r="I113" s="18" t="s">
        <v>125</v>
      </c>
      <c r="J113" s="50" t="n">
        <v>22000</v>
      </c>
      <c r="K113" s="51" t="n">
        <v>0.36</v>
      </c>
      <c r="L113" s="51" t="n">
        <v>0.96</v>
      </c>
      <c r="M113" s="51" t="n">
        <v>0.03</v>
      </c>
      <c r="N113" s="52" t="n">
        <f aca="false">J113*K113*L113*M113</f>
        <v>228.096</v>
      </c>
      <c r="O113" s="50" t="n">
        <v>1.12</v>
      </c>
      <c r="P113" s="52" t="n">
        <f aca="false">N113*O113</f>
        <v>255.46752</v>
      </c>
      <c r="Q113" s="50" t="n">
        <v>0.9292</v>
      </c>
      <c r="R113" s="52" t="n">
        <f aca="false">P113*Q113</f>
        <v>237.380419584</v>
      </c>
      <c r="S113" s="50" t="n">
        <v>0.08</v>
      </c>
      <c r="T113" s="52" t="n">
        <f aca="false">N113*S113</f>
        <v>18.24768</v>
      </c>
      <c r="U113" s="52" t="n">
        <v>0.009</v>
      </c>
      <c r="V113" s="52" t="n">
        <f aca="false">P113*U113</f>
        <v>2.29920768</v>
      </c>
      <c r="W113" s="53" t="s">
        <v>199</v>
      </c>
      <c r="X113" s="50" t="n">
        <v>7.5</v>
      </c>
      <c r="Y113" s="53" t="s">
        <v>198</v>
      </c>
      <c r="Z113" s="50" t="n">
        <v>0.58</v>
      </c>
      <c r="AA113" s="50" t="n">
        <v>7.8</v>
      </c>
      <c r="AB113" s="50" t="n">
        <v>9</v>
      </c>
      <c r="AC113" s="52" t="n">
        <f aca="false">IF(W113="EUR",AA113,IF(W113="GBP",AB113,1))</f>
        <v>9</v>
      </c>
      <c r="AD113" s="52" t="n">
        <f aca="false">R113*X113</f>
        <v>1780.35314688</v>
      </c>
      <c r="AE113" s="52" t="n">
        <f aca="false">IF(Y113="PERCENTAGE_OF_BASE_FREIGHT",AD113*Z113,IF(Y113="PER_CHARGEABLE_KG",R113*Z113,P113*Z113))</f>
        <v>137.68064335872</v>
      </c>
      <c r="AF113" s="52" t="n">
        <f aca="false">AD113*AC113</f>
        <v>16023.17832192</v>
      </c>
      <c r="AG113" s="52" t="n">
        <f aca="false">AE113*AC113</f>
        <v>1239.12579022848</v>
      </c>
      <c r="AH113" s="52" t="s">
        <v>195</v>
      </c>
      <c r="AI113" s="52" t="n">
        <v>1.18</v>
      </c>
      <c r="AJ113" s="52" t="n">
        <f aca="false">IF(AH113="EUR",AA113,IF(AH113="GBP",AB113,1))</f>
        <v>7.8</v>
      </c>
      <c r="AK113" s="52" t="n">
        <f aca="false">N113*AI113</f>
        <v>269.15328</v>
      </c>
      <c r="AL113" s="52" t="n">
        <f aca="false">AK113*AJ113</f>
        <v>2099.395584</v>
      </c>
      <c r="AM113" s="52" t="s">
        <v>195</v>
      </c>
      <c r="AN113" s="52" t="n">
        <v>0.42</v>
      </c>
      <c r="AO113" s="52" t="n">
        <f aca="false">IF(AM113="EUR",AA113,IF(AM113="GBP",AB113,1))</f>
        <v>7.8</v>
      </c>
      <c r="AP113" s="52" t="n">
        <f aca="false">P113*AN113</f>
        <v>107.2963584</v>
      </c>
      <c r="AQ113" s="52" t="n">
        <f aca="false">AP113*AO113</f>
        <v>836.91159552</v>
      </c>
      <c r="AR113" s="52" t="s">
        <v>199</v>
      </c>
      <c r="AS113" s="52" t="n">
        <v>4.8</v>
      </c>
      <c r="AT113" s="52" t="n">
        <f aca="false">IF(AR113="EUR",AA113,IF(AR113="GBP",AB113,1))</f>
        <v>9</v>
      </c>
      <c r="AU113" s="52" t="n">
        <f aca="false">T113*AS113</f>
        <v>87.588864</v>
      </c>
      <c r="AV113" s="52" t="n">
        <f aca="false">AU113*AT113</f>
        <v>788.299776</v>
      </c>
      <c r="AW113" s="52" t="s">
        <v>199</v>
      </c>
      <c r="AX113" s="52" t="n">
        <v>3.6</v>
      </c>
      <c r="AY113" s="52" t="n">
        <f aca="false">IF(AW113="EUR",AA113,IF(AW113="GBP",AB113,1))</f>
        <v>9</v>
      </c>
      <c r="AZ113" s="52" t="n">
        <f aca="false">V113*AX113</f>
        <v>8.277147648</v>
      </c>
      <c r="BA113" s="52" t="n">
        <f aca="false">AZ113*AY113</f>
        <v>74.494328832</v>
      </c>
      <c r="BB113" s="52" t="n">
        <f aca="false">AF113+AG113+AL113+AQ113+AV113+BA113</f>
        <v>21061.4053965005</v>
      </c>
      <c r="BC113" s="54" t="n">
        <v>0.988</v>
      </c>
      <c r="BD113" s="32"/>
      <c r="BE113" s="32"/>
      <c r="BF113" s="32"/>
      <c r="BG113" s="32" t="s">
        <v>197</v>
      </c>
    </row>
    <row r="114" customFormat="false" ht="15" hidden="false" customHeight="false" outlineLevel="0" collapsed="false">
      <c r="A114" s="18" t="s">
        <v>193</v>
      </c>
      <c r="B114" s="18" t="s">
        <v>194</v>
      </c>
      <c r="C114" s="18"/>
      <c r="D114" s="49" t="n">
        <v>46327</v>
      </c>
      <c r="E114" s="18" t="s">
        <v>130</v>
      </c>
      <c r="F114" s="18" t="s">
        <v>119</v>
      </c>
      <c r="G114" s="18" t="s">
        <v>110</v>
      </c>
      <c r="H114" s="18" t="s">
        <v>107</v>
      </c>
      <c r="I114" s="18" t="s">
        <v>125</v>
      </c>
      <c r="J114" s="50" t="n">
        <v>22000</v>
      </c>
      <c r="K114" s="51" t="n">
        <v>0.36</v>
      </c>
      <c r="L114" s="51" t="n">
        <v>0.04</v>
      </c>
      <c r="M114" s="51" t="n">
        <v>1</v>
      </c>
      <c r="N114" s="52" t="n">
        <f aca="false">J114*K114*L114*M114</f>
        <v>316.8</v>
      </c>
      <c r="O114" s="50" t="n">
        <v>1.15</v>
      </c>
      <c r="P114" s="52" t="n">
        <f aca="false">N114*O114</f>
        <v>364.32</v>
      </c>
      <c r="Q114" s="50" t="n">
        <v>0.909</v>
      </c>
      <c r="R114" s="52" t="n">
        <f aca="false">P114*Q114</f>
        <v>331.16688</v>
      </c>
      <c r="S114" s="50" t="n">
        <v>0.08</v>
      </c>
      <c r="T114" s="52" t="n">
        <f aca="false">N114*S114</f>
        <v>25.344</v>
      </c>
      <c r="U114" s="52" t="n">
        <v>0.012</v>
      </c>
      <c r="V114" s="52" t="n">
        <f aca="false">P114*U114</f>
        <v>4.37184</v>
      </c>
      <c r="W114" s="53" t="s">
        <v>195</v>
      </c>
      <c r="X114" s="50" t="n">
        <v>6.7</v>
      </c>
      <c r="Y114" s="53" t="s">
        <v>196</v>
      </c>
      <c r="Z114" s="50" t="n">
        <v>0.105</v>
      </c>
      <c r="AA114" s="50" t="n">
        <v>7.8</v>
      </c>
      <c r="AB114" s="50" t="n">
        <v>9</v>
      </c>
      <c r="AC114" s="52" t="n">
        <f aca="false">IF(W114="EUR",AA114,IF(W114="GBP",AB114,1))</f>
        <v>7.8</v>
      </c>
      <c r="AD114" s="52" t="n">
        <f aca="false">R114*X114</f>
        <v>2218.818096</v>
      </c>
      <c r="AE114" s="52" t="n">
        <f aca="false">IF(Y114="PERCENTAGE_OF_BASE_FREIGHT",AD114*Z114,IF(Y114="PER_CHARGEABLE_KG",R114*Z114,P114*Z114))</f>
        <v>232.97590008</v>
      </c>
      <c r="AF114" s="52" t="n">
        <f aca="false">AD114*AC114</f>
        <v>17306.7811488</v>
      </c>
      <c r="AG114" s="52" t="n">
        <f aca="false">AE114*AC114</f>
        <v>1817.212020624</v>
      </c>
      <c r="AH114" s="52" t="s">
        <v>195</v>
      </c>
      <c r="AI114" s="52" t="n">
        <v>1.05</v>
      </c>
      <c r="AJ114" s="52" t="n">
        <f aca="false">IF(AH114="EUR",AA114,IF(AH114="GBP",AB114,1))</f>
        <v>7.8</v>
      </c>
      <c r="AK114" s="52" t="n">
        <f aca="false">N114*AI114</f>
        <v>332.64</v>
      </c>
      <c r="AL114" s="52" t="n">
        <f aca="false">AK114*AJ114</f>
        <v>2594.592</v>
      </c>
      <c r="AM114" s="52" t="s">
        <v>195</v>
      </c>
      <c r="AN114" s="52" t="n">
        <v>0.38</v>
      </c>
      <c r="AO114" s="52" t="n">
        <f aca="false">IF(AM114="EUR",AA114,IF(AM114="GBP",AB114,1))</f>
        <v>7.8</v>
      </c>
      <c r="AP114" s="52" t="n">
        <f aca="false">P114*AN114</f>
        <v>138.4416</v>
      </c>
      <c r="AQ114" s="52" t="n">
        <f aca="false">AP114*AO114</f>
        <v>1079.84448</v>
      </c>
      <c r="AR114" s="52" t="s">
        <v>195</v>
      </c>
      <c r="AS114" s="52" t="n">
        <v>5.2</v>
      </c>
      <c r="AT114" s="52" t="n">
        <f aca="false">IF(AR114="EUR",AA114,IF(AR114="GBP",AB114,1))</f>
        <v>7.8</v>
      </c>
      <c r="AU114" s="52" t="n">
        <f aca="false">T114*AS114</f>
        <v>131.7888</v>
      </c>
      <c r="AV114" s="52" t="n">
        <f aca="false">AU114*AT114</f>
        <v>1027.95264</v>
      </c>
      <c r="AW114" s="52" t="s">
        <v>195</v>
      </c>
      <c r="AX114" s="52" t="n">
        <v>2.8</v>
      </c>
      <c r="AY114" s="52" t="n">
        <f aca="false">IF(AW114="EUR",AA114,IF(AW114="GBP",AB114,1))</f>
        <v>7.8</v>
      </c>
      <c r="AZ114" s="52" t="n">
        <f aca="false">V114*AX114</f>
        <v>12.241152</v>
      </c>
      <c r="BA114" s="52" t="n">
        <f aca="false">AZ114*AY114</f>
        <v>95.4809856</v>
      </c>
      <c r="BB114" s="52" t="n">
        <f aca="false">AF114+AG114+AL114+AQ114+AV114+BA114</f>
        <v>23921.863275024</v>
      </c>
      <c r="BC114" s="54" t="n">
        <v>0.971</v>
      </c>
      <c r="BD114" s="32"/>
      <c r="BE114" s="32"/>
      <c r="BF114" s="32"/>
      <c r="BG114" s="32" t="s">
        <v>197</v>
      </c>
    </row>
    <row r="115" customFormat="false" ht="15" hidden="false" customHeight="false" outlineLevel="0" collapsed="false">
      <c r="A115" s="18" t="s">
        <v>193</v>
      </c>
      <c r="B115" s="18" t="s">
        <v>194</v>
      </c>
      <c r="C115" s="18"/>
      <c r="D115" s="49" t="n">
        <v>46357</v>
      </c>
      <c r="E115" s="18" t="s">
        <v>98</v>
      </c>
      <c r="F115" s="18" t="s">
        <v>99</v>
      </c>
      <c r="G115" s="18" t="s">
        <v>100</v>
      </c>
      <c r="H115" s="18" t="s">
        <v>101</v>
      </c>
      <c r="I115" s="18" t="s">
        <v>102</v>
      </c>
      <c r="J115" s="50" t="n">
        <v>26000</v>
      </c>
      <c r="K115" s="51" t="n">
        <v>0.34</v>
      </c>
      <c r="L115" s="51" t="n">
        <v>0.97</v>
      </c>
      <c r="M115" s="51" t="n">
        <v>0.6</v>
      </c>
      <c r="N115" s="52" t="n">
        <f aca="false">J115*K115*L115*M115</f>
        <v>5144.88</v>
      </c>
      <c r="O115" s="50" t="n">
        <v>1.05</v>
      </c>
      <c r="P115" s="52" t="n">
        <f aca="false">N115*O115</f>
        <v>5402.124</v>
      </c>
      <c r="Q115" s="50" t="n">
        <v>0.7878</v>
      </c>
      <c r="R115" s="52" t="n">
        <f aca="false">P115*Q115</f>
        <v>4255.7932872</v>
      </c>
      <c r="S115" s="50" t="n">
        <v>0.05</v>
      </c>
      <c r="T115" s="52" t="n">
        <f aca="false">N115*S115</f>
        <v>257.244</v>
      </c>
      <c r="U115" s="52" t="n">
        <v>0.016</v>
      </c>
      <c r="V115" s="52" t="n">
        <f aca="false">P115*U115</f>
        <v>86.433984</v>
      </c>
      <c r="W115" s="53" t="s">
        <v>195</v>
      </c>
      <c r="X115" s="50" t="n">
        <v>2.2</v>
      </c>
      <c r="Y115" s="53" t="s">
        <v>196</v>
      </c>
      <c r="Z115" s="50" t="n">
        <v>0.095</v>
      </c>
      <c r="AA115" s="50" t="n">
        <v>7.8</v>
      </c>
      <c r="AB115" s="50" t="n">
        <v>9</v>
      </c>
      <c r="AC115" s="52" t="n">
        <f aca="false">IF(W115="EUR",AA115,IF(W115="GBP",AB115,1))</f>
        <v>7.8</v>
      </c>
      <c r="AD115" s="52" t="n">
        <f aca="false">R115*X115</f>
        <v>9362.74523184</v>
      </c>
      <c r="AE115" s="52" t="n">
        <f aca="false">IF(Y115="PERCENTAGE_OF_BASE_FREIGHT",AD115*Z115,IF(Y115="PER_CHARGEABLE_KG",R115*Z115,P115*Z115))</f>
        <v>889.4607970248</v>
      </c>
      <c r="AF115" s="52" t="n">
        <f aca="false">AD115*AC115</f>
        <v>73029.412808352</v>
      </c>
      <c r="AG115" s="52" t="n">
        <f aca="false">AE115*AC115</f>
        <v>6937.79421679344</v>
      </c>
      <c r="AH115" s="52" t="s">
        <v>195</v>
      </c>
      <c r="AI115" s="52" t="n">
        <v>1.18</v>
      </c>
      <c r="AJ115" s="52" t="n">
        <f aca="false">IF(AH115="EUR",AA115,IF(AH115="GBP",AB115,1))</f>
        <v>7.8</v>
      </c>
      <c r="AK115" s="52" t="n">
        <f aca="false">N115*AI115</f>
        <v>6070.9584</v>
      </c>
      <c r="AL115" s="52" t="n">
        <f aca="false">AK115*AJ115</f>
        <v>47353.47552</v>
      </c>
      <c r="AM115" s="52" t="s">
        <v>195</v>
      </c>
      <c r="AN115" s="52" t="n">
        <v>0.42</v>
      </c>
      <c r="AO115" s="52" t="n">
        <f aca="false">IF(AM115="EUR",AA115,IF(AM115="GBP",AB115,1))</f>
        <v>7.8</v>
      </c>
      <c r="AP115" s="52" t="n">
        <f aca="false">P115*AN115</f>
        <v>2268.89208</v>
      </c>
      <c r="AQ115" s="52" t="n">
        <f aca="false">AP115*AO115</f>
        <v>17697.358224</v>
      </c>
      <c r="AR115" s="52" t="s">
        <v>195</v>
      </c>
      <c r="AS115" s="52" t="n">
        <v>3.2</v>
      </c>
      <c r="AT115" s="52" t="n">
        <f aca="false">IF(AR115="EUR",AA115,IF(AR115="GBP",AB115,1))</f>
        <v>7.8</v>
      </c>
      <c r="AU115" s="52" t="n">
        <f aca="false">T115*AS115</f>
        <v>823.1808</v>
      </c>
      <c r="AV115" s="52" t="n">
        <f aca="false">AU115*AT115</f>
        <v>6420.81024</v>
      </c>
      <c r="AW115" s="52" t="s">
        <v>195</v>
      </c>
      <c r="AX115" s="52" t="n">
        <v>2.3</v>
      </c>
      <c r="AY115" s="52" t="n">
        <f aca="false">IF(AW115="EUR",AA115,IF(AW115="GBP",AB115,1))</f>
        <v>7.8</v>
      </c>
      <c r="AZ115" s="52" t="n">
        <f aca="false">V115*AX115</f>
        <v>198.7981632</v>
      </c>
      <c r="BA115" s="52" t="n">
        <f aca="false">AZ115*AY115</f>
        <v>1550.62567296</v>
      </c>
      <c r="BB115" s="52" t="n">
        <f aca="false">AF115+AG115+AL115+AQ115+AV115+BA115</f>
        <v>152989.476682105</v>
      </c>
      <c r="BC115" s="54" t="n">
        <v>0.965</v>
      </c>
      <c r="BD115" s="32"/>
      <c r="BE115" s="32"/>
      <c r="BF115" s="32"/>
      <c r="BG115" s="32" t="s">
        <v>197</v>
      </c>
    </row>
    <row r="116" customFormat="false" ht="15" hidden="false" customHeight="false" outlineLevel="0" collapsed="false">
      <c r="A116" s="18" t="s">
        <v>193</v>
      </c>
      <c r="B116" s="18" t="s">
        <v>194</v>
      </c>
      <c r="C116" s="18"/>
      <c r="D116" s="49" t="n">
        <v>46357</v>
      </c>
      <c r="E116" s="18" t="s">
        <v>106</v>
      </c>
      <c r="F116" s="18" t="s">
        <v>99</v>
      </c>
      <c r="G116" s="18" t="s">
        <v>100</v>
      </c>
      <c r="H116" s="18" t="s">
        <v>107</v>
      </c>
      <c r="I116" s="18" t="s">
        <v>102</v>
      </c>
      <c r="J116" s="50" t="n">
        <v>26000</v>
      </c>
      <c r="K116" s="51" t="n">
        <v>0.34</v>
      </c>
      <c r="L116" s="51" t="n">
        <v>0.97</v>
      </c>
      <c r="M116" s="51" t="n">
        <v>0.4</v>
      </c>
      <c r="N116" s="52" t="n">
        <f aca="false">J116*K116*L116*M116</f>
        <v>3429.92</v>
      </c>
      <c r="O116" s="50" t="n">
        <v>1.05</v>
      </c>
      <c r="P116" s="52" t="n">
        <f aca="false">N116*O116</f>
        <v>3601.416</v>
      </c>
      <c r="Q116" s="50" t="n">
        <v>0.808</v>
      </c>
      <c r="R116" s="52" t="n">
        <f aca="false">P116*Q116</f>
        <v>2909.944128</v>
      </c>
      <c r="S116" s="50" t="n">
        <v>0.05</v>
      </c>
      <c r="T116" s="52" t="n">
        <f aca="false">N116*S116</f>
        <v>171.496</v>
      </c>
      <c r="U116" s="52" t="n">
        <v>0.013</v>
      </c>
      <c r="V116" s="52" t="n">
        <f aca="false">P116*U116</f>
        <v>46.818408</v>
      </c>
      <c r="W116" s="53" t="s">
        <v>195</v>
      </c>
      <c r="X116" s="50" t="n">
        <v>2.75</v>
      </c>
      <c r="Y116" s="53" t="s">
        <v>198</v>
      </c>
      <c r="Z116" s="50" t="n">
        <v>0.21</v>
      </c>
      <c r="AA116" s="50" t="n">
        <v>7.8</v>
      </c>
      <c r="AB116" s="50" t="n">
        <v>9</v>
      </c>
      <c r="AC116" s="52" t="n">
        <f aca="false">IF(W116="EUR",AA116,IF(W116="GBP",AB116,1))</f>
        <v>7.8</v>
      </c>
      <c r="AD116" s="52" t="n">
        <f aca="false">R116*X116</f>
        <v>8002.346352</v>
      </c>
      <c r="AE116" s="52" t="n">
        <f aca="false">IF(Y116="PERCENTAGE_OF_BASE_FREIGHT",AD116*Z116,IF(Y116="PER_CHARGEABLE_KG",R116*Z116,P116*Z116))</f>
        <v>611.08826688</v>
      </c>
      <c r="AF116" s="52" t="n">
        <f aca="false">AD116*AC116</f>
        <v>62418.3015456</v>
      </c>
      <c r="AG116" s="52" t="n">
        <f aca="false">AE116*AC116</f>
        <v>4766.488481664</v>
      </c>
      <c r="AH116" s="52" t="s">
        <v>195</v>
      </c>
      <c r="AI116" s="52" t="n">
        <v>1.18</v>
      </c>
      <c r="AJ116" s="52" t="n">
        <f aca="false">IF(AH116="EUR",AA116,IF(AH116="GBP",AB116,1))</f>
        <v>7.8</v>
      </c>
      <c r="AK116" s="52" t="n">
        <f aca="false">N116*AI116</f>
        <v>4047.3056</v>
      </c>
      <c r="AL116" s="52" t="n">
        <f aca="false">AK116*AJ116</f>
        <v>31568.98368</v>
      </c>
      <c r="AM116" s="52" t="s">
        <v>195</v>
      </c>
      <c r="AN116" s="52" t="n">
        <v>0.42</v>
      </c>
      <c r="AO116" s="52" t="n">
        <f aca="false">IF(AM116="EUR",AA116,IF(AM116="GBP",AB116,1))</f>
        <v>7.8</v>
      </c>
      <c r="AP116" s="52" t="n">
        <f aca="false">P116*AN116</f>
        <v>1512.59472</v>
      </c>
      <c r="AQ116" s="52" t="n">
        <f aca="false">AP116*AO116</f>
        <v>11798.238816</v>
      </c>
      <c r="AR116" s="52" t="s">
        <v>195</v>
      </c>
      <c r="AS116" s="52" t="n">
        <v>3.2</v>
      </c>
      <c r="AT116" s="52" t="n">
        <f aca="false">IF(AR116="EUR",AA116,IF(AR116="GBP",AB116,1))</f>
        <v>7.8</v>
      </c>
      <c r="AU116" s="52" t="n">
        <f aca="false">T116*AS116</f>
        <v>548.7872</v>
      </c>
      <c r="AV116" s="52" t="n">
        <f aca="false">AU116*AT116</f>
        <v>4280.54016</v>
      </c>
      <c r="AW116" s="52" t="s">
        <v>195</v>
      </c>
      <c r="AX116" s="52" t="n">
        <v>2.3</v>
      </c>
      <c r="AY116" s="52" t="n">
        <f aca="false">IF(AW116="EUR",AA116,IF(AW116="GBP",AB116,1))</f>
        <v>7.8</v>
      </c>
      <c r="AZ116" s="52" t="n">
        <f aca="false">V116*AX116</f>
        <v>107.6823384</v>
      </c>
      <c r="BA116" s="52" t="n">
        <f aca="false">AZ116*AY116</f>
        <v>839.92223952</v>
      </c>
      <c r="BB116" s="52" t="n">
        <f aca="false">AF116+AG116+AL116+AQ116+AV116+BA116</f>
        <v>115672.474922784</v>
      </c>
      <c r="BC116" s="54" t="n">
        <v>0.976</v>
      </c>
      <c r="BD116" s="32"/>
      <c r="BE116" s="32"/>
      <c r="BF116" s="32"/>
      <c r="BG116" s="32" t="s">
        <v>197</v>
      </c>
    </row>
    <row r="117" customFormat="false" ht="15" hidden="false" customHeight="false" outlineLevel="0" collapsed="false">
      <c r="A117" s="18" t="s">
        <v>193</v>
      </c>
      <c r="B117" s="18" t="s">
        <v>194</v>
      </c>
      <c r="C117" s="18"/>
      <c r="D117" s="49" t="n">
        <v>46357</v>
      </c>
      <c r="E117" s="18" t="s">
        <v>109</v>
      </c>
      <c r="F117" s="18" t="s">
        <v>99</v>
      </c>
      <c r="G117" s="18" t="s">
        <v>110</v>
      </c>
      <c r="H117" s="18" t="s">
        <v>107</v>
      </c>
      <c r="I117" s="18" t="s">
        <v>102</v>
      </c>
      <c r="J117" s="50" t="n">
        <v>26000</v>
      </c>
      <c r="K117" s="51" t="n">
        <v>0.34</v>
      </c>
      <c r="L117" s="51" t="n">
        <v>0.03</v>
      </c>
      <c r="M117" s="51" t="n">
        <v>1</v>
      </c>
      <c r="N117" s="52" t="n">
        <f aca="false">J117*K117*L117*M117</f>
        <v>265.2</v>
      </c>
      <c r="O117" s="50" t="n">
        <v>1.08</v>
      </c>
      <c r="P117" s="52" t="n">
        <f aca="false">N117*O117</f>
        <v>286.416</v>
      </c>
      <c r="Q117" s="50" t="n">
        <v>0.8686</v>
      </c>
      <c r="R117" s="52" t="n">
        <f aca="false">P117*Q117</f>
        <v>248.7809376</v>
      </c>
      <c r="S117" s="50" t="n">
        <v>0.05</v>
      </c>
      <c r="T117" s="52" t="n">
        <f aca="false">N117*S117</f>
        <v>13.26</v>
      </c>
      <c r="U117" s="52" t="n">
        <v>0.014</v>
      </c>
      <c r="V117" s="52" t="n">
        <f aca="false">P117*U117</f>
        <v>4.009824</v>
      </c>
      <c r="W117" s="53" t="s">
        <v>195</v>
      </c>
      <c r="X117" s="50" t="n">
        <v>3.3</v>
      </c>
      <c r="Y117" s="53" t="s">
        <v>198</v>
      </c>
      <c r="Z117" s="50" t="n">
        <v>0.24</v>
      </c>
      <c r="AA117" s="50" t="n">
        <v>7.8</v>
      </c>
      <c r="AB117" s="50" t="n">
        <v>9</v>
      </c>
      <c r="AC117" s="52" t="n">
        <f aca="false">IF(W117="EUR",AA117,IF(W117="GBP",AB117,1))</f>
        <v>7.8</v>
      </c>
      <c r="AD117" s="52" t="n">
        <f aca="false">R117*X117</f>
        <v>820.97709408</v>
      </c>
      <c r="AE117" s="52" t="n">
        <f aca="false">IF(Y117="PERCENTAGE_OF_BASE_FREIGHT",AD117*Z117,IF(Y117="PER_CHARGEABLE_KG",R117*Z117,P117*Z117))</f>
        <v>59.707425024</v>
      </c>
      <c r="AF117" s="52" t="n">
        <f aca="false">AD117*AC117</f>
        <v>6403.621333824</v>
      </c>
      <c r="AG117" s="52" t="n">
        <f aca="false">AE117*AC117</f>
        <v>465.7179151872</v>
      </c>
      <c r="AH117" s="52" t="s">
        <v>195</v>
      </c>
      <c r="AI117" s="52" t="n">
        <v>1.05</v>
      </c>
      <c r="AJ117" s="52" t="n">
        <f aca="false">IF(AH117="EUR",AA117,IF(AH117="GBP",AB117,1))</f>
        <v>7.8</v>
      </c>
      <c r="AK117" s="52" t="n">
        <f aca="false">N117*AI117</f>
        <v>278.46</v>
      </c>
      <c r="AL117" s="52" t="n">
        <f aca="false">AK117*AJ117</f>
        <v>2171.988</v>
      </c>
      <c r="AM117" s="52" t="s">
        <v>195</v>
      </c>
      <c r="AN117" s="52" t="n">
        <v>0.38</v>
      </c>
      <c r="AO117" s="52" t="n">
        <f aca="false">IF(AM117="EUR",AA117,IF(AM117="GBP",AB117,1))</f>
        <v>7.8</v>
      </c>
      <c r="AP117" s="52" t="n">
        <f aca="false">P117*AN117</f>
        <v>108.83808</v>
      </c>
      <c r="AQ117" s="52" t="n">
        <f aca="false">AP117*AO117</f>
        <v>848.937024</v>
      </c>
      <c r="AR117" s="52" t="s">
        <v>195</v>
      </c>
      <c r="AS117" s="52" t="n">
        <v>3.8</v>
      </c>
      <c r="AT117" s="52" t="n">
        <f aca="false">IF(AR117="EUR",AA117,IF(AR117="GBP",AB117,1))</f>
        <v>7.8</v>
      </c>
      <c r="AU117" s="52" t="n">
        <f aca="false">T117*AS117</f>
        <v>50.388</v>
      </c>
      <c r="AV117" s="52" t="n">
        <f aca="false">AU117*AT117</f>
        <v>393.0264</v>
      </c>
      <c r="AW117" s="52" t="s">
        <v>195</v>
      </c>
      <c r="AX117" s="52" t="n">
        <v>2.3</v>
      </c>
      <c r="AY117" s="52" t="n">
        <f aca="false">IF(AW117="EUR",AA117,IF(AW117="GBP",AB117,1))</f>
        <v>7.8</v>
      </c>
      <c r="AZ117" s="52" t="n">
        <f aca="false">V117*AX117</f>
        <v>9.2225952</v>
      </c>
      <c r="BA117" s="52" t="n">
        <f aca="false">AZ117*AY117</f>
        <v>71.93624256</v>
      </c>
      <c r="BB117" s="52" t="n">
        <f aca="false">AF117+AG117+AL117+AQ117+AV117+BA117</f>
        <v>10355.2269155712</v>
      </c>
      <c r="BC117" s="54" t="n">
        <v>0.968</v>
      </c>
      <c r="BD117" s="32"/>
      <c r="BE117" s="32"/>
      <c r="BF117" s="32"/>
      <c r="BG117" s="32" t="s">
        <v>197</v>
      </c>
    </row>
    <row r="118" customFormat="false" ht="15" hidden="false" customHeight="false" outlineLevel="0" collapsed="false">
      <c r="A118" s="18" t="s">
        <v>193</v>
      </c>
      <c r="B118" s="18" t="s">
        <v>194</v>
      </c>
      <c r="C118" s="18"/>
      <c r="D118" s="49" t="n">
        <v>46357</v>
      </c>
      <c r="E118" s="18" t="s">
        <v>112</v>
      </c>
      <c r="F118" s="18" t="s">
        <v>113</v>
      </c>
      <c r="G118" s="18" t="s">
        <v>110</v>
      </c>
      <c r="H118" s="18" t="s">
        <v>101</v>
      </c>
      <c r="I118" s="18" t="s">
        <v>102</v>
      </c>
      <c r="J118" s="50" t="n">
        <v>26000</v>
      </c>
      <c r="K118" s="51" t="n">
        <v>0.29</v>
      </c>
      <c r="L118" s="51" t="n">
        <v>1</v>
      </c>
      <c r="M118" s="51" t="n">
        <v>0.35</v>
      </c>
      <c r="N118" s="52" t="n">
        <f aca="false">J118*K118*L118*M118</f>
        <v>2639</v>
      </c>
      <c r="O118" s="50" t="n">
        <v>1.06</v>
      </c>
      <c r="P118" s="52" t="n">
        <f aca="false">N118*O118</f>
        <v>2797.34</v>
      </c>
      <c r="Q118" s="50" t="n">
        <v>0.7676</v>
      </c>
      <c r="R118" s="52" t="n">
        <f aca="false">P118*Q118</f>
        <v>2147.238184</v>
      </c>
      <c r="S118" s="50" t="n">
        <v>0.06</v>
      </c>
      <c r="T118" s="52" t="n">
        <f aca="false">N118*S118</f>
        <v>158.34</v>
      </c>
      <c r="U118" s="52" t="n">
        <v>0.017</v>
      </c>
      <c r="V118" s="52" t="n">
        <f aca="false">P118*U118</f>
        <v>47.55478</v>
      </c>
      <c r="W118" s="53" t="s">
        <v>195</v>
      </c>
      <c r="X118" s="50" t="n">
        <v>2.1</v>
      </c>
      <c r="Y118" s="53" t="s">
        <v>196</v>
      </c>
      <c r="Z118" s="50" t="n">
        <v>0.09</v>
      </c>
      <c r="AA118" s="50" t="n">
        <v>7.8</v>
      </c>
      <c r="AB118" s="50" t="n">
        <v>9</v>
      </c>
      <c r="AC118" s="52" t="n">
        <f aca="false">IF(W118="EUR",AA118,IF(W118="GBP",AB118,1))</f>
        <v>7.8</v>
      </c>
      <c r="AD118" s="52" t="n">
        <f aca="false">R118*X118</f>
        <v>4509.2001864</v>
      </c>
      <c r="AE118" s="52" t="n">
        <f aca="false">IF(Y118="PERCENTAGE_OF_BASE_FREIGHT",AD118*Z118,IF(Y118="PER_CHARGEABLE_KG",R118*Z118,P118*Z118))</f>
        <v>405.828016776</v>
      </c>
      <c r="AF118" s="52" t="n">
        <f aca="false">AD118*AC118</f>
        <v>35171.76145392</v>
      </c>
      <c r="AG118" s="52" t="n">
        <f aca="false">AE118*AC118</f>
        <v>3165.4585308528</v>
      </c>
      <c r="AH118" s="52" t="s">
        <v>195</v>
      </c>
      <c r="AI118" s="52" t="n">
        <v>1.05</v>
      </c>
      <c r="AJ118" s="52" t="n">
        <f aca="false">IF(AH118="EUR",AA118,IF(AH118="GBP",AB118,1))</f>
        <v>7.8</v>
      </c>
      <c r="AK118" s="52" t="n">
        <f aca="false">N118*AI118</f>
        <v>2770.95</v>
      </c>
      <c r="AL118" s="52" t="n">
        <f aca="false">AK118*AJ118</f>
        <v>21613.41</v>
      </c>
      <c r="AM118" s="52" t="s">
        <v>195</v>
      </c>
      <c r="AN118" s="52" t="n">
        <v>0.38</v>
      </c>
      <c r="AO118" s="52" t="n">
        <f aca="false">IF(AM118="EUR",AA118,IF(AM118="GBP",AB118,1))</f>
        <v>7.8</v>
      </c>
      <c r="AP118" s="52" t="n">
        <f aca="false">P118*AN118</f>
        <v>1062.9892</v>
      </c>
      <c r="AQ118" s="52" t="n">
        <f aca="false">AP118*AO118</f>
        <v>8291.31576</v>
      </c>
      <c r="AR118" s="52" t="s">
        <v>195</v>
      </c>
      <c r="AS118" s="52" t="n">
        <v>3</v>
      </c>
      <c r="AT118" s="52" t="n">
        <f aca="false">IF(AR118="EUR",AA118,IF(AR118="GBP",AB118,1))</f>
        <v>7.8</v>
      </c>
      <c r="AU118" s="52" t="n">
        <f aca="false">T118*AS118</f>
        <v>475.02</v>
      </c>
      <c r="AV118" s="52" t="n">
        <f aca="false">AU118*AT118</f>
        <v>3705.156</v>
      </c>
      <c r="AW118" s="52" t="s">
        <v>195</v>
      </c>
      <c r="AX118" s="52" t="n">
        <v>2.3</v>
      </c>
      <c r="AY118" s="52" t="n">
        <f aca="false">IF(AW118="EUR",AA118,IF(AW118="GBP",AB118,1))</f>
        <v>7.8</v>
      </c>
      <c r="AZ118" s="52" t="n">
        <f aca="false">V118*AX118</f>
        <v>109.375994</v>
      </c>
      <c r="BA118" s="52" t="n">
        <f aca="false">AZ118*AY118</f>
        <v>853.1327532</v>
      </c>
      <c r="BB118" s="52" t="n">
        <f aca="false">AF118+AG118+AL118+AQ118+AV118+BA118</f>
        <v>72800.2344979728</v>
      </c>
      <c r="BC118" s="54" t="n">
        <v>0.961</v>
      </c>
      <c r="BD118" s="32"/>
      <c r="BE118" s="32"/>
      <c r="BF118" s="32"/>
      <c r="BG118" s="32" t="s">
        <v>197</v>
      </c>
    </row>
    <row r="119" customFormat="false" ht="15" hidden="false" customHeight="false" outlineLevel="0" collapsed="false">
      <c r="A119" s="18" t="s">
        <v>193</v>
      </c>
      <c r="B119" s="18" t="s">
        <v>194</v>
      </c>
      <c r="C119" s="18"/>
      <c r="D119" s="49" t="n">
        <v>46357</v>
      </c>
      <c r="E119" s="18" t="s">
        <v>116</v>
      </c>
      <c r="F119" s="18" t="s">
        <v>113</v>
      </c>
      <c r="G119" s="18" t="s">
        <v>110</v>
      </c>
      <c r="H119" s="18" t="s">
        <v>107</v>
      </c>
      <c r="I119" s="18" t="s">
        <v>102</v>
      </c>
      <c r="J119" s="50" t="n">
        <v>26000</v>
      </c>
      <c r="K119" s="51" t="n">
        <v>0.29</v>
      </c>
      <c r="L119" s="51" t="n">
        <v>1</v>
      </c>
      <c r="M119" s="51" t="n">
        <v>0.65</v>
      </c>
      <c r="N119" s="52" t="n">
        <f aca="false">J119*K119*L119*M119</f>
        <v>4901</v>
      </c>
      <c r="O119" s="50" t="n">
        <v>1.06</v>
      </c>
      <c r="P119" s="52" t="n">
        <f aca="false">N119*O119</f>
        <v>5195.06</v>
      </c>
      <c r="Q119" s="50" t="n">
        <v>0.7979</v>
      </c>
      <c r="R119" s="52" t="n">
        <f aca="false">P119*Q119</f>
        <v>4145.138374</v>
      </c>
      <c r="S119" s="50" t="n">
        <v>0.06</v>
      </c>
      <c r="T119" s="52" t="n">
        <f aca="false">N119*S119</f>
        <v>294.06</v>
      </c>
      <c r="U119" s="52" t="n">
        <v>0.014</v>
      </c>
      <c r="V119" s="52" t="n">
        <f aca="false">P119*U119</f>
        <v>72.73084</v>
      </c>
      <c r="W119" s="53" t="s">
        <v>195</v>
      </c>
      <c r="X119" s="50" t="n">
        <v>2.6</v>
      </c>
      <c r="Y119" s="53" t="s">
        <v>198</v>
      </c>
      <c r="Z119" s="50" t="n">
        <v>0.2</v>
      </c>
      <c r="AA119" s="50" t="n">
        <v>7.8</v>
      </c>
      <c r="AB119" s="50" t="n">
        <v>9</v>
      </c>
      <c r="AC119" s="52" t="n">
        <f aca="false">IF(W119="EUR",AA119,IF(W119="GBP",AB119,1))</f>
        <v>7.8</v>
      </c>
      <c r="AD119" s="52" t="n">
        <f aca="false">R119*X119</f>
        <v>10777.3597724</v>
      </c>
      <c r="AE119" s="52" t="n">
        <f aca="false">IF(Y119="PERCENTAGE_OF_BASE_FREIGHT",AD119*Z119,IF(Y119="PER_CHARGEABLE_KG",R119*Z119,P119*Z119))</f>
        <v>829.0276748</v>
      </c>
      <c r="AF119" s="52" t="n">
        <f aca="false">AD119*AC119</f>
        <v>84063.40622472</v>
      </c>
      <c r="AG119" s="52" t="n">
        <f aca="false">AE119*AC119</f>
        <v>6466.41586344</v>
      </c>
      <c r="AH119" s="52" t="s">
        <v>195</v>
      </c>
      <c r="AI119" s="52" t="n">
        <v>1.05</v>
      </c>
      <c r="AJ119" s="52" t="n">
        <f aca="false">IF(AH119="EUR",AA119,IF(AH119="GBP",AB119,1))</f>
        <v>7.8</v>
      </c>
      <c r="AK119" s="52" t="n">
        <f aca="false">N119*AI119</f>
        <v>5146.05</v>
      </c>
      <c r="AL119" s="52" t="n">
        <f aca="false">AK119*AJ119</f>
        <v>40139.19</v>
      </c>
      <c r="AM119" s="52" t="s">
        <v>195</v>
      </c>
      <c r="AN119" s="52" t="n">
        <v>0.38</v>
      </c>
      <c r="AO119" s="52" t="n">
        <f aca="false">IF(AM119="EUR",AA119,IF(AM119="GBP",AB119,1))</f>
        <v>7.8</v>
      </c>
      <c r="AP119" s="52" t="n">
        <f aca="false">P119*AN119</f>
        <v>1974.1228</v>
      </c>
      <c r="AQ119" s="52" t="n">
        <f aca="false">AP119*AO119</f>
        <v>15398.15784</v>
      </c>
      <c r="AR119" s="52" t="s">
        <v>195</v>
      </c>
      <c r="AS119" s="52" t="n">
        <v>3</v>
      </c>
      <c r="AT119" s="52" t="n">
        <f aca="false">IF(AR119="EUR",AA119,IF(AR119="GBP",AB119,1))</f>
        <v>7.8</v>
      </c>
      <c r="AU119" s="52" t="n">
        <f aca="false">T119*AS119</f>
        <v>882.18</v>
      </c>
      <c r="AV119" s="52" t="n">
        <f aca="false">AU119*AT119</f>
        <v>6881.004</v>
      </c>
      <c r="AW119" s="52" t="s">
        <v>195</v>
      </c>
      <c r="AX119" s="52" t="n">
        <v>2.3</v>
      </c>
      <c r="AY119" s="52" t="n">
        <f aca="false">IF(AW119="EUR",AA119,IF(AW119="GBP",AB119,1))</f>
        <v>7.8</v>
      </c>
      <c r="AZ119" s="52" t="n">
        <f aca="false">V119*AX119</f>
        <v>167.280932</v>
      </c>
      <c r="BA119" s="52" t="n">
        <f aca="false">AZ119*AY119</f>
        <v>1304.7912696</v>
      </c>
      <c r="BB119" s="52" t="n">
        <f aca="false">AF119+AG119+AL119+AQ119+AV119+BA119</f>
        <v>154252.96519776</v>
      </c>
      <c r="BC119" s="54" t="n">
        <v>0.973</v>
      </c>
      <c r="BD119" s="32"/>
      <c r="BE119" s="32"/>
      <c r="BF119" s="32"/>
      <c r="BG119" s="32" t="s">
        <v>197</v>
      </c>
    </row>
    <row r="120" customFormat="false" ht="15" hidden="false" customHeight="false" outlineLevel="0" collapsed="false">
      <c r="A120" s="18" t="s">
        <v>193</v>
      </c>
      <c r="B120" s="18" t="s">
        <v>194</v>
      </c>
      <c r="C120" s="18"/>
      <c r="D120" s="49" t="n">
        <v>46357</v>
      </c>
      <c r="E120" s="18" t="s">
        <v>118</v>
      </c>
      <c r="F120" s="18" t="s">
        <v>119</v>
      </c>
      <c r="G120" s="18" t="s">
        <v>100</v>
      </c>
      <c r="H120" s="18" t="s">
        <v>101</v>
      </c>
      <c r="I120" s="18" t="s">
        <v>102</v>
      </c>
      <c r="J120" s="50" t="n">
        <v>26000</v>
      </c>
      <c r="K120" s="51" t="n">
        <v>0.37</v>
      </c>
      <c r="L120" s="51" t="n">
        <v>0.96</v>
      </c>
      <c r="M120" s="51" t="n">
        <v>0.65</v>
      </c>
      <c r="N120" s="52" t="n">
        <f aca="false">J120*K120*L120*M120</f>
        <v>6002.88</v>
      </c>
      <c r="O120" s="50" t="n">
        <v>1.12</v>
      </c>
      <c r="P120" s="52" t="n">
        <f aca="false">N120*O120</f>
        <v>6723.2256</v>
      </c>
      <c r="Q120" s="50" t="n">
        <v>1.0302</v>
      </c>
      <c r="R120" s="52" t="n">
        <f aca="false">P120*Q120</f>
        <v>6926.26701312</v>
      </c>
      <c r="S120" s="50" t="n">
        <v>0.08</v>
      </c>
      <c r="T120" s="52" t="n">
        <f aca="false">N120*S120</f>
        <v>480.2304</v>
      </c>
      <c r="U120" s="52" t="n">
        <v>0.022</v>
      </c>
      <c r="V120" s="52" t="n">
        <f aca="false">P120*U120</f>
        <v>147.9109632</v>
      </c>
      <c r="W120" s="53" t="s">
        <v>199</v>
      </c>
      <c r="X120" s="50" t="n">
        <v>4</v>
      </c>
      <c r="Y120" s="53" t="s">
        <v>196</v>
      </c>
      <c r="Z120" s="50" t="n">
        <v>0.1</v>
      </c>
      <c r="AA120" s="50" t="n">
        <v>7.8</v>
      </c>
      <c r="AB120" s="50" t="n">
        <v>9</v>
      </c>
      <c r="AC120" s="52" t="n">
        <f aca="false">IF(W120="EUR",AA120,IF(W120="GBP",AB120,1))</f>
        <v>9</v>
      </c>
      <c r="AD120" s="52" t="n">
        <f aca="false">R120*X120</f>
        <v>27705.06805248</v>
      </c>
      <c r="AE120" s="52" t="n">
        <f aca="false">IF(Y120="PERCENTAGE_OF_BASE_FREIGHT",AD120*Z120,IF(Y120="PER_CHARGEABLE_KG",R120*Z120,P120*Z120))</f>
        <v>2770.506805248</v>
      </c>
      <c r="AF120" s="52" t="n">
        <f aca="false">AD120*AC120</f>
        <v>249345.61247232</v>
      </c>
      <c r="AG120" s="52" t="n">
        <f aca="false">AE120*AC120</f>
        <v>24934.561247232</v>
      </c>
      <c r="AH120" s="52" t="s">
        <v>195</v>
      </c>
      <c r="AI120" s="52" t="n">
        <v>1.18</v>
      </c>
      <c r="AJ120" s="52" t="n">
        <f aca="false">IF(AH120="EUR",AA120,IF(AH120="GBP",AB120,1))</f>
        <v>7.8</v>
      </c>
      <c r="AK120" s="52" t="n">
        <f aca="false">N120*AI120</f>
        <v>7083.3984</v>
      </c>
      <c r="AL120" s="52" t="n">
        <f aca="false">AK120*AJ120</f>
        <v>55250.50752</v>
      </c>
      <c r="AM120" s="52" t="s">
        <v>195</v>
      </c>
      <c r="AN120" s="52" t="n">
        <v>0.42</v>
      </c>
      <c r="AO120" s="52" t="n">
        <f aca="false">IF(AM120="EUR",AA120,IF(AM120="GBP",AB120,1))</f>
        <v>7.8</v>
      </c>
      <c r="AP120" s="52" t="n">
        <f aca="false">P120*AN120</f>
        <v>2823.754752</v>
      </c>
      <c r="AQ120" s="52" t="n">
        <f aca="false">AP120*AO120</f>
        <v>22025.2870656</v>
      </c>
      <c r="AR120" s="52" t="s">
        <v>199</v>
      </c>
      <c r="AS120" s="52" t="n">
        <v>4.8</v>
      </c>
      <c r="AT120" s="52" t="n">
        <f aca="false">IF(AR120="EUR",AA120,IF(AR120="GBP",AB120,1))</f>
        <v>9</v>
      </c>
      <c r="AU120" s="52" t="n">
        <f aca="false">T120*AS120</f>
        <v>2305.10592</v>
      </c>
      <c r="AV120" s="52" t="n">
        <f aca="false">AU120*AT120</f>
        <v>20745.95328</v>
      </c>
      <c r="AW120" s="52" t="s">
        <v>199</v>
      </c>
      <c r="AX120" s="52" t="n">
        <v>2.3</v>
      </c>
      <c r="AY120" s="52" t="n">
        <f aca="false">IF(AW120="EUR",AA120,IF(AW120="GBP",AB120,1))</f>
        <v>9</v>
      </c>
      <c r="AZ120" s="52" t="n">
        <f aca="false">V120*AX120</f>
        <v>340.19521536</v>
      </c>
      <c r="BA120" s="52" t="n">
        <f aca="false">AZ120*AY120</f>
        <v>3061.75693824</v>
      </c>
      <c r="BB120" s="52" t="n">
        <f aca="false">AF120+AG120+AL120+AQ120+AV120+BA120</f>
        <v>375363.678523392</v>
      </c>
      <c r="BC120" s="54" t="n">
        <v>0.93</v>
      </c>
      <c r="BD120" s="32"/>
      <c r="BE120" s="32"/>
      <c r="BF120" s="32"/>
      <c r="BG120" s="32" t="s">
        <v>197</v>
      </c>
    </row>
    <row r="121" customFormat="false" ht="15" hidden="false" customHeight="false" outlineLevel="0" collapsed="false">
      <c r="A121" s="18" t="s">
        <v>193</v>
      </c>
      <c r="B121" s="18" t="s">
        <v>194</v>
      </c>
      <c r="C121" s="18"/>
      <c r="D121" s="49" t="n">
        <v>46357</v>
      </c>
      <c r="E121" s="18" t="s">
        <v>122</v>
      </c>
      <c r="F121" s="18" t="s">
        <v>119</v>
      </c>
      <c r="G121" s="18" t="s">
        <v>100</v>
      </c>
      <c r="H121" s="18" t="s">
        <v>107</v>
      </c>
      <c r="I121" s="18" t="s">
        <v>102</v>
      </c>
      <c r="J121" s="50" t="n">
        <v>26000</v>
      </c>
      <c r="K121" s="51" t="n">
        <v>0.37</v>
      </c>
      <c r="L121" s="51" t="n">
        <v>0.96</v>
      </c>
      <c r="M121" s="51" t="n">
        <v>0.25</v>
      </c>
      <c r="N121" s="52" t="n">
        <f aca="false">J121*K121*L121*M121</f>
        <v>2308.8</v>
      </c>
      <c r="O121" s="50" t="n">
        <v>1.12</v>
      </c>
      <c r="P121" s="52" t="n">
        <f aca="false">N121*O121</f>
        <v>2585.856</v>
      </c>
      <c r="Q121" s="50" t="n">
        <v>1.01</v>
      </c>
      <c r="R121" s="52" t="n">
        <f aca="false">P121*Q121</f>
        <v>2611.71456</v>
      </c>
      <c r="S121" s="50" t="n">
        <v>0.08</v>
      </c>
      <c r="T121" s="52" t="n">
        <f aca="false">N121*S121</f>
        <v>184.704</v>
      </c>
      <c r="U121" s="52" t="n">
        <v>0.017</v>
      </c>
      <c r="V121" s="52" t="n">
        <f aca="false">P121*U121</f>
        <v>43.959552</v>
      </c>
      <c r="W121" s="53" t="s">
        <v>199</v>
      </c>
      <c r="X121" s="50" t="n">
        <v>4.7</v>
      </c>
      <c r="Y121" s="53" t="s">
        <v>198</v>
      </c>
      <c r="Z121" s="50" t="n">
        <v>0.33</v>
      </c>
      <c r="AA121" s="50" t="n">
        <v>7.8</v>
      </c>
      <c r="AB121" s="50" t="n">
        <v>9</v>
      </c>
      <c r="AC121" s="52" t="n">
        <f aca="false">IF(W121="EUR",AA121,IF(W121="GBP",AB121,1))</f>
        <v>9</v>
      </c>
      <c r="AD121" s="52" t="n">
        <f aca="false">R121*X121</f>
        <v>12275.058432</v>
      </c>
      <c r="AE121" s="52" t="n">
        <f aca="false">IF(Y121="PERCENTAGE_OF_BASE_FREIGHT",AD121*Z121,IF(Y121="PER_CHARGEABLE_KG",R121*Z121,P121*Z121))</f>
        <v>861.8658048</v>
      </c>
      <c r="AF121" s="52" t="n">
        <f aca="false">AD121*AC121</f>
        <v>110475.525888</v>
      </c>
      <c r="AG121" s="52" t="n">
        <f aca="false">AE121*AC121</f>
        <v>7756.7922432</v>
      </c>
      <c r="AH121" s="52" t="s">
        <v>195</v>
      </c>
      <c r="AI121" s="52" t="n">
        <v>1.18</v>
      </c>
      <c r="AJ121" s="52" t="n">
        <f aca="false">IF(AH121="EUR",AA121,IF(AH121="GBP",AB121,1))</f>
        <v>7.8</v>
      </c>
      <c r="AK121" s="52" t="n">
        <f aca="false">N121*AI121</f>
        <v>2724.384</v>
      </c>
      <c r="AL121" s="52" t="n">
        <f aca="false">AK121*AJ121</f>
        <v>21250.1952</v>
      </c>
      <c r="AM121" s="52" t="s">
        <v>195</v>
      </c>
      <c r="AN121" s="52" t="n">
        <v>0.42</v>
      </c>
      <c r="AO121" s="52" t="n">
        <f aca="false">IF(AM121="EUR",AA121,IF(AM121="GBP",AB121,1))</f>
        <v>7.8</v>
      </c>
      <c r="AP121" s="52" t="n">
        <f aca="false">P121*AN121</f>
        <v>1086.05952</v>
      </c>
      <c r="AQ121" s="52" t="n">
        <f aca="false">AP121*AO121</f>
        <v>8471.264256</v>
      </c>
      <c r="AR121" s="52" t="s">
        <v>199</v>
      </c>
      <c r="AS121" s="52" t="n">
        <v>4.8</v>
      </c>
      <c r="AT121" s="52" t="n">
        <f aca="false">IF(AR121="EUR",AA121,IF(AR121="GBP",AB121,1))</f>
        <v>9</v>
      </c>
      <c r="AU121" s="52" t="n">
        <f aca="false">T121*AS121</f>
        <v>886.5792</v>
      </c>
      <c r="AV121" s="52" t="n">
        <f aca="false">AU121*AT121</f>
        <v>7979.2128</v>
      </c>
      <c r="AW121" s="52" t="s">
        <v>199</v>
      </c>
      <c r="AX121" s="52" t="n">
        <v>2.3</v>
      </c>
      <c r="AY121" s="52" t="n">
        <f aca="false">IF(AW121="EUR",AA121,IF(AW121="GBP",AB121,1))</f>
        <v>9</v>
      </c>
      <c r="AZ121" s="52" t="n">
        <f aca="false">V121*AX121</f>
        <v>101.1069696</v>
      </c>
      <c r="BA121" s="52" t="n">
        <f aca="false">AZ121*AY121</f>
        <v>909.9627264</v>
      </c>
      <c r="BB121" s="52" t="n">
        <f aca="false">AF121+AG121+AL121+AQ121+AV121+BA121</f>
        <v>156842.9531136</v>
      </c>
      <c r="BC121" s="54" t="n">
        <v>0.95</v>
      </c>
      <c r="BD121" s="32"/>
      <c r="BE121" s="32"/>
      <c r="BF121" s="32"/>
      <c r="BG121" s="32" t="s">
        <v>197</v>
      </c>
    </row>
    <row r="122" customFormat="false" ht="15" hidden="false" customHeight="false" outlineLevel="0" collapsed="false">
      <c r="A122" s="18" t="s">
        <v>193</v>
      </c>
      <c r="B122" s="18" t="s">
        <v>194</v>
      </c>
      <c r="C122" s="18"/>
      <c r="D122" s="49" t="n">
        <v>46357</v>
      </c>
      <c r="E122" s="18" t="s">
        <v>124</v>
      </c>
      <c r="F122" s="18" t="s">
        <v>119</v>
      </c>
      <c r="G122" s="18" t="s">
        <v>100</v>
      </c>
      <c r="H122" s="18" t="s">
        <v>107</v>
      </c>
      <c r="I122" s="18" t="s">
        <v>125</v>
      </c>
      <c r="J122" s="50" t="n">
        <v>26000</v>
      </c>
      <c r="K122" s="51" t="n">
        <v>0.37</v>
      </c>
      <c r="L122" s="51" t="n">
        <v>0.96</v>
      </c>
      <c r="M122" s="51" t="n">
        <v>0.07</v>
      </c>
      <c r="N122" s="52" t="n">
        <f aca="false">J122*K122*L122*M122</f>
        <v>646.464</v>
      </c>
      <c r="O122" s="50" t="n">
        <v>1.12</v>
      </c>
      <c r="P122" s="52" t="n">
        <f aca="false">N122*O122</f>
        <v>724.03968</v>
      </c>
      <c r="Q122" s="50" t="n">
        <v>0.9494</v>
      </c>
      <c r="R122" s="52" t="n">
        <f aca="false">P122*Q122</f>
        <v>687.403272192</v>
      </c>
      <c r="S122" s="50" t="n">
        <v>0.08</v>
      </c>
      <c r="T122" s="52" t="n">
        <f aca="false">N122*S122</f>
        <v>51.71712</v>
      </c>
      <c r="U122" s="52" t="n">
        <v>0.013</v>
      </c>
      <c r="V122" s="52" t="n">
        <f aca="false">P122*U122</f>
        <v>9.41251584</v>
      </c>
      <c r="W122" s="53" t="s">
        <v>199</v>
      </c>
      <c r="X122" s="50" t="n">
        <v>6.2</v>
      </c>
      <c r="Y122" s="53" t="s">
        <v>196</v>
      </c>
      <c r="Z122" s="50" t="n">
        <v>0.115</v>
      </c>
      <c r="AA122" s="50" t="n">
        <v>7.8</v>
      </c>
      <c r="AB122" s="50" t="n">
        <v>9</v>
      </c>
      <c r="AC122" s="52" t="n">
        <f aca="false">IF(W122="EUR",AA122,IF(W122="GBP",AB122,1))</f>
        <v>9</v>
      </c>
      <c r="AD122" s="52" t="n">
        <f aca="false">R122*X122</f>
        <v>4261.9002875904</v>
      </c>
      <c r="AE122" s="52" t="n">
        <f aca="false">IF(Y122="PERCENTAGE_OF_BASE_FREIGHT",AD122*Z122,IF(Y122="PER_CHARGEABLE_KG",R122*Z122,P122*Z122))</f>
        <v>490.118533072896</v>
      </c>
      <c r="AF122" s="52" t="n">
        <f aca="false">AD122*AC122</f>
        <v>38357.1025883136</v>
      </c>
      <c r="AG122" s="52" t="n">
        <f aca="false">AE122*AC122</f>
        <v>4411.06679765607</v>
      </c>
      <c r="AH122" s="52" t="s">
        <v>195</v>
      </c>
      <c r="AI122" s="52" t="n">
        <v>1.18</v>
      </c>
      <c r="AJ122" s="52" t="n">
        <f aca="false">IF(AH122="EUR",AA122,IF(AH122="GBP",AB122,1))</f>
        <v>7.8</v>
      </c>
      <c r="AK122" s="52" t="n">
        <f aca="false">N122*AI122</f>
        <v>762.82752</v>
      </c>
      <c r="AL122" s="52" t="n">
        <f aca="false">AK122*AJ122</f>
        <v>5950.054656</v>
      </c>
      <c r="AM122" s="52" t="s">
        <v>195</v>
      </c>
      <c r="AN122" s="52" t="n">
        <v>0.42</v>
      </c>
      <c r="AO122" s="52" t="n">
        <f aca="false">IF(AM122="EUR",AA122,IF(AM122="GBP",AB122,1))</f>
        <v>7.8</v>
      </c>
      <c r="AP122" s="52" t="n">
        <f aca="false">P122*AN122</f>
        <v>304.0966656</v>
      </c>
      <c r="AQ122" s="52" t="n">
        <f aca="false">AP122*AO122</f>
        <v>2371.95399168</v>
      </c>
      <c r="AR122" s="52" t="s">
        <v>199</v>
      </c>
      <c r="AS122" s="52" t="n">
        <v>4.8</v>
      </c>
      <c r="AT122" s="52" t="n">
        <f aca="false">IF(AR122="EUR",AA122,IF(AR122="GBP",AB122,1))</f>
        <v>9</v>
      </c>
      <c r="AU122" s="52" t="n">
        <f aca="false">T122*AS122</f>
        <v>248.242176</v>
      </c>
      <c r="AV122" s="52" t="n">
        <f aca="false">AU122*AT122</f>
        <v>2234.179584</v>
      </c>
      <c r="AW122" s="52" t="s">
        <v>199</v>
      </c>
      <c r="AX122" s="52" t="n">
        <v>2.8</v>
      </c>
      <c r="AY122" s="52" t="n">
        <f aca="false">IF(AW122="EUR",AA122,IF(AW122="GBP",AB122,1))</f>
        <v>9</v>
      </c>
      <c r="AZ122" s="52" t="n">
        <f aca="false">V122*AX122</f>
        <v>26.355044352</v>
      </c>
      <c r="BA122" s="52" t="n">
        <f aca="false">AZ122*AY122</f>
        <v>237.195399168</v>
      </c>
      <c r="BB122" s="52" t="n">
        <f aca="false">AF122+AG122+AL122+AQ122+AV122+BA122</f>
        <v>53561.5530168177</v>
      </c>
      <c r="BC122" s="54" t="n">
        <v>0.974</v>
      </c>
      <c r="BD122" s="32"/>
      <c r="BE122" s="32"/>
      <c r="BF122" s="32"/>
      <c r="BG122" s="32" t="s">
        <v>197</v>
      </c>
    </row>
    <row r="123" customFormat="false" ht="15" hidden="false" customHeight="false" outlineLevel="0" collapsed="false">
      <c r="A123" s="18" t="s">
        <v>193</v>
      </c>
      <c r="B123" s="18" t="s">
        <v>194</v>
      </c>
      <c r="C123" s="18"/>
      <c r="D123" s="49" t="n">
        <v>46357</v>
      </c>
      <c r="E123" s="18" t="s">
        <v>127</v>
      </c>
      <c r="F123" s="18" t="s">
        <v>119</v>
      </c>
      <c r="G123" s="18" t="s">
        <v>100</v>
      </c>
      <c r="H123" s="18" t="s">
        <v>128</v>
      </c>
      <c r="I123" s="18" t="s">
        <v>125</v>
      </c>
      <c r="J123" s="50" t="n">
        <v>26000</v>
      </c>
      <c r="K123" s="51" t="n">
        <v>0.37</v>
      </c>
      <c r="L123" s="51" t="n">
        <v>0.96</v>
      </c>
      <c r="M123" s="51" t="n">
        <v>0.03</v>
      </c>
      <c r="N123" s="52" t="n">
        <f aca="false">J123*K123*L123*M123</f>
        <v>277.056</v>
      </c>
      <c r="O123" s="50" t="n">
        <v>1.12</v>
      </c>
      <c r="P123" s="52" t="n">
        <f aca="false">N123*O123</f>
        <v>310.30272</v>
      </c>
      <c r="Q123" s="50" t="n">
        <v>0.9292</v>
      </c>
      <c r="R123" s="52" t="n">
        <f aca="false">P123*Q123</f>
        <v>288.333287424</v>
      </c>
      <c r="S123" s="50" t="n">
        <v>0.08</v>
      </c>
      <c r="T123" s="52" t="n">
        <f aca="false">N123*S123</f>
        <v>22.16448</v>
      </c>
      <c r="U123" s="52" t="n">
        <v>0.009</v>
      </c>
      <c r="V123" s="52" t="n">
        <f aca="false">P123*U123</f>
        <v>2.79272448</v>
      </c>
      <c r="W123" s="53" t="s">
        <v>199</v>
      </c>
      <c r="X123" s="50" t="n">
        <v>7.5</v>
      </c>
      <c r="Y123" s="53" t="s">
        <v>198</v>
      </c>
      <c r="Z123" s="50" t="n">
        <v>0.58</v>
      </c>
      <c r="AA123" s="50" t="n">
        <v>7.8</v>
      </c>
      <c r="AB123" s="50" t="n">
        <v>9</v>
      </c>
      <c r="AC123" s="52" t="n">
        <f aca="false">IF(W123="EUR",AA123,IF(W123="GBP",AB123,1))</f>
        <v>9</v>
      </c>
      <c r="AD123" s="52" t="n">
        <f aca="false">R123*X123</f>
        <v>2162.49965568</v>
      </c>
      <c r="AE123" s="52" t="n">
        <f aca="false">IF(Y123="PERCENTAGE_OF_BASE_FREIGHT",AD123*Z123,IF(Y123="PER_CHARGEABLE_KG",R123*Z123,P123*Z123))</f>
        <v>167.23330670592</v>
      </c>
      <c r="AF123" s="52" t="n">
        <f aca="false">AD123*AC123</f>
        <v>19462.49690112</v>
      </c>
      <c r="AG123" s="52" t="n">
        <f aca="false">AE123*AC123</f>
        <v>1505.09976035328</v>
      </c>
      <c r="AH123" s="52" t="s">
        <v>195</v>
      </c>
      <c r="AI123" s="52" t="n">
        <v>1.18</v>
      </c>
      <c r="AJ123" s="52" t="n">
        <f aca="false">IF(AH123="EUR",AA123,IF(AH123="GBP",AB123,1))</f>
        <v>7.8</v>
      </c>
      <c r="AK123" s="52" t="n">
        <f aca="false">N123*AI123</f>
        <v>326.92608</v>
      </c>
      <c r="AL123" s="52" t="n">
        <f aca="false">AK123*AJ123</f>
        <v>2550.023424</v>
      </c>
      <c r="AM123" s="52" t="s">
        <v>195</v>
      </c>
      <c r="AN123" s="52" t="n">
        <v>0.42</v>
      </c>
      <c r="AO123" s="52" t="n">
        <f aca="false">IF(AM123="EUR",AA123,IF(AM123="GBP",AB123,1))</f>
        <v>7.8</v>
      </c>
      <c r="AP123" s="52" t="n">
        <f aca="false">P123*AN123</f>
        <v>130.3271424</v>
      </c>
      <c r="AQ123" s="52" t="n">
        <f aca="false">AP123*AO123</f>
        <v>1016.55171072</v>
      </c>
      <c r="AR123" s="52" t="s">
        <v>199</v>
      </c>
      <c r="AS123" s="52" t="n">
        <v>4.8</v>
      </c>
      <c r="AT123" s="52" t="n">
        <f aca="false">IF(AR123="EUR",AA123,IF(AR123="GBP",AB123,1))</f>
        <v>9</v>
      </c>
      <c r="AU123" s="52" t="n">
        <f aca="false">T123*AS123</f>
        <v>106.389504</v>
      </c>
      <c r="AV123" s="52" t="n">
        <f aca="false">AU123*AT123</f>
        <v>957.505536</v>
      </c>
      <c r="AW123" s="52" t="s">
        <v>199</v>
      </c>
      <c r="AX123" s="52" t="n">
        <v>3.6</v>
      </c>
      <c r="AY123" s="52" t="n">
        <f aca="false">IF(AW123="EUR",AA123,IF(AW123="GBP",AB123,1))</f>
        <v>9</v>
      </c>
      <c r="AZ123" s="52" t="n">
        <f aca="false">V123*AX123</f>
        <v>10.053808128</v>
      </c>
      <c r="BA123" s="52" t="n">
        <f aca="false">AZ123*AY123</f>
        <v>90.484273152</v>
      </c>
      <c r="BB123" s="52" t="n">
        <f aca="false">AF123+AG123+AL123+AQ123+AV123+BA123</f>
        <v>25582.1616053453</v>
      </c>
      <c r="BC123" s="54" t="n">
        <v>0.988</v>
      </c>
      <c r="BD123" s="32"/>
      <c r="BE123" s="32"/>
      <c r="BF123" s="32"/>
      <c r="BG123" s="32" t="s">
        <v>197</v>
      </c>
    </row>
    <row r="124" customFormat="false" ht="15" hidden="false" customHeight="false" outlineLevel="0" collapsed="false">
      <c r="A124" s="18" t="s">
        <v>193</v>
      </c>
      <c r="B124" s="18" t="s">
        <v>194</v>
      </c>
      <c r="C124" s="18"/>
      <c r="D124" s="49" t="n">
        <v>46357</v>
      </c>
      <c r="E124" s="18" t="s">
        <v>130</v>
      </c>
      <c r="F124" s="18" t="s">
        <v>119</v>
      </c>
      <c r="G124" s="18" t="s">
        <v>110</v>
      </c>
      <c r="H124" s="18" t="s">
        <v>107</v>
      </c>
      <c r="I124" s="18" t="s">
        <v>125</v>
      </c>
      <c r="J124" s="50" t="n">
        <v>26000</v>
      </c>
      <c r="K124" s="51" t="n">
        <v>0.37</v>
      </c>
      <c r="L124" s="51" t="n">
        <v>0.04</v>
      </c>
      <c r="M124" s="51" t="n">
        <v>1</v>
      </c>
      <c r="N124" s="52" t="n">
        <f aca="false">J124*K124*L124*M124</f>
        <v>384.8</v>
      </c>
      <c r="O124" s="50" t="n">
        <v>1.15</v>
      </c>
      <c r="P124" s="52" t="n">
        <f aca="false">N124*O124</f>
        <v>442.52</v>
      </c>
      <c r="Q124" s="50" t="n">
        <v>0.909</v>
      </c>
      <c r="R124" s="52" t="n">
        <f aca="false">P124*Q124</f>
        <v>402.25068</v>
      </c>
      <c r="S124" s="50" t="n">
        <v>0.08</v>
      </c>
      <c r="T124" s="52" t="n">
        <f aca="false">N124*S124</f>
        <v>30.784</v>
      </c>
      <c r="U124" s="52" t="n">
        <v>0.012</v>
      </c>
      <c r="V124" s="52" t="n">
        <f aca="false">P124*U124</f>
        <v>5.31024</v>
      </c>
      <c r="W124" s="53" t="s">
        <v>195</v>
      </c>
      <c r="X124" s="50" t="n">
        <v>6.7</v>
      </c>
      <c r="Y124" s="53" t="s">
        <v>196</v>
      </c>
      <c r="Z124" s="50" t="n">
        <v>0.105</v>
      </c>
      <c r="AA124" s="50" t="n">
        <v>7.8</v>
      </c>
      <c r="AB124" s="50" t="n">
        <v>9</v>
      </c>
      <c r="AC124" s="52" t="n">
        <f aca="false">IF(W124="EUR",AA124,IF(W124="GBP",AB124,1))</f>
        <v>7.8</v>
      </c>
      <c r="AD124" s="52" t="n">
        <f aca="false">R124*X124</f>
        <v>2695.079556</v>
      </c>
      <c r="AE124" s="52" t="n">
        <f aca="false">IF(Y124="PERCENTAGE_OF_BASE_FREIGHT",AD124*Z124,IF(Y124="PER_CHARGEABLE_KG",R124*Z124,P124*Z124))</f>
        <v>282.98335338</v>
      </c>
      <c r="AF124" s="52" t="n">
        <f aca="false">AD124*AC124</f>
        <v>21021.6205368</v>
      </c>
      <c r="AG124" s="52" t="n">
        <f aca="false">AE124*AC124</f>
        <v>2207.270156364</v>
      </c>
      <c r="AH124" s="52" t="s">
        <v>195</v>
      </c>
      <c r="AI124" s="52" t="n">
        <v>1.05</v>
      </c>
      <c r="AJ124" s="52" t="n">
        <f aca="false">IF(AH124="EUR",AA124,IF(AH124="GBP",AB124,1))</f>
        <v>7.8</v>
      </c>
      <c r="AK124" s="52" t="n">
        <f aca="false">N124*AI124</f>
        <v>404.04</v>
      </c>
      <c r="AL124" s="52" t="n">
        <f aca="false">AK124*AJ124</f>
        <v>3151.512</v>
      </c>
      <c r="AM124" s="52" t="s">
        <v>195</v>
      </c>
      <c r="AN124" s="52" t="n">
        <v>0.38</v>
      </c>
      <c r="AO124" s="52" t="n">
        <f aca="false">IF(AM124="EUR",AA124,IF(AM124="GBP",AB124,1))</f>
        <v>7.8</v>
      </c>
      <c r="AP124" s="52" t="n">
        <f aca="false">P124*AN124</f>
        <v>168.1576</v>
      </c>
      <c r="AQ124" s="52" t="n">
        <f aca="false">AP124*AO124</f>
        <v>1311.62928</v>
      </c>
      <c r="AR124" s="52" t="s">
        <v>195</v>
      </c>
      <c r="AS124" s="52" t="n">
        <v>5.2</v>
      </c>
      <c r="AT124" s="52" t="n">
        <f aca="false">IF(AR124="EUR",AA124,IF(AR124="GBP",AB124,1))</f>
        <v>7.8</v>
      </c>
      <c r="AU124" s="52" t="n">
        <f aca="false">T124*AS124</f>
        <v>160.0768</v>
      </c>
      <c r="AV124" s="52" t="n">
        <f aca="false">AU124*AT124</f>
        <v>1248.59904</v>
      </c>
      <c r="AW124" s="52" t="s">
        <v>195</v>
      </c>
      <c r="AX124" s="52" t="n">
        <v>2.8</v>
      </c>
      <c r="AY124" s="52" t="n">
        <f aca="false">IF(AW124="EUR",AA124,IF(AW124="GBP",AB124,1))</f>
        <v>7.8</v>
      </c>
      <c r="AZ124" s="52" t="n">
        <f aca="false">V124*AX124</f>
        <v>14.868672</v>
      </c>
      <c r="BA124" s="52" t="n">
        <f aca="false">AZ124*AY124</f>
        <v>115.9756416</v>
      </c>
      <c r="BB124" s="52" t="n">
        <f aca="false">AF124+AG124+AL124+AQ124+AV124+BA124</f>
        <v>29056.606654764</v>
      </c>
      <c r="BC124" s="54" t="n">
        <v>0.971</v>
      </c>
      <c r="BD124" s="32"/>
      <c r="BE124" s="32"/>
      <c r="BF124" s="32"/>
      <c r="BG124" s="32" t="s">
        <v>197</v>
      </c>
    </row>
    <row r="125" customFormat="false" ht="15" hidden="false" customHeight="false" outlineLevel="0" collapsed="false">
      <c r="A125" s="18" t="s">
        <v>200</v>
      </c>
      <c r="B125" s="18" t="s">
        <v>201</v>
      </c>
      <c r="C125" s="18"/>
      <c r="D125" s="49" t="n">
        <v>46023</v>
      </c>
      <c r="E125" s="18" t="s">
        <v>98</v>
      </c>
      <c r="F125" s="18" t="s">
        <v>99</v>
      </c>
      <c r="G125" s="18" t="s">
        <v>100</v>
      </c>
      <c r="H125" s="18" t="s">
        <v>101</v>
      </c>
      <c r="I125" s="18" t="s">
        <v>102</v>
      </c>
      <c r="J125" s="50" t="n">
        <v>13850</v>
      </c>
      <c r="K125" s="51" t="n">
        <v>0.421</v>
      </c>
      <c r="L125" s="51" t="n">
        <v>0.97</v>
      </c>
      <c r="M125" s="51" t="n">
        <v>0.6</v>
      </c>
      <c r="N125" s="52" t="n">
        <f aca="false">J125*K125*L125*M125</f>
        <v>3393.5547</v>
      </c>
      <c r="O125" s="50" t="n">
        <v>1.05</v>
      </c>
      <c r="P125" s="52" t="n">
        <f aca="false">N125*O125</f>
        <v>3563.232435</v>
      </c>
      <c r="Q125" s="50" t="n">
        <v>0.7839</v>
      </c>
      <c r="R125" s="52" t="n">
        <f aca="false">P125*Q125</f>
        <v>2793.2179057965</v>
      </c>
      <c r="S125" s="50" t="n">
        <v>0.05</v>
      </c>
      <c r="T125" s="52" t="n">
        <f aca="false">N125*S125</f>
        <v>169.677735</v>
      </c>
      <c r="U125" s="52" t="n">
        <v>0.01632</v>
      </c>
      <c r="V125" s="52" t="n">
        <f aca="false">P125*U125</f>
        <v>58.1519533392</v>
      </c>
      <c r="W125" s="53" t="s">
        <v>195</v>
      </c>
      <c r="X125" s="50" t="n">
        <v>2.2044</v>
      </c>
      <c r="Y125" s="53" t="s">
        <v>196</v>
      </c>
      <c r="Z125" s="50" t="n">
        <v>0.09519</v>
      </c>
      <c r="AA125" s="50" t="n">
        <v>7.78</v>
      </c>
      <c r="AB125" s="50" t="n">
        <v>9.05</v>
      </c>
      <c r="AC125" s="52" t="n">
        <f aca="false">IF(W125="EUR",AA125,IF(W125="GBP",AB125,1))</f>
        <v>7.78</v>
      </c>
      <c r="AD125" s="52" t="n">
        <f aca="false">R125*X125</f>
        <v>6157.3695515378</v>
      </c>
      <c r="AE125" s="52" t="n">
        <f aca="false">IF(Y125="PERCENTAGE_OF_BASE_FREIGHT",AD125*Z125,IF(Y125="PER_CHARGEABLE_KG",R125*Z125,P125*Z125))</f>
        <v>586.120007610884</v>
      </c>
      <c r="AF125" s="52" t="n">
        <f aca="false">AD125*AC125</f>
        <v>47904.3351109641</v>
      </c>
      <c r="AG125" s="52" t="n">
        <f aca="false">AE125*AC125</f>
        <v>4560.01365921268</v>
      </c>
      <c r="AH125" s="52" t="s">
        <v>195</v>
      </c>
      <c r="AI125" s="52" t="n">
        <v>1.18236</v>
      </c>
      <c r="AJ125" s="52" t="n">
        <f aca="false">IF(AH125="EUR",AA125,IF(AH125="GBP",AB125,1))</f>
        <v>7.78</v>
      </c>
      <c r="AK125" s="52" t="n">
        <f aca="false">N125*AI125</f>
        <v>4012.403335092</v>
      </c>
      <c r="AL125" s="52" t="n">
        <f aca="false">AK125*AJ125</f>
        <v>31216.4979470158</v>
      </c>
      <c r="AM125" s="52" t="s">
        <v>195</v>
      </c>
      <c r="AN125" s="52" t="n">
        <v>0.42084</v>
      </c>
      <c r="AO125" s="52" t="n">
        <f aca="false">IF(AM125="EUR",AA125,IF(AM125="GBP",AB125,1))</f>
        <v>7.78</v>
      </c>
      <c r="AP125" s="52" t="n">
        <f aca="false">P125*AN125</f>
        <v>1499.5507379454</v>
      </c>
      <c r="AQ125" s="52" t="n">
        <f aca="false">AP125*AO125</f>
        <v>11666.5047412152</v>
      </c>
      <c r="AR125" s="52" t="s">
        <v>195</v>
      </c>
      <c r="AS125" s="52" t="n">
        <v>3.2064</v>
      </c>
      <c r="AT125" s="52" t="n">
        <f aca="false">IF(AR125="EUR",AA125,IF(AR125="GBP",AB125,1))</f>
        <v>7.78</v>
      </c>
      <c r="AU125" s="52" t="n">
        <f aca="false">T125*AS125</f>
        <v>544.054689504</v>
      </c>
      <c r="AV125" s="52" t="n">
        <f aca="false">AU125*AT125</f>
        <v>4232.74548434112</v>
      </c>
      <c r="AW125" s="52" t="s">
        <v>195</v>
      </c>
      <c r="AX125" s="52" t="n">
        <v>2.3046</v>
      </c>
      <c r="AY125" s="52" t="n">
        <f aca="false">IF(AW125="EUR",AA125,IF(AW125="GBP",AB125,1))</f>
        <v>7.78</v>
      </c>
      <c r="AZ125" s="52" t="n">
        <f aca="false">V125*AX125</f>
        <v>134.01699166552</v>
      </c>
      <c r="BA125" s="52" t="n">
        <f aca="false">AZ125*AY125</f>
        <v>1042.65219515775</v>
      </c>
      <c r="BB125" s="52" t="n">
        <f aca="false">AF125+AG125+AL125+AQ125+AV125+BA125</f>
        <v>100622.749137907</v>
      </c>
      <c r="BC125" s="54" t="n">
        <v>0.966</v>
      </c>
      <c r="BD125" s="32"/>
      <c r="BE125" s="32"/>
      <c r="BF125" s="32"/>
      <c r="BG125" s="32" t="s">
        <v>197</v>
      </c>
    </row>
    <row r="126" customFormat="false" ht="15" hidden="false" customHeight="false" outlineLevel="0" collapsed="false">
      <c r="A126" s="18" t="s">
        <v>200</v>
      </c>
      <c r="B126" s="18" t="s">
        <v>201</v>
      </c>
      <c r="C126" s="18"/>
      <c r="D126" s="49" t="n">
        <v>46023</v>
      </c>
      <c r="E126" s="18" t="s">
        <v>106</v>
      </c>
      <c r="F126" s="18" t="s">
        <v>99</v>
      </c>
      <c r="G126" s="18" t="s">
        <v>100</v>
      </c>
      <c r="H126" s="18" t="s">
        <v>107</v>
      </c>
      <c r="I126" s="18" t="s">
        <v>102</v>
      </c>
      <c r="J126" s="50" t="n">
        <v>13850</v>
      </c>
      <c r="K126" s="51" t="n">
        <v>0.421</v>
      </c>
      <c r="L126" s="51" t="n">
        <v>0.97</v>
      </c>
      <c r="M126" s="51" t="n">
        <v>0.4</v>
      </c>
      <c r="N126" s="52" t="n">
        <f aca="false">J126*K126*L126*M126</f>
        <v>2262.3698</v>
      </c>
      <c r="O126" s="50" t="n">
        <v>1.05</v>
      </c>
      <c r="P126" s="52" t="n">
        <f aca="false">N126*O126</f>
        <v>2375.48829</v>
      </c>
      <c r="Q126" s="50" t="n">
        <v>0.804</v>
      </c>
      <c r="R126" s="52" t="n">
        <f aca="false">P126*Q126</f>
        <v>1909.89258516</v>
      </c>
      <c r="S126" s="50" t="n">
        <v>0.05</v>
      </c>
      <c r="T126" s="52" t="n">
        <f aca="false">N126*S126</f>
        <v>113.11849</v>
      </c>
      <c r="U126" s="52" t="n">
        <v>0.01326</v>
      </c>
      <c r="V126" s="52" t="n">
        <f aca="false">P126*U126</f>
        <v>31.4989747254</v>
      </c>
      <c r="W126" s="53" t="s">
        <v>195</v>
      </c>
      <c r="X126" s="50" t="n">
        <v>2.7555</v>
      </c>
      <c r="Y126" s="53" t="s">
        <v>198</v>
      </c>
      <c r="Z126" s="50" t="n">
        <v>0.21042</v>
      </c>
      <c r="AA126" s="50" t="n">
        <v>7.78</v>
      </c>
      <c r="AB126" s="50" t="n">
        <v>9.05</v>
      </c>
      <c r="AC126" s="52" t="n">
        <f aca="false">IF(W126="EUR",AA126,IF(W126="GBP",AB126,1))</f>
        <v>7.78</v>
      </c>
      <c r="AD126" s="52" t="n">
        <f aca="false">R126*X126</f>
        <v>5262.70901840838</v>
      </c>
      <c r="AE126" s="52" t="n">
        <f aca="false">IF(Y126="PERCENTAGE_OF_BASE_FREIGHT",AD126*Z126,IF(Y126="PER_CHARGEABLE_KG",R126*Z126,P126*Z126))</f>
        <v>401.879597769367</v>
      </c>
      <c r="AF126" s="52" t="n">
        <f aca="false">AD126*AC126</f>
        <v>40943.8761632172</v>
      </c>
      <c r="AG126" s="52" t="n">
        <f aca="false">AE126*AC126</f>
        <v>3126.62327064568</v>
      </c>
      <c r="AH126" s="52" t="s">
        <v>195</v>
      </c>
      <c r="AI126" s="52" t="n">
        <v>1.18236</v>
      </c>
      <c r="AJ126" s="52" t="n">
        <f aca="false">IF(AH126="EUR",AA126,IF(AH126="GBP",AB126,1))</f>
        <v>7.78</v>
      </c>
      <c r="AK126" s="52" t="n">
        <f aca="false">N126*AI126</f>
        <v>2674.935556728</v>
      </c>
      <c r="AL126" s="52" t="n">
        <f aca="false">AK126*AJ126</f>
        <v>20810.9986313438</v>
      </c>
      <c r="AM126" s="52" t="s">
        <v>195</v>
      </c>
      <c r="AN126" s="52" t="n">
        <v>0.42084</v>
      </c>
      <c r="AO126" s="52" t="n">
        <f aca="false">IF(AM126="EUR",AA126,IF(AM126="GBP",AB126,1))</f>
        <v>7.78</v>
      </c>
      <c r="AP126" s="52" t="n">
        <f aca="false">P126*AN126</f>
        <v>999.7004919636</v>
      </c>
      <c r="AQ126" s="52" t="n">
        <f aca="false">AP126*AO126</f>
        <v>7777.66982747681</v>
      </c>
      <c r="AR126" s="52" t="s">
        <v>195</v>
      </c>
      <c r="AS126" s="52" t="n">
        <v>3.2064</v>
      </c>
      <c r="AT126" s="52" t="n">
        <f aca="false">IF(AR126="EUR",AA126,IF(AR126="GBP",AB126,1))</f>
        <v>7.78</v>
      </c>
      <c r="AU126" s="52" t="n">
        <f aca="false">T126*AS126</f>
        <v>362.703126336</v>
      </c>
      <c r="AV126" s="52" t="n">
        <f aca="false">AU126*AT126</f>
        <v>2821.83032289408</v>
      </c>
      <c r="AW126" s="52" t="s">
        <v>195</v>
      </c>
      <c r="AX126" s="52" t="n">
        <v>2.3046</v>
      </c>
      <c r="AY126" s="52" t="n">
        <f aca="false">IF(AW126="EUR",AA126,IF(AW126="GBP",AB126,1))</f>
        <v>7.78</v>
      </c>
      <c r="AZ126" s="52" t="n">
        <f aca="false">V126*AX126</f>
        <v>72.5925371521569</v>
      </c>
      <c r="BA126" s="52" t="n">
        <f aca="false">AZ126*AY126</f>
        <v>564.76993904378</v>
      </c>
      <c r="BB126" s="52" t="n">
        <f aca="false">AF126+AG126+AL126+AQ126+AV126+BA126</f>
        <v>76045.7681546214</v>
      </c>
      <c r="BC126" s="54" t="n">
        <v>0.977</v>
      </c>
      <c r="BD126" s="32"/>
      <c r="BE126" s="32"/>
      <c r="BF126" s="32"/>
      <c r="BG126" s="32" t="s">
        <v>197</v>
      </c>
    </row>
    <row r="127" customFormat="false" ht="15" hidden="false" customHeight="false" outlineLevel="0" collapsed="false">
      <c r="A127" s="18" t="s">
        <v>200</v>
      </c>
      <c r="B127" s="18" t="s">
        <v>201</v>
      </c>
      <c r="C127" s="18"/>
      <c r="D127" s="49" t="n">
        <v>46023</v>
      </c>
      <c r="E127" s="18" t="s">
        <v>109</v>
      </c>
      <c r="F127" s="18" t="s">
        <v>99</v>
      </c>
      <c r="G127" s="18" t="s">
        <v>110</v>
      </c>
      <c r="H127" s="18" t="s">
        <v>107</v>
      </c>
      <c r="I127" s="18" t="s">
        <v>102</v>
      </c>
      <c r="J127" s="50" t="n">
        <v>13850</v>
      </c>
      <c r="K127" s="51" t="n">
        <v>0.421</v>
      </c>
      <c r="L127" s="51" t="n">
        <v>0.03</v>
      </c>
      <c r="M127" s="51" t="n">
        <v>1</v>
      </c>
      <c r="N127" s="52" t="n">
        <f aca="false">J127*K127*L127*M127</f>
        <v>174.9255</v>
      </c>
      <c r="O127" s="50" t="n">
        <v>1.08</v>
      </c>
      <c r="P127" s="52" t="n">
        <f aca="false">N127*O127</f>
        <v>188.91954</v>
      </c>
      <c r="Q127" s="50" t="n">
        <v>0.8643</v>
      </c>
      <c r="R127" s="52" t="n">
        <f aca="false">P127*Q127</f>
        <v>163.283158422</v>
      </c>
      <c r="S127" s="50" t="n">
        <v>0.05</v>
      </c>
      <c r="T127" s="52" t="n">
        <f aca="false">N127*S127</f>
        <v>8.746275</v>
      </c>
      <c r="U127" s="52" t="n">
        <v>0.01428</v>
      </c>
      <c r="V127" s="52" t="n">
        <f aca="false">P127*U127</f>
        <v>2.6977710312</v>
      </c>
      <c r="W127" s="53" t="s">
        <v>195</v>
      </c>
      <c r="X127" s="50" t="n">
        <v>3.3066</v>
      </c>
      <c r="Y127" s="53" t="s">
        <v>198</v>
      </c>
      <c r="Z127" s="50" t="n">
        <v>0.24048</v>
      </c>
      <c r="AA127" s="50" t="n">
        <v>7.78</v>
      </c>
      <c r="AB127" s="50" t="n">
        <v>9.05</v>
      </c>
      <c r="AC127" s="52" t="n">
        <f aca="false">IF(W127="EUR",AA127,IF(W127="GBP",AB127,1))</f>
        <v>7.78</v>
      </c>
      <c r="AD127" s="52" t="n">
        <f aca="false">R127*X127</f>
        <v>539.912091638185</v>
      </c>
      <c r="AE127" s="52" t="n">
        <f aca="false">IF(Y127="PERCENTAGE_OF_BASE_FREIGHT",AD127*Z127,IF(Y127="PER_CHARGEABLE_KG",R127*Z127,P127*Z127))</f>
        <v>39.2663339373226</v>
      </c>
      <c r="AF127" s="52" t="n">
        <f aca="false">AD127*AC127</f>
        <v>4200.51607294508</v>
      </c>
      <c r="AG127" s="52" t="n">
        <f aca="false">AE127*AC127</f>
        <v>305.49207803237</v>
      </c>
      <c r="AH127" s="52" t="s">
        <v>195</v>
      </c>
      <c r="AI127" s="52" t="n">
        <v>1.0521</v>
      </c>
      <c r="AJ127" s="52" t="n">
        <f aca="false">IF(AH127="EUR",AA127,IF(AH127="GBP",AB127,1))</f>
        <v>7.78</v>
      </c>
      <c r="AK127" s="52" t="n">
        <f aca="false">N127*AI127</f>
        <v>184.03911855</v>
      </c>
      <c r="AL127" s="52" t="n">
        <f aca="false">AK127*AJ127</f>
        <v>1431.824342319</v>
      </c>
      <c r="AM127" s="52" t="s">
        <v>195</v>
      </c>
      <c r="AN127" s="52" t="n">
        <v>0.38076</v>
      </c>
      <c r="AO127" s="52" t="n">
        <f aca="false">IF(AM127="EUR",AA127,IF(AM127="GBP",AB127,1))</f>
        <v>7.78</v>
      </c>
      <c r="AP127" s="52" t="n">
        <f aca="false">P127*AN127</f>
        <v>71.9330040504</v>
      </c>
      <c r="AQ127" s="52" t="n">
        <f aca="false">AP127*AO127</f>
        <v>559.638771512112</v>
      </c>
      <c r="AR127" s="52" t="s">
        <v>195</v>
      </c>
      <c r="AS127" s="52" t="n">
        <v>3.8076</v>
      </c>
      <c r="AT127" s="52" t="n">
        <f aca="false">IF(AR127="EUR",AA127,IF(AR127="GBP",AB127,1))</f>
        <v>7.78</v>
      </c>
      <c r="AU127" s="52" t="n">
        <f aca="false">T127*AS127</f>
        <v>33.30231669</v>
      </c>
      <c r="AV127" s="52" t="n">
        <f aca="false">AU127*AT127</f>
        <v>259.0920238482</v>
      </c>
      <c r="AW127" s="52" t="s">
        <v>195</v>
      </c>
      <c r="AX127" s="52" t="n">
        <v>2.3046</v>
      </c>
      <c r="AY127" s="52" t="n">
        <f aca="false">IF(AW127="EUR",AA127,IF(AW127="GBP",AB127,1))</f>
        <v>7.78</v>
      </c>
      <c r="AZ127" s="52" t="n">
        <f aca="false">V127*AX127</f>
        <v>6.21728311850352</v>
      </c>
      <c r="BA127" s="52" t="n">
        <f aca="false">AZ127*AY127</f>
        <v>48.3704626619574</v>
      </c>
      <c r="BB127" s="52" t="n">
        <f aca="false">AF127+AG127+AL127+AQ127+AV127+BA127</f>
        <v>6804.93375131872</v>
      </c>
      <c r="BC127" s="54" t="n">
        <v>0.969</v>
      </c>
      <c r="BD127" s="32"/>
      <c r="BE127" s="32"/>
      <c r="BF127" s="32"/>
      <c r="BG127" s="32" t="s">
        <v>197</v>
      </c>
    </row>
    <row r="128" customFormat="false" ht="15" hidden="false" customHeight="false" outlineLevel="0" collapsed="false">
      <c r="A128" s="18" t="s">
        <v>200</v>
      </c>
      <c r="B128" s="18" t="s">
        <v>201</v>
      </c>
      <c r="C128" s="18"/>
      <c r="D128" s="49" t="n">
        <v>46023</v>
      </c>
      <c r="E128" s="18" t="s">
        <v>112</v>
      </c>
      <c r="F128" s="18" t="s">
        <v>113</v>
      </c>
      <c r="G128" s="18" t="s">
        <v>110</v>
      </c>
      <c r="H128" s="18" t="s">
        <v>101</v>
      </c>
      <c r="I128" s="18" t="s">
        <v>102</v>
      </c>
      <c r="J128" s="50" t="n">
        <v>13850</v>
      </c>
      <c r="K128" s="51" t="n">
        <v>0.319</v>
      </c>
      <c r="L128" s="51" t="n">
        <v>1</v>
      </c>
      <c r="M128" s="51" t="n">
        <v>0.35</v>
      </c>
      <c r="N128" s="52" t="n">
        <f aca="false">J128*K128*L128*M128</f>
        <v>1546.3525</v>
      </c>
      <c r="O128" s="50" t="n">
        <v>1.06</v>
      </c>
      <c r="P128" s="52" t="n">
        <f aca="false">N128*O128</f>
        <v>1639.13365</v>
      </c>
      <c r="Q128" s="50" t="n">
        <v>0.7638</v>
      </c>
      <c r="R128" s="52" t="n">
        <f aca="false">P128*Q128</f>
        <v>1251.97028187</v>
      </c>
      <c r="S128" s="50" t="n">
        <v>0.06</v>
      </c>
      <c r="T128" s="52" t="n">
        <f aca="false">N128*S128</f>
        <v>92.78115</v>
      </c>
      <c r="U128" s="52" t="n">
        <v>0.01734</v>
      </c>
      <c r="V128" s="52" t="n">
        <f aca="false">P128*U128</f>
        <v>28.422577491</v>
      </c>
      <c r="W128" s="53" t="s">
        <v>195</v>
      </c>
      <c r="X128" s="50" t="n">
        <v>2.1042</v>
      </c>
      <c r="Y128" s="53" t="s">
        <v>196</v>
      </c>
      <c r="Z128" s="50" t="n">
        <v>0.09018</v>
      </c>
      <c r="AA128" s="50" t="n">
        <v>7.78</v>
      </c>
      <c r="AB128" s="50" t="n">
        <v>9.05</v>
      </c>
      <c r="AC128" s="52" t="n">
        <f aca="false">IF(W128="EUR",AA128,IF(W128="GBP",AB128,1))</f>
        <v>7.78</v>
      </c>
      <c r="AD128" s="52" t="n">
        <f aca="false">R128*X128</f>
        <v>2634.39586711085</v>
      </c>
      <c r="AE128" s="52" t="n">
        <f aca="false">IF(Y128="PERCENTAGE_OF_BASE_FREIGHT",AD128*Z128,IF(Y128="PER_CHARGEABLE_KG",R128*Z128,P128*Z128))</f>
        <v>237.569819296057</v>
      </c>
      <c r="AF128" s="52" t="n">
        <f aca="false">AD128*AC128</f>
        <v>20495.5998461224</v>
      </c>
      <c r="AG128" s="52" t="n">
        <f aca="false">AE128*AC128</f>
        <v>1848.29319412332</v>
      </c>
      <c r="AH128" s="52" t="s">
        <v>195</v>
      </c>
      <c r="AI128" s="52" t="n">
        <v>1.0521</v>
      </c>
      <c r="AJ128" s="52" t="n">
        <f aca="false">IF(AH128="EUR",AA128,IF(AH128="GBP",AB128,1))</f>
        <v>7.78</v>
      </c>
      <c r="AK128" s="52" t="n">
        <f aca="false">N128*AI128</f>
        <v>1626.91746525</v>
      </c>
      <c r="AL128" s="52" t="n">
        <f aca="false">AK128*AJ128</f>
        <v>12657.417879645</v>
      </c>
      <c r="AM128" s="52" t="s">
        <v>195</v>
      </c>
      <c r="AN128" s="52" t="n">
        <v>0.38076</v>
      </c>
      <c r="AO128" s="52" t="n">
        <f aca="false">IF(AM128="EUR",AA128,IF(AM128="GBP",AB128,1))</f>
        <v>7.78</v>
      </c>
      <c r="AP128" s="52" t="n">
        <f aca="false">P128*AN128</f>
        <v>624.116528574</v>
      </c>
      <c r="AQ128" s="52" t="n">
        <f aca="false">AP128*AO128</f>
        <v>4855.62659230572</v>
      </c>
      <c r="AR128" s="52" t="s">
        <v>195</v>
      </c>
      <c r="AS128" s="52" t="n">
        <v>3.006</v>
      </c>
      <c r="AT128" s="52" t="n">
        <f aca="false">IF(AR128="EUR",AA128,IF(AR128="GBP",AB128,1))</f>
        <v>7.78</v>
      </c>
      <c r="AU128" s="52" t="n">
        <f aca="false">T128*AS128</f>
        <v>278.9001369</v>
      </c>
      <c r="AV128" s="52" t="n">
        <f aca="false">AU128*AT128</f>
        <v>2169.843065082</v>
      </c>
      <c r="AW128" s="52" t="s">
        <v>195</v>
      </c>
      <c r="AX128" s="52" t="n">
        <v>2.3046</v>
      </c>
      <c r="AY128" s="52" t="n">
        <f aca="false">IF(AW128="EUR",AA128,IF(AW128="GBP",AB128,1))</f>
        <v>7.78</v>
      </c>
      <c r="AZ128" s="52" t="n">
        <f aca="false">V128*AX128</f>
        <v>65.5026720857586</v>
      </c>
      <c r="BA128" s="52" t="n">
        <f aca="false">AZ128*AY128</f>
        <v>509.610788827202</v>
      </c>
      <c r="BB128" s="52" t="n">
        <f aca="false">AF128+AG128+AL128+AQ128+AV128+BA128</f>
        <v>42536.3913661057</v>
      </c>
      <c r="BC128" s="54" t="n">
        <v>0.962</v>
      </c>
      <c r="BD128" s="32"/>
      <c r="BE128" s="32"/>
      <c r="BF128" s="32"/>
      <c r="BG128" s="32" t="s">
        <v>197</v>
      </c>
    </row>
    <row r="129" customFormat="false" ht="15" hidden="false" customHeight="false" outlineLevel="0" collapsed="false">
      <c r="A129" s="18" t="s">
        <v>200</v>
      </c>
      <c r="B129" s="18" t="s">
        <v>201</v>
      </c>
      <c r="C129" s="18"/>
      <c r="D129" s="49" t="n">
        <v>46023</v>
      </c>
      <c r="E129" s="18" t="s">
        <v>116</v>
      </c>
      <c r="F129" s="18" t="s">
        <v>113</v>
      </c>
      <c r="G129" s="18" t="s">
        <v>110</v>
      </c>
      <c r="H129" s="18" t="s">
        <v>107</v>
      </c>
      <c r="I129" s="18" t="s">
        <v>102</v>
      </c>
      <c r="J129" s="50" t="n">
        <v>13850</v>
      </c>
      <c r="K129" s="51" t="n">
        <v>0.319</v>
      </c>
      <c r="L129" s="51" t="n">
        <v>1</v>
      </c>
      <c r="M129" s="51" t="n">
        <v>0.65</v>
      </c>
      <c r="N129" s="52" t="n">
        <f aca="false">J129*K129*L129*M129</f>
        <v>2871.7975</v>
      </c>
      <c r="O129" s="50" t="n">
        <v>1.06</v>
      </c>
      <c r="P129" s="52" t="n">
        <f aca="false">N129*O129</f>
        <v>3044.10535</v>
      </c>
      <c r="Q129" s="50" t="n">
        <v>0.79395</v>
      </c>
      <c r="R129" s="52" t="n">
        <f aca="false">P129*Q129</f>
        <v>2416.8674426325</v>
      </c>
      <c r="S129" s="50" t="n">
        <v>0.06</v>
      </c>
      <c r="T129" s="52" t="n">
        <f aca="false">N129*S129</f>
        <v>172.30785</v>
      </c>
      <c r="U129" s="52" t="n">
        <v>0.01428</v>
      </c>
      <c r="V129" s="52" t="n">
        <f aca="false">P129*U129</f>
        <v>43.469824398</v>
      </c>
      <c r="W129" s="53" t="s">
        <v>195</v>
      </c>
      <c r="X129" s="50" t="n">
        <v>2.6052</v>
      </c>
      <c r="Y129" s="53" t="s">
        <v>198</v>
      </c>
      <c r="Z129" s="50" t="n">
        <v>0.2004</v>
      </c>
      <c r="AA129" s="50" t="n">
        <v>7.78</v>
      </c>
      <c r="AB129" s="50" t="n">
        <v>9.05</v>
      </c>
      <c r="AC129" s="52" t="n">
        <f aca="false">IF(W129="EUR",AA129,IF(W129="GBP",AB129,1))</f>
        <v>7.78</v>
      </c>
      <c r="AD129" s="52" t="n">
        <f aca="false">R129*X129</f>
        <v>6296.42306154619</v>
      </c>
      <c r="AE129" s="52" t="n">
        <f aca="false">IF(Y129="PERCENTAGE_OF_BASE_FREIGHT",AD129*Z129,IF(Y129="PER_CHARGEABLE_KG",R129*Z129,P129*Z129))</f>
        <v>484.340235503553</v>
      </c>
      <c r="AF129" s="52" t="n">
        <f aca="false">AD129*AC129</f>
        <v>48986.1714188294</v>
      </c>
      <c r="AG129" s="52" t="n">
        <f aca="false">AE129*AC129</f>
        <v>3768.16703221764</v>
      </c>
      <c r="AH129" s="52" t="s">
        <v>195</v>
      </c>
      <c r="AI129" s="52" t="n">
        <v>1.0521</v>
      </c>
      <c r="AJ129" s="52" t="n">
        <f aca="false">IF(AH129="EUR",AA129,IF(AH129="GBP",AB129,1))</f>
        <v>7.78</v>
      </c>
      <c r="AK129" s="52" t="n">
        <f aca="false">N129*AI129</f>
        <v>3021.41814975</v>
      </c>
      <c r="AL129" s="52" t="n">
        <f aca="false">AK129*AJ129</f>
        <v>23506.633205055</v>
      </c>
      <c r="AM129" s="52" t="s">
        <v>195</v>
      </c>
      <c r="AN129" s="52" t="n">
        <v>0.38076</v>
      </c>
      <c r="AO129" s="52" t="n">
        <f aca="false">IF(AM129="EUR",AA129,IF(AM129="GBP",AB129,1))</f>
        <v>7.78</v>
      </c>
      <c r="AP129" s="52" t="n">
        <f aca="false">P129*AN129</f>
        <v>1159.073553066</v>
      </c>
      <c r="AQ129" s="52" t="n">
        <f aca="false">AP129*AO129</f>
        <v>9017.59224285348</v>
      </c>
      <c r="AR129" s="52" t="s">
        <v>195</v>
      </c>
      <c r="AS129" s="52" t="n">
        <v>3.006</v>
      </c>
      <c r="AT129" s="52" t="n">
        <f aca="false">IF(AR129="EUR",AA129,IF(AR129="GBP",AB129,1))</f>
        <v>7.78</v>
      </c>
      <c r="AU129" s="52" t="n">
        <f aca="false">T129*AS129</f>
        <v>517.9573971</v>
      </c>
      <c r="AV129" s="52" t="n">
        <f aca="false">AU129*AT129</f>
        <v>4029.708549438</v>
      </c>
      <c r="AW129" s="52" t="s">
        <v>195</v>
      </c>
      <c r="AX129" s="52" t="n">
        <v>2.3046</v>
      </c>
      <c r="AY129" s="52" t="n">
        <f aca="false">IF(AW129="EUR",AA129,IF(AW129="GBP",AB129,1))</f>
        <v>7.78</v>
      </c>
      <c r="AZ129" s="52" t="n">
        <f aca="false">V129*AX129</f>
        <v>100.180557307631</v>
      </c>
      <c r="BA129" s="52" t="n">
        <f aca="false">AZ129*AY129</f>
        <v>779.404735853368</v>
      </c>
      <c r="BB129" s="52" t="n">
        <f aca="false">AF129+AG129+AL129+AQ129+AV129+BA129</f>
        <v>90087.6771842469</v>
      </c>
      <c r="BC129" s="54" t="n">
        <v>0.974</v>
      </c>
      <c r="BD129" s="32"/>
      <c r="BE129" s="32"/>
      <c r="BF129" s="32"/>
      <c r="BG129" s="32" t="s">
        <v>197</v>
      </c>
    </row>
    <row r="130" customFormat="false" ht="15" hidden="false" customHeight="false" outlineLevel="0" collapsed="false">
      <c r="A130" s="18" t="s">
        <v>200</v>
      </c>
      <c r="B130" s="18" t="s">
        <v>201</v>
      </c>
      <c r="C130" s="18"/>
      <c r="D130" s="49" t="n">
        <v>46023</v>
      </c>
      <c r="E130" s="18" t="s">
        <v>118</v>
      </c>
      <c r="F130" s="18" t="s">
        <v>119</v>
      </c>
      <c r="G130" s="18" t="s">
        <v>100</v>
      </c>
      <c r="H130" s="18" t="s">
        <v>101</v>
      </c>
      <c r="I130" s="18" t="s">
        <v>102</v>
      </c>
      <c r="J130" s="50" t="n">
        <v>13850</v>
      </c>
      <c r="K130" s="51" t="n">
        <v>0.26</v>
      </c>
      <c r="L130" s="51" t="n">
        <v>0.96</v>
      </c>
      <c r="M130" s="51" t="n">
        <v>0.62</v>
      </c>
      <c r="N130" s="52" t="n">
        <f aca="false">J130*K130*L130*M130</f>
        <v>2143.3152</v>
      </c>
      <c r="O130" s="50" t="n">
        <v>1.12</v>
      </c>
      <c r="P130" s="52" t="n">
        <f aca="false">N130*O130</f>
        <v>2400.513024</v>
      </c>
      <c r="Q130" s="50" t="n">
        <v>1.0251</v>
      </c>
      <c r="R130" s="52" t="n">
        <f aca="false">P130*Q130</f>
        <v>2460.7659009024</v>
      </c>
      <c r="S130" s="50" t="n">
        <v>0.08</v>
      </c>
      <c r="T130" s="52" t="n">
        <f aca="false">N130*S130</f>
        <v>171.465216</v>
      </c>
      <c r="U130" s="52" t="n">
        <v>0.02244</v>
      </c>
      <c r="V130" s="52" t="n">
        <f aca="false">P130*U130</f>
        <v>53.86751225856</v>
      </c>
      <c r="W130" s="53" t="s">
        <v>199</v>
      </c>
      <c r="X130" s="50" t="n">
        <v>4.008</v>
      </c>
      <c r="Y130" s="53" t="s">
        <v>196</v>
      </c>
      <c r="Z130" s="50" t="n">
        <v>0.1002</v>
      </c>
      <c r="AA130" s="50" t="n">
        <v>7.78</v>
      </c>
      <c r="AB130" s="50" t="n">
        <v>9.05</v>
      </c>
      <c r="AC130" s="52" t="n">
        <f aca="false">IF(W130="EUR",AA130,IF(W130="GBP",AB130,1))</f>
        <v>9.05</v>
      </c>
      <c r="AD130" s="52" t="n">
        <f aca="false">R130*X130</f>
        <v>9862.74973081682</v>
      </c>
      <c r="AE130" s="52" t="n">
        <f aca="false">IF(Y130="PERCENTAGE_OF_BASE_FREIGHT",AD130*Z130,IF(Y130="PER_CHARGEABLE_KG",R130*Z130,P130*Z130))</f>
        <v>988.247523027845</v>
      </c>
      <c r="AF130" s="52" t="n">
        <f aca="false">AD130*AC130</f>
        <v>89257.8850638922</v>
      </c>
      <c r="AG130" s="52" t="n">
        <f aca="false">AE130*AC130</f>
        <v>8943.640083402</v>
      </c>
      <c r="AH130" s="52" t="s">
        <v>195</v>
      </c>
      <c r="AI130" s="52" t="n">
        <v>1.18236</v>
      </c>
      <c r="AJ130" s="52" t="n">
        <f aca="false">IF(AH130="EUR",AA130,IF(AH130="GBP",AB130,1))</f>
        <v>7.78</v>
      </c>
      <c r="AK130" s="52" t="n">
        <f aca="false">N130*AI130</f>
        <v>2534.170159872</v>
      </c>
      <c r="AL130" s="52" t="n">
        <f aca="false">AK130*AJ130</f>
        <v>19715.8438438042</v>
      </c>
      <c r="AM130" s="52" t="s">
        <v>195</v>
      </c>
      <c r="AN130" s="52" t="n">
        <v>0.42084</v>
      </c>
      <c r="AO130" s="52" t="n">
        <f aca="false">IF(AM130="EUR",AA130,IF(AM130="GBP",AB130,1))</f>
        <v>7.78</v>
      </c>
      <c r="AP130" s="52" t="n">
        <f aca="false">P130*AN130</f>
        <v>1010.23190102016</v>
      </c>
      <c r="AQ130" s="52" t="n">
        <f aca="false">AP130*AO130</f>
        <v>7859.60418993685</v>
      </c>
      <c r="AR130" s="52" t="s">
        <v>199</v>
      </c>
      <c r="AS130" s="52" t="n">
        <v>4.8096</v>
      </c>
      <c r="AT130" s="52" t="n">
        <f aca="false">IF(AR130="EUR",AA130,IF(AR130="GBP",AB130,1))</f>
        <v>9.05</v>
      </c>
      <c r="AU130" s="52" t="n">
        <f aca="false">T130*AS130</f>
        <v>824.6791028736</v>
      </c>
      <c r="AV130" s="52" t="n">
        <f aca="false">AU130*AT130</f>
        <v>7463.34588100608</v>
      </c>
      <c r="AW130" s="52" t="s">
        <v>199</v>
      </c>
      <c r="AX130" s="52" t="n">
        <v>2.3046</v>
      </c>
      <c r="AY130" s="52" t="n">
        <f aca="false">IF(AW130="EUR",AA130,IF(AW130="GBP",AB130,1))</f>
        <v>9.05</v>
      </c>
      <c r="AZ130" s="52" t="n">
        <f aca="false">V130*AX130</f>
        <v>124.143068751077</v>
      </c>
      <c r="BA130" s="52" t="n">
        <f aca="false">AZ130*AY130</f>
        <v>1123.49477219725</v>
      </c>
      <c r="BB130" s="52" t="n">
        <f aca="false">AF130+AG130+AL130+AQ130+AV130+BA130</f>
        <v>134363.813834239</v>
      </c>
      <c r="BC130" s="54" t="n">
        <v>0.931</v>
      </c>
      <c r="BD130" s="32"/>
      <c r="BE130" s="32"/>
      <c r="BF130" s="32"/>
      <c r="BG130" s="32" t="s">
        <v>197</v>
      </c>
    </row>
    <row r="131" customFormat="false" ht="15" hidden="false" customHeight="false" outlineLevel="0" collapsed="false">
      <c r="A131" s="18" t="s">
        <v>200</v>
      </c>
      <c r="B131" s="18" t="s">
        <v>201</v>
      </c>
      <c r="C131" s="18"/>
      <c r="D131" s="49" t="n">
        <v>46023</v>
      </c>
      <c r="E131" s="18" t="s">
        <v>122</v>
      </c>
      <c r="F131" s="18" t="s">
        <v>119</v>
      </c>
      <c r="G131" s="18" t="s">
        <v>100</v>
      </c>
      <c r="H131" s="18" t="s">
        <v>107</v>
      </c>
      <c r="I131" s="18" t="s">
        <v>102</v>
      </c>
      <c r="J131" s="50" t="n">
        <v>13850</v>
      </c>
      <c r="K131" s="51" t="n">
        <v>0.26</v>
      </c>
      <c r="L131" s="51" t="n">
        <v>0.96</v>
      </c>
      <c r="M131" s="51" t="n">
        <v>0.25</v>
      </c>
      <c r="N131" s="52" t="n">
        <f aca="false">J131*K131*L131*M131</f>
        <v>864.24</v>
      </c>
      <c r="O131" s="50" t="n">
        <v>1.12</v>
      </c>
      <c r="P131" s="52" t="n">
        <f aca="false">N131*O131</f>
        <v>967.9488</v>
      </c>
      <c r="Q131" s="50" t="n">
        <v>1.005</v>
      </c>
      <c r="R131" s="52" t="n">
        <f aca="false">P131*Q131</f>
        <v>972.788544</v>
      </c>
      <c r="S131" s="50" t="n">
        <v>0.08</v>
      </c>
      <c r="T131" s="52" t="n">
        <f aca="false">N131*S131</f>
        <v>69.1392</v>
      </c>
      <c r="U131" s="52" t="n">
        <v>0.01734</v>
      </c>
      <c r="V131" s="52" t="n">
        <f aca="false">P131*U131</f>
        <v>16.784232192</v>
      </c>
      <c r="W131" s="53" t="s">
        <v>199</v>
      </c>
      <c r="X131" s="50" t="n">
        <v>4.7094</v>
      </c>
      <c r="Y131" s="53" t="s">
        <v>198</v>
      </c>
      <c r="Z131" s="50" t="n">
        <v>0.33066</v>
      </c>
      <c r="AA131" s="50" t="n">
        <v>7.78</v>
      </c>
      <c r="AB131" s="50" t="n">
        <v>9.05</v>
      </c>
      <c r="AC131" s="52" t="n">
        <f aca="false">IF(W131="EUR",AA131,IF(W131="GBP",AB131,1))</f>
        <v>9.05</v>
      </c>
      <c r="AD131" s="52" t="n">
        <f aca="false">R131*X131</f>
        <v>4581.2503691136</v>
      </c>
      <c r="AE131" s="52" t="n">
        <f aca="false">IF(Y131="PERCENTAGE_OF_BASE_FREIGHT",AD131*Z131,IF(Y131="PER_CHARGEABLE_KG",R131*Z131,P131*Z131))</f>
        <v>321.66225995904</v>
      </c>
      <c r="AF131" s="52" t="n">
        <f aca="false">AD131*AC131</f>
        <v>41460.3158404781</v>
      </c>
      <c r="AG131" s="52" t="n">
        <f aca="false">AE131*AC131</f>
        <v>2911.04345262931</v>
      </c>
      <c r="AH131" s="52" t="s">
        <v>195</v>
      </c>
      <c r="AI131" s="52" t="n">
        <v>1.18236</v>
      </c>
      <c r="AJ131" s="52" t="n">
        <f aca="false">IF(AH131="EUR",AA131,IF(AH131="GBP",AB131,1))</f>
        <v>7.78</v>
      </c>
      <c r="AK131" s="52" t="n">
        <f aca="false">N131*AI131</f>
        <v>1021.8428064</v>
      </c>
      <c r="AL131" s="52" t="n">
        <f aca="false">AK131*AJ131</f>
        <v>7949.937033792</v>
      </c>
      <c r="AM131" s="52" t="s">
        <v>195</v>
      </c>
      <c r="AN131" s="52" t="n">
        <v>0.42084</v>
      </c>
      <c r="AO131" s="52" t="n">
        <f aca="false">IF(AM131="EUR",AA131,IF(AM131="GBP",AB131,1))</f>
        <v>7.78</v>
      </c>
      <c r="AP131" s="52" t="n">
        <f aca="false">P131*AN131</f>
        <v>407.351572992</v>
      </c>
      <c r="AQ131" s="52" t="n">
        <f aca="false">AP131*AO131</f>
        <v>3169.19523787776</v>
      </c>
      <c r="AR131" s="52" t="s">
        <v>199</v>
      </c>
      <c r="AS131" s="52" t="n">
        <v>4.8096</v>
      </c>
      <c r="AT131" s="52" t="n">
        <f aca="false">IF(AR131="EUR",AA131,IF(AR131="GBP",AB131,1))</f>
        <v>9.05</v>
      </c>
      <c r="AU131" s="52" t="n">
        <f aca="false">T131*AS131</f>
        <v>332.53189632</v>
      </c>
      <c r="AV131" s="52" t="n">
        <f aca="false">AU131*AT131</f>
        <v>3009.413661696</v>
      </c>
      <c r="AW131" s="52" t="s">
        <v>199</v>
      </c>
      <c r="AX131" s="52" t="n">
        <v>2.3046</v>
      </c>
      <c r="AY131" s="52" t="n">
        <f aca="false">IF(AW131="EUR",AA131,IF(AW131="GBP",AB131,1))</f>
        <v>9.05</v>
      </c>
      <c r="AZ131" s="52" t="n">
        <f aca="false">V131*AX131</f>
        <v>38.6809415096832</v>
      </c>
      <c r="BA131" s="52" t="n">
        <f aca="false">AZ131*AY131</f>
        <v>350.062520662633</v>
      </c>
      <c r="BB131" s="52" t="n">
        <f aca="false">AF131+AG131+AL131+AQ131+AV131+BA131</f>
        <v>58849.9677471358</v>
      </c>
      <c r="BC131" s="54" t="n">
        <v>0.951</v>
      </c>
      <c r="BD131" s="32"/>
      <c r="BE131" s="32"/>
      <c r="BF131" s="32"/>
      <c r="BG131" s="32" t="s">
        <v>197</v>
      </c>
    </row>
    <row r="132" customFormat="false" ht="15" hidden="false" customHeight="false" outlineLevel="0" collapsed="false">
      <c r="A132" s="18" t="s">
        <v>200</v>
      </c>
      <c r="B132" s="18" t="s">
        <v>201</v>
      </c>
      <c r="C132" s="18"/>
      <c r="D132" s="49" t="n">
        <v>46023</v>
      </c>
      <c r="E132" s="18" t="s">
        <v>124</v>
      </c>
      <c r="F132" s="18" t="s">
        <v>119</v>
      </c>
      <c r="G132" s="18" t="s">
        <v>100</v>
      </c>
      <c r="H132" s="18" t="s">
        <v>107</v>
      </c>
      <c r="I132" s="18" t="s">
        <v>125</v>
      </c>
      <c r="J132" s="50" t="n">
        <v>13850</v>
      </c>
      <c r="K132" s="51" t="n">
        <v>0.26</v>
      </c>
      <c r="L132" s="51" t="n">
        <v>0.96</v>
      </c>
      <c r="M132" s="51" t="n">
        <v>0.09</v>
      </c>
      <c r="N132" s="52" t="n">
        <f aca="false">J132*K132*L132*M132</f>
        <v>311.1264</v>
      </c>
      <c r="O132" s="50" t="n">
        <v>1.12</v>
      </c>
      <c r="P132" s="52" t="n">
        <f aca="false">N132*O132</f>
        <v>348.461568</v>
      </c>
      <c r="Q132" s="50" t="n">
        <v>0.9447</v>
      </c>
      <c r="R132" s="52" t="n">
        <f aca="false">P132*Q132</f>
        <v>329.1916432896</v>
      </c>
      <c r="S132" s="50" t="n">
        <v>0.08</v>
      </c>
      <c r="T132" s="52" t="n">
        <f aca="false">N132*S132</f>
        <v>24.890112</v>
      </c>
      <c r="U132" s="52" t="n">
        <v>0.01326</v>
      </c>
      <c r="V132" s="52" t="n">
        <f aca="false">P132*U132</f>
        <v>4.62060039168</v>
      </c>
      <c r="W132" s="53" t="s">
        <v>199</v>
      </c>
      <c r="X132" s="50" t="n">
        <v>6.2124</v>
      </c>
      <c r="Y132" s="53" t="s">
        <v>196</v>
      </c>
      <c r="Z132" s="50" t="n">
        <v>0.11523</v>
      </c>
      <c r="AA132" s="50" t="n">
        <v>7.78</v>
      </c>
      <c r="AB132" s="50" t="n">
        <v>9.05</v>
      </c>
      <c r="AC132" s="52" t="n">
        <f aca="false">IF(W132="EUR",AA132,IF(W132="GBP",AB132,1))</f>
        <v>9.05</v>
      </c>
      <c r="AD132" s="52" t="n">
        <f aca="false">R132*X132</f>
        <v>2045.07016477231</v>
      </c>
      <c r="AE132" s="52" t="n">
        <f aca="false">IF(Y132="PERCENTAGE_OF_BASE_FREIGHT",AD132*Z132,IF(Y132="PER_CHARGEABLE_KG",R132*Z132,P132*Z132))</f>
        <v>235.653435086713</v>
      </c>
      <c r="AF132" s="52" t="n">
        <f aca="false">AD132*AC132</f>
        <v>18507.8849911894</v>
      </c>
      <c r="AG132" s="52" t="n">
        <f aca="false">AE132*AC132</f>
        <v>2132.66358753476</v>
      </c>
      <c r="AH132" s="52" t="s">
        <v>195</v>
      </c>
      <c r="AI132" s="52" t="n">
        <v>1.18236</v>
      </c>
      <c r="AJ132" s="52" t="n">
        <f aca="false">IF(AH132="EUR",AA132,IF(AH132="GBP",AB132,1))</f>
        <v>7.78</v>
      </c>
      <c r="AK132" s="52" t="n">
        <f aca="false">N132*AI132</f>
        <v>367.863410304</v>
      </c>
      <c r="AL132" s="52" t="n">
        <f aca="false">AK132*AJ132</f>
        <v>2861.97733216512</v>
      </c>
      <c r="AM132" s="52" t="s">
        <v>195</v>
      </c>
      <c r="AN132" s="52" t="n">
        <v>0.42084</v>
      </c>
      <c r="AO132" s="52" t="n">
        <f aca="false">IF(AM132="EUR",AA132,IF(AM132="GBP",AB132,1))</f>
        <v>7.78</v>
      </c>
      <c r="AP132" s="52" t="n">
        <f aca="false">P132*AN132</f>
        <v>146.64656627712</v>
      </c>
      <c r="AQ132" s="52" t="n">
        <f aca="false">AP132*AO132</f>
        <v>1140.91028563599</v>
      </c>
      <c r="AR132" s="52" t="s">
        <v>199</v>
      </c>
      <c r="AS132" s="52" t="n">
        <v>4.8096</v>
      </c>
      <c r="AT132" s="52" t="n">
        <f aca="false">IF(AR132="EUR",AA132,IF(AR132="GBP",AB132,1))</f>
        <v>9.05</v>
      </c>
      <c r="AU132" s="52" t="n">
        <f aca="false">T132*AS132</f>
        <v>119.7114826752</v>
      </c>
      <c r="AV132" s="52" t="n">
        <f aca="false">AU132*AT132</f>
        <v>1083.38891821056</v>
      </c>
      <c r="AW132" s="52" t="s">
        <v>199</v>
      </c>
      <c r="AX132" s="52" t="n">
        <v>2.8056</v>
      </c>
      <c r="AY132" s="52" t="n">
        <f aca="false">IF(AW132="EUR",AA132,IF(AW132="GBP",AB132,1))</f>
        <v>9.05</v>
      </c>
      <c r="AZ132" s="52" t="n">
        <f aca="false">V132*AX132</f>
        <v>12.9635564588974</v>
      </c>
      <c r="BA132" s="52" t="n">
        <f aca="false">AZ132*AY132</f>
        <v>117.320185953022</v>
      </c>
      <c r="BB132" s="52" t="n">
        <f aca="false">AF132+AG132+AL132+AQ132+AV132+BA132</f>
        <v>25844.1453006889</v>
      </c>
      <c r="BC132" s="54" t="n">
        <v>0.975</v>
      </c>
      <c r="BD132" s="32"/>
      <c r="BE132" s="32"/>
      <c r="BF132" s="32"/>
      <c r="BG132" s="32" t="s">
        <v>197</v>
      </c>
    </row>
    <row r="133" customFormat="false" ht="15" hidden="false" customHeight="false" outlineLevel="0" collapsed="false">
      <c r="A133" s="18" t="s">
        <v>200</v>
      </c>
      <c r="B133" s="18" t="s">
        <v>201</v>
      </c>
      <c r="C133" s="18"/>
      <c r="D133" s="49" t="n">
        <v>46023</v>
      </c>
      <c r="E133" s="18" t="s">
        <v>127</v>
      </c>
      <c r="F133" s="18" t="s">
        <v>119</v>
      </c>
      <c r="G133" s="18" t="s">
        <v>100</v>
      </c>
      <c r="H133" s="18" t="s">
        <v>128</v>
      </c>
      <c r="I133" s="18" t="s">
        <v>125</v>
      </c>
      <c r="J133" s="50" t="n">
        <v>13850</v>
      </c>
      <c r="K133" s="51" t="n">
        <v>0.26</v>
      </c>
      <c r="L133" s="51" t="n">
        <v>0.96</v>
      </c>
      <c r="M133" s="51" t="n">
        <v>0.04</v>
      </c>
      <c r="N133" s="52" t="n">
        <f aca="false">J133*K133*L133*M133</f>
        <v>138.2784</v>
      </c>
      <c r="O133" s="50" t="n">
        <v>1.12</v>
      </c>
      <c r="P133" s="52" t="n">
        <f aca="false">N133*O133</f>
        <v>154.871808</v>
      </c>
      <c r="Q133" s="50" t="n">
        <v>0.9246</v>
      </c>
      <c r="R133" s="52" t="n">
        <f aca="false">P133*Q133</f>
        <v>143.1944736768</v>
      </c>
      <c r="S133" s="50" t="n">
        <v>0.08</v>
      </c>
      <c r="T133" s="52" t="n">
        <f aca="false">N133*S133</f>
        <v>11.062272</v>
      </c>
      <c r="U133" s="52" t="n">
        <v>0.00918</v>
      </c>
      <c r="V133" s="52" t="n">
        <f aca="false">P133*U133</f>
        <v>1.42172319744</v>
      </c>
      <c r="W133" s="53" t="s">
        <v>199</v>
      </c>
      <c r="X133" s="50" t="n">
        <v>7.515</v>
      </c>
      <c r="Y133" s="53" t="s">
        <v>198</v>
      </c>
      <c r="Z133" s="50" t="n">
        <v>0.58116</v>
      </c>
      <c r="AA133" s="50" t="n">
        <v>7.78</v>
      </c>
      <c r="AB133" s="50" t="n">
        <v>9.05</v>
      </c>
      <c r="AC133" s="52" t="n">
        <f aca="false">IF(W133="EUR",AA133,IF(W133="GBP",AB133,1))</f>
        <v>9.05</v>
      </c>
      <c r="AD133" s="52" t="n">
        <f aca="false">R133*X133</f>
        <v>1076.10646968115</v>
      </c>
      <c r="AE133" s="52" t="n">
        <f aca="false">IF(Y133="PERCENTAGE_OF_BASE_FREIGHT",AD133*Z133,IF(Y133="PER_CHARGEABLE_KG",R133*Z133,P133*Z133))</f>
        <v>83.2189003220091</v>
      </c>
      <c r="AF133" s="52" t="n">
        <f aca="false">AD133*AC133</f>
        <v>9738.76355061443</v>
      </c>
      <c r="AG133" s="52" t="n">
        <f aca="false">AE133*AC133</f>
        <v>753.131047914182</v>
      </c>
      <c r="AH133" s="52" t="s">
        <v>195</v>
      </c>
      <c r="AI133" s="52" t="n">
        <v>1.18236</v>
      </c>
      <c r="AJ133" s="52" t="n">
        <f aca="false">IF(AH133="EUR",AA133,IF(AH133="GBP",AB133,1))</f>
        <v>7.78</v>
      </c>
      <c r="AK133" s="52" t="n">
        <f aca="false">N133*AI133</f>
        <v>163.494849024</v>
      </c>
      <c r="AL133" s="52" t="n">
        <f aca="false">AK133*AJ133</f>
        <v>1271.98992540672</v>
      </c>
      <c r="AM133" s="52" t="s">
        <v>195</v>
      </c>
      <c r="AN133" s="52" t="n">
        <v>0.42084</v>
      </c>
      <c r="AO133" s="52" t="n">
        <f aca="false">IF(AM133="EUR",AA133,IF(AM133="GBP",AB133,1))</f>
        <v>7.78</v>
      </c>
      <c r="AP133" s="52" t="n">
        <f aca="false">P133*AN133</f>
        <v>65.17625167872</v>
      </c>
      <c r="AQ133" s="52" t="n">
        <f aca="false">AP133*AO133</f>
        <v>507.071238060442</v>
      </c>
      <c r="AR133" s="52" t="s">
        <v>199</v>
      </c>
      <c r="AS133" s="52" t="n">
        <v>4.8096</v>
      </c>
      <c r="AT133" s="52" t="n">
        <f aca="false">IF(AR133="EUR",AA133,IF(AR133="GBP",AB133,1))</f>
        <v>9.05</v>
      </c>
      <c r="AU133" s="52" t="n">
        <f aca="false">T133*AS133</f>
        <v>53.2051034112</v>
      </c>
      <c r="AV133" s="52" t="n">
        <f aca="false">AU133*AT133</f>
        <v>481.50618587136</v>
      </c>
      <c r="AW133" s="52" t="s">
        <v>199</v>
      </c>
      <c r="AX133" s="52" t="n">
        <v>3.6072</v>
      </c>
      <c r="AY133" s="52" t="n">
        <f aca="false">IF(AW133="EUR",AA133,IF(AW133="GBP",AB133,1))</f>
        <v>9.05</v>
      </c>
      <c r="AZ133" s="52" t="n">
        <f aca="false">V133*AX133</f>
        <v>5.12843991780557</v>
      </c>
      <c r="BA133" s="52" t="n">
        <f aca="false">AZ133*AY133</f>
        <v>46.4123812561404</v>
      </c>
      <c r="BB133" s="52" t="n">
        <f aca="false">AF133+AG133+AL133+AQ133+AV133+BA133</f>
        <v>12798.8743291233</v>
      </c>
      <c r="BC133" s="54" t="n">
        <v>0.989</v>
      </c>
      <c r="BD133" s="32"/>
      <c r="BE133" s="32"/>
      <c r="BF133" s="32"/>
      <c r="BG133" s="32" t="s">
        <v>197</v>
      </c>
    </row>
    <row r="134" customFormat="false" ht="15" hidden="false" customHeight="false" outlineLevel="0" collapsed="false">
      <c r="A134" s="18" t="s">
        <v>200</v>
      </c>
      <c r="B134" s="18" t="s">
        <v>201</v>
      </c>
      <c r="C134" s="18"/>
      <c r="D134" s="49" t="n">
        <v>46023</v>
      </c>
      <c r="E134" s="18" t="s">
        <v>130</v>
      </c>
      <c r="F134" s="18" t="s">
        <v>119</v>
      </c>
      <c r="G134" s="18" t="s">
        <v>110</v>
      </c>
      <c r="H134" s="18" t="s">
        <v>107</v>
      </c>
      <c r="I134" s="18" t="s">
        <v>125</v>
      </c>
      <c r="J134" s="50" t="n">
        <v>13850</v>
      </c>
      <c r="K134" s="51" t="n">
        <v>0.26</v>
      </c>
      <c r="L134" s="51" t="n">
        <v>0.04</v>
      </c>
      <c r="M134" s="51" t="n">
        <v>1</v>
      </c>
      <c r="N134" s="52" t="n">
        <f aca="false">J134*K134*L134*M134</f>
        <v>144.04</v>
      </c>
      <c r="O134" s="50" t="n">
        <v>1.15</v>
      </c>
      <c r="P134" s="52" t="n">
        <f aca="false">N134*O134</f>
        <v>165.646</v>
      </c>
      <c r="Q134" s="50" t="n">
        <v>0.9045</v>
      </c>
      <c r="R134" s="52" t="n">
        <f aca="false">P134*Q134</f>
        <v>149.826807</v>
      </c>
      <c r="S134" s="50" t="n">
        <v>0.08</v>
      </c>
      <c r="T134" s="52" t="n">
        <f aca="false">N134*S134</f>
        <v>11.5232</v>
      </c>
      <c r="U134" s="52" t="n">
        <v>0.01224</v>
      </c>
      <c r="V134" s="52" t="n">
        <f aca="false">P134*U134</f>
        <v>2.02750704</v>
      </c>
      <c r="W134" s="53" t="s">
        <v>195</v>
      </c>
      <c r="X134" s="50" t="n">
        <v>6.7134</v>
      </c>
      <c r="Y134" s="53" t="s">
        <v>196</v>
      </c>
      <c r="Z134" s="50" t="n">
        <v>0.10521</v>
      </c>
      <c r="AA134" s="50" t="n">
        <v>7.78</v>
      </c>
      <c r="AB134" s="50" t="n">
        <v>9.05</v>
      </c>
      <c r="AC134" s="52" t="n">
        <f aca="false">IF(W134="EUR",AA134,IF(W134="GBP",AB134,1))</f>
        <v>7.78</v>
      </c>
      <c r="AD134" s="52" t="n">
        <f aca="false">R134*X134</f>
        <v>1005.8472861138</v>
      </c>
      <c r="AE134" s="52" t="n">
        <f aca="false">IF(Y134="PERCENTAGE_OF_BASE_FREIGHT",AD134*Z134,IF(Y134="PER_CHARGEABLE_KG",R134*Z134,P134*Z134))</f>
        <v>105.825192972033</v>
      </c>
      <c r="AF134" s="52" t="n">
        <f aca="false">AD134*AC134</f>
        <v>7825.49188596536</v>
      </c>
      <c r="AG134" s="52" t="n">
        <f aca="false">AE134*AC134</f>
        <v>823.320001322416</v>
      </c>
      <c r="AH134" s="52" t="s">
        <v>195</v>
      </c>
      <c r="AI134" s="52" t="n">
        <v>1.0521</v>
      </c>
      <c r="AJ134" s="52" t="n">
        <f aca="false">IF(AH134="EUR",AA134,IF(AH134="GBP",AB134,1))</f>
        <v>7.78</v>
      </c>
      <c r="AK134" s="52" t="n">
        <f aca="false">N134*AI134</f>
        <v>151.544484</v>
      </c>
      <c r="AL134" s="52" t="n">
        <f aca="false">AK134*AJ134</f>
        <v>1179.01608552</v>
      </c>
      <c r="AM134" s="52" t="s">
        <v>195</v>
      </c>
      <c r="AN134" s="52" t="n">
        <v>0.38076</v>
      </c>
      <c r="AO134" s="52" t="n">
        <f aca="false">IF(AM134="EUR",AA134,IF(AM134="GBP",AB134,1))</f>
        <v>7.78</v>
      </c>
      <c r="AP134" s="52" t="n">
        <f aca="false">P134*AN134</f>
        <v>63.07137096</v>
      </c>
      <c r="AQ134" s="52" t="n">
        <f aca="false">AP134*AO134</f>
        <v>490.6952660688</v>
      </c>
      <c r="AR134" s="52" t="s">
        <v>195</v>
      </c>
      <c r="AS134" s="52" t="n">
        <v>5.2104</v>
      </c>
      <c r="AT134" s="52" t="n">
        <f aca="false">IF(AR134="EUR",AA134,IF(AR134="GBP",AB134,1))</f>
        <v>7.78</v>
      </c>
      <c r="AU134" s="52" t="n">
        <f aca="false">T134*AS134</f>
        <v>60.04048128</v>
      </c>
      <c r="AV134" s="52" t="n">
        <f aca="false">AU134*AT134</f>
        <v>467.1149443584</v>
      </c>
      <c r="AW134" s="52" t="s">
        <v>195</v>
      </c>
      <c r="AX134" s="52" t="n">
        <v>2.8056</v>
      </c>
      <c r="AY134" s="52" t="n">
        <f aca="false">IF(AW134="EUR",AA134,IF(AW134="GBP",AB134,1))</f>
        <v>7.78</v>
      </c>
      <c r="AZ134" s="52" t="n">
        <f aca="false">V134*AX134</f>
        <v>5.688373751424</v>
      </c>
      <c r="BA134" s="52" t="n">
        <f aca="false">AZ134*AY134</f>
        <v>44.2555477860787</v>
      </c>
      <c r="BB134" s="52" t="n">
        <f aca="false">AF134+AG134+AL134+AQ134+AV134+BA134</f>
        <v>10829.8937310211</v>
      </c>
      <c r="BC134" s="54" t="n">
        <v>0.972</v>
      </c>
      <c r="BD134" s="32"/>
      <c r="BE134" s="32"/>
      <c r="BF134" s="32"/>
      <c r="BG134" s="32" t="s">
        <v>197</v>
      </c>
    </row>
    <row r="135" customFormat="false" ht="15" hidden="false" customHeight="false" outlineLevel="0" collapsed="false">
      <c r="A135" s="18" t="s">
        <v>200</v>
      </c>
      <c r="B135" s="18" t="s">
        <v>201</v>
      </c>
      <c r="C135" s="18"/>
      <c r="D135" s="49" t="n">
        <v>46054</v>
      </c>
      <c r="E135" s="18" t="s">
        <v>98</v>
      </c>
      <c r="F135" s="18" t="s">
        <v>99</v>
      </c>
      <c r="G135" s="18" t="s">
        <v>100</v>
      </c>
      <c r="H135" s="18" t="s">
        <v>101</v>
      </c>
      <c r="I135" s="18" t="s">
        <v>102</v>
      </c>
      <c r="J135" s="50" t="n">
        <v>13680</v>
      </c>
      <c r="K135" s="51" t="n">
        <v>0.414</v>
      </c>
      <c r="L135" s="51" t="n">
        <v>0.97</v>
      </c>
      <c r="M135" s="51" t="n">
        <v>0.6</v>
      </c>
      <c r="N135" s="52" t="n">
        <f aca="false">J135*K135*L135*M135</f>
        <v>3296.16864</v>
      </c>
      <c r="O135" s="50" t="n">
        <v>1.05105</v>
      </c>
      <c r="P135" s="52" t="n">
        <f aca="false">N135*O135</f>
        <v>3464.438049072</v>
      </c>
      <c r="Q135" s="50" t="n">
        <v>0.7839</v>
      </c>
      <c r="R135" s="52" t="n">
        <f aca="false">P135*Q135</f>
        <v>2715.77298666754</v>
      </c>
      <c r="S135" s="50" t="n">
        <v>0.05</v>
      </c>
      <c r="T135" s="52" t="n">
        <f aca="false">N135*S135</f>
        <v>164.808432</v>
      </c>
      <c r="U135" s="52" t="n">
        <v>0.01632</v>
      </c>
      <c r="V135" s="52" t="n">
        <f aca="false">P135*U135</f>
        <v>56.539628960855</v>
      </c>
      <c r="W135" s="53" t="s">
        <v>195</v>
      </c>
      <c r="X135" s="50" t="n">
        <v>2.2088</v>
      </c>
      <c r="Y135" s="53" t="s">
        <v>196</v>
      </c>
      <c r="Z135" s="50" t="n">
        <v>0.09538</v>
      </c>
      <c r="AA135" s="50" t="n">
        <v>7.76</v>
      </c>
      <c r="AB135" s="50" t="n">
        <v>9.02</v>
      </c>
      <c r="AC135" s="52" t="n">
        <f aca="false">IF(W135="EUR",AA135,IF(W135="GBP",AB135,1))</f>
        <v>7.76</v>
      </c>
      <c r="AD135" s="52" t="n">
        <f aca="false">R135*X135</f>
        <v>5998.59937295126</v>
      </c>
      <c r="AE135" s="52" t="n">
        <f aca="false">IF(Y135="PERCENTAGE_OF_BASE_FREIGHT",AD135*Z135,IF(Y135="PER_CHARGEABLE_KG",R135*Z135,P135*Z135))</f>
        <v>572.146408192092</v>
      </c>
      <c r="AF135" s="52" t="n">
        <f aca="false">AD135*AC135</f>
        <v>46549.1311341018</v>
      </c>
      <c r="AG135" s="52" t="n">
        <f aca="false">AE135*AC135</f>
        <v>4439.85612757063</v>
      </c>
      <c r="AH135" s="52" t="s">
        <v>195</v>
      </c>
      <c r="AI135" s="52" t="n">
        <v>1.18472</v>
      </c>
      <c r="AJ135" s="52" t="n">
        <f aca="false">IF(AH135="EUR",AA135,IF(AH135="GBP",AB135,1))</f>
        <v>7.76</v>
      </c>
      <c r="AK135" s="52" t="n">
        <f aca="false">N135*AI135</f>
        <v>3905.0369111808</v>
      </c>
      <c r="AL135" s="52" t="n">
        <f aca="false">AK135*AJ135</f>
        <v>30303.086430763</v>
      </c>
      <c r="AM135" s="52" t="s">
        <v>195</v>
      </c>
      <c r="AN135" s="52" t="n">
        <v>0.42168</v>
      </c>
      <c r="AO135" s="52" t="n">
        <f aca="false">IF(AM135="EUR",AA135,IF(AM135="GBP",AB135,1))</f>
        <v>7.76</v>
      </c>
      <c r="AP135" s="52" t="n">
        <f aca="false">P135*AN135</f>
        <v>1460.88423653268</v>
      </c>
      <c r="AQ135" s="52" t="n">
        <f aca="false">AP135*AO135</f>
        <v>11336.4616754936</v>
      </c>
      <c r="AR135" s="52" t="s">
        <v>195</v>
      </c>
      <c r="AS135" s="52" t="n">
        <v>3.2128</v>
      </c>
      <c r="AT135" s="52" t="n">
        <f aca="false">IF(AR135="EUR",AA135,IF(AR135="GBP",AB135,1))</f>
        <v>7.76</v>
      </c>
      <c r="AU135" s="52" t="n">
        <f aca="false">T135*AS135</f>
        <v>529.4965303296</v>
      </c>
      <c r="AV135" s="52" t="n">
        <f aca="false">AU135*AT135</f>
        <v>4108.8930753577</v>
      </c>
      <c r="AW135" s="52" t="s">
        <v>195</v>
      </c>
      <c r="AX135" s="52" t="n">
        <v>2.3092</v>
      </c>
      <c r="AY135" s="52" t="n">
        <f aca="false">IF(AW135="EUR",AA135,IF(AW135="GBP",AB135,1))</f>
        <v>7.76</v>
      </c>
      <c r="AZ135" s="52" t="n">
        <f aca="false">V135*AX135</f>
        <v>130.561311196406</v>
      </c>
      <c r="BA135" s="52" t="n">
        <f aca="false">AZ135*AY135</f>
        <v>1013.15577488411</v>
      </c>
      <c r="BB135" s="52" t="n">
        <f aca="false">AF135+AG135+AL135+AQ135+AV135+BA135</f>
        <v>97750.5842181709</v>
      </c>
      <c r="BC135" s="54" t="n">
        <v>0.966</v>
      </c>
      <c r="BD135" s="32"/>
      <c r="BE135" s="32"/>
      <c r="BF135" s="32"/>
      <c r="BG135" s="32" t="s">
        <v>197</v>
      </c>
    </row>
    <row r="136" customFormat="false" ht="15" hidden="false" customHeight="false" outlineLevel="0" collapsed="false">
      <c r="A136" s="18" t="s">
        <v>200</v>
      </c>
      <c r="B136" s="18" t="s">
        <v>201</v>
      </c>
      <c r="C136" s="18"/>
      <c r="D136" s="49" t="n">
        <v>46054</v>
      </c>
      <c r="E136" s="18" t="s">
        <v>106</v>
      </c>
      <c r="F136" s="18" t="s">
        <v>99</v>
      </c>
      <c r="G136" s="18" t="s">
        <v>100</v>
      </c>
      <c r="H136" s="18" t="s">
        <v>107</v>
      </c>
      <c r="I136" s="18" t="s">
        <v>102</v>
      </c>
      <c r="J136" s="50" t="n">
        <v>13680</v>
      </c>
      <c r="K136" s="51" t="n">
        <v>0.414</v>
      </c>
      <c r="L136" s="51" t="n">
        <v>0.97</v>
      </c>
      <c r="M136" s="51" t="n">
        <v>0.4</v>
      </c>
      <c r="N136" s="52" t="n">
        <f aca="false">J136*K136*L136*M136</f>
        <v>2197.44576</v>
      </c>
      <c r="O136" s="50" t="n">
        <v>1.05105</v>
      </c>
      <c r="P136" s="52" t="n">
        <f aca="false">N136*O136</f>
        <v>2309.625366048</v>
      </c>
      <c r="Q136" s="50" t="n">
        <v>0.804</v>
      </c>
      <c r="R136" s="52" t="n">
        <f aca="false">P136*Q136</f>
        <v>1856.93879430259</v>
      </c>
      <c r="S136" s="50" t="n">
        <v>0.05</v>
      </c>
      <c r="T136" s="52" t="n">
        <f aca="false">N136*S136</f>
        <v>109.872288</v>
      </c>
      <c r="U136" s="52" t="n">
        <v>0.01326</v>
      </c>
      <c r="V136" s="52" t="n">
        <f aca="false">P136*U136</f>
        <v>30.6256323537965</v>
      </c>
      <c r="W136" s="53" t="s">
        <v>195</v>
      </c>
      <c r="X136" s="50" t="n">
        <v>2.761</v>
      </c>
      <c r="Y136" s="53" t="s">
        <v>198</v>
      </c>
      <c r="Z136" s="50" t="n">
        <v>0.21084</v>
      </c>
      <c r="AA136" s="50" t="n">
        <v>7.76</v>
      </c>
      <c r="AB136" s="50" t="n">
        <v>9.02</v>
      </c>
      <c r="AC136" s="52" t="n">
        <f aca="false">IF(W136="EUR",AA136,IF(W136="GBP",AB136,1))</f>
        <v>7.76</v>
      </c>
      <c r="AD136" s="52" t="n">
        <f aca="false">R136*X136</f>
        <v>5127.00801106946</v>
      </c>
      <c r="AE136" s="52" t="n">
        <f aca="false">IF(Y136="PERCENTAGE_OF_BASE_FREIGHT",AD136*Z136,IF(Y136="PER_CHARGEABLE_KG",R136*Z136,P136*Z136))</f>
        <v>391.516975390759</v>
      </c>
      <c r="AF136" s="52" t="n">
        <f aca="false">AD136*AC136</f>
        <v>39785.582165899</v>
      </c>
      <c r="AG136" s="52" t="n">
        <f aca="false">AE136*AC136</f>
        <v>3038.17172903229</v>
      </c>
      <c r="AH136" s="52" t="s">
        <v>195</v>
      </c>
      <c r="AI136" s="52" t="n">
        <v>1.18472</v>
      </c>
      <c r="AJ136" s="52" t="n">
        <f aca="false">IF(AH136="EUR",AA136,IF(AH136="GBP",AB136,1))</f>
        <v>7.76</v>
      </c>
      <c r="AK136" s="52" t="n">
        <f aca="false">N136*AI136</f>
        <v>2603.3579407872</v>
      </c>
      <c r="AL136" s="52" t="n">
        <f aca="false">AK136*AJ136</f>
        <v>20202.0576205087</v>
      </c>
      <c r="AM136" s="52" t="s">
        <v>195</v>
      </c>
      <c r="AN136" s="52" t="n">
        <v>0.42168</v>
      </c>
      <c r="AO136" s="52" t="n">
        <f aca="false">IF(AM136="EUR",AA136,IF(AM136="GBP",AB136,1))</f>
        <v>7.76</v>
      </c>
      <c r="AP136" s="52" t="n">
        <f aca="false">P136*AN136</f>
        <v>973.922824355121</v>
      </c>
      <c r="AQ136" s="52" t="n">
        <f aca="false">AP136*AO136</f>
        <v>7557.64111699574</v>
      </c>
      <c r="AR136" s="52" t="s">
        <v>195</v>
      </c>
      <c r="AS136" s="52" t="n">
        <v>3.2128</v>
      </c>
      <c r="AT136" s="52" t="n">
        <f aca="false">IF(AR136="EUR",AA136,IF(AR136="GBP",AB136,1))</f>
        <v>7.76</v>
      </c>
      <c r="AU136" s="52" t="n">
        <f aca="false">T136*AS136</f>
        <v>352.9976868864</v>
      </c>
      <c r="AV136" s="52" t="n">
        <f aca="false">AU136*AT136</f>
        <v>2739.26205023846</v>
      </c>
      <c r="AW136" s="52" t="s">
        <v>195</v>
      </c>
      <c r="AX136" s="52" t="n">
        <v>2.3092</v>
      </c>
      <c r="AY136" s="52" t="n">
        <f aca="false">IF(AW136="EUR",AA136,IF(AW136="GBP",AB136,1))</f>
        <v>7.76</v>
      </c>
      <c r="AZ136" s="52" t="n">
        <f aca="false">V136*AX136</f>
        <v>70.7207102313868</v>
      </c>
      <c r="BA136" s="52" t="n">
        <f aca="false">AZ136*AY136</f>
        <v>548.792711395562</v>
      </c>
      <c r="BB136" s="52" t="n">
        <f aca="false">AF136+AG136+AL136+AQ136+AV136+BA136</f>
        <v>73871.5073940697</v>
      </c>
      <c r="BC136" s="54" t="n">
        <v>0.977</v>
      </c>
      <c r="BD136" s="32"/>
      <c r="BE136" s="32"/>
      <c r="BF136" s="32"/>
      <c r="BG136" s="32" t="s">
        <v>197</v>
      </c>
    </row>
    <row r="137" customFormat="false" ht="15" hidden="false" customHeight="false" outlineLevel="0" collapsed="false">
      <c r="A137" s="18" t="s">
        <v>200</v>
      </c>
      <c r="B137" s="18" t="s">
        <v>201</v>
      </c>
      <c r="C137" s="18"/>
      <c r="D137" s="49" t="n">
        <v>46054</v>
      </c>
      <c r="E137" s="18" t="s">
        <v>109</v>
      </c>
      <c r="F137" s="18" t="s">
        <v>99</v>
      </c>
      <c r="G137" s="18" t="s">
        <v>110</v>
      </c>
      <c r="H137" s="18" t="s">
        <v>107</v>
      </c>
      <c r="I137" s="18" t="s">
        <v>102</v>
      </c>
      <c r="J137" s="50" t="n">
        <v>13680</v>
      </c>
      <c r="K137" s="51" t="n">
        <v>0.414</v>
      </c>
      <c r="L137" s="51" t="n">
        <v>0.03</v>
      </c>
      <c r="M137" s="51" t="n">
        <v>1</v>
      </c>
      <c r="N137" s="52" t="n">
        <f aca="false">J137*K137*L137*M137</f>
        <v>169.9056</v>
      </c>
      <c r="O137" s="50" t="n">
        <v>1.08108</v>
      </c>
      <c r="P137" s="52" t="n">
        <f aca="false">N137*O137</f>
        <v>183.681546048</v>
      </c>
      <c r="Q137" s="50" t="n">
        <v>0.8643</v>
      </c>
      <c r="R137" s="52" t="n">
        <f aca="false">P137*Q137</f>
        <v>158.755960249286</v>
      </c>
      <c r="S137" s="50" t="n">
        <v>0.05</v>
      </c>
      <c r="T137" s="52" t="n">
        <f aca="false">N137*S137</f>
        <v>8.49528</v>
      </c>
      <c r="U137" s="52" t="n">
        <v>0.01428</v>
      </c>
      <c r="V137" s="52" t="n">
        <f aca="false">P137*U137</f>
        <v>2.62297247756544</v>
      </c>
      <c r="W137" s="53" t="s">
        <v>195</v>
      </c>
      <c r="X137" s="50" t="n">
        <v>3.3132</v>
      </c>
      <c r="Y137" s="53" t="s">
        <v>198</v>
      </c>
      <c r="Z137" s="50" t="n">
        <v>0.24096</v>
      </c>
      <c r="AA137" s="50" t="n">
        <v>7.76</v>
      </c>
      <c r="AB137" s="50" t="n">
        <v>9.02</v>
      </c>
      <c r="AC137" s="52" t="n">
        <f aca="false">IF(W137="EUR",AA137,IF(W137="GBP",AB137,1))</f>
        <v>7.76</v>
      </c>
      <c r="AD137" s="52" t="n">
        <f aca="false">R137*X137</f>
        <v>525.990247497936</v>
      </c>
      <c r="AE137" s="52" t="n">
        <f aca="false">IF(Y137="PERCENTAGE_OF_BASE_FREIGHT",AD137*Z137,IF(Y137="PER_CHARGEABLE_KG",R137*Z137,P137*Z137))</f>
        <v>38.2538361816681</v>
      </c>
      <c r="AF137" s="52" t="n">
        <f aca="false">AD137*AC137</f>
        <v>4081.68432058398</v>
      </c>
      <c r="AG137" s="52" t="n">
        <f aca="false">AE137*AC137</f>
        <v>296.849768769744</v>
      </c>
      <c r="AH137" s="52" t="s">
        <v>195</v>
      </c>
      <c r="AI137" s="52" t="n">
        <v>1.0542</v>
      </c>
      <c r="AJ137" s="52" t="n">
        <f aca="false">IF(AH137="EUR",AA137,IF(AH137="GBP",AB137,1))</f>
        <v>7.76</v>
      </c>
      <c r="AK137" s="52" t="n">
        <f aca="false">N137*AI137</f>
        <v>179.11448352</v>
      </c>
      <c r="AL137" s="52" t="n">
        <f aca="false">AK137*AJ137</f>
        <v>1389.9283921152</v>
      </c>
      <c r="AM137" s="52" t="s">
        <v>195</v>
      </c>
      <c r="AN137" s="52" t="n">
        <v>0.38152</v>
      </c>
      <c r="AO137" s="52" t="n">
        <f aca="false">IF(AM137="EUR",AA137,IF(AM137="GBP",AB137,1))</f>
        <v>7.76</v>
      </c>
      <c r="AP137" s="52" t="n">
        <f aca="false">P137*AN137</f>
        <v>70.078183448233</v>
      </c>
      <c r="AQ137" s="52" t="n">
        <f aca="false">AP137*AO137</f>
        <v>543.806703558288</v>
      </c>
      <c r="AR137" s="52" t="s">
        <v>195</v>
      </c>
      <c r="AS137" s="52" t="n">
        <v>3.8152</v>
      </c>
      <c r="AT137" s="52" t="n">
        <f aca="false">IF(AR137="EUR",AA137,IF(AR137="GBP",AB137,1))</f>
        <v>7.76</v>
      </c>
      <c r="AU137" s="52" t="n">
        <f aca="false">T137*AS137</f>
        <v>32.411192256</v>
      </c>
      <c r="AV137" s="52" t="n">
        <f aca="false">AU137*AT137</f>
        <v>251.51085190656</v>
      </c>
      <c r="AW137" s="52" t="s">
        <v>195</v>
      </c>
      <c r="AX137" s="52" t="n">
        <v>2.3092</v>
      </c>
      <c r="AY137" s="52" t="n">
        <f aca="false">IF(AW137="EUR",AA137,IF(AW137="GBP",AB137,1))</f>
        <v>7.76</v>
      </c>
      <c r="AZ137" s="52" t="n">
        <f aca="false">V137*AX137</f>
        <v>6.05696804519412</v>
      </c>
      <c r="BA137" s="52" t="n">
        <f aca="false">AZ137*AY137</f>
        <v>47.0020720307063</v>
      </c>
      <c r="BB137" s="52" t="n">
        <f aca="false">AF137+AG137+AL137+AQ137+AV137+BA137</f>
        <v>6610.78210896448</v>
      </c>
      <c r="BC137" s="54" t="n">
        <v>0.969</v>
      </c>
      <c r="BD137" s="32"/>
      <c r="BE137" s="32"/>
      <c r="BF137" s="32"/>
      <c r="BG137" s="32" t="s">
        <v>197</v>
      </c>
    </row>
    <row r="138" customFormat="false" ht="15" hidden="false" customHeight="false" outlineLevel="0" collapsed="false">
      <c r="A138" s="18" t="s">
        <v>200</v>
      </c>
      <c r="B138" s="18" t="s">
        <v>201</v>
      </c>
      <c r="C138" s="18"/>
      <c r="D138" s="49" t="n">
        <v>46054</v>
      </c>
      <c r="E138" s="18" t="s">
        <v>112</v>
      </c>
      <c r="F138" s="18" t="s">
        <v>113</v>
      </c>
      <c r="G138" s="18" t="s">
        <v>110</v>
      </c>
      <c r="H138" s="18" t="s">
        <v>101</v>
      </c>
      <c r="I138" s="18" t="s">
        <v>102</v>
      </c>
      <c r="J138" s="50" t="n">
        <v>13680</v>
      </c>
      <c r="K138" s="51" t="n">
        <v>0.323</v>
      </c>
      <c r="L138" s="51" t="n">
        <v>1</v>
      </c>
      <c r="M138" s="51" t="n">
        <v>0.35</v>
      </c>
      <c r="N138" s="52" t="n">
        <f aca="false">J138*K138*L138*M138</f>
        <v>1546.524</v>
      </c>
      <c r="O138" s="50" t="n">
        <v>1.06106</v>
      </c>
      <c r="P138" s="52" t="n">
        <f aca="false">N138*O138</f>
        <v>1640.95475544</v>
      </c>
      <c r="Q138" s="50" t="n">
        <v>0.7638</v>
      </c>
      <c r="R138" s="52" t="n">
        <f aca="false">P138*Q138</f>
        <v>1253.36124220507</v>
      </c>
      <c r="S138" s="50" t="n">
        <v>0.06</v>
      </c>
      <c r="T138" s="52" t="n">
        <f aca="false">N138*S138</f>
        <v>92.79144</v>
      </c>
      <c r="U138" s="52" t="n">
        <v>0.01734</v>
      </c>
      <c r="V138" s="52" t="n">
        <f aca="false">P138*U138</f>
        <v>28.4541554593296</v>
      </c>
      <c r="W138" s="53" t="s">
        <v>195</v>
      </c>
      <c r="X138" s="50" t="n">
        <v>2.1084</v>
      </c>
      <c r="Y138" s="53" t="s">
        <v>196</v>
      </c>
      <c r="Z138" s="50" t="n">
        <v>0.09036</v>
      </c>
      <c r="AA138" s="50" t="n">
        <v>7.76</v>
      </c>
      <c r="AB138" s="50" t="n">
        <v>9.02</v>
      </c>
      <c r="AC138" s="52" t="n">
        <f aca="false">IF(W138="EUR",AA138,IF(W138="GBP",AB138,1))</f>
        <v>7.76</v>
      </c>
      <c r="AD138" s="52" t="n">
        <f aca="false">R138*X138</f>
        <v>2642.58684306517</v>
      </c>
      <c r="AE138" s="52" t="n">
        <f aca="false">IF(Y138="PERCENTAGE_OF_BASE_FREIGHT",AD138*Z138,IF(Y138="PER_CHARGEABLE_KG",R138*Z138,P138*Z138))</f>
        <v>238.784147139369</v>
      </c>
      <c r="AF138" s="52" t="n">
        <f aca="false">AD138*AC138</f>
        <v>20506.4739021857</v>
      </c>
      <c r="AG138" s="52" t="n">
        <f aca="false">AE138*AC138</f>
        <v>1852.9649818015</v>
      </c>
      <c r="AH138" s="52" t="s">
        <v>195</v>
      </c>
      <c r="AI138" s="52" t="n">
        <v>1.0542</v>
      </c>
      <c r="AJ138" s="52" t="n">
        <f aca="false">IF(AH138="EUR",AA138,IF(AH138="GBP",AB138,1))</f>
        <v>7.76</v>
      </c>
      <c r="AK138" s="52" t="n">
        <f aca="false">N138*AI138</f>
        <v>1630.3456008</v>
      </c>
      <c r="AL138" s="52" t="n">
        <f aca="false">AK138*AJ138</f>
        <v>12651.481862208</v>
      </c>
      <c r="AM138" s="52" t="s">
        <v>195</v>
      </c>
      <c r="AN138" s="52" t="n">
        <v>0.38152</v>
      </c>
      <c r="AO138" s="52" t="n">
        <f aca="false">IF(AM138="EUR",AA138,IF(AM138="GBP",AB138,1))</f>
        <v>7.76</v>
      </c>
      <c r="AP138" s="52" t="n">
        <f aca="false">P138*AN138</f>
        <v>626.057058295469</v>
      </c>
      <c r="AQ138" s="52" t="n">
        <f aca="false">AP138*AO138</f>
        <v>4858.20277237284</v>
      </c>
      <c r="AR138" s="52" t="s">
        <v>195</v>
      </c>
      <c r="AS138" s="52" t="n">
        <v>3.012</v>
      </c>
      <c r="AT138" s="52" t="n">
        <f aca="false">IF(AR138="EUR",AA138,IF(AR138="GBP",AB138,1))</f>
        <v>7.76</v>
      </c>
      <c r="AU138" s="52" t="n">
        <f aca="false">T138*AS138</f>
        <v>279.48781728</v>
      </c>
      <c r="AV138" s="52" t="n">
        <f aca="false">AU138*AT138</f>
        <v>2168.8254620928</v>
      </c>
      <c r="AW138" s="52" t="s">
        <v>195</v>
      </c>
      <c r="AX138" s="52" t="n">
        <v>2.3092</v>
      </c>
      <c r="AY138" s="52" t="n">
        <f aca="false">IF(AW138="EUR",AA138,IF(AW138="GBP",AB138,1))</f>
        <v>7.76</v>
      </c>
      <c r="AZ138" s="52" t="n">
        <f aca="false">V138*AX138</f>
        <v>65.7063357866839</v>
      </c>
      <c r="BA138" s="52" t="n">
        <f aca="false">AZ138*AY138</f>
        <v>509.881165704667</v>
      </c>
      <c r="BB138" s="52" t="n">
        <f aca="false">AF138+AG138+AL138+AQ138+AV138+BA138</f>
        <v>42547.8301463656</v>
      </c>
      <c r="BC138" s="54" t="n">
        <v>0.962</v>
      </c>
      <c r="BD138" s="32"/>
      <c r="BE138" s="32"/>
      <c r="BF138" s="32"/>
      <c r="BG138" s="32" t="s">
        <v>197</v>
      </c>
    </row>
    <row r="139" customFormat="false" ht="15" hidden="false" customHeight="false" outlineLevel="0" collapsed="false">
      <c r="A139" s="18" t="s">
        <v>200</v>
      </c>
      <c r="B139" s="18" t="s">
        <v>201</v>
      </c>
      <c r="C139" s="18"/>
      <c r="D139" s="49" t="n">
        <v>46054</v>
      </c>
      <c r="E139" s="18" t="s">
        <v>116</v>
      </c>
      <c r="F139" s="18" t="s">
        <v>113</v>
      </c>
      <c r="G139" s="18" t="s">
        <v>110</v>
      </c>
      <c r="H139" s="18" t="s">
        <v>107</v>
      </c>
      <c r="I139" s="18" t="s">
        <v>102</v>
      </c>
      <c r="J139" s="50" t="n">
        <v>13680</v>
      </c>
      <c r="K139" s="51" t="n">
        <v>0.323</v>
      </c>
      <c r="L139" s="51" t="n">
        <v>1</v>
      </c>
      <c r="M139" s="51" t="n">
        <v>0.65</v>
      </c>
      <c r="N139" s="52" t="n">
        <f aca="false">J139*K139*L139*M139</f>
        <v>2872.116</v>
      </c>
      <c r="O139" s="50" t="n">
        <v>1.06106</v>
      </c>
      <c r="P139" s="52" t="n">
        <f aca="false">N139*O139</f>
        <v>3047.48740296</v>
      </c>
      <c r="Q139" s="50" t="n">
        <v>0.79395</v>
      </c>
      <c r="R139" s="52" t="n">
        <f aca="false">P139*Q139</f>
        <v>2419.55262358009</v>
      </c>
      <c r="S139" s="50" t="n">
        <v>0.06</v>
      </c>
      <c r="T139" s="52" t="n">
        <f aca="false">N139*S139</f>
        <v>172.32696</v>
      </c>
      <c r="U139" s="52" t="n">
        <v>0.01428</v>
      </c>
      <c r="V139" s="52" t="n">
        <f aca="false">P139*U139</f>
        <v>43.5181201142688</v>
      </c>
      <c r="W139" s="53" t="s">
        <v>195</v>
      </c>
      <c r="X139" s="50" t="n">
        <v>2.6104</v>
      </c>
      <c r="Y139" s="53" t="s">
        <v>198</v>
      </c>
      <c r="Z139" s="50" t="n">
        <v>0.2008</v>
      </c>
      <c r="AA139" s="50" t="n">
        <v>7.76</v>
      </c>
      <c r="AB139" s="50" t="n">
        <v>9.02</v>
      </c>
      <c r="AC139" s="52" t="n">
        <f aca="false">IF(W139="EUR",AA139,IF(W139="GBP",AB139,1))</f>
        <v>7.76</v>
      </c>
      <c r="AD139" s="52" t="n">
        <f aca="false">R139*X139</f>
        <v>6316.00016859347</v>
      </c>
      <c r="AE139" s="52" t="n">
        <f aca="false">IF(Y139="PERCENTAGE_OF_BASE_FREIGHT",AD139*Z139,IF(Y139="PER_CHARGEABLE_KG",R139*Z139,P139*Z139))</f>
        <v>485.846166814883</v>
      </c>
      <c r="AF139" s="52" t="n">
        <f aca="false">AD139*AC139</f>
        <v>49012.1613082853</v>
      </c>
      <c r="AG139" s="52" t="n">
        <f aca="false">AE139*AC139</f>
        <v>3770.16625448349</v>
      </c>
      <c r="AH139" s="52" t="s">
        <v>195</v>
      </c>
      <c r="AI139" s="52" t="n">
        <v>1.0542</v>
      </c>
      <c r="AJ139" s="52" t="n">
        <f aca="false">IF(AH139="EUR",AA139,IF(AH139="GBP",AB139,1))</f>
        <v>7.76</v>
      </c>
      <c r="AK139" s="52" t="n">
        <f aca="false">N139*AI139</f>
        <v>3027.7846872</v>
      </c>
      <c r="AL139" s="52" t="n">
        <f aca="false">AK139*AJ139</f>
        <v>23495.609172672</v>
      </c>
      <c r="AM139" s="52" t="s">
        <v>195</v>
      </c>
      <c r="AN139" s="52" t="n">
        <v>0.38152</v>
      </c>
      <c r="AO139" s="52" t="n">
        <f aca="false">IF(AM139="EUR",AA139,IF(AM139="GBP",AB139,1))</f>
        <v>7.76</v>
      </c>
      <c r="AP139" s="52" t="n">
        <f aca="false">P139*AN139</f>
        <v>1162.6773939773</v>
      </c>
      <c r="AQ139" s="52" t="n">
        <f aca="false">AP139*AO139</f>
        <v>9022.37657726384</v>
      </c>
      <c r="AR139" s="52" t="s">
        <v>195</v>
      </c>
      <c r="AS139" s="52" t="n">
        <v>3.012</v>
      </c>
      <c r="AT139" s="52" t="n">
        <f aca="false">IF(AR139="EUR",AA139,IF(AR139="GBP",AB139,1))</f>
        <v>7.76</v>
      </c>
      <c r="AU139" s="52" t="n">
        <f aca="false">T139*AS139</f>
        <v>519.04880352</v>
      </c>
      <c r="AV139" s="52" t="n">
        <f aca="false">AU139*AT139</f>
        <v>4027.8187153152</v>
      </c>
      <c r="AW139" s="52" t="s">
        <v>195</v>
      </c>
      <c r="AX139" s="52" t="n">
        <v>2.3092</v>
      </c>
      <c r="AY139" s="52" t="n">
        <f aca="false">IF(AW139="EUR",AA139,IF(AW139="GBP",AB139,1))</f>
        <v>7.76</v>
      </c>
      <c r="AZ139" s="52" t="n">
        <f aca="false">V139*AX139</f>
        <v>100.49204296787</v>
      </c>
      <c r="BA139" s="52" t="n">
        <f aca="false">AZ139*AY139</f>
        <v>779.818253430667</v>
      </c>
      <c r="BB139" s="52" t="n">
        <f aca="false">AF139+AG139+AL139+AQ139+AV139+BA139</f>
        <v>90107.9502814505</v>
      </c>
      <c r="BC139" s="54" t="n">
        <v>0.974</v>
      </c>
      <c r="BD139" s="32"/>
      <c r="BE139" s="32"/>
      <c r="BF139" s="32"/>
      <c r="BG139" s="32" t="s">
        <v>197</v>
      </c>
    </row>
    <row r="140" customFormat="false" ht="15" hidden="false" customHeight="false" outlineLevel="0" collapsed="false">
      <c r="A140" s="18" t="s">
        <v>200</v>
      </c>
      <c r="B140" s="18" t="s">
        <v>201</v>
      </c>
      <c r="C140" s="18"/>
      <c r="D140" s="49" t="n">
        <v>46054</v>
      </c>
      <c r="E140" s="18" t="s">
        <v>118</v>
      </c>
      <c r="F140" s="18" t="s">
        <v>119</v>
      </c>
      <c r="G140" s="18" t="s">
        <v>100</v>
      </c>
      <c r="H140" s="18" t="s">
        <v>101</v>
      </c>
      <c r="I140" s="18" t="s">
        <v>102</v>
      </c>
      <c r="J140" s="50" t="n">
        <v>13680</v>
      </c>
      <c r="K140" s="51" t="n">
        <v>0.263</v>
      </c>
      <c r="L140" s="51" t="n">
        <v>0.96</v>
      </c>
      <c r="M140" s="51" t="n">
        <v>0.62</v>
      </c>
      <c r="N140" s="52" t="n">
        <f aca="false">J140*K140*L140*M140</f>
        <v>2141.434368</v>
      </c>
      <c r="O140" s="50" t="n">
        <v>1.12112</v>
      </c>
      <c r="P140" s="52" t="n">
        <f aca="false">N140*O140</f>
        <v>2400.80489865216</v>
      </c>
      <c r="Q140" s="50" t="n">
        <v>1.0251</v>
      </c>
      <c r="R140" s="52" t="n">
        <f aca="false">P140*Q140</f>
        <v>2461.06510160833</v>
      </c>
      <c r="S140" s="50" t="n">
        <v>0.08</v>
      </c>
      <c r="T140" s="52" t="n">
        <f aca="false">N140*S140</f>
        <v>171.31474944</v>
      </c>
      <c r="U140" s="52" t="n">
        <v>0.02244</v>
      </c>
      <c r="V140" s="52" t="n">
        <f aca="false">P140*U140</f>
        <v>53.8740619257545</v>
      </c>
      <c r="W140" s="53" t="s">
        <v>199</v>
      </c>
      <c r="X140" s="50" t="n">
        <v>4.016</v>
      </c>
      <c r="Y140" s="53" t="s">
        <v>196</v>
      </c>
      <c r="Z140" s="50" t="n">
        <v>0.1004</v>
      </c>
      <c r="AA140" s="50" t="n">
        <v>7.76</v>
      </c>
      <c r="AB140" s="50" t="n">
        <v>9.02</v>
      </c>
      <c r="AC140" s="52" t="n">
        <f aca="false">IF(W140="EUR",AA140,IF(W140="GBP",AB140,1))</f>
        <v>9.02</v>
      </c>
      <c r="AD140" s="52" t="n">
        <f aca="false">R140*X140</f>
        <v>9883.63744805905</v>
      </c>
      <c r="AE140" s="52" t="n">
        <f aca="false">IF(Y140="PERCENTAGE_OF_BASE_FREIGHT",AD140*Z140,IF(Y140="PER_CHARGEABLE_KG",R140*Z140,P140*Z140))</f>
        <v>992.317199785128</v>
      </c>
      <c r="AF140" s="52" t="n">
        <f aca="false">AD140*AC140</f>
        <v>89150.4097814926</v>
      </c>
      <c r="AG140" s="52" t="n">
        <f aca="false">AE140*AC140</f>
        <v>8950.70114206186</v>
      </c>
      <c r="AH140" s="52" t="s">
        <v>195</v>
      </c>
      <c r="AI140" s="52" t="n">
        <v>1.18472</v>
      </c>
      <c r="AJ140" s="52" t="n">
        <f aca="false">IF(AH140="EUR",AA140,IF(AH140="GBP",AB140,1))</f>
        <v>7.76</v>
      </c>
      <c r="AK140" s="52" t="n">
        <f aca="false">N140*AI140</f>
        <v>2537.00012445696</v>
      </c>
      <c r="AL140" s="52" t="n">
        <f aca="false">AK140*AJ140</f>
        <v>19687.120965786</v>
      </c>
      <c r="AM140" s="52" t="s">
        <v>195</v>
      </c>
      <c r="AN140" s="52" t="n">
        <v>0.42168</v>
      </c>
      <c r="AO140" s="52" t="n">
        <f aca="false">IF(AM140="EUR",AA140,IF(AM140="GBP",AB140,1))</f>
        <v>7.76</v>
      </c>
      <c r="AP140" s="52" t="n">
        <f aca="false">P140*AN140</f>
        <v>1012.37140966364</v>
      </c>
      <c r="AQ140" s="52" t="n">
        <f aca="false">AP140*AO140</f>
        <v>7856.00213898987</v>
      </c>
      <c r="AR140" s="52" t="s">
        <v>199</v>
      </c>
      <c r="AS140" s="52" t="n">
        <v>4.8192</v>
      </c>
      <c r="AT140" s="52" t="n">
        <f aca="false">IF(AR140="EUR",AA140,IF(AR140="GBP",AB140,1))</f>
        <v>9.02</v>
      </c>
      <c r="AU140" s="52" t="n">
        <f aca="false">T140*AS140</f>
        <v>825.600040501248</v>
      </c>
      <c r="AV140" s="52" t="n">
        <f aca="false">AU140*AT140</f>
        <v>7446.91236532126</v>
      </c>
      <c r="AW140" s="52" t="s">
        <v>199</v>
      </c>
      <c r="AX140" s="52" t="n">
        <v>2.3092</v>
      </c>
      <c r="AY140" s="52" t="n">
        <f aca="false">IF(AW140="EUR",AA140,IF(AW140="GBP",AB140,1))</f>
        <v>9.02</v>
      </c>
      <c r="AZ140" s="52" t="n">
        <f aca="false">V140*AX140</f>
        <v>124.405983798952</v>
      </c>
      <c r="BA140" s="52" t="n">
        <f aca="false">AZ140*AY140</f>
        <v>1122.14197386655</v>
      </c>
      <c r="BB140" s="52" t="n">
        <f aca="false">AF140+AG140+AL140+AQ140+AV140+BA140</f>
        <v>134213.288367518</v>
      </c>
      <c r="BC140" s="54" t="n">
        <v>0.931</v>
      </c>
      <c r="BD140" s="32"/>
      <c r="BE140" s="32"/>
      <c r="BF140" s="32"/>
      <c r="BG140" s="32" t="s">
        <v>197</v>
      </c>
    </row>
    <row r="141" customFormat="false" ht="15" hidden="false" customHeight="false" outlineLevel="0" collapsed="false">
      <c r="A141" s="18" t="s">
        <v>200</v>
      </c>
      <c r="B141" s="18" t="s">
        <v>201</v>
      </c>
      <c r="C141" s="18"/>
      <c r="D141" s="49" t="n">
        <v>46054</v>
      </c>
      <c r="E141" s="18" t="s">
        <v>122</v>
      </c>
      <c r="F141" s="18" t="s">
        <v>119</v>
      </c>
      <c r="G141" s="18" t="s">
        <v>100</v>
      </c>
      <c r="H141" s="18" t="s">
        <v>107</v>
      </c>
      <c r="I141" s="18" t="s">
        <v>102</v>
      </c>
      <c r="J141" s="50" t="n">
        <v>13680</v>
      </c>
      <c r="K141" s="51" t="n">
        <v>0.263</v>
      </c>
      <c r="L141" s="51" t="n">
        <v>0.96</v>
      </c>
      <c r="M141" s="51" t="n">
        <v>0.25</v>
      </c>
      <c r="N141" s="52" t="n">
        <f aca="false">J141*K141*L141*M141</f>
        <v>863.4816</v>
      </c>
      <c r="O141" s="50" t="n">
        <v>1.12112</v>
      </c>
      <c r="P141" s="52" t="n">
        <f aca="false">N141*O141</f>
        <v>968.066491392</v>
      </c>
      <c r="Q141" s="50" t="n">
        <v>1.005</v>
      </c>
      <c r="R141" s="52" t="n">
        <f aca="false">P141*Q141</f>
        <v>972.90682384896</v>
      </c>
      <c r="S141" s="50" t="n">
        <v>0.08</v>
      </c>
      <c r="T141" s="52" t="n">
        <f aca="false">N141*S141</f>
        <v>69.078528</v>
      </c>
      <c r="U141" s="52" t="n">
        <v>0.01734</v>
      </c>
      <c r="V141" s="52" t="n">
        <f aca="false">P141*U141</f>
        <v>16.7862729607373</v>
      </c>
      <c r="W141" s="53" t="s">
        <v>199</v>
      </c>
      <c r="X141" s="50" t="n">
        <v>4.7188</v>
      </c>
      <c r="Y141" s="53" t="s">
        <v>198</v>
      </c>
      <c r="Z141" s="50" t="n">
        <v>0.33132</v>
      </c>
      <c r="AA141" s="50" t="n">
        <v>7.76</v>
      </c>
      <c r="AB141" s="50" t="n">
        <v>9.02</v>
      </c>
      <c r="AC141" s="52" t="n">
        <f aca="false">IF(W141="EUR",AA141,IF(W141="GBP",AB141,1))</f>
        <v>9.02</v>
      </c>
      <c r="AD141" s="52" t="n">
        <f aca="false">R141*X141</f>
        <v>4590.95272037847</v>
      </c>
      <c r="AE141" s="52" t="n">
        <f aca="false">IF(Y141="PERCENTAGE_OF_BASE_FREIGHT",AD141*Z141,IF(Y141="PER_CHARGEABLE_KG",R141*Z141,P141*Z141))</f>
        <v>322.343488877637</v>
      </c>
      <c r="AF141" s="52" t="n">
        <f aca="false">AD141*AC141</f>
        <v>41410.3935378138</v>
      </c>
      <c r="AG141" s="52" t="n">
        <f aca="false">AE141*AC141</f>
        <v>2907.53826967629</v>
      </c>
      <c r="AH141" s="52" t="s">
        <v>195</v>
      </c>
      <c r="AI141" s="52" t="n">
        <v>1.18472</v>
      </c>
      <c r="AJ141" s="52" t="n">
        <f aca="false">IF(AH141="EUR",AA141,IF(AH141="GBP",AB141,1))</f>
        <v>7.76</v>
      </c>
      <c r="AK141" s="52" t="n">
        <f aca="false">N141*AI141</f>
        <v>1022.983921152</v>
      </c>
      <c r="AL141" s="52" t="n">
        <f aca="false">AK141*AJ141</f>
        <v>7938.35522813952</v>
      </c>
      <c r="AM141" s="52" t="s">
        <v>195</v>
      </c>
      <c r="AN141" s="52" t="n">
        <v>0.42168</v>
      </c>
      <c r="AO141" s="52" t="n">
        <f aca="false">IF(AM141="EUR",AA141,IF(AM141="GBP",AB141,1))</f>
        <v>7.76</v>
      </c>
      <c r="AP141" s="52" t="n">
        <f aca="false">P141*AN141</f>
        <v>408.214278090179</v>
      </c>
      <c r="AQ141" s="52" t="n">
        <f aca="false">AP141*AO141</f>
        <v>3167.74279797979</v>
      </c>
      <c r="AR141" s="52" t="s">
        <v>199</v>
      </c>
      <c r="AS141" s="52" t="n">
        <v>4.8192</v>
      </c>
      <c r="AT141" s="52" t="n">
        <f aca="false">IF(AR141="EUR",AA141,IF(AR141="GBP",AB141,1))</f>
        <v>9.02</v>
      </c>
      <c r="AU141" s="52" t="n">
        <f aca="false">T141*AS141</f>
        <v>332.9032421376</v>
      </c>
      <c r="AV141" s="52" t="n">
        <f aca="false">AU141*AT141</f>
        <v>3002.78724408115</v>
      </c>
      <c r="AW141" s="52" t="s">
        <v>199</v>
      </c>
      <c r="AX141" s="52" t="n">
        <v>2.3092</v>
      </c>
      <c r="AY141" s="52" t="n">
        <f aca="false">IF(AW141="EUR",AA141,IF(AW141="GBP",AB141,1))</f>
        <v>9.02</v>
      </c>
      <c r="AZ141" s="52" t="n">
        <f aca="false">V141*AX141</f>
        <v>38.7628615209345</v>
      </c>
      <c r="BA141" s="52" t="n">
        <f aca="false">AZ141*AY141</f>
        <v>349.641010918829</v>
      </c>
      <c r="BB141" s="52" t="n">
        <f aca="false">AF141+AG141+AL141+AQ141+AV141+BA141</f>
        <v>58776.4580886094</v>
      </c>
      <c r="BC141" s="54" t="n">
        <v>0.951</v>
      </c>
      <c r="BD141" s="32"/>
      <c r="BE141" s="32"/>
      <c r="BF141" s="32"/>
      <c r="BG141" s="32" t="s">
        <v>197</v>
      </c>
    </row>
    <row r="142" customFormat="false" ht="15" hidden="false" customHeight="false" outlineLevel="0" collapsed="false">
      <c r="A142" s="18" t="s">
        <v>200</v>
      </c>
      <c r="B142" s="18" t="s">
        <v>201</v>
      </c>
      <c r="C142" s="18"/>
      <c r="D142" s="49" t="n">
        <v>46054</v>
      </c>
      <c r="E142" s="18" t="s">
        <v>124</v>
      </c>
      <c r="F142" s="18" t="s">
        <v>119</v>
      </c>
      <c r="G142" s="18" t="s">
        <v>100</v>
      </c>
      <c r="H142" s="18" t="s">
        <v>107</v>
      </c>
      <c r="I142" s="18" t="s">
        <v>125</v>
      </c>
      <c r="J142" s="50" t="n">
        <v>13680</v>
      </c>
      <c r="K142" s="51" t="n">
        <v>0.263</v>
      </c>
      <c r="L142" s="51" t="n">
        <v>0.96</v>
      </c>
      <c r="M142" s="51" t="n">
        <v>0.09</v>
      </c>
      <c r="N142" s="52" t="n">
        <f aca="false">J142*K142*L142*M142</f>
        <v>310.853376</v>
      </c>
      <c r="O142" s="50" t="n">
        <v>1.12112</v>
      </c>
      <c r="P142" s="52" t="n">
        <f aca="false">N142*O142</f>
        <v>348.50393690112</v>
      </c>
      <c r="Q142" s="50" t="n">
        <v>0.9447</v>
      </c>
      <c r="R142" s="52" t="n">
        <f aca="false">P142*Q142</f>
        <v>329.231669190488</v>
      </c>
      <c r="S142" s="50" t="n">
        <v>0.08</v>
      </c>
      <c r="T142" s="52" t="n">
        <f aca="false">N142*S142</f>
        <v>24.86827008</v>
      </c>
      <c r="U142" s="52" t="n">
        <v>0.01326</v>
      </c>
      <c r="V142" s="52" t="n">
        <f aca="false">P142*U142</f>
        <v>4.62116220330885</v>
      </c>
      <c r="W142" s="53" t="s">
        <v>199</v>
      </c>
      <c r="X142" s="50" t="n">
        <v>6.2248</v>
      </c>
      <c r="Y142" s="53" t="s">
        <v>196</v>
      </c>
      <c r="Z142" s="50" t="n">
        <v>0.11546</v>
      </c>
      <c r="AA142" s="50" t="n">
        <v>7.76</v>
      </c>
      <c r="AB142" s="50" t="n">
        <v>9.02</v>
      </c>
      <c r="AC142" s="52" t="n">
        <f aca="false">IF(W142="EUR",AA142,IF(W142="GBP",AB142,1))</f>
        <v>9.02</v>
      </c>
      <c r="AD142" s="52" t="n">
        <f aca="false">R142*X142</f>
        <v>2049.40129437695</v>
      </c>
      <c r="AE142" s="52" t="n">
        <f aca="false">IF(Y142="PERCENTAGE_OF_BASE_FREIGHT",AD142*Z142,IF(Y142="PER_CHARGEABLE_KG",R142*Z142,P142*Z142))</f>
        <v>236.623873448763</v>
      </c>
      <c r="AF142" s="52" t="n">
        <f aca="false">AD142*AC142</f>
        <v>18485.5996752801</v>
      </c>
      <c r="AG142" s="52" t="n">
        <f aca="false">AE142*AC142</f>
        <v>2134.34733850784</v>
      </c>
      <c r="AH142" s="52" t="s">
        <v>195</v>
      </c>
      <c r="AI142" s="52" t="n">
        <v>1.18472</v>
      </c>
      <c r="AJ142" s="52" t="n">
        <f aca="false">IF(AH142="EUR",AA142,IF(AH142="GBP",AB142,1))</f>
        <v>7.76</v>
      </c>
      <c r="AK142" s="52" t="n">
        <f aca="false">N142*AI142</f>
        <v>368.27421161472</v>
      </c>
      <c r="AL142" s="52" t="n">
        <f aca="false">AK142*AJ142</f>
        <v>2857.80788213023</v>
      </c>
      <c r="AM142" s="52" t="s">
        <v>195</v>
      </c>
      <c r="AN142" s="52" t="n">
        <v>0.42168</v>
      </c>
      <c r="AO142" s="52" t="n">
        <f aca="false">IF(AM142="EUR",AA142,IF(AM142="GBP",AB142,1))</f>
        <v>7.76</v>
      </c>
      <c r="AP142" s="52" t="n">
        <f aca="false">P142*AN142</f>
        <v>146.957140112464</v>
      </c>
      <c r="AQ142" s="52" t="n">
        <f aca="false">AP142*AO142</f>
        <v>1140.38740727272</v>
      </c>
      <c r="AR142" s="52" t="s">
        <v>199</v>
      </c>
      <c r="AS142" s="52" t="n">
        <v>4.8192</v>
      </c>
      <c r="AT142" s="52" t="n">
        <f aca="false">IF(AR142="EUR",AA142,IF(AR142="GBP",AB142,1))</f>
        <v>9.02</v>
      </c>
      <c r="AU142" s="52" t="n">
        <f aca="false">T142*AS142</f>
        <v>119.845167169536</v>
      </c>
      <c r="AV142" s="52" t="n">
        <f aca="false">AU142*AT142</f>
        <v>1081.00340786921</v>
      </c>
      <c r="AW142" s="52" t="s">
        <v>199</v>
      </c>
      <c r="AX142" s="52" t="n">
        <v>2.8112</v>
      </c>
      <c r="AY142" s="52" t="n">
        <f aca="false">IF(AW142="EUR",AA142,IF(AW142="GBP",AB142,1))</f>
        <v>9.02</v>
      </c>
      <c r="AZ142" s="52" t="n">
        <f aca="false">V142*AX142</f>
        <v>12.9910111859418</v>
      </c>
      <c r="BA142" s="52" t="n">
        <f aca="false">AZ142*AY142</f>
        <v>117.178920897195</v>
      </c>
      <c r="BB142" s="52" t="n">
        <f aca="false">AF142+AG142+AL142+AQ142+AV142+BA142</f>
        <v>25816.3246319573</v>
      </c>
      <c r="BC142" s="54" t="n">
        <v>0.975</v>
      </c>
      <c r="BD142" s="32"/>
      <c r="BE142" s="32"/>
      <c r="BF142" s="32"/>
      <c r="BG142" s="32" t="s">
        <v>197</v>
      </c>
    </row>
    <row r="143" customFormat="false" ht="15" hidden="false" customHeight="false" outlineLevel="0" collapsed="false">
      <c r="A143" s="18" t="s">
        <v>200</v>
      </c>
      <c r="B143" s="18" t="s">
        <v>201</v>
      </c>
      <c r="C143" s="18"/>
      <c r="D143" s="49" t="n">
        <v>46054</v>
      </c>
      <c r="E143" s="18" t="s">
        <v>127</v>
      </c>
      <c r="F143" s="18" t="s">
        <v>119</v>
      </c>
      <c r="G143" s="18" t="s">
        <v>100</v>
      </c>
      <c r="H143" s="18" t="s">
        <v>128</v>
      </c>
      <c r="I143" s="18" t="s">
        <v>125</v>
      </c>
      <c r="J143" s="50" t="n">
        <v>13680</v>
      </c>
      <c r="K143" s="51" t="n">
        <v>0.263</v>
      </c>
      <c r="L143" s="51" t="n">
        <v>0.96</v>
      </c>
      <c r="M143" s="51" t="n">
        <v>0.04</v>
      </c>
      <c r="N143" s="52" t="n">
        <f aca="false">J143*K143*L143*M143</f>
        <v>138.157056</v>
      </c>
      <c r="O143" s="50" t="n">
        <v>1.12112</v>
      </c>
      <c r="P143" s="52" t="n">
        <f aca="false">N143*O143</f>
        <v>154.89063862272</v>
      </c>
      <c r="Q143" s="50" t="n">
        <v>0.9246</v>
      </c>
      <c r="R143" s="52" t="n">
        <f aca="false">P143*Q143</f>
        <v>143.211884470567</v>
      </c>
      <c r="S143" s="50" t="n">
        <v>0.08</v>
      </c>
      <c r="T143" s="52" t="n">
        <f aca="false">N143*S143</f>
        <v>11.05256448</v>
      </c>
      <c r="U143" s="52" t="n">
        <v>0.00918</v>
      </c>
      <c r="V143" s="52" t="n">
        <f aca="false">P143*U143</f>
        <v>1.42189606255657</v>
      </c>
      <c r="W143" s="53" t="s">
        <v>199</v>
      </c>
      <c r="X143" s="50" t="n">
        <v>7.53</v>
      </c>
      <c r="Y143" s="53" t="s">
        <v>198</v>
      </c>
      <c r="Z143" s="50" t="n">
        <v>0.58232</v>
      </c>
      <c r="AA143" s="50" t="n">
        <v>7.76</v>
      </c>
      <c r="AB143" s="50" t="n">
        <v>9.02</v>
      </c>
      <c r="AC143" s="52" t="n">
        <f aca="false">IF(W143="EUR",AA143,IF(W143="GBP",AB143,1))</f>
        <v>9.02</v>
      </c>
      <c r="AD143" s="52" t="n">
        <f aca="false">R143*X143</f>
        <v>1078.38549006337</v>
      </c>
      <c r="AE143" s="52" t="n">
        <f aca="false">IF(Y143="PERCENTAGE_OF_BASE_FREIGHT",AD143*Z143,IF(Y143="PER_CHARGEABLE_KG",R143*Z143,P143*Z143))</f>
        <v>83.3951445649005</v>
      </c>
      <c r="AF143" s="52" t="n">
        <f aca="false">AD143*AC143</f>
        <v>9727.03712037158</v>
      </c>
      <c r="AG143" s="52" t="n">
        <f aca="false">AE143*AC143</f>
        <v>752.224203975402</v>
      </c>
      <c r="AH143" s="52" t="s">
        <v>195</v>
      </c>
      <c r="AI143" s="52" t="n">
        <v>1.18472</v>
      </c>
      <c r="AJ143" s="52" t="n">
        <f aca="false">IF(AH143="EUR",AA143,IF(AH143="GBP",AB143,1))</f>
        <v>7.76</v>
      </c>
      <c r="AK143" s="52" t="n">
        <f aca="false">N143*AI143</f>
        <v>163.67742738432</v>
      </c>
      <c r="AL143" s="52" t="n">
        <f aca="false">AK143*AJ143</f>
        <v>1270.13683650232</v>
      </c>
      <c r="AM143" s="52" t="s">
        <v>195</v>
      </c>
      <c r="AN143" s="52" t="n">
        <v>0.42168</v>
      </c>
      <c r="AO143" s="52" t="n">
        <f aca="false">IF(AM143="EUR",AA143,IF(AM143="GBP",AB143,1))</f>
        <v>7.76</v>
      </c>
      <c r="AP143" s="52" t="n">
        <f aca="false">P143*AN143</f>
        <v>65.3142844944286</v>
      </c>
      <c r="AQ143" s="52" t="n">
        <f aca="false">AP143*AO143</f>
        <v>506.838847676766</v>
      </c>
      <c r="AR143" s="52" t="s">
        <v>199</v>
      </c>
      <c r="AS143" s="52" t="n">
        <v>4.8192</v>
      </c>
      <c r="AT143" s="52" t="n">
        <f aca="false">IF(AR143="EUR",AA143,IF(AR143="GBP",AB143,1))</f>
        <v>9.02</v>
      </c>
      <c r="AU143" s="52" t="n">
        <f aca="false">T143*AS143</f>
        <v>53.264518742016</v>
      </c>
      <c r="AV143" s="52" t="n">
        <f aca="false">AU143*AT143</f>
        <v>480.445959052984</v>
      </c>
      <c r="AW143" s="52" t="s">
        <v>199</v>
      </c>
      <c r="AX143" s="52" t="n">
        <v>3.6144</v>
      </c>
      <c r="AY143" s="52" t="n">
        <f aca="false">IF(AW143="EUR",AA143,IF(AW143="GBP",AB143,1))</f>
        <v>9.02</v>
      </c>
      <c r="AZ143" s="52" t="n">
        <f aca="false">V143*AX143</f>
        <v>5.13930112850446</v>
      </c>
      <c r="BA143" s="52" t="n">
        <f aca="false">AZ143*AY143</f>
        <v>46.3564961791103</v>
      </c>
      <c r="BB143" s="52" t="n">
        <f aca="false">AF143+AG143+AL143+AQ143+AV143+BA143</f>
        <v>12783.0394637582</v>
      </c>
      <c r="BC143" s="54" t="n">
        <v>0.989</v>
      </c>
      <c r="BD143" s="32"/>
      <c r="BE143" s="32"/>
      <c r="BF143" s="32"/>
      <c r="BG143" s="32" t="s">
        <v>197</v>
      </c>
    </row>
    <row r="144" customFormat="false" ht="15" hidden="false" customHeight="false" outlineLevel="0" collapsed="false">
      <c r="A144" s="18" t="s">
        <v>200</v>
      </c>
      <c r="B144" s="18" t="s">
        <v>201</v>
      </c>
      <c r="C144" s="18"/>
      <c r="D144" s="49" t="n">
        <v>46054</v>
      </c>
      <c r="E144" s="18" t="s">
        <v>130</v>
      </c>
      <c r="F144" s="18" t="s">
        <v>119</v>
      </c>
      <c r="G144" s="18" t="s">
        <v>110</v>
      </c>
      <c r="H144" s="18" t="s">
        <v>107</v>
      </c>
      <c r="I144" s="18" t="s">
        <v>125</v>
      </c>
      <c r="J144" s="50" t="n">
        <v>13680</v>
      </c>
      <c r="K144" s="51" t="n">
        <v>0.263</v>
      </c>
      <c r="L144" s="51" t="n">
        <v>0.04</v>
      </c>
      <c r="M144" s="51" t="n">
        <v>1</v>
      </c>
      <c r="N144" s="52" t="n">
        <f aca="false">J144*K144*L144*M144</f>
        <v>143.9136</v>
      </c>
      <c r="O144" s="50" t="n">
        <v>1.15115</v>
      </c>
      <c r="P144" s="52" t="n">
        <f aca="false">N144*O144</f>
        <v>165.66614064</v>
      </c>
      <c r="Q144" s="50" t="n">
        <v>0.9045</v>
      </c>
      <c r="R144" s="52" t="n">
        <f aca="false">P144*Q144</f>
        <v>149.84502420888</v>
      </c>
      <c r="S144" s="50" t="n">
        <v>0.08</v>
      </c>
      <c r="T144" s="52" t="n">
        <f aca="false">N144*S144</f>
        <v>11.513088</v>
      </c>
      <c r="U144" s="52" t="n">
        <v>0.01224</v>
      </c>
      <c r="V144" s="52" t="n">
        <f aca="false">P144*U144</f>
        <v>2.0277535614336</v>
      </c>
      <c r="W144" s="53" t="s">
        <v>195</v>
      </c>
      <c r="X144" s="50" t="n">
        <v>6.7268</v>
      </c>
      <c r="Y144" s="53" t="s">
        <v>196</v>
      </c>
      <c r="Z144" s="50" t="n">
        <v>0.10542</v>
      </c>
      <c r="AA144" s="50" t="n">
        <v>7.76</v>
      </c>
      <c r="AB144" s="50" t="n">
        <v>9.02</v>
      </c>
      <c r="AC144" s="52" t="n">
        <f aca="false">IF(W144="EUR",AA144,IF(W144="GBP",AB144,1))</f>
        <v>7.76</v>
      </c>
      <c r="AD144" s="52" t="n">
        <f aca="false">R144*X144</f>
        <v>1007.97750884829</v>
      </c>
      <c r="AE144" s="52" t="n">
        <f aca="false">IF(Y144="PERCENTAGE_OF_BASE_FREIGHT",AD144*Z144,IF(Y144="PER_CHARGEABLE_KG",R144*Z144,P144*Z144))</f>
        <v>106.260988982787</v>
      </c>
      <c r="AF144" s="52" t="n">
        <f aca="false">AD144*AC144</f>
        <v>7821.90546866276</v>
      </c>
      <c r="AG144" s="52" t="n">
        <f aca="false">AE144*AC144</f>
        <v>824.585274506428</v>
      </c>
      <c r="AH144" s="52" t="s">
        <v>195</v>
      </c>
      <c r="AI144" s="52" t="n">
        <v>1.0542</v>
      </c>
      <c r="AJ144" s="52" t="n">
        <f aca="false">IF(AH144="EUR",AA144,IF(AH144="GBP",AB144,1))</f>
        <v>7.76</v>
      </c>
      <c r="AK144" s="52" t="n">
        <f aca="false">N144*AI144</f>
        <v>151.71371712</v>
      </c>
      <c r="AL144" s="52" t="n">
        <f aca="false">AK144*AJ144</f>
        <v>1177.2984448512</v>
      </c>
      <c r="AM144" s="52" t="s">
        <v>195</v>
      </c>
      <c r="AN144" s="52" t="n">
        <v>0.38152</v>
      </c>
      <c r="AO144" s="52" t="n">
        <f aca="false">IF(AM144="EUR",AA144,IF(AM144="GBP",AB144,1))</f>
        <v>7.76</v>
      </c>
      <c r="AP144" s="52" t="n">
        <f aca="false">P144*AN144</f>
        <v>63.2049459769728</v>
      </c>
      <c r="AQ144" s="52" t="n">
        <f aca="false">AP144*AO144</f>
        <v>490.470380781309</v>
      </c>
      <c r="AR144" s="52" t="s">
        <v>195</v>
      </c>
      <c r="AS144" s="52" t="n">
        <v>5.2208</v>
      </c>
      <c r="AT144" s="52" t="n">
        <f aca="false">IF(AR144="EUR",AA144,IF(AR144="GBP",AB144,1))</f>
        <v>7.76</v>
      </c>
      <c r="AU144" s="52" t="n">
        <f aca="false">T144*AS144</f>
        <v>60.1075298304</v>
      </c>
      <c r="AV144" s="52" t="n">
        <f aca="false">AU144*AT144</f>
        <v>466.434431483904</v>
      </c>
      <c r="AW144" s="52" t="s">
        <v>195</v>
      </c>
      <c r="AX144" s="52" t="n">
        <v>2.8112</v>
      </c>
      <c r="AY144" s="52" t="n">
        <f aca="false">IF(AW144="EUR",AA144,IF(AW144="GBP",AB144,1))</f>
        <v>7.76</v>
      </c>
      <c r="AZ144" s="52" t="n">
        <f aca="false">V144*AX144</f>
        <v>5.70042081190214</v>
      </c>
      <c r="BA144" s="52" t="n">
        <f aca="false">AZ144*AY144</f>
        <v>44.2352655003606</v>
      </c>
      <c r="BB144" s="52" t="n">
        <f aca="false">AF144+AG144+AL144+AQ144+AV144+BA144</f>
        <v>10824.929265786</v>
      </c>
      <c r="BC144" s="54" t="n">
        <v>0.972</v>
      </c>
      <c r="BD144" s="32"/>
      <c r="BE144" s="32"/>
      <c r="BF144" s="32"/>
      <c r="BG144" s="32" t="s">
        <v>197</v>
      </c>
    </row>
    <row r="145" customFormat="false" ht="15" hidden="false" customHeight="false" outlineLevel="0" collapsed="false">
      <c r="A145" s="18" t="s">
        <v>200</v>
      </c>
      <c r="B145" s="18" t="s">
        <v>201</v>
      </c>
      <c r="C145" s="18"/>
      <c r="D145" s="49" t="n">
        <v>46082</v>
      </c>
      <c r="E145" s="18" t="s">
        <v>98</v>
      </c>
      <c r="F145" s="18" t="s">
        <v>99</v>
      </c>
      <c r="G145" s="18" t="s">
        <v>100</v>
      </c>
      <c r="H145" s="18" t="s">
        <v>101</v>
      </c>
      <c r="I145" s="18" t="s">
        <v>102</v>
      </c>
      <c r="J145" s="50" t="n">
        <v>15300</v>
      </c>
      <c r="K145" s="51" t="n">
        <v>0.397</v>
      </c>
      <c r="L145" s="51" t="n">
        <v>0.97</v>
      </c>
      <c r="M145" s="51" t="n">
        <v>0.6</v>
      </c>
      <c r="N145" s="52" t="n">
        <f aca="false">J145*K145*L145*M145</f>
        <v>3535.1262</v>
      </c>
      <c r="O145" s="50" t="n">
        <v>1.0521</v>
      </c>
      <c r="P145" s="52" t="n">
        <f aca="false">N145*O145</f>
        <v>3719.30627502</v>
      </c>
      <c r="Q145" s="50" t="n">
        <v>0.7839</v>
      </c>
      <c r="R145" s="52" t="n">
        <f aca="false">P145*Q145</f>
        <v>2915.56418898818</v>
      </c>
      <c r="S145" s="50" t="n">
        <v>0.05</v>
      </c>
      <c r="T145" s="52" t="n">
        <f aca="false">N145*S145</f>
        <v>176.75631</v>
      </c>
      <c r="U145" s="52" t="n">
        <v>0.01632</v>
      </c>
      <c r="V145" s="52" t="n">
        <f aca="false">P145*U145</f>
        <v>60.6990784083264</v>
      </c>
      <c r="W145" s="53" t="s">
        <v>195</v>
      </c>
      <c r="X145" s="50" t="n">
        <v>2.2132</v>
      </c>
      <c r="Y145" s="53" t="s">
        <v>196</v>
      </c>
      <c r="Z145" s="50" t="n">
        <v>0.09557</v>
      </c>
      <c r="AA145" s="50" t="n">
        <v>7.82</v>
      </c>
      <c r="AB145" s="50" t="n">
        <v>9.08</v>
      </c>
      <c r="AC145" s="52" t="n">
        <f aca="false">IF(W145="EUR",AA145,IF(W145="GBP",AB145,1))</f>
        <v>7.82</v>
      </c>
      <c r="AD145" s="52" t="n">
        <f aca="false">R145*X145</f>
        <v>6452.72666306864</v>
      </c>
      <c r="AE145" s="52" t="n">
        <f aca="false">IF(Y145="PERCENTAGE_OF_BASE_FREIGHT",AD145*Z145,IF(Y145="PER_CHARGEABLE_KG",R145*Z145,P145*Z145))</f>
        <v>616.68708718947</v>
      </c>
      <c r="AF145" s="52" t="n">
        <f aca="false">AD145*AC145</f>
        <v>50460.3225051967</v>
      </c>
      <c r="AG145" s="52" t="n">
        <f aca="false">AE145*AC145</f>
        <v>4822.49302182165</v>
      </c>
      <c r="AH145" s="52" t="s">
        <v>195</v>
      </c>
      <c r="AI145" s="52" t="n">
        <v>1.18708</v>
      </c>
      <c r="AJ145" s="52" t="n">
        <f aca="false">IF(AH145="EUR",AA145,IF(AH145="GBP",AB145,1))</f>
        <v>7.82</v>
      </c>
      <c r="AK145" s="52" t="n">
        <f aca="false">N145*AI145</f>
        <v>4196.477609496</v>
      </c>
      <c r="AL145" s="52" t="n">
        <f aca="false">AK145*AJ145</f>
        <v>32816.4549062587</v>
      </c>
      <c r="AM145" s="52" t="s">
        <v>195</v>
      </c>
      <c r="AN145" s="52" t="n">
        <v>0.42252</v>
      </c>
      <c r="AO145" s="52" t="n">
        <f aca="false">IF(AM145="EUR",AA145,IF(AM145="GBP",AB145,1))</f>
        <v>7.82</v>
      </c>
      <c r="AP145" s="52" t="n">
        <f aca="false">P145*AN145</f>
        <v>1571.48128732145</v>
      </c>
      <c r="AQ145" s="52" t="n">
        <f aca="false">AP145*AO145</f>
        <v>12288.9836668537</v>
      </c>
      <c r="AR145" s="52" t="s">
        <v>195</v>
      </c>
      <c r="AS145" s="52" t="n">
        <v>3.2192</v>
      </c>
      <c r="AT145" s="52" t="n">
        <f aca="false">IF(AR145="EUR",AA145,IF(AR145="GBP",AB145,1))</f>
        <v>7.82</v>
      </c>
      <c r="AU145" s="52" t="n">
        <f aca="false">T145*AS145</f>
        <v>569.013913152</v>
      </c>
      <c r="AV145" s="52" t="n">
        <f aca="false">AU145*AT145</f>
        <v>4449.68880084864</v>
      </c>
      <c r="AW145" s="52" t="s">
        <v>195</v>
      </c>
      <c r="AX145" s="52" t="n">
        <v>2.3138</v>
      </c>
      <c r="AY145" s="52" t="n">
        <f aca="false">IF(AW145="EUR",AA145,IF(AW145="GBP",AB145,1))</f>
        <v>7.82</v>
      </c>
      <c r="AZ145" s="52" t="n">
        <f aca="false">V145*AX145</f>
        <v>140.445527621186</v>
      </c>
      <c r="BA145" s="52" t="n">
        <f aca="false">AZ145*AY145</f>
        <v>1098.28402599767</v>
      </c>
      <c r="BB145" s="52" t="n">
        <f aca="false">AF145+AG145+AL145+AQ145+AV145+BA145</f>
        <v>105936.226926977</v>
      </c>
      <c r="BC145" s="54" t="n">
        <v>0.966</v>
      </c>
      <c r="BD145" s="32"/>
      <c r="BE145" s="32"/>
      <c r="BF145" s="32"/>
      <c r="BG145" s="32" t="s">
        <v>197</v>
      </c>
    </row>
    <row r="146" customFormat="false" ht="15" hidden="false" customHeight="false" outlineLevel="0" collapsed="false">
      <c r="A146" s="18" t="s">
        <v>200</v>
      </c>
      <c r="B146" s="18" t="s">
        <v>201</v>
      </c>
      <c r="C146" s="18"/>
      <c r="D146" s="49" t="n">
        <v>46082</v>
      </c>
      <c r="E146" s="18" t="s">
        <v>106</v>
      </c>
      <c r="F146" s="18" t="s">
        <v>99</v>
      </c>
      <c r="G146" s="18" t="s">
        <v>100</v>
      </c>
      <c r="H146" s="18" t="s">
        <v>107</v>
      </c>
      <c r="I146" s="18" t="s">
        <v>102</v>
      </c>
      <c r="J146" s="50" t="n">
        <v>15300</v>
      </c>
      <c r="K146" s="51" t="n">
        <v>0.397</v>
      </c>
      <c r="L146" s="51" t="n">
        <v>0.97</v>
      </c>
      <c r="M146" s="51" t="n">
        <v>0.4</v>
      </c>
      <c r="N146" s="52" t="n">
        <f aca="false">J146*K146*L146*M146</f>
        <v>2356.7508</v>
      </c>
      <c r="O146" s="50" t="n">
        <v>1.0521</v>
      </c>
      <c r="P146" s="52" t="n">
        <f aca="false">N146*O146</f>
        <v>2479.53751668</v>
      </c>
      <c r="Q146" s="50" t="n">
        <v>0.804</v>
      </c>
      <c r="R146" s="52" t="n">
        <f aca="false">P146*Q146</f>
        <v>1993.54816341072</v>
      </c>
      <c r="S146" s="50" t="n">
        <v>0.05</v>
      </c>
      <c r="T146" s="52" t="n">
        <f aca="false">N146*S146</f>
        <v>117.83754</v>
      </c>
      <c r="U146" s="52" t="n">
        <v>0.01326</v>
      </c>
      <c r="V146" s="52" t="n">
        <f aca="false">P146*U146</f>
        <v>32.8786674711768</v>
      </c>
      <c r="W146" s="53" t="s">
        <v>195</v>
      </c>
      <c r="X146" s="50" t="n">
        <v>2.7665</v>
      </c>
      <c r="Y146" s="53" t="s">
        <v>198</v>
      </c>
      <c r="Z146" s="50" t="n">
        <v>0.21126</v>
      </c>
      <c r="AA146" s="50" t="n">
        <v>7.82</v>
      </c>
      <c r="AB146" s="50" t="n">
        <v>9.08</v>
      </c>
      <c r="AC146" s="52" t="n">
        <f aca="false">IF(W146="EUR",AA146,IF(W146="GBP",AB146,1))</f>
        <v>7.82</v>
      </c>
      <c r="AD146" s="52" t="n">
        <f aca="false">R146*X146</f>
        <v>5515.15099407576</v>
      </c>
      <c r="AE146" s="52" t="n">
        <f aca="false">IF(Y146="PERCENTAGE_OF_BASE_FREIGHT",AD146*Z146,IF(Y146="PER_CHARGEABLE_KG",R146*Z146,P146*Z146))</f>
        <v>421.156985002149</v>
      </c>
      <c r="AF146" s="52" t="n">
        <f aca="false">AD146*AC146</f>
        <v>43128.4807736724</v>
      </c>
      <c r="AG146" s="52" t="n">
        <f aca="false">AE146*AC146</f>
        <v>3293.4476227168</v>
      </c>
      <c r="AH146" s="52" t="s">
        <v>195</v>
      </c>
      <c r="AI146" s="52" t="n">
        <v>1.18708</v>
      </c>
      <c r="AJ146" s="52" t="n">
        <f aca="false">IF(AH146="EUR",AA146,IF(AH146="GBP",AB146,1))</f>
        <v>7.82</v>
      </c>
      <c r="AK146" s="52" t="n">
        <f aca="false">N146*AI146</f>
        <v>2797.651739664</v>
      </c>
      <c r="AL146" s="52" t="n">
        <f aca="false">AK146*AJ146</f>
        <v>21877.6366041725</v>
      </c>
      <c r="AM146" s="52" t="s">
        <v>195</v>
      </c>
      <c r="AN146" s="52" t="n">
        <v>0.42252</v>
      </c>
      <c r="AO146" s="52" t="n">
        <f aca="false">IF(AM146="EUR",AA146,IF(AM146="GBP",AB146,1))</f>
        <v>7.82</v>
      </c>
      <c r="AP146" s="52" t="n">
        <f aca="false">P146*AN146</f>
        <v>1047.65419154763</v>
      </c>
      <c r="AQ146" s="52" t="n">
        <f aca="false">AP146*AO146</f>
        <v>8192.6557779025</v>
      </c>
      <c r="AR146" s="52" t="s">
        <v>195</v>
      </c>
      <c r="AS146" s="52" t="n">
        <v>3.2192</v>
      </c>
      <c r="AT146" s="52" t="n">
        <f aca="false">IF(AR146="EUR",AA146,IF(AR146="GBP",AB146,1))</f>
        <v>7.82</v>
      </c>
      <c r="AU146" s="52" t="n">
        <f aca="false">T146*AS146</f>
        <v>379.342608768</v>
      </c>
      <c r="AV146" s="52" t="n">
        <f aca="false">AU146*AT146</f>
        <v>2966.45920056576</v>
      </c>
      <c r="AW146" s="52" t="s">
        <v>195</v>
      </c>
      <c r="AX146" s="52" t="n">
        <v>2.3138</v>
      </c>
      <c r="AY146" s="52" t="n">
        <f aca="false">IF(AW146="EUR",AA146,IF(AW146="GBP",AB146,1))</f>
        <v>7.82</v>
      </c>
      <c r="AZ146" s="52" t="n">
        <f aca="false">V146*AX146</f>
        <v>76.0746607948089</v>
      </c>
      <c r="BA146" s="52" t="n">
        <f aca="false">AZ146*AY146</f>
        <v>594.903847415406</v>
      </c>
      <c r="BB146" s="52" t="n">
        <f aca="false">AF146+AG146+AL146+AQ146+AV146+BA146</f>
        <v>80053.5838264454</v>
      </c>
      <c r="BC146" s="54" t="n">
        <v>0.977</v>
      </c>
      <c r="BD146" s="32"/>
      <c r="BE146" s="32"/>
      <c r="BF146" s="32"/>
      <c r="BG146" s="32" t="s">
        <v>197</v>
      </c>
    </row>
    <row r="147" customFormat="false" ht="15" hidden="false" customHeight="false" outlineLevel="0" collapsed="false">
      <c r="A147" s="18" t="s">
        <v>200</v>
      </c>
      <c r="B147" s="18" t="s">
        <v>201</v>
      </c>
      <c r="C147" s="18"/>
      <c r="D147" s="49" t="n">
        <v>46082</v>
      </c>
      <c r="E147" s="18" t="s">
        <v>109</v>
      </c>
      <c r="F147" s="18" t="s">
        <v>99</v>
      </c>
      <c r="G147" s="18" t="s">
        <v>110</v>
      </c>
      <c r="H147" s="18" t="s">
        <v>107</v>
      </c>
      <c r="I147" s="18" t="s">
        <v>102</v>
      </c>
      <c r="J147" s="50" t="n">
        <v>15300</v>
      </c>
      <c r="K147" s="51" t="n">
        <v>0.397</v>
      </c>
      <c r="L147" s="51" t="n">
        <v>0.03</v>
      </c>
      <c r="M147" s="51" t="n">
        <v>1</v>
      </c>
      <c r="N147" s="52" t="n">
        <f aca="false">J147*K147*L147*M147</f>
        <v>182.223</v>
      </c>
      <c r="O147" s="50" t="n">
        <v>1.08216</v>
      </c>
      <c r="P147" s="52" t="n">
        <f aca="false">N147*O147</f>
        <v>197.19444168</v>
      </c>
      <c r="Q147" s="50" t="n">
        <v>0.8643</v>
      </c>
      <c r="R147" s="52" t="n">
        <f aca="false">P147*Q147</f>
        <v>170.435155944024</v>
      </c>
      <c r="S147" s="50" t="n">
        <v>0.05</v>
      </c>
      <c r="T147" s="52" t="n">
        <f aca="false">N147*S147</f>
        <v>9.11115</v>
      </c>
      <c r="U147" s="52" t="n">
        <v>0.01428</v>
      </c>
      <c r="V147" s="52" t="n">
        <f aca="false">P147*U147</f>
        <v>2.8159366271904</v>
      </c>
      <c r="W147" s="53" t="s">
        <v>195</v>
      </c>
      <c r="X147" s="50" t="n">
        <v>3.3198</v>
      </c>
      <c r="Y147" s="53" t="s">
        <v>198</v>
      </c>
      <c r="Z147" s="50" t="n">
        <v>0.24144</v>
      </c>
      <c r="AA147" s="50" t="n">
        <v>7.82</v>
      </c>
      <c r="AB147" s="50" t="n">
        <v>9.08</v>
      </c>
      <c r="AC147" s="52" t="n">
        <f aca="false">IF(W147="EUR",AA147,IF(W147="GBP",AB147,1))</f>
        <v>7.82</v>
      </c>
      <c r="AD147" s="52" t="n">
        <f aca="false">R147*X147</f>
        <v>565.810630702971</v>
      </c>
      <c r="AE147" s="52" t="n">
        <f aca="false">IF(Y147="PERCENTAGE_OF_BASE_FREIGHT",AD147*Z147,IF(Y147="PER_CHARGEABLE_KG",R147*Z147,P147*Z147))</f>
        <v>41.1498640511252</v>
      </c>
      <c r="AF147" s="52" t="n">
        <f aca="false">AD147*AC147</f>
        <v>4424.63913209723</v>
      </c>
      <c r="AG147" s="52" t="n">
        <f aca="false">AE147*AC147</f>
        <v>321.791936879799</v>
      </c>
      <c r="AH147" s="52" t="s">
        <v>195</v>
      </c>
      <c r="AI147" s="52" t="n">
        <v>1.0563</v>
      </c>
      <c r="AJ147" s="52" t="n">
        <f aca="false">IF(AH147="EUR",AA147,IF(AH147="GBP",AB147,1))</f>
        <v>7.82</v>
      </c>
      <c r="AK147" s="52" t="n">
        <f aca="false">N147*AI147</f>
        <v>192.4821549</v>
      </c>
      <c r="AL147" s="52" t="n">
        <f aca="false">AK147*AJ147</f>
        <v>1505.210451318</v>
      </c>
      <c r="AM147" s="52" t="s">
        <v>195</v>
      </c>
      <c r="AN147" s="52" t="n">
        <v>0.38228</v>
      </c>
      <c r="AO147" s="52" t="n">
        <f aca="false">IF(AM147="EUR",AA147,IF(AM147="GBP",AB147,1))</f>
        <v>7.82</v>
      </c>
      <c r="AP147" s="52" t="n">
        <f aca="false">P147*AN147</f>
        <v>75.3834911654304</v>
      </c>
      <c r="AQ147" s="52" t="n">
        <f aca="false">AP147*AO147</f>
        <v>589.498900913666</v>
      </c>
      <c r="AR147" s="52" t="s">
        <v>195</v>
      </c>
      <c r="AS147" s="52" t="n">
        <v>3.8228</v>
      </c>
      <c r="AT147" s="52" t="n">
        <f aca="false">IF(AR147="EUR",AA147,IF(AR147="GBP",AB147,1))</f>
        <v>7.82</v>
      </c>
      <c r="AU147" s="52" t="n">
        <f aca="false">T147*AS147</f>
        <v>34.83010422</v>
      </c>
      <c r="AV147" s="52" t="n">
        <f aca="false">AU147*AT147</f>
        <v>272.3714150004</v>
      </c>
      <c r="AW147" s="52" t="s">
        <v>195</v>
      </c>
      <c r="AX147" s="52" t="n">
        <v>2.3138</v>
      </c>
      <c r="AY147" s="52" t="n">
        <f aca="false">IF(AW147="EUR",AA147,IF(AW147="GBP",AB147,1))</f>
        <v>7.82</v>
      </c>
      <c r="AZ147" s="52" t="n">
        <f aca="false">V147*AX147</f>
        <v>6.51551416799315</v>
      </c>
      <c r="BA147" s="52" t="n">
        <f aca="false">AZ147*AY147</f>
        <v>50.9513207937064</v>
      </c>
      <c r="BB147" s="52" t="n">
        <f aca="false">AF147+AG147+AL147+AQ147+AV147+BA147</f>
        <v>7164.4631570028</v>
      </c>
      <c r="BC147" s="54" t="n">
        <v>0.969</v>
      </c>
      <c r="BD147" s="32"/>
      <c r="BE147" s="32"/>
      <c r="BF147" s="32"/>
      <c r="BG147" s="32" t="s">
        <v>197</v>
      </c>
    </row>
    <row r="148" customFormat="false" ht="15" hidden="false" customHeight="false" outlineLevel="0" collapsed="false">
      <c r="A148" s="18" t="s">
        <v>200</v>
      </c>
      <c r="B148" s="18" t="s">
        <v>201</v>
      </c>
      <c r="C148" s="18"/>
      <c r="D148" s="49" t="n">
        <v>46082</v>
      </c>
      <c r="E148" s="18" t="s">
        <v>112</v>
      </c>
      <c r="F148" s="18" t="s">
        <v>113</v>
      </c>
      <c r="G148" s="18" t="s">
        <v>110</v>
      </c>
      <c r="H148" s="18" t="s">
        <v>101</v>
      </c>
      <c r="I148" s="18" t="s">
        <v>102</v>
      </c>
      <c r="J148" s="50" t="n">
        <v>15300</v>
      </c>
      <c r="K148" s="51" t="n">
        <v>0.319</v>
      </c>
      <c r="L148" s="51" t="n">
        <v>1</v>
      </c>
      <c r="M148" s="51" t="n">
        <v>0.35</v>
      </c>
      <c r="N148" s="52" t="n">
        <f aca="false">J148*K148*L148*M148</f>
        <v>1708.245</v>
      </c>
      <c r="O148" s="50" t="n">
        <v>1.06212</v>
      </c>
      <c r="P148" s="52" t="n">
        <f aca="false">N148*O148</f>
        <v>1814.3611794</v>
      </c>
      <c r="Q148" s="50" t="n">
        <v>0.7638</v>
      </c>
      <c r="R148" s="52" t="n">
        <f aca="false">P148*Q148</f>
        <v>1385.80906882572</v>
      </c>
      <c r="S148" s="50" t="n">
        <v>0.06</v>
      </c>
      <c r="T148" s="52" t="n">
        <f aca="false">N148*S148</f>
        <v>102.4947</v>
      </c>
      <c r="U148" s="52" t="n">
        <v>0.01734</v>
      </c>
      <c r="V148" s="52" t="n">
        <f aca="false">P148*U148</f>
        <v>31.461022850796</v>
      </c>
      <c r="W148" s="53" t="s">
        <v>195</v>
      </c>
      <c r="X148" s="50" t="n">
        <v>2.1126</v>
      </c>
      <c r="Y148" s="53" t="s">
        <v>196</v>
      </c>
      <c r="Z148" s="50" t="n">
        <v>0.09054</v>
      </c>
      <c r="AA148" s="50" t="n">
        <v>7.82</v>
      </c>
      <c r="AB148" s="50" t="n">
        <v>9.08</v>
      </c>
      <c r="AC148" s="52" t="n">
        <f aca="false">IF(W148="EUR",AA148,IF(W148="GBP",AB148,1))</f>
        <v>7.82</v>
      </c>
      <c r="AD148" s="52" t="n">
        <f aca="false">R148*X148</f>
        <v>2927.66023880122</v>
      </c>
      <c r="AE148" s="52" t="n">
        <f aca="false">IF(Y148="PERCENTAGE_OF_BASE_FREIGHT",AD148*Z148,IF(Y148="PER_CHARGEABLE_KG",R148*Z148,P148*Z148))</f>
        <v>265.070358021062</v>
      </c>
      <c r="AF148" s="52" t="n">
        <f aca="false">AD148*AC148</f>
        <v>22894.3030674255</v>
      </c>
      <c r="AG148" s="52" t="n">
        <f aca="false">AE148*AC148</f>
        <v>2072.85019972471</v>
      </c>
      <c r="AH148" s="52" t="s">
        <v>195</v>
      </c>
      <c r="AI148" s="52" t="n">
        <v>1.0563</v>
      </c>
      <c r="AJ148" s="52" t="n">
        <f aca="false">IF(AH148="EUR",AA148,IF(AH148="GBP",AB148,1))</f>
        <v>7.82</v>
      </c>
      <c r="AK148" s="52" t="n">
        <f aca="false">N148*AI148</f>
        <v>1804.4191935</v>
      </c>
      <c r="AL148" s="52" t="n">
        <f aca="false">AK148*AJ148</f>
        <v>14110.55809317</v>
      </c>
      <c r="AM148" s="52" t="s">
        <v>195</v>
      </c>
      <c r="AN148" s="52" t="n">
        <v>0.38228</v>
      </c>
      <c r="AO148" s="52" t="n">
        <f aca="false">IF(AM148="EUR",AA148,IF(AM148="GBP",AB148,1))</f>
        <v>7.82</v>
      </c>
      <c r="AP148" s="52" t="n">
        <f aca="false">P148*AN148</f>
        <v>693.593991661032</v>
      </c>
      <c r="AQ148" s="52" t="n">
        <f aca="false">AP148*AO148</f>
        <v>5423.90501478927</v>
      </c>
      <c r="AR148" s="52" t="s">
        <v>195</v>
      </c>
      <c r="AS148" s="52" t="n">
        <v>3.018</v>
      </c>
      <c r="AT148" s="52" t="n">
        <f aca="false">IF(AR148="EUR",AA148,IF(AR148="GBP",AB148,1))</f>
        <v>7.82</v>
      </c>
      <c r="AU148" s="52" t="n">
        <f aca="false">T148*AS148</f>
        <v>309.3290046</v>
      </c>
      <c r="AV148" s="52" t="n">
        <f aca="false">AU148*AT148</f>
        <v>2418.952815972</v>
      </c>
      <c r="AW148" s="52" t="s">
        <v>195</v>
      </c>
      <c r="AX148" s="52" t="n">
        <v>2.3138</v>
      </c>
      <c r="AY148" s="52" t="n">
        <f aca="false">IF(AW148="EUR",AA148,IF(AW148="GBP",AB148,1))</f>
        <v>7.82</v>
      </c>
      <c r="AZ148" s="52" t="n">
        <f aca="false">V148*AX148</f>
        <v>72.7945146721718</v>
      </c>
      <c r="BA148" s="52" t="n">
        <f aca="false">AZ148*AY148</f>
        <v>569.253104736383</v>
      </c>
      <c r="BB148" s="52" t="n">
        <f aca="false">AF148+AG148+AL148+AQ148+AV148+BA148</f>
        <v>47489.8222958179</v>
      </c>
      <c r="BC148" s="54" t="n">
        <v>0.962</v>
      </c>
      <c r="BD148" s="32"/>
      <c r="BE148" s="32"/>
      <c r="BF148" s="32"/>
      <c r="BG148" s="32" t="s">
        <v>197</v>
      </c>
    </row>
    <row r="149" customFormat="false" ht="15" hidden="false" customHeight="false" outlineLevel="0" collapsed="false">
      <c r="A149" s="18" t="s">
        <v>200</v>
      </c>
      <c r="B149" s="18" t="s">
        <v>201</v>
      </c>
      <c r="C149" s="18"/>
      <c r="D149" s="49" t="n">
        <v>46082</v>
      </c>
      <c r="E149" s="18" t="s">
        <v>116</v>
      </c>
      <c r="F149" s="18" t="s">
        <v>113</v>
      </c>
      <c r="G149" s="18" t="s">
        <v>110</v>
      </c>
      <c r="H149" s="18" t="s">
        <v>107</v>
      </c>
      <c r="I149" s="18" t="s">
        <v>102</v>
      </c>
      <c r="J149" s="50" t="n">
        <v>15300</v>
      </c>
      <c r="K149" s="51" t="n">
        <v>0.319</v>
      </c>
      <c r="L149" s="51" t="n">
        <v>1</v>
      </c>
      <c r="M149" s="51" t="n">
        <v>0.65</v>
      </c>
      <c r="N149" s="52" t="n">
        <f aca="false">J149*K149*L149*M149</f>
        <v>3172.455</v>
      </c>
      <c r="O149" s="50" t="n">
        <v>1.06212</v>
      </c>
      <c r="P149" s="52" t="n">
        <f aca="false">N149*O149</f>
        <v>3369.5279046</v>
      </c>
      <c r="Q149" s="50" t="n">
        <v>0.79395</v>
      </c>
      <c r="R149" s="52" t="n">
        <f aca="false">P149*Q149</f>
        <v>2675.23667985717</v>
      </c>
      <c r="S149" s="50" t="n">
        <v>0.06</v>
      </c>
      <c r="T149" s="52" t="n">
        <f aca="false">N149*S149</f>
        <v>190.3473</v>
      </c>
      <c r="U149" s="52" t="n">
        <v>0.01428</v>
      </c>
      <c r="V149" s="52" t="n">
        <f aca="false">P149*U149</f>
        <v>48.116858477688</v>
      </c>
      <c r="W149" s="53" t="s">
        <v>195</v>
      </c>
      <c r="X149" s="50" t="n">
        <v>2.6156</v>
      </c>
      <c r="Y149" s="53" t="s">
        <v>198</v>
      </c>
      <c r="Z149" s="50" t="n">
        <v>0.2012</v>
      </c>
      <c r="AA149" s="50" t="n">
        <v>7.82</v>
      </c>
      <c r="AB149" s="50" t="n">
        <v>9.08</v>
      </c>
      <c r="AC149" s="52" t="n">
        <f aca="false">IF(W149="EUR",AA149,IF(W149="GBP",AB149,1))</f>
        <v>7.82</v>
      </c>
      <c r="AD149" s="52" t="n">
        <f aca="false">R149*X149</f>
        <v>6997.34905983441</v>
      </c>
      <c r="AE149" s="52" t="n">
        <f aca="false">IF(Y149="PERCENTAGE_OF_BASE_FREIGHT",AD149*Z149,IF(Y149="PER_CHARGEABLE_KG",R149*Z149,P149*Z149))</f>
        <v>538.257619987263</v>
      </c>
      <c r="AF149" s="52" t="n">
        <f aca="false">AD149*AC149</f>
        <v>54719.2696479051</v>
      </c>
      <c r="AG149" s="52" t="n">
        <f aca="false">AE149*AC149</f>
        <v>4209.17458830039</v>
      </c>
      <c r="AH149" s="52" t="s">
        <v>195</v>
      </c>
      <c r="AI149" s="52" t="n">
        <v>1.0563</v>
      </c>
      <c r="AJ149" s="52" t="n">
        <f aca="false">IF(AH149="EUR",AA149,IF(AH149="GBP",AB149,1))</f>
        <v>7.82</v>
      </c>
      <c r="AK149" s="52" t="n">
        <f aca="false">N149*AI149</f>
        <v>3351.0642165</v>
      </c>
      <c r="AL149" s="52" t="n">
        <f aca="false">AK149*AJ149</f>
        <v>26205.32217303</v>
      </c>
      <c r="AM149" s="52" t="s">
        <v>195</v>
      </c>
      <c r="AN149" s="52" t="n">
        <v>0.38228</v>
      </c>
      <c r="AO149" s="52" t="n">
        <f aca="false">IF(AM149="EUR",AA149,IF(AM149="GBP",AB149,1))</f>
        <v>7.82</v>
      </c>
      <c r="AP149" s="52" t="n">
        <f aca="false">P149*AN149</f>
        <v>1288.10312737049</v>
      </c>
      <c r="AQ149" s="52" t="n">
        <f aca="false">AP149*AO149</f>
        <v>10072.9664560372</v>
      </c>
      <c r="AR149" s="52" t="s">
        <v>195</v>
      </c>
      <c r="AS149" s="52" t="n">
        <v>3.018</v>
      </c>
      <c r="AT149" s="52" t="n">
        <f aca="false">IF(AR149="EUR",AA149,IF(AR149="GBP",AB149,1))</f>
        <v>7.82</v>
      </c>
      <c r="AU149" s="52" t="n">
        <f aca="false">T149*AS149</f>
        <v>574.4681514</v>
      </c>
      <c r="AV149" s="52" t="n">
        <f aca="false">AU149*AT149</f>
        <v>4492.340943948</v>
      </c>
      <c r="AW149" s="52" t="s">
        <v>195</v>
      </c>
      <c r="AX149" s="52" t="n">
        <v>2.3138</v>
      </c>
      <c r="AY149" s="52" t="n">
        <f aca="false">IF(AW149="EUR",AA149,IF(AW149="GBP",AB149,1))</f>
        <v>7.82</v>
      </c>
      <c r="AZ149" s="52" t="n">
        <f aca="false">V149*AX149</f>
        <v>111.332787145674</v>
      </c>
      <c r="BA149" s="52" t="n">
        <f aca="false">AZ149*AY149</f>
        <v>870.622395479174</v>
      </c>
      <c r="BB149" s="52" t="n">
        <f aca="false">AF149+AG149+AL149+AQ149+AV149+BA149</f>
        <v>100569.6962047</v>
      </c>
      <c r="BC149" s="54" t="n">
        <v>0.974</v>
      </c>
      <c r="BD149" s="32"/>
      <c r="BE149" s="32"/>
      <c r="BF149" s="32"/>
      <c r="BG149" s="32" t="s">
        <v>197</v>
      </c>
    </row>
    <row r="150" customFormat="false" ht="15" hidden="false" customHeight="false" outlineLevel="0" collapsed="false">
      <c r="A150" s="18" t="s">
        <v>200</v>
      </c>
      <c r="B150" s="18" t="s">
        <v>201</v>
      </c>
      <c r="C150" s="18"/>
      <c r="D150" s="49" t="n">
        <v>46082</v>
      </c>
      <c r="E150" s="18" t="s">
        <v>118</v>
      </c>
      <c r="F150" s="18" t="s">
        <v>119</v>
      </c>
      <c r="G150" s="18" t="s">
        <v>100</v>
      </c>
      <c r="H150" s="18" t="s">
        <v>101</v>
      </c>
      <c r="I150" s="18" t="s">
        <v>102</v>
      </c>
      <c r="J150" s="50" t="n">
        <v>15300</v>
      </c>
      <c r="K150" s="51" t="n">
        <v>0.284</v>
      </c>
      <c r="L150" s="51" t="n">
        <v>0.96</v>
      </c>
      <c r="M150" s="51" t="n">
        <v>0.62</v>
      </c>
      <c r="N150" s="52" t="n">
        <f aca="false">J150*K150*L150*M150</f>
        <v>2586.26304</v>
      </c>
      <c r="O150" s="50" t="n">
        <v>1.12224</v>
      </c>
      <c r="P150" s="52" t="n">
        <f aca="false">N150*O150</f>
        <v>2902.4078340096</v>
      </c>
      <c r="Q150" s="50" t="n">
        <v>1.0251</v>
      </c>
      <c r="R150" s="52" t="n">
        <f aca="false">P150*Q150</f>
        <v>2975.25827064324</v>
      </c>
      <c r="S150" s="50" t="n">
        <v>0.08</v>
      </c>
      <c r="T150" s="52" t="n">
        <f aca="false">N150*S150</f>
        <v>206.9010432</v>
      </c>
      <c r="U150" s="52" t="n">
        <v>0.02244</v>
      </c>
      <c r="V150" s="52" t="n">
        <f aca="false">P150*U150</f>
        <v>65.1300317951754</v>
      </c>
      <c r="W150" s="53" t="s">
        <v>199</v>
      </c>
      <c r="X150" s="50" t="n">
        <v>4.024</v>
      </c>
      <c r="Y150" s="53" t="s">
        <v>196</v>
      </c>
      <c r="Z150" s="50" t="n">
        <v>0.1006</v>
      </c>
      <c r="AA150" s="50" t="n">
        <v>7.82</v>
      </c>
      <c r="AB150" s="50" t="n">
        <v>9.08</v>
      </c>
      <c r="AC150" s="52" t="n">
        <f aca="false">IF(W150="EUR",AA150,IF(W150="GBP",AB150,1))</f>
        <v>9.08</v>
      </c>
      <c r="AD150" s="52" t="n">
        <f aca="false">R150*X150</f>
        <v>11972.4392810684</v>
      </c>
      <c r="AE150" s="52" t="n">
        <f aca="false">IF(Y150="PERCENTAGE_OF_BASE_FREIGHT",AD150*Z150,IF(Y150="PER_CHARGEABLE_KG",R150*Z150,P150*Z150))</f>
        <v>1204.42739167548</v>
      </c>
      <c r="AF150" s="52" t="n">
        <f aca="false">AD150*AC150</f>
        <v>108709.748672101</v>
      </c>
      <c r="AG150" s="52" t="n">
        <f aca="false">AE150*AC150</f>
        <v>10936.2007164134</v>
      </c>
      <c r="AH150" s="52" t="s">
        <v>195</v>
      </c>
      <c r="AI150" s="52" t="n">
        <v>1.18708</v>
      </c>
      <c r="AJ150" s="52" t="n">
        <f aca="false">IF(AH150="EUR",AA150,IF(AH150="GBP",AB150,1))</f>
        <v>7.82</v>
      </c>
      <c r="AK150" s="52" t="n">
        <f aca="false">N150*AI150</f>
        <v>3070.1011295232</v>
      </c>
      <c r="AL150" s="52" t="n">
        <f aca="false">AK150*AJ150</f>
        <v>24008.1908328714</v>
      </c>
      <c r="AM150" s="52" t="s">
        <v>195</v>
      </c>
      <c r="AN150" s="52" t="n">
        <v>0.42252</v>
      </c>
      <c r="AO150" s="52" t="n">
        <f aca="false">IF(AM150="EUR",AA150,IF(AM150="GBP",AB150,1))</f>
        <v>7.82</v>
      </c>
      <c r="AP150" s="52" t="n">
        <f aca="false">P150*AN150</f>
        <v>1226.32535802574</v>
      </c>
      <c r="AQ150" s="52" t="n">
        <f aca="false">AP150*AO150</f>
        <v>9589.86429976126</v>
      </c>
      <c r="AR150" s="52" t="s">
        <v>199</v>
      </c>
      <c r="AS150" s="52" t="n">
        <v>4.8288</v>
      </c>
      <c r="AT150" s="52" t="n">
        <f aca="false">IF(AR150="EUR",AA150,IF(AR150="GBP",AB150,1))</f>
        <v>9.08</v>
      </c>
      <c r="AU150" s="52" t="n">
        <f aca="false">T150*AS150</f>
        <v>999.08375740416</v>
      </c>
      <c r="AV150" s="52" t="n">
        <f aca="false">AU150*AT150</f>
        <v>9071.68051722977</v>
      </c>
      <c r="AW150" s="52" t="s">
        <v>199</v>
      </c>
      <c r="AX150" s="52" t="n">
        <v>2.3138</v>
      </c>
      <c r="AY150" s="52" t="n">
        <f aca="false">IF(AW150="EUR",AA150,IF(AW150="GBP",AB150,1))</f>
        <v>9.08</v>
      </c>
      <c r="AZ150" s="52" t="n">
        <f aca="false">V150*AX150</f>
        <v>150.697867567677</v>
      </c>
      <c r="BA150" s="52" t="n">
        <f aca="false">AZ150*AY150</f>
        <v>1368.33663751451</v>
      </c>
      <c r="BB150" s="52" t="n">
        <f aca="false">AF150+AG150+AL150+AQ150+AV150+BA150</f>
        <v>163684.021675891</v>
      </c>
      <c r="BC150" s="54" t="n">
        <v>0.931</v>
      </c>
      <c r="BD150" s="32"/>
      <c r="BE150" s="32"/>
      <c r="BF150" s="32"/>
      <c r="BG150" s="32" t="s">
        <v>197</v>
      </c>
    </row>
    <row r="151" customFormat="false" ht="15" hidden="false" customHeight="false" outlineLevel="0" collapsed="false">
      <c r="A151" s="18" t="s">
        <v>200</v>
      </c>
      <c r="B151" s="18" t="s">
        <v>201</v>
      </c>
      <c r="C151" s="18"/>
      <c r="D151" s="49" t="n">
        <v>46082</v>
      </c>
      <c r="E151" s="18" t="s">
        <v>122</v>
      </c>
      <c r="F151" s="18" t="s">
        <v>119</v>
      </c>
      <c r="G151" s="18" t="s">
        <v>100</v>
      </c>
      <c r="H151" s="18" t="s">
        <v>107</v>
      </c>
      <c r="I151" s="18" t="s">
        <v>102</v>
      </c>
      <c r="J151" s="50" t="n">
        <v>15300</v>
      </c>
      <c r="K151" s="51" t="n">
        <v>0.284</v>
      </c>
      <c r="L151" s="51" t="n">
        <v>0.96</v>
      </c>
      <c r="M151" s="51" t="n">
        <v>0.25</v>
      </c>
      <c r="N151" s="52" t="n">
        <f aca="false">J151*K151*L151*M151</f>
        <v>1042.848</v>
      </c>
      <c r="O151" s="50" t="n">
        <v>1.12224</v>
      </c>
      <c r="P151" s="52" t="n">
        <f aca="false">N151*O151</f>
        <v>1170.32573952</v>
      </c>
      <c r="Q151" s="50" t="n">
        <v>1.005</v>
      </c>
      <c r="R151" s="52" t="n">
        <f aca="false">P151*Q151</f>
        <v>1176.1773682176</v>
      </c>
      <c r="S151" s="50" t="n">
        <v>0.08</v>
      </c>
      <c r="T151" s="52" t="n">
        <f aca="false">N151*S151</f>
        <v>83.42784</v>
      </c>
      <c r="U151" s="52" t="n">
        <v>0.01734</v>
      </c>
      <c r="V151" s="52" t="n">
        <f aca="false">P151*U151</f>
        <v>20.2934483232768</v>
      </c>
      <c r="W151" s="53" t="s">
        <v>199</v>
      </c>
      <c r="X151" s="50" t="n">
        <v>4.7282</v>
      </c>
      <c r="Y151" s="53" t="s">
        <v>198</v>
      </c>
      <c r="Z151" s="50" t="n">
        <v>0.33198</v>
      </c>
      <c r="AA151" s="50" t="n">
        <v>7.82</v>
      </c>
      <c r="AB151" s="50" t="n">
        <v>9.08</v>
      </c>
      <c r="AC151" s="52" t="n">
        <f aca="false">IF(W151="EUR",AA151,IF(W151="GBP",AB151,1))</f>
        <v>9.08</v>
      </c>
      <c r="AD151" s="52" t="n">
        <f aca="false">R151*X151</f>
        <v>5561.20183240646</v>
      </c>
      <c r="AE151" s="52" t="n">
        <f aca="false">IF(Y151="PERCENTAGE_OF_BASE_FREIGHT",AD151*Z151,IF(Y151="PER_CHARGEABLE_KG",R151*Z151,P151*Z151))</f>
        <v>390.467362700879</v>
      </c>
      <c r="AF151" s="52" t="n">
        <f aca="false">AD151*AC151</f>
        <v>50495.7126382506</v>
      </c>
      <c r="AG151" s="52" t="n">
        <f aca="false">AE151*AC151</f>
        <v>3545.44365332398</v>
      </c>
      <c r="AH151" s="52" t="s">
        <v>195</v>
      </c>
      <c r="AI151" s="52" t="n">
        <v>1.18708</v>
      </c>
      <c r="AJ151" s="52" t="n">
        <f aca="false">IF(AH151="EUR",AA151,IF(AH151="GBP",AB151,1))</f>
        <v>7.82</v>
      </c>
      <c r="AK151" s="52" t="n">
        <f aca="false">N151*AI151</f>
        <v>1237.94400384</v>
      </c>
      <c r="AL151" s="52" t="n">
        <f aca="false">AK151*AJ151</f>
        <v>9680.7221100288</v>
      </c>
      <c r="AM151" s="52" t="s">
        <v>195</v>
      </c>
      <c r="AN151" s="52" t="n">
        <v>0.42252</v>
      </c>
      <c r="AO151" s="52" t="n">
        <f aca="false">IF(AM151="EUR",AA151,IF(AM151="GBP",AB151,1))</f>
        <v>7.82</v>
      </c>
      <c r="AP151" s="52" t="n">
        <f aca="false">P151*AN151</f>
        <v>494.48603146199</v>
      </c>
      <c r="AQ151" s="52" t="n">
        <f aca="false">AP151*AO151</f>
        <v>3866.88076603276</v>
      </c>
      <c r="AR151" s="52" t="s">
        <v>199</v>
      </c>
      <c r="AS151" s="52" t="n">
        <v>4.8288</v>
      </c>
      <c r="AT151" s="52" t="n">
        <f aca="false">IF(AR151="EUR",AA151,IF(AR151="GBP",AB151,1))</f>
        <v>9.08</v>
      </c>
      <c r="AU151" s="52" t="n">
        <f aca="false">T151*AS151</f>
        <v>402.856353792</v>
      </c>
      <c r="AV151" s="52" t="n">
        <f aca="false">AU151*AT151</f>
        <v>3657.93569243136</v>
      </c>
      <c r="AW151" s="52" t="s">
        <v>199</v>
      </c>
      <c r="AX151" s="52" t="n">
        <v>2.3138</v>
      </c>
      <c r="AY151" s="52" t="n">
        <f aca="false">IF(AW151="EUR",AA151,IF(AW151="GBP",AB151,1))</f>
        <v>9.08</v>
      </c>
      <c r="AZ151" s="52" t="n">
        <f aca="false">V151*AX151</f>
        <v>46.9549807303979</v>
      </c>
      <c r="BA151" s="52" t="n">
        <f aca="false">AZ151*AY151</f>
        <v>426.351225032013</v>
      </c>
      <c r="BB151" s="52" t="n">
        <f aca="false">AF151+AG151+AL151+AQ151+AV151+BA151</f>
        <v>71673.0460850995</v>
      </c>
      <c r="BC151" s="54" t="n">
        <v>0.951</v>
      </c>
      <c r="BD151" s="32"/>
      <c r="BE151" s="32"/>
      <c r="BF151" s="32"/>
      <c r="BG151" s="32" t="s">
        <v>197</v>
      </c>
    </row>
    <row r="152" customFormat="false" ht="15" hidden="false" customHeight="false" outlineLevel="0" collapsed="false">
      <c r="A152" s="18" t="s">
        <v>200</v>
      </c>
      <c r="B152" s="18" t="s">
        <v>201</v>
      </c>
      <c r="C152" s="18"/>
      <c r="D152" s="49" t="n">
        <v>46082</v>
      </c>
      <c r="E152" s="18" t="s">
        <v>124</v>
      </c>
      <c r="F152" s="18" t="s">
        <v>119</v>
      </c>
      <c r="G152" s="18" t="s">
        <v>100</v>
      </c>
      <c r="H152" s="18" t="s">
        <v>107</v>
      </c>
      <c r="I152" s="18" t="s">
        <v>125</v>
      </c>
      <c r="J152" s="50" t="n">
        <v>15300</v>
      </c>
      <c r="K152" s="51" t="n">
        <v>0.284</v>
      </c>
      <c r="L152" s="51" t="n">
        <v>0.96</v>
      </c>
      <c r="M152" s="51" t="n">
        <v>0.09</v>
      </c>
      <c r="N152" s="52" t="n">
        <f aca="false">J152*K152*L152*M152</f>
        <v>375.42528</v>
      </c>
      <c r="O152" s="50" t="n">
        <v>1.12224</v>
      </c>
      <c r="P152" s="52" t="n">
        <f aca="false">N152*O152</f>
        <v>421.3172662272</v>
      </c>
      <c r="Q152" s="50" t="n">
        <v>0.9447</v>
      </c>
      <c r="R152" s="52" t="n">
        <f aca="false">P152*Q152</f>
        <v>398.018421404836</v>
      </c>
      <c r="S152" s="50" t="n">
        <v>0.08</v>
      </c>
      <c r="T152" s="52" t="n">
        <f aca="false">N152*S152</f>
        <v>30.0340224</v>
      </c>
      <c r="U152" s="52" t="n">
        <v>0.01326</v>
      </c>
      <c r="V152" s="52" t="n">
        <f aca="false">P152*U152</f>
        <v>5.58666695017267</v>
      </c>
      <c r="W152" s="53" t="s">
        <v>199</v>
      </c>
      <c r="X152" s="50" t="n">
        <v>6.2372</v>
      </c>
      <c r="Y152" s="53" t="s">
        <v>196</v>
      </c>
      <c r="Z152" s="50" t="n">
        <v>0.11569</v>
      </c>
      <c r="AA152" s="50" t="n">
        <v>7.82</v>
      </c>
      <c r="AB152" s="50" t="n">
        <v>9.08</v>
      </c>
      <c r="AC152" s="52" t="n">
        <f aca="false">IF(W152="EUR",AA152,IF(W152="GBP",AB152,1))</f>
        <v>9.08</v>
      </c>
      <c r="AD152" s="52" t="n">
        <f aca="false">R152*X152</f>
        <v>2482.52049798624</v>
      </c>
      <c r="AE152" s="52" t="n">
        <f aca="false">IF(Y152="PERCENTAGE_OF_BASE_FREIGHT",AD152*Z152,IF(Y152="PER_CHARGEABLE_KG",R152*Z152,P152*Z152))</f>
        <v>287.202796412028</v>
      </c>
      <c r="AF152" s="52" t="n">
        <f aca="false">AD152*AC152</f>
        <v>22541.2861217151</v>
      </c>
      <c r="AG152" s="52" t="n">
        <f aca="false">AE152*AC152</f>
        <v>2607.80139142122</v>
      </c>
      <c r="AH152" s="52" t="s">
        <v>195</v>
      </c>
      <c r="AI152" s="52" t="n">
        <v>1.18708</v>
      </c>
      <c r="AJ152" s="52" t="n">
        <f aca="false">IF(AH152="EUR",AA152,IF(AH152="GBP",AB152,1))</f>
        <v>7.82</v>
      </c>
      <c r="AK152" s="52" t="n">
        <f aca="false">N152*AI152</f>
        <v>445.6598413824</v>
      </c>
      <c r="AL152" s="52" t="n">
        <f aca="false">AK152*AJ152</f>
        <v>3485.05995961037</v>
      </c>
      <c r="AM152" s="52" t="s">
        <v>195</v>
      </c>
      <c r="AN152" s="52" t="n">
        <v>0.42252</v>
      </c>
      <c r="AO152" s="52" t="n">
        <f aca="false">IF(AM152="EUR",AA152,IF(AM152="GBP",AB152,1))</f>
        <v>7.82</v>
      </c>
      <c r="AP152" s="52" t="n">
        <f aca="false">P152*AN152</f>
        <v>178.014971326317</v>
      </c>
      <c r="AQ152" s="52" t="n">
        <f aca="false">AP152*AO152</f>
        <v>1392.0770757718</v>
      </c>
      <c r="AR152" s="52" t="s">
        <v>199</v>
      </c>
      <c r="AS152" s="52" t="n">
        <v>4.8288</v>
      </c>
      <c r="AT152" s="52" t="n">
        <f aca="false">IF(AR152="EUR",AA152,IF(AR152="GBP",AB152,1))</f>
        <v>9.08</v>
      </c>
      <c r="AU152" s="52" t="n">
        <f aca="false">T152*AS152</f>
        <v>145.02828736512</v>
      </c>
      <c r="AV152" s="52" t="n">
        <f aca="false">AU152*AT152</f>
        <v>1316.85684927529</v>
      </c>
      <c r="AW152" s="52" t="s">
        <v>199</v>
      </c>
      <c r="AX152" s="52" t="n">
        <v>2.8168</v>
      </c>
      <c r="AY152" s="52" t="n">
        <f aca="false">IF(AW152="EUR",AA152,IF(AW152="GBP",AB152,1))</f>
        <v>9.08</v>
      </c>
      <c r="AZ152" s="52" t="n">
        <f aca="false">V152*AX152</f>
        <v>15.7365234652464</v>
      </c>
      <c r="BA152" s="52" t="n">
        <f aca="false">AZ152*AY152</f>
        <v>142.887633064437</v>
      </c>
      <c r="BB152" s="52" t="n">
        <f aca="false">AF152+AG152+AL152+AQ152+AV152+BA152</f>
        <v>31485.9690308582</v>
      </c>
      <c r="BC152" s="54" t="n">
        <v>0.975</v>
      </c>
      <c r="BD152" s="32"/>
      <c r="BE152" s="32"/>
      <c r="BF152" s="32"/>
      <c r="BG152" s="32" t="s">
        <v>197</v>
      </c>
    </row>
    <row r="153" customFormat="false" ht="15" hidden="false" customHeight="false" outlineLevel="0" collapsed="false">
      <c r="A153" s="18" t="s">
        <v>200</v>
      </c>
      <c r="B153" s="18" t="s">
        <v>201</v>
      </c>
      <c r="C153" s="18"/>
      <c r="D153" s="49" t="n">
        <v>46082</v>
      </c>
      <c r="E153" s="18" t="s">
        <v>127</v>
      </c>
      <c r="F153" s="18" t="s">
        <v>119</v>
      </c>
      <c r="G153" s="18" t="s">
        <v>100</v>
      </c>
      <c r="H153" s="18" t="s">
        <v>128</v>
      </c>
      <c r="I153" s="18" t="s">
        <v>125</v>
      </c>
      <c r="J153" s="50" t="n">
        <v>15300</v>
      </c>
      <c r="K153" s="51" t="n">
        <v>0.284</v>
      </c>
      <c r="L153" s="51" t="n">
        <v>0.96</v>
      </c>
      <c r="M153" s="51" t="n">
        <v>0.04</v>
      </c>
      <c r="N153" s="52" t="n">
        <f aca="false">J153*K153*L153*M153</f>
        <v>166.85568</v>
      </c>
      <c r="O153" s="50" t="n">
        <v>1.12224</v>
      </c>
      <c r="P153" s="52" t="n">
        <f aca="false">N153*O153</f>
        <v>187.2521183232</v>
      </c>
      <c r="Q153" s="50" t="n">
        <v>0.9246</v>
      </c>
      <c r="R153" s="52" t="n">
        <f aca="false">P153*Q153</f>
        <v>173.133308601631</v>
      </c>
      <c r="S153" s="50" t="n">
        <v>0.08</v>
      </c>
      <c r="T153" s="52" t="n">
        <f aca="false">N153*S153</f>
        <v>13.3484544</v>
      </c>
      <c r="U153" s="52" t="n">
        <v>0.00918</v>
      </c>
      <c r="V153" s="52" t="n">
        <f aca="false">P153*U153</f>
        <v>1.71897444620698</v>
      </c>
      <c r="W153" s="53" t="s">
        <v>199</v>
      </c>
      <c r="X153" s="50" t="n">
        <v>7.545</v>
      </c>
      <c r="Y153" s="53" t="s">
        <v>198</v>
      </c>
      <c r="Z153" s="50" t="n">
        <v>0.58348</v>
      </c>
      <c r="AA153" s="50" t="n">
        <v>7.82</v>
      </c>
      <c r="AB153" s="50" t="n">
        <v>9.08</v>
      </c>
      <c r="AC153" s="52" t="n">
        <f aca="false">IF(W153="EUR",AA153,IF(W153="GBP",AB153,1))</f>
        <v>9.08</v>
      </c>
      <c r="AD153" s="52" t="n">
        <f aca="false">R153*X153</f>
        <v>1306.2908133993</v>
      </c>
      <c r="AE153" s="52" t="n">
        <f aca="false">IF(Y153="PERCENTAGE_OF_BASE_FREIGHT",AD153*Z153,IF(Y153="PER_CHARGEABLE_KG",R153*Z153,P153*Z153))</f>
        <v>101.01982290288</v>
      </c>
      <c r="AF153" s="52" t="n">
        <f aca="false">AD153*AC153</f>
        <v>11861.1205856657</v>
      </c>
      <c r="AG153" s="52" t="n">
        <f aca="false">AE153*AC153</f>
        <v>917.259991958146</v>
      </c>
      <c r="AH153" s="52" t="s">
        <v>195</v>
      </c>
      <c r="AI153" s="52" t="n">
        <v>1.18708</v>
      </c>
      <c r="AJ153" s="52" t="n">
        <f aca="false">IF(AH153="EUR",AA153,IF(AH153="GBP",AB153,1))</f>
        <v>7.82</v>
      </c>
      <c r="AK153" s="52" t="n">
        <f aca="false">N153*AI153</f>
        <v>198.0710406144</v>
      </c>
      <c r="AL153" s="52" t="n">
        <f aca="false">AK153*AJ153</f>
        <v>1548.91553760461</v>
      </c>
      <c r="AM153" s="52" t="s">
        <v>195</v>
      </c>
      <c r="AN153" s="52" t="n">
        <v>0.42252</v>
      </c>
      <c r="AO153" s="52" t="n">
        <f aca="false">IF(AM153="EUR",AA153,IF(AM153="GBP",AB153,1))</f>
        <v>7.82</v>
      </c>
      <c r="AP153" s="52" t="n">
        <f aca="false">P153*AN153</f>
        <v>79.1177650339185</v>
      </c>
      <c r="AQ153" s="52" t="n">
        <f aca="false">AP153*AO153</f>
        <v>618.700922565242</v>
      </c>
      <c r="AR153" s="52" t="s">
        <v>199</v>
      </c>
      <c r="AS153" s="52" t="n">
        <v>4.8288</v>
      </c>
      <c r="AT153" s="52" t="n">
        <f aca="false">IF(AR153="EUR",AA153,IF(AR153="GBP",AB153,1))</f>
        <v>9.08</v>
      </c>
      <c r="AU153" s="52" t="n">
        <f aca="false">T153*AS153</f>
        <v>64.45701660672</v>
      </c>
      <c r="AV153" s="52" t="n">
        <f aca="false">AU153*AT153</f>
        <v>585.269710789018</v>
      </c>
      <c r="AW153" s="52" t="s">
        <v>199</v>
      </c>
      <c r="AX153" s="52" t="n">
        <v>3.6216</v>
      </c>
      <c r="AY153" s="52" t="n">
        <f aca="false">IF(AW153="EUR",AA153,IF(AW153="GBP",AB153,1))</f>
        <v>9.08</v>
      </c>
      <c r="AZ153" s="52" t="n">
        <f aca="false">V153*AX153</f>
        <v>6.22543785438318</v>
      </c>
      <c r="BA153" s="52" t="n">
        <f aca="false">AZ153*AY153</f>
        <v>56.5269757177993</v>
      </c>
      <c r="BB153" s="52" t="n">
        <f aca="false">AF153+AG153+AL153+AQ153+AV153+BA153</f>
        <v>15587.7937243005</v>
      </c>
      <c r="BC153" s="54" t="n">
        <v>0.989</v>
      </c>
      <c r="BD153" s="32"/>
      <c r="BE153" s="32"/>
      <c r="BF153" s="32"/>
      <c r="BG153" s="32" t="s">
        <v>197</v>
      </c>
    </row>
    <row r="154" customFormat="false" ht="15" hidden="false" customHeight="false" outlineLevel="0" collapsed="false">
      <c r="A154" s="18" t="s">
        <v>200</v>
      </c>
      <c r="B154" s="18" t="s">
        <v>201</v>
      </c>
      <c r="C154" s="18"/>
      <c r="D154" s="49" t="n">
        <v>46082</v>
      </c>
      <c r="E154" s="18" t="s">
        <v>130</v>
      </c>
      <c r="F154" s="18" t="s">
        <v>119</v>
      </c>
      <c r="G154" s="18" t="s">
        <v>110</v>
      </c>
      <c r="H154" s="18" t="s">
        <v>107</v>
      </c>
      <c r="I154" s="18" t="s">
        <v>125</v>
      </c>
      <c r="J154" s="50" t="n">
        <v>15300</v>
      </c>
      <c r="K154" s="51" t="n">
        <v>0.284</v>
      </c>
      <c r="L154" s="51" t="n">
        <v>0.04</v>
      </c>
      <c r="M154" s="51" t="n">
        <v>1</v>
      </c>
      <c r="N154" s="52" t="n">
        <f aca="false">J154*K154*L154*M154</f>
        <v>173.808</v>
      </c>
      <c r="O154" s="50" t="n">
        <v>1.1523</v>
      </c>
      <c r="P154" s="52" t="n">
        <f aca="false">N154*O154</f>
        <v>200.2789584</v>
      </c>
      <c r="Q154" s="50" t="n">
        <v>0.9045</v>
      </c>
      <c r="R154" s="52" t="n">
        <f aca="false">P154*Q154</f>
        <v>181.1523178728</v>
      </c>
      <c r="S154" s="50" t="n">
        <v>0.08</v>
      </c>
      <c r="T154" s="52" t="n">
        <f aca="false">N154*S154</f>
        <v>13.90464</v>
      </c>
      <c r="U154" s="52" t="n">
        <v>0.01224</v>
      </c>
      <c r="V154" s="52" t="n">
        <f aca="false">P154*U154</f>
        <v>2.451414450816</v>
      </c>
      <c r="W154" s="53" t="s">
        <v>195</v>
      </c>
      <c r="X154" s="50" t="n">
        <v>6.7402</v>
      </c>
      <c r="Y154" s="53" t="s">
        <v>196</v>
      </c>
      <c r="Z154" s="50" t="n">
        <v>0.10563</v>
      </c>
      <c r="AA154" s="50" t="n">
        <v>7.82</v>
      </c>
      <c r="AB154" s="50" t="n">
        <v>9.08</v>
      </c>
      <c r="AC154" s="52" t="n">
        <f aca="false">IF(W154="EUR",AA154,IF(W154="GBP",AB154,1))</f>
        <v>7.82</v>
      </c>
      <c r="AD154" s="52" t="n">
        <f aca="false">R154*X154</f>
        <v>1221.00285292625</v>
      </c>
      <c r="AE154" s="52" t="n">
        <f aca="false">IF(Y154="PERCENTAGE_OF_BASE_FREIGHT",AD154*Z154,IF(Y154="PER_CHARGEABLE_KG",R154*Z154,P154*Z154))</f>
        <v>128.974531354599</v>
      </c>
      <c r="AF154" s="52" t="n">
        <f aca="false">AD154*AC154</f>
        <v>9548.24230988325</v>
      </c>
      <c r="AG154" s="52" t="n">
        <f aca="false">AE154*AC154</f>
        <v>1008.58083519297</v>
      </c>
      <c r="AH154" s="52" t="s">
        <v>195</v>
      </c>
      <c r="AI154" s="52" t="n">
        <v>1.0563</v>
      </c>
      <c r="AJ154" s="52" t="n">
        <f aca="false">IF(AH154="EUR",AA154,IF(AH154="GBP",AB154,1))</f>
        <v>7.82</v>
      </c>
      <c r="AK154" s="52" t="n">
        <f aca="false">N154*AI154</f>
        <v>183.5933904</v>
      </c>
      <c r="AL154" s="52" t="n">
        <f aca="false">AK154*AJ154</f>
        <v>1435.700312928</v>
      </c>
      <c r="AM154" s="52" t="s">
        <v>195</v>
      </c>
      <c r="AN154" s="52" t="n">
        <v>0.38228</v>
      </c>
      <c r="AO154" s="52" t="n">
        <f aca="false">IF(AM154="EUR",AA154,IF(AM154="GBP",AB154,1))</f>
        <v>7.82</v>
      </c>
      <c r="AP154" s="52" t="n">
        <f aca="false">P154*AN154</f>
        <v>76.562640217152</v>
      </c>
      <c r="AQ154" s="52" t="n">
        <f aca="false">AP154*AO154</f>
        <v>598.719846498129</v>
      </c>
      <c r="AR154" s="52" t="s">
        <v>195</v>
      </c>
      <c r="AS154" s="52" t="n">
        <v>5.2312</v>
      </c>
      <c r="AT154" s="52" t="n">
        <f aca="false">IF(AR154="EUR",AA154,IF(AR154="GBP",AB154,1))</f>
        <v>7.82</v>
      </c>
      <c r="AU154" s="52" t="n">
        <f aca="false">T154*AS154</f>
        <v>72.737952768</v>
      </c>
      <c r="AV154" s="52" t="n">
        <f aca="false">AU154*AT154</f>
        <v>568.81079064576</v>
      </c>
      <c r="AW154" s="52" t="s">
        <v>195</v>
      </c>
      <c r="AX154" s="52" t="n">
        <v>2.8168</v>
      </c>
      <c r="AY154" s="52" t="n">
        <f aca="false">IF(AW154="EUR",AA154,IF(AW154="GBP",AB154,1))</f>
        <v>7.82</v>
      </c>
      <c r="AZ154" s="52" t="n">
        <f aca="false">V154*AX154</f>
        <v>6.90514422505851</v>
      </c>
      <c r="BA154" s="52" t="n">
        <f aca="false">AZ154*AY154</f>
        <v>53.9982278399576</v>
      </c>
      <c r="BB154" s="52" t="n">
        <f aca="false">AF154+AG154+AL154+AQ154+AV154+BA154</f>
        <v>13214.0523229881</v>
      </c>
      <c r="BC154" s="54" t="n">
        <v>0.972</v>
      </c>
      <c r="BD154" s="32"/>
      <c r="BE154" s="32"/>
      <c r="BF154" s="32"/>
      <c r="BG154" s="32" t="s">
        <v>197</v>
      </c>
    </row>
    <row r="155" customFormat="false" ht="15" hidden="false" customHeight="false" outlineLevel="0" collapsed="false">
      <c r="A155" s="18" t="s">
        <v>200</v>
      </c>
      <c r="B155" s="18" t="s">
        <v>201</v>
      </c>
      <c r="C155" s="18"/>
      <c r="D155" s="49" t="n">
        <v>46113</v>
      </c>
      <c r="E155" s="18" t="s">
        <v>98</v>
      </c>
      <c r="F155" s="18" t="s">
        <v>99</v>
      </c>
      <c r="G155" s="18" t="s">
        <v>100</v>
      </c>
      <c r="H155" s="18" t="s">
        <v>101</v>
      </c>
      <c r="I155" s="18" t="s">
        <v>102</v>
      </c>
      <c r="J155" s="50" t="n">
        <v>15800</v>
      </c>
      <c r="K155" s="51" t="n">
        <v>0.398</v>
      </c>
      <c r="L155" s="51" t="n">
        <v>0.97</v>
      </c>
      <c r="M155" s="51" t="n">
        <v>0.6</v>
      </c>
      <c r="N155" s="52" t="n">
        <f aca="false">J155*K155*L155*M155</f>
        <v>3659.8488</v>
      </c>
      <c r="O155" s="50" t="n">
        <v>1.05315</v>
      </c>
      <c r="P155" s="52" t="n">
        <f aca="false">N155*O155</f>
        <v>3854.36976372</v>
      </c>
      <c r="Q155" s="50" t="n">
        <v>0.7839</v>
      </c>
      <c r="R155" s="52" t="n">
        <f aca="false">P155*Q155</f>
        <v>3021.44045778011</v>
      </c>
      <c r="S155" s="50" t="n">
        <v>0.05</v>
      </c>
      <c r="T155" s="52" t="n">
        <f aca="false">N155*S155</f>
        <v>182.99244</v>
      </c>
      <c r="U155" s="52" t="n">
        <v>0.01632</v>
      </c>
      <c r="V155" s="52" t="n">
        <f aca="false">P155*U155</f>
        <v>62.9033145439104</v>
      </c>
      <c r="W155" s="53" t="s">
        <v>195</v>
      </c>
      <c r="X155" s="50" t="n">
        <v>2.2176</v>
      </c>
      <c r="Y155" s="53" t="s">
        <v>196</v>
      </c>
      <c r="Z155" s="50" t="n">
        <v>0.09576</v>
      </c>
      <c r="AA155" s="50" t="n">
        <v>7.84</v>
      </c>
      <c r="AB155" s="50" t="n">
        <v>9.11</v>
      </c>
      <c r="AC155" s="52" t="n">
        <f aca="false">IF(W155="EUR",AA155,IF(W155="GBP",AB155,1))</f>
        <v>7.84</v>
      </c>
      <c r="AD155" s="52" t="n">
        <f aca="false">R155*X155</f>
        <v>6700.34635917317</v>
      </c>
      <c r="AE155" s="52" t="n">
        <f aca="false">IF(Y155="PERCENTAGE_OF_BASE_FREIGHT",AD155*Z155,IF(Y155="PER_CHARGEABLE_KG",R155*Z155,P155*Z155))</f>
        <v>641.625167354423</v>
      </c>
      <c r="AF155" s="52" t="n">
        <f aca="false">AD155*AC155</f>
        <v>52530.7154559176</v>
      </c>
      <c r="AG155" s="52" t="n">
        <f aca="false">AE155*AC155</f>
        <v>5030.34131205867</v>
      </c>
      <c r="AH155" s="52" t="s">
        <v>195</v>
      </c>
      <c r="AI155" s="52" t="n">
        <v>1.18944</v>
      </c>
      <c r="AJ155" s="52" t="n">
        <f aca="false">IF(AH155="EUR",AA155,IF(AH155="GBP",AB155,1))</f>
        <v>7.84</v>
      </c>
      <c r="AK155" s="52" t="n">
        <f aca="false">N155*AI155</f>
        <v>4353.170556672</v>
      </c>
      <c r="AL155" s="52" t="n">
        <f aca="false">AK155*AJ155</f>
        <v>34128.8571643085</v>
      </c>
      <c r="AM155" s="52" t="s">
        <v>195</v>
      </c>
      <c r="AN155" s="52" t="n">
        <v>0.42336</v>
      </c>
      <c r="AO155" s="52" t="n">
        <f aca="false">IF(AM155="EUR",AA155,IF(AM155="GBP",AB155,1))</f>
        <v>7.84</v>
      </c>
      <c r="AP155" s="52" t="n">
        <f aca="false">P155*AN155</f>
        <v>1631.7859831685</v>
      </c>
      <c r="AQ155" s="52" t="n">
        <f aca="false">AP155*AO155</f>
        <v>12793.202108041</v>
      </c>
      <c r="AR155" s="52" t="s">
        <v>195</v>
      </c>
      <c r="AS155" s="52" t="n">
        <v>3.2256</v>
      </c>
      <c r="AT155" s="52" t="n">
        <f aca="false">IF(AR155="EUR",AA155,IF(AR155="GBP",AB155,1))</f>
        <v>7.84</v>
      </c>
      <c r="AU155" s="52" t="n">
        <f aca="false">T155*AS155</f>
        <v>590.260414464</v>
      </c>
      <c r="AV155" s="52" t="n">
        <f aca="false">AU155*AT155</f>
        <v>4627.64164939776</v>
      </c>
      <c r="AW155" s="52" t="s">
        <v>195</v>
      </c>
      <c r="AX155" s="52" t="n">
        <v>2.3184</v>
      </c>
      <c r="AY155" s="52" t="n">
        <f aca="false">IF(AW155="EUR",AA155,IF(AW155="GBP",AB155,1))</f>
        <v>7.84</v>
      </c>
      <c r="AZ155" s="52" t="n">
        <f aca="false">V155*AX155</f>
        <v>145.835044438602</v>
      </c>
      <c r="BA155" s="52" t="n">
        <f aca="false">AZ155*AY155</f>
        <v>1143.34674839864</v>
      </c>
      <c r="BB155" s="52" t="n">
        <f aca="false">AF155+AG155+AL155+AQ155+AV155+BA155</f>
        <v>110254.104438122</v>
      </c>
      <c r="BC155" s="54" t="n">
        <v>0.966</v>
      </c>
      <c r="BD155" s="32"/>
      <c r="BE155" s="32"/>
      <c r="BF155" s="32"/>
      <c r="BG155" s="32" t="s">
        <v>197</v>
      </c>
    </row>
    <row r="156" customFormat="false" ht="15" hidden="false" customHeight="false" outlineLevel="0" collapsed="false">
      <c r="A156" s="18" t="s">
        <v>200</v>
      </c>
      <c r="B156" s="18" t="s">
        <v>201</v>
      </c>
      <c r="C156" s="18"/>
      <c r="D156" s="49" t="n">
        <v>46113</v>
      </c>
      <c r="E156" s="18" t="s">
        <v>106</v>
      </c>
      <c r="F156" s="18" t="s">
        <v>99</v>
      </c>
      <c r="G156" s="18" t="s">
        <v>100</v>
      </c>
      <c r="H156" s="18" t="s">
        <v>107</v>
      </c>
      <c r="I156" s="18" t="s">
        <v>102</v>
      </c>
      <c r="J156" s="50" t="n">
        <v>15800</v>
      </c>
      <c r="K156" s="51" t="n">
        <v>0.398</v>
      </c>
      <c r="L156" s="51" t="n">
        <v>0.97</v>
      </c>
      <c r="M156" s="51" t="n">
        <v>0.4</v>
      </c>
      <c r="N156" s="52" t="n">
        <f aca="false">J156*K156*L156*M156</f>
        <v>2439.8992</v>
      </c>
      <c r="O156" s="50" t="n">
        <v>1.05315</v>
      </c>
      <c r="P156" s="52" t="n">
        <f aca="false">N156*O156</f>
        <v>2569.57984248</v>
      </c>
      <c r="Q156" s="50" t="n">
        <v>0.804</v>
      </c>
      <c r="R156" s="52" t="n">
        <f aca="false">P156*Q156</f>
        <v>2065.94219335392</v>
      </c>
      <c r="S156" s="50" t="n">
        <v>0.05</v>
      </c>
      <c r="T156" s="52" t="n">
        <f aca="false">N156*S156</f>
        <v>121.99496</v>
      </c>
      <c r="U156" s="52" t="n">
        <v>0.01326</v>
      </c>
      <c r="V156" s="52" t="n">
        <f aca="false">P156*U156</f>
        <v>34.0726287112848</v>
      </c>
      <c r="W156" s="53" t="s">
        <v>195</v>
      </c>
      <c r="X156" s="50" t="n">
        <v>2.772</v>
      </c>
      <c r="Y156" s="53" t="s">
        <v>198</v>
      </c>
      <c r="Z156" s="50" t="n">
        <v>0.21168</v>
      </c>
      <c r="AA156" s="50" t="n">
        <v>7.84</v>
      </c>
      <c r="AB156" s="50" t="n">
        <v>9.11</v>
      </c>
      <c r="AC156" s="52" t="n">
        <f aca="false">IF(W156="EUR",AA156,IF(W156="GBP",AB156,1))</f>
        <v>7.84</v>
      </c>
      <c r="AD156" s="52" t="n">
        <f aca="false">R156*X156</f>
        <v>5726.79175997707</v>
      </c>
      <c r="AE156" s="52" t="n">
        <f aca="false">IF(Y156="PERCENTAGE_OF_BASE_FREIGHT",AD156*Z156,IF(Y156="PER_CHARGEABLE_KG",R156*Z156,P156*Z156))</f>
        <v>437.318643489158</v>
      </c>
      <c r="AF156" s="52" t="n">
        <f aca="false">AD156*AC156</f>
        <v>44898.0473982202</v>
      </c>
      <c r="AG156" s="52" t="n">
        <f aca="false">AE156*AC156</f>
        <v>3428.578164955</v>
      </c>
      <c r="AH156" s="52" t="s">
        <v>195</v>
      </c>
      <c r="AI156" s="52" t="n">
        <v>1.18944</v>
      </c>
      <c r="AJ156" s="52" t="n">
        <f aca="false">IF(AH156="EUR",AA156,IF(AH156="GBP",AB156,1))</f>
        <v>7.84</v>
      </c>
      <c r="AK156" s="52" t="n">
        <f aca="false">N156*AI156</f>
        <v>2902.113704448</v>
      </c>
      <c r="AL156" s="52" t="n">
        <f aca="false">AK156*AJ156</f>
        <v>22752.5714428723</v>
      </c>
      <c r="AM156" s="52" t="s">
        <v>195</v>
      </c>
      <c r="AN156" s="52" t="n">
        <v>0.42336</v>
      </c>
      <c r="AO156" s="52" t="n">
        <f aca="false">IF(AM156="EUR",AA156,IF(AM156="GBP",AB156,1))</f>
        <v>7.84</v>
      </c>
      <c r="AP156" s="52" t="n">
        <f aca="false">P156*AN156</f>
        <v>1087.85732211233</v>
      </c>
      <c r="AQ156" s="52" t="n">
        <f aca="false">AP156*AO156</f>
        <v>8528.80140536069</v>
      </c>
      <c r="AR156" s="52" t="s">
        <v>195</v>
      </c>
      <c r="AS156" s="52" t="n">
        <v>3.2256</v>
      </c>
      <c r="AT156" s="52" t="n">
        <f aca="false">IF(AR156="EUR",AA156,IF(AR156="GBP",AB156,1))</f>
        <v>7.84</v>
      </c>
      <c r="AU156" s="52" t="n">
        <f aca="false">T156*AS156</f>
        <v>393.506942976</v>
      </c>
      <c r="AV156" s="52" t="n">
        <f aca="false">AU156*AT156</f>
        <v>3085.09443293184</v>
      </c>
      <c r="AW156" s="52" t="s">
        <v>195</v>
      </c>
      <c r="AX156" s="52" t="n">
        <v>2.3184</v>
      </c>
      <c r="AY156" s="52" t="n">
        <f aca="false">IF(AW156="EUR",AA156,IF(AW156="GBP",AB156,1))</f>
        <v>7.84</v>
      </c>
      <c r="AZ156" s="52" t="n">
        <f aca="false">V156*AX156</f>
        <v>78.9939824042427</v>
      </c>
      <c r="BA156" s="52" t="n">
        <f aca="false">AZ156*AY156</f>
        <v>619.312822049263</v>
      </c>
      <c r="BB156" s="52" t="n">
        <f aca="false">AF156+AG156+AL156+AQ156+AV156+BA156</f>
        <v>83312.4056663893</v>
      </c>
      <c r="BC156" s="54" t="n">
        <v>0.977</v>
      </c>
      <c r="BD156" s="32"/>
      <c r="BE156" s="32"/>
      <c r="BF156" s="32"/>
      <c r="BG156" s="32" t="s">
        <v>197</v>
      </c>
    </row>
    <row r="157" customFormat="false" ht="15" hidden="false" customHeight="false" outlineLevel="0" collapsed="false">
      <c r="A157" s="18" t="s">
        <v>200</v>
      </c>
      <c r="B157" s="18" t="s">
        <v>201</v>
      </c>
      <c r="C157" s="18"/>
      <c r="D157" s="49" t="n">
        <v>46113</v>
      </c>
      <c r="E157" s="18" t="s">
        <v>109</v>
      </c>
      <c r="F157" s="18" t="s">
        <v>99</v>
      </c>
      <c r="G157" s="18" t="s">
        <v>110</v>
      </c>
      <c r="H157" s="18" t="s">
        <v>107</v>
      </c>
      <c r="I157" s="18" t="s">
        <v>102</v>
      </c>
      <c r="J157" s="50" t="n">
        <v>15800</v>
      </c>
      <c r="K157" s="51" t="n">
        <v>0.398</v>
      </c>
      <c r="L157" s="51" t="n">
        <v>0.03</v>
      </c>
      <c r="M157" s="51" t="n">
        <v>1</v>
      </c>
      <c r="N157" s="52" t="n">
        <f aca="false">J157*K157*L157*M157</f>
        <v>188.652</v>
      </c>
      <c r="O157" s="50" t="n">
        <v>1.08324</v>
      </c>
      <c r="P157" s="52" t="n">
        <f aca="false">N157*O157</f>
        <v>204.35539248</v>
      </c>
      <c r="Q157" s="50" t="n">
        <v>0.8643</v>
      </c>
      <c r="R157" s="52" t="n">
        <f aca="false">P157*Q157</f>
        <v>176.624365720464</v>
      </c>
      <c r="S157" s="50" t="n">
        <v>0.05</v>
      </c>
      <c r="T157" s="52" t="n">
        <f aca="false">N157*S157</f>
        <v>9.4326</v>
      </c>
      <c r="U157" s="52" t="n">
        <v>0.01428</v>
      </c>
      <c r="V157" s="52" t="n">
        <f aca="false">P157*U157</f>
        <v>2.9181950046144</v>
      </c>
      <c r="W157" s="53" t="s">
        <v>195</v>
      </c>
      <c r="X157" s="50" t="n">
        <v>3.3264</v>
      </c>
      <c r="Y157" s="53" t="s">
        <v>198</v>
      </c>
      <c r="Z157" s="50" t="n">
        <v>0.24192</v>
      </c>
      <c r="AA157" s="50" t="n">
        <v>7.84</v>
      </c>
      <c r="AB157" s="50" t="n">
        <v>9.11</v>
      </c>
      <c r="AC157" s="52" t="n">
        <f aca="false">IF(W157="EUR",AA157,IF(W157="GBP",AB157,1))</f>
        <v>7.84</v>
      </c>
      <c r="AD157" s="52" t="n">
        <f aca="false">R157*X157</f>
        <v>587.523290132551</v>
      </c>
      <c r="AE157" s="52" t="n">
        <f aca="false">IF(Y157="PERCENTAGE_OF_BASE_FREIGHT",AD157*Z157,IF(Y157="PER_CHARGEABLE_KG",R157*Z157,P157*Z157))</f>
        <v>42.7289665550947</v>
      </c>
      <c r="AF157" s="52" t="n">
        <f aca="false">AD157*AC157</f>
        <v>4606.1825946392</v>
      </c>
      <c r="AG157" s="52" t="n">
        <f aca="false">AE157*AC157</f>
        <v>334.995097791942</v>
      </c>
      <c r="AH157" s="52" t="s">
        <v>195</v>
      </c>
      <c r="AI157" s="52" t="n">
        <v>1.0584</v>
      </c>
      <c r="AJ157" s="52" t="n">
        <f aca="false">IF(AH157="EUR",AA157,IF(AH157="GBP",AB157,1))</f>
        <v>7.84</v>
      </c>
      <c r="AK157" s="52" t="n">
        <f aca="false">N157*AI157</f>
        <v>199.6692768</v>
      </c>
      <c r="AL157" s="52" t="n">
        <f aca="false">AK157*AJ157</f>
        <v>1565.407130112</v>
      </c>
      <c r="AM157" s="52" t="s">
        <v>195</v>
      </c>
      <c r="AN157" s="52" t="n">
        <v>0.38304</v>
      </c>
      <c r="AO157" s="52" t="n">
        <f aca="false">IF(AM157="EUR",AA157,IF(AM157="GBP",AB157,1))</f>
        <v>7.84</v>
      </c>
      <c r="AP157" s="52" t="n">
        <f aca="false">P157*AN157</f>
        <v>78.2762895355392</v>
      </c>
      <c r="AQ157" s="52" t="n">
        <f aca="false">AP157*AO157</f>
        <v>613.686109958627</v>
      </c>
      <c r="AR157" s="52" t="s">
        <v>195</v>
      </c>
      <c r="AS157" s="52" t="n">
        <v>3.8304</v>
      </c>
      <c r="AT157" s="52" t="n">
        <f aca="false">IF(AR157="EUR",AA157,IF(AR157="GBP",AB157,1))</f>
        <v>7.84</v>
      </c>
      <c r="AU157" s="52" t="n">
        <f aca="false">T157*AS157</f>
        <v>36.13063104</v>
      </c>
      <c r="AV157" s="52" t="n">
        <f aca="false">AU157*AT157</f>
        <v>283.2641473536</v>
      </c>
      <c r="AW157" s="52" t="s">
        <v>195</v>
      </c>
      <c r="AX157" s="52" t="n">
        <v>2.3184</v>
      </c>
      <c r="AY157" s="52" t="n">
        <f aca="false">IF(AW157="EUR",AA157,IF(AW157="GBP",AB157,1))</f>
        <v>7.84</v>
      </c>
      <c r="AZ157" s="52" t="n">
        <f aca="false">V157*AX157</f>
        <v>6.76554329869803</v>
      </c>
      <c r="BA157" s="52" t="n">
        <f aca="false">AZ157*AY157</f>
        <v>53.0418594617925</v>
      </c>
      <c r="BB157" s="52" t="n">
        <f aca="false">AF157+AG157+AL157+AQ157+AV157+BA157</f>
        <v>7456.57693931717</v>
      </c>
      <c r="BC157" s="54" t="n">
        <v>0.969</v>
      </c>
      <c r="BD157" s="32"/>
      <c r="BE157" s="32"/>
      <c r="BF157" s="32"/>
      <c r="BG157" s="32" t="s">
        <v>197</v>
      </c>
    </row>
    <row r="158" customFormat="false" ht="15" hidden="false" customHeight="false" outlineLevel="0" collapsed="false">
      <c r="A158" s="18" t="s">
        <v>200</v>
      </c>
      <c r="B158" s="18" t="s">
        <v>201</v>
      </c>
      <c r="C158" s="18"/>
      <c r="D158" s="49" t="n">
        <v>46113</v>
      </c>
      <c r="E158" s="18" t="s">
        <v>112</v>
      </c>
      <c r="F158" s="18" t="s">
        <v>113</v>
      </c>
      <c r="G158" s="18" t="s">
        <v>110</v>
      </c>
      <c r="H158" s="18" t="s">
        <v>101</v>
      </c>
      <c r="I158" s="18" t="s">
        <v>102</v>
      </c>
      <c r="J158" s="50" t="n">
        <v>15800</v>
      </c>
      <c r="K158" s="51" t="n">
        <v>0.321</v>
      </c>
      <c r="L158" s="51" t="n">
        <v>1</v>
      </c>
      <c r="M158" s="51" t="n">
        <v>0.35</v>
      </c>
      <c r="N158" s="52" t="n">
        <f aca="false">J158*K158*L158*M158</f>
        <v>1775.13</v>
      </c>
      <c r="O158" s="50" t="n">
        <v>1.06318</v>
      </c>
      <c r="P158" s="52" t="n">
        <f aca="false">N158*O158</f>
        <v>1887.2827134</v>
      </c>
      <c r="Q158" s="50" t="n">
        <v>0.7638</v>
      </c>
      <c r="R158" s="52" t="n">
        <f aca="false">P158*Q158</f>
        <v>1441.50653649492</v>
      </c>
      <c r="S158" s="50" t="n">
        <v>0.06</v>
      </c>
      <c r="T158" s="52" t="n">
        <f aca="false">N158*S158</f>
        <v>106.5078</v>
      </c>
      <c r="U158" s="52" t="n">
        <v>0.01734</v>
      </c>
      <c r="V158" s="52" t="n">
        <f aca="false">P158*U158</f>
        <v>32.725482250356</v>
      </c>
      <c r="W158" s="53" t="s">
        <v>195</v>
      </c>
      <c r="X158" s="50" t="n">
        <v>2.1168</v>
      </c>
      <c r="Y158" s="53" t="s">
        <v>196</v>
      </c>
      <c r="Z158" s="50" t="n">
        <v>0.09072</v>
      </c>
      <c r="AA158" s="50" t="n">
        <v>7.84</v>
      </c>
      <c r="AB158" s="50" t="n">
        <v>9.11</v>
      </c>
      <c r="AC158" s="52" t="n">
        <f aca="false">IF(W158="EUR",AA158,IF(W158="GBP",AB158,1))</f>
        <v>7.84</v>
      </c>
      <c r="AD158" s="52" t="n">
        <f aca="false">R158*X158</f>
        <v>3051.38103645245</v>
      </c>
      <c r="AE158" s="52" t="n">
        <f aca="false">IF(Y158="PERCENTAGE_OF_BASE_FREIGHT",AD158*Z158,IF(Y158="PER_CHARGEABLE_KG",R158*Z158,P158*Z158))</f>
        <v>276.821287626966</v>
      </c>
      <c r="AF158" s="52" t="n">
        <f aca="false">AD158*AC158</f>
        <v>23922.8273257872</v>
      </c>
      <c r="AG158" s="52" t="n">
        <f aca="false">AE158*AC158</f>
        <v>2170.27889499541</v>
      </c>
      <c r="AH158" s="52" t="s">
        <v>195</v>
      </c>
      <c r="AI158" s="52" t="n">
        <v>1.0584</v>
      </c>
      <c r="AJ158" s="52" t="n">
        <f aca="false">IF(AH158="EUR",AA158,IF(AH158="GBP",AB158,1))</f>
        <v>7.84</v>
      </c>
      <c r="AK158" s="52" t="n">
        <f aca="false">N158*AI158</f>
        <v>1878.797592</v>
      </c>
      <c r="AL158" s="52" t="n">
        <f aca="false">AK158*AJ158</f>
        <v>14729.77312128</v>
      </c>
      <c r="AM158" s="52" t="s">
        <v>195</v>
      </c>
      <c r="AN158" s="52" t="n">
        <v>0.38304</v>
      </c>
      <c r="AO158" s="52" t="n">
        <f aca="false">IF(AM158="EUR",AA158,IF(AM158="GBP",AB158,1))</f>
        <v>7.84</v>
      </c>
      <c r="AP158" s="52" t="n">
        <f aca="false">P158*AN158</f>
        <v>722.904770540736</v>
      </c>
      <c r="AQ158" s="52" t="n">
        <f aca="false">AP158*AO158</f>
        <v>5667.57340103937</v>
      </c>
      <c r="AR158" s="52" t="s">
        <v>195</v>
      </c>
      <c r="AS158" s="52" t="n">
        <v>3.024</v>
      </c>
      <c r="AT158" s="52" t="n">
        <f aca="false">IF(AR158="EUR",AA158,IF(AR158="GBP",AB158,1))</f>
        <v>7.84</v>
      </c>
      <c r="AU158" s="52" t="n">
        <f aca="false">T158*AS158</f>
        <v>322.0795872</v>
      </c>
      <c r="AV158" s="52" t="n">
        <f aca="false">AU158*AT158</f>
        <v>2525.103963648</v>
      </c>
      <c r="AW158" s="52" t="s">
        <v>195</v>
      </c>
      <c r="AX158" s="52" t="n">
        <v>2.3184</v>
      </c>
      <c r="AY158" s="52" t="n">
        <f aca="false">IF(AW158="EUR",AA158,IF(AW158="GBP",AB158,1))</f>
        <v>7.84</v>
      </c>
      <c r="AZ158" s="52" t="n">
        <f aca="false">V158*AX158</f>
        <v>75.8707580492254</v>
      </c>
      <c r="BA158" s="52" t="n">
        <f aca="false">AZ158*AY158</f>
        <v>594.826743105927</v>
      </c>
      <c r="BB158" s="52" t="n">
        <f aca="false">AF158+AG158+AL158+AQ158+AV158+BA158</f>
        <v>49610.3834498559</v>
      </c>
      <c r="BC158" s="54" t="n">
        <v>0.962</v>
      </c>
      <c r="BD158" s="32"/>
      <c r="BE158" s="32"/>
      <c r="BF158" s="32"/>
      <c r="BG158" s="32" t="s">
        <v>197</v>
      </c>
    </row>
    <row r="159" customFormat="false" ht="15" hidden="false" customHeight="false" outlineLevel="0" collapsed="false">
      <c r="A159" s="18" t="s">
        <v>200</v>
      </c>
      <c r="B159" s="18" t="s">
        <v>201</v>
      </c>
      <c r="C159" s="18"/>
      <c r="D159" s="49" t="n">
        <v>46113</v>
      </c>
      <c r="E159" s="18" t="s">
        <v>116</v>
      </c>
      <c r="F159" s="18" t="s">
        <v>113</v>
      </c>
      <c r="G159" s="18" t="s">
        <v>110</v>
      </c>
      <c r="H159" s="18" t="s">
        <v>107</v>
      </c>
      <c r="I159" s="18" t="s">
        <v>102</v>
      </c>
      <c r="J159" s="50" t="n">
        <v>15800</v>
      </c>
      <c r="K159" s="51" t="n">
        <v>0.321</v>
      </c>
      <c r="L159" s="51" t="n">
        <v>1</v>
      </c>
      <c r="M159" s="51" t="n">
        <v>0.65</v>
      </c>
      <c r="N159" s="52" t="n">
        <f aca="false">J159*K159*L159*M159</f>
        <v>3296.67</v>
      </c>
      <c r="O159" s="50" t="n">
        <v>1.06318</v>
      </c>
      <c r="P159" s="52" t="n">
        <f aca="false">N159*O159</f>
        <v>3504.9536106</v>
      </c>
      <c r="Q159" s="50" t="n">
        <v>0.79395</v>
      </c>
      <c r="R159" s="52" t="n">
        <f aca="false">P159*Q159</f>
        <v>2782.75791913587</v>
      </c>
      <c r="S159" s="50" t="n">
        <v>0.06</v>
      </c>
      <c r="T159" s="52" t="n">
        <f aca="false">N159*S159</f>
        <v>197.8002</v>
      </c>
      <c r="U159" s="52" t="n">
        <v>0.01428</v>
      </c>
      <c r="V159" s="52" t="n">
        <f aca="false">P159*U159</f>
        <v>50.050737559368</v>
      </c>
      <c r="W159" s="53" t="s">
        <v>195</v>
      </c>
      <c r="X159" s="50" t="n">
        <v>2.6208</v>
      </c>
      <c r="Y159" s="53" t="s">
        <v>198</v>
      </c>
      <c r="Z159" s="50" t="n">
        <v>0.2016</v>
      </c>
      <c r="AA159" s="50" t="n">
        <v>7.84</v>
      </c>
      <c r="AB159" s="50" t="n">
        <v>9.11</v>
      </c>
      <c r="AC159" s="52" t="n">
        <f aca="false">IF(W159="EUR",AA159,IF(W159="GBP",AB159,1))</f>
        <v>7.84</v>
      </c>
      <c r="AD159" s="52" t="n">
        <f aca="false">R159*X159</f>
        <v>7293.05195447129</v>
      </c>
      <c r="AE159" s="52" t="n">
        <f aca="false">IF(Y159="PERCENTAGE_OF_BASE_FREIGHT",AD159*Z159,IF(Y159="PER_CHARGEABLE_KG",R159*Z159,P159*Z159))</f>
        <v>561.003996497791</v>
      </c>
      <c r="AF159" s="52" t="n">
        <f aca="false">AD159*AC159</f>
        <v>57177.5273230549</v>
      </c>
      <c r="AG159" s="52" t="n">
        <f aca="false">AE159*AC159</f>
        <v>4398.27133254268</v>
      </c>
      <c r="AH159" s="52" t="s">
        <v>195</v>
      </c>
      <c r="AI159" s="52" t="n">
        <v>1.0584</v>
      </c>
      <c r="AJ159" s="52" t="n">
        <f aca="false">IF(AH159="EUR",AA159,IF(AH159="GBP",AB159,1))</f>
        <v>7.84</v>
      </c>
      <c r="AK159" s="52" t="n">
        <f aca="false">N159*AI159</f>
        <v>3489.195528</v>
      </c>
      <c r="AL159" s="52" t="n">
        <f aca="false">AK159*AJ159</f>
        <v>27355.29293952</v>
      </c>
      <c r="AM159" s="52" t="s">
        <v>195</v>
      </c>
      <c r="AN159" s="52" t="n">
        <v>0.38304</v>
      </c>
      <c r="AO159" s="52" t="n">
        <f aca="false">IF(AM159="EUR",AA159,IF(AM159="GBP",AB159,1))</f>
        <v>7.84</v>
      </c>
      <c r="AP159" s="52" t="n">
        <f aca="false">P159*AN159</f>
        <v>1342.53743100422</v>
      </c>
      <c r="AQ159" s="52" t="n">
        <f aca="false">AP159*AO159</f>
        <v>10525.4934590731</v>
      </c>
      <c r="AR159" s="52" t="s">
        <v>195</v>
      </c>
      <c r="AS159" s="52" t="n">
        <v>3.024</v>
      </c>
      <c r="AT159" s="52" t="n">
        <f aca="false">IF(AR159="EUR",AA159,IF(AR159="GBP",AB159,1))</f>
        <v>7.84</v>
      </c>
      <c r="AU159" s="52" t="n">
        <f aca="false">T159*AS159</f>
        <v>598.1478048</v>
      </c>
      <c r="AV159" s="52" t="n">
        <f aca="false">AU159*AT159</f>
        <v>4689.478789632</v>
      </c>
      <c r="AW159" s="52" t="s">
        <v>195</v>
      </c>
      <c r="AX159" s="52" t="n">
        <v>2.3184</v>
      </c>
      <c r="AY159" s="52" t="n">
        <f aca="false">IF(AW159="EUR",AA159,IF(AW159="GBP",AB159,1))</f>
        <v>7.84</v>
      </c>
      <c r="AZ159" s="52" t="n">
        <f aca="false">V159*AX159</f>
        <v>116.037629957639</v>
      </c>
      <c r="BA159" s="52" t="n">
        <f aca="false">AZ159*AY159</f>
        <v>909.735018867888</v>
      </c>
      <c r="BB159" s="52" t="n">
        <f aca="false">AF159+AG159+AL159+AQ159+AV159+BA159</f>
        <v>105055.798862691</v>
      </c>
      <c r="BC159" s="54" t="n">
        <v>0.974</v>
      </c>
      <c r="BD159" s="32"/>
      <c r="BE159" s="32"/>
      <c r="BF159" s="32"/>
      <c r="BG159" s="32" t="s">
        <v>197</v>
      </c>
    </row>
    <row r="160" customFormat="false" ht="15" hidden="false" customHeight="false" outlineLevel="0" collapsed="false">
      <c r="A160" s="18" t="s">
        <v>200</v>
      </c>
      <c r="B160" s="18" t="s">
        <v>201</v>
      </c>
      <c r="C160" s="18"/>
      <c r="D160" s="49" t="n">
        <v>46113</v>
      </c>
      <c r="E160" s="18" t="s">
        <v>118</v>
      </c>
      <c r="F160" s="18" t="s">
        <v>119</v>
      </c>
      <c r="G160" s="18" t="s">
        <v>100</v>
      </c>
      <c r="H160" s="18" t="s">
        <v>101</v>
      </c>
      <c r="I160" s="18" t="s">
        <v>102</v>
      </c>
      <c r="J160" s="50" t="n">
        <v>15800</v>
      </c>
      <c r="K160" s="51" t="n">
        <v>0.281</v>
      </c>
      <c r="L160" s="51" t="n">
        <v>0.96</v>
      </c>
      <c r="M160" s="51" t="n">
        <v>0.62</v>
      </c>
      <c r="N160" s="52" t="n">
        <f aca="false">J160*K160*L160*M160</f>
        <v>2642.56896</v>
      </c>
      <c r="O160" s="50" t="n">
        <v>1.12336</v>
      </c>
      <c r="P160" s="52" t="n">
        <f aca="false">N160*O160</f>
        <v>2968.5562669056</v>
      </c>
      <c r="Q160" s="50" t="n">
        <v>1.0251</v>
      </c>
      <c r="R160" s="52" t="n">
        <f aca="false">P160*Q160</f>
        <v>3043.06702920493</v>
      </c>
      <c r="S160" s="50" t="n">
        <v>0.08</v>
      </c>
      <c r="T160" s="52" t="n">
        <f aca="false">N160*S160</f>
        <v>211.4055168</v>
      </c>
      <c r="U160" s="52" t="n">
        <v>0.02244</v>
      </c>
      <c r="V160" s="52" t="n">
        <f aca="false">P160*U160</f>
        <v>66.6144026293617</v>
      </c>
      <c r="W160" s="53" t="s">
        <v>199</v>
      </c>
      <c r="X160" s="50" t="n">
        <v>4.032</v>
      </c>
      <c r="Y160" s="53" t="s">
        <v>196</v>
      </c>
      <c r="Z160" s="50" t="n">
        <v>0.1008</v>
      </c>
      <c r="AA160" s="50" t="n">
        <v>7.84</v>
      </c>
      <c r="AB160" s="50" t="n">
        <v>9.11</v>
      </c>
      <c r="AC160" s="52" t="n">
        <f aca="false">IF(W160="EUR",AA160,IF(W160="GBP",AB160,1))</f>
        <v>9.11</v>
      </c>
      <c r="AD160" s="52" t="n">
        <f aca="false">R160*X160</f>
        <v>12269.6462617543</v>
      </c>
      <c r="AE160" s="52" t="n">
        <f aca="false">IF(Y160="PERCENTAGE_OF_BASE_FREIGHT",AD160*Z160,IF(Y160="PER_CHARGEABLE_KG",R160*Z160,P160*Z160))</f>
        <v>1236.78034318483</v>
      </c>
      <c r="AF160" s="52" t="n">
        <f aca="false">AD160*AC160</f>
        <v>111776.477444581</v>
      </c>
      <c r="AG160" s="52" t="n">
        <f aca="false">AE160*AC160</f>
        <v>11267.0689264138</v>
      </c>
      <c r="AH160" s="52" t="s">
        <v>195</v>
      </c>
      <c r="AI160" s="52" t="n">
        <v>1.18944</v>
      </c>
      <c r="AJ160" s="52" t="n">
        <f aca="false">IF(AH160="EUR",AA160,IF(AH160="GBP",AB160,1))</f>
        <v>7.84</v>
      </c>
      <c r="AK160" s="52" t="n">
        <f aca="false">N160*AI160</f>
        <v>3143.1772237824</v>
      </c>
      <c r="AL160" s="52" t="n">
        <f aca="false">AK160*AJ160</f>
        <v>24642.509434454</v>
      </c>
      <c r="AM160" s="52" t="s">
        <v>195</v>
      </c>
      <c r="AN160" s="52" t="n">
        <v>0.42336</v>
      </c>
      <c r="AO160" s="52" t="n">
        <f aca="false">IF(AM160="EUR",AA160,IF(AM160="GBP",AB160,1))</f>
        <v>7.84</v>
      </c>
      <c r="AP160" s="52" t="n">
        <f aca="false">P160*AN160</f>
        <v>1256.76798115715</v>
      </c>
      <c r="AQ160" s="52" t="n">
        <f aca="false">AP160*AO160</f>
        <v>9853.06097227209</v>
      </c>
      <c r="AR160" s="52" t="s">
        <v>199</v>
      </c>
      <c r="AS160" s="52" t="n">
        <v>4.8384</v>
      </c>
      <c r="AT160" s="52" t="n">
        <f aca="false">IF(AR160="EUR",AA160,IF(AR160="GBP",AB160,1))</f>
        <v>9.11</v>
      </c>
      <c r="AU160" s="52" t="n">
        <f aca="false">T160*AS160</f>
        <v>1022.86445248512</v>
      </c>
      <c r="AV160" s="52" t="n">
        <f aca="false">AU160*AT160</f>
        <v>9318.29516213944</v>
      </c>
      <c r="AW160" s="52" t="s">
        <v>199</v>
      </c>
      <c r="AX160" s="52" t="n">
        <v>2.3184</v>
      </c>
      <c r="AY160" s="52" t="n">
        <f aca="false">IF(AW160="EUR",AA160,IF(AW160="GBP",AB160,1))</f>
        <v>9.11</v>
      </c>
      <c r="AZ160" s="52" t="n">
        <f aca="false">V160*AX160</f>
        <v>154.438831055912</v>
      </c>
      <c r="BA160" s="52" t="n">
        <f aca="false">AZ160*AY160</f>
        <v>1406.93775091936</v>
      </c>
      <c r="BB160" s="52" t="n">
        <f aca="false">AF160+AG160+AL160+AQ160+AV160+BA160</f>
        <v>168264.34969078</v>
      </c>
      <c r="BC160" s="54" t="n">
        <v>0.931</v>
      </c>
      <c r="BD160" s="32"/>
      <c r="BE160" s="32"/>
      <c r="BF160" s="32"/>
      <c r="BG160" s="32" t="s">
        <v>197</v>
      </c>
    </row>
    <row r="161" customFormat="false" ht="15" hidden="false" customHeight="false" outlineLevel="0" collapsed="false">
      <c r="A161" s="18" t="s">
        <v>200</v>
      </c>
      <c r="B161" s="18" t="s">
        <v>201</v>
      </c>
      <c r="C161" s="18"/>
      <c r="D161" s="49" t="n">
        <v>46113</v>
      </c>
      <c r="E161" s="18" t="s">
        <v>122</v>
      </c>
      <c r="F161" s="18" t="s">
        <v>119</v>
      </c>
      <c r="G161" s="18" t="s">
        <v>100</v>
      </c>
      <c r="H161" s="18" t="s">
        <v>107</v>
      </c>
      <c r="I161" s="18" t="s">
        <v>102</v>
      </c>
      <c r="J161" s="50" t="n">
        <v>15800</v>
      </c>
      <c r="K161" s="51" t="n">
        <v>0.281</v>
      </c>
      <c r="L161" s="51" t="n">
        <v>0.96</v>
      </c>
      <c r="M161" s="51" t="n">
        <v>0.25</v>
      </c>
      <c r="N161" s="52" t="n">
        <f aca="false">J161*K161*L161*M161</f>
        <v>1065.552</v>
      </c>
      <c r="O161" s="50" t="n">
        <v>1.12336</v>
      </c>
      <c r="P161" s="52" t="n">
        <f aca="false">N161*O161</f>
        <v>1196.99849472</v>
      </c>
      <c r="Q161" s="50" t="n">
        <v>1.005</v>
      </c>
      <c r="R161" s="52" t="n">
        <f aca="false">P161*Q161</f>
        <v>1202.9834871936</v>
      </c>
      <c r="S161" s="50" t="n">
        <v>0.08</v>
      </c>
      <c r="T161" s="52" t="n">
        <f aca="false">N161*S161</f>
        <v>85.24416</v>
      </c>
      <c r="U161" s="52" t="n">
        <v>0.01734</v>
      </c>
      <c r="V161" s="52" t="n">
        <f aca="false">P161*U161</f>
        <v>20.7559538984448</v>
      </c>
      <c r="W161" s="53" t="s">
        <v>199</v>
      </c>
      <c r="X161" s="50" t="n">
        <v>4.7376</v>
      </c>
      <c r="Y161" s="53" t="s">
        <v>198</v>
      </c>
      <c r="Z161" s="50" t="n">
        <v>0.33264</v>
      </c>
      <c r="AA161" s="50" t="n">
        <v>7.84</v>
      </c>
      <c r="AB161" s="50" t="n">
        <v>9.11</v>
      </c>
      <c r="AC161" s="52" t="n">
        <f aca="false">IF(W161="EUR",AA161,IF(W161="GBP",AB161,1))</f>
        <v>9.11</v>
      </c>
      <c r="AD161" s="52" t="n">
        <f aca="false">R161*X161</f>
        <v>5699.2545689284</v>
      </c>
      <c r="AE161" s="52" t="n">
        <f aca="false">IF(Y161="PERCENTAGE_OF_BASE_FREIGHT",AD161*Z161,IF(Y161="PER_CHARGEABLE_KG",R161*Z161,P161*Z161))</f>
        <v>400.160427180079</v>
      </c>
      <c r="AF161" s="52" t="n">
        <f aca="false">AD161*AC161</f>
        <v>51920.2091229377</v>
      </c>
      <c r="AG161" s="52" t="n">
        <f aca="false">AE161*AC161</f>
        <v>3645.46149161052</v>
      </c>
      <c r="AH161" s="52" t="s">
        <v>195</v>
      </c>
      <c r="AI161" s="52" t="n">
        <v>1.18944</v>
      </c>
      <c r="AJ161" s="52" t="n">
        <f aca="false">IF(AH161="EUR",AA161,IF(AH161="GBP",AB161,1))</f>
        <v>7.84</v>
      </c>
      <c r="AK161" s="52" t="n">
        <f aca="false">N161*AI161</f>
        <v>1267.41017088</v>
      </c>
      <c r="AL161" s="52" t="n">
        <f aca="false">AK161*AJ161</f>
        <v>9936.4957396992</v>
      </c>
      <c r="AM161" s="52" t="s">
        <v>195</v>
      </c>
      <c r="AN161" s="52" t="n">
        <v>0.42336</v>
      </c>
      <c r="AO161" s="52" t="n">
        <f aca="false">IF(AM161="EUR",AA161,IF(AM161="GBP",AB161,1))</f>
        <v>7.84</v>
      </c>
      <c r="AP161" s="52" t="n">
        <f aca="false">P161*AN161</f>
        <v>506.761282724659</v>
      </c>
      <c r="AQ161" s="52" t="n">
        <f aca="false">AP161*AO161</f>
        <v>3973.00845656133</v>
      </c>
      <c r="AR161" s="52" t="s">
        <v>199</v>
      </c>
      <c r="AS161" s="52" t="n">
        <v>4.8384</v>
      </c>
      <c r="AT161" s="52" t="n">
        <f aca="false">IF(AR161="EUR",AA161,IF(AR161="GBP",AB161,1))</f>
        <v>9.11</v>
      </c>
      <c r="AU161" s="52" t="n">
        <f aca="false">T161*AS161</f>
        <v>412.445343744</v>
      </c>
      <c r="AV161" s="52" t="n">
        <f aca="false">AU161*AT161</f>
        <v>3757.37708150784</v>
      </c>
      <c r="AW161" s="52" t="s">
        <v>199</v>
      </c>
      <c r="AX161" s="52" t="n">
        <v>2.3184</v>
      </c>
      <c r="AY161" s="52" t="n">
        <f aca="false">IF(AW161="EUR",AA161,IF(AW161="GBP",AB161,1))</f>
        <v>9.11</v>
      </c>
      <c r="AZ161" s="52" t="n">
        <f aca="false">V161*AX161</f>
        <v>48.1206035181544</v>
      </c>
      <c r="BA161" s="52" t="n">
        <f aca="false">AZ161*AY161</f>
        <v>438.378698050387</v>
      </c>
      <c r="BB161" s="52" t="n">
        <f aca="false">AF161+AG161+AL161+AQ161+AV161+BA161</f>
        <v>73670.930590367</v>
      </c>
      <c r="BC161" s="54" t="n">
        <v>0.951</v>
      </c>
      <c r="BD161" s="32"/>
      <c r="BE161" s="32"/>
      <c r="BF161" s="32"/>
      <c r="BG161" s="32" t="s">
        <v>197</v>
      </c>
    </row>
    <row r="162" customFormat="false" ht="15" hidden="false" customHeight="false" outlineLevel="0" collapsed="false">
      <c r="A162" s="18" t="s">
        <v>200</v>
      </c>
      <c r="B162" s="18" t="s">
        <v>201</v>
      </c>
      <c r="C162" s="18"/>
      <c r="D162" s="49" t="n">
        <v>46113</v>
      </c>
      <c r="E162" s="18" t="s">
        <v>124</v>
      </c>
      <c r="F162" s="18" t="s">
        <v>119</v>
      </c>
      <c r="G162" s="18" t="s">
        <v>100</v>
      </c>
      <c r="H162" s="18" t="s">
        <v>107</v>
      </c>
      <c r="I162" s="18" t="s">
        <v>125</v>
      </c>
      <c r="J162" s="50" t="n">
        <v>15800</v>
      </c>
      <c r="K162" s="51" t="n">
        <v>0.281</v>
      </c>
      <c r="L162" s="51" t="n">
        <v>0.96</v>
      </c>
      <c r="M162" s="51" t="n">
        <v>0.09</v>
      </c>
      <c r="N162" s="52" t="n">
        <f aca="false">J162*K162*L162*M162</f>
        <v>383.59872</v>
      </c>
      <c r="O162" s="50" t="n">
        <v>1.12336</v>
      </c>
      <c r="P162" s="52" t="n">
        <f aca="false">N162*O162</f>
        <v>430.9194580992</v>
      </c>
      <c r="Q162" s="50" t="n">
        <v>0.9447</v>
      </c>
      <c r="R162" s="52" t="n">
        <f aca="false">P162*Q162</f>
        <v>407.089612066314</v>
      </c>
      <c r="S162" s="50" t="n">
        <v>0.08</v>
      </c>
      <c r="T162" s="52" t="n">
        <f aca="false">N162*S162</f>
        <v>30.6878976</v>
      </c>
      <c r="U162" s="52" t="n">
        <v>0.01326</v>
      </c>
      <c r="V162" s="52" t="n">
        <f aca="false">P162*U162</f>
        <v>5.71399201439539</v>
      </c>
      <c r="W162" s="53" t="s">
        <v>199</v>
      </c>
      <c r="X162" s="50" t="n">
        <v>6.2496</v>
      </c>
      <c r="Y162" s="53" t="s">
        <v>196</v>
      </c>
      <c r="Z162" s="50" t="n">
        <v>0.11592</v>
      </c>
      <c r="AA162" s="50" t="n">
        <v>7.84</v>
      </c>
      <c r="AB162" s="50" t="n">
        <v>9.11</v>
      </c>
      <c r="AC162" s="52" t="n">
        <f aca="false">IF(W162="EUR",AA162,IF(W162="GBP",AB162,1))</f>
        <v>9.11</v>
      </c>
      <c r="AD162" s="52" t="n">
        <f aca="false">R162*X162</f>
        <v>2544.14723956964</v>
      </c>
      <c r="AE162" s="52" t="n">
        <f aca="false">IF(Y162="PERCENTAGE_OF_BASE_FREIGHT",AD162*Z162,IF(Y162="PER_CHARGEABLE_KG",R162*Z162,P162*Z162))</f>
        <v>294.917548010912</v>
      </c>
      <c r="AF162" s="52" t="n">
        <f aca="false">AD162*AC162</f>
        <v>23177.1813524794</v>
      </c>
      <c r="AG162" s="52" t="n">
        <f aca="false">AE162*AC162</f>
        <v>2686.69886237941</v>
      </c>
      <c r="AH162" s="52" t="s">
        <v>195</v>
      </c>
      <c r="AI162" s="52" t="n">
        <v>1.18944</v>
      </c>
      <c r="AJ162" s="52" t="n">
        <f aca="false">IF(AH162="EUR",AA162,IF(AH162="GBP",AB162,1))</f>
        <v>7.84</v>
      </c>
      <c r="AK162" s="52" t="n">
        <f aca="false">N162*AI162</f>
        <v>456.2676615168</v>
      </c>
      <c r="AL162" s="52" t="n">
        <f aca="false">AK162*AJ162</f>
        <v>3577.13846629171</v>
      </c>
      <c r="AM162" s="52" t="s">
        <v>195</v>
      </c>
      <c r="AN162" s="52" t="n">
        <v>0.42336</v>
      </c>
      <c r="AO162" s="52" t="n">
        <f aca="false">IF(AM162="EUR",AA162,IF(AM162="GBP",AB162,1))</f>
        <v>7.84</v>
      </c>
      <c r="AP162" s="52" t="n">
        <f aca="false">P162*AN162</f>
        <v>182.434061780877</v>
      </c>
      <c r="AQ162" s="52" t="n">
        <f aca="false">AP162*AO162</f>
        <v>1430.28304436208</v>
      </c>
      <c r="AR162" s="52" t="s">
        <v>199</v>
      </c>
      <c r="AS162" s="52" t="n">
        <v>4.8384</v>
      </c>
      <c r="AT162" s="52" t="n">
        <f aca="false">IF(AR162="EUR",AA162,IF(AR162="GBP",AB162,1))</f>
        <v>9.11</v>
      </c>
      <c r="AU162" s="52" t="n">
        <f aca="false">T162*AS162</f>
        <v>148.48032374784</v>
      </c>
      <c r="AV162" s="52" t="n">
        <f aca="false">AU162*AT162</f>
        <v>1352.65574934282</v>
      </c>
      <c r="AW162" s="52" t="s">
        <v>199</v>
      </c>
      <c r="AX162" s="52" t="n">
        <v>2.8224</v>
      </c>
      <c r="AY162" s="52" t="n">
        <f aca="false">IF(AW162="EUR",AA162,IF(AW162="GBP",AB162,1))</f>
        <v>9.11</v>
      </c>
      <c r="AZ162" s="52" t="n">
        <f aca="false">V162*AX162</f>
        <v>16.1271710614296</v>
      </c>
      <c r="BA162" s="52" t="n">
        <f aca="false">AZ162*AY162</f>
        <v>146.918528369623</v>
      </c>
      <c r="BB162" s="52" t="n">
        <f aca="false">AF162+AG162+AL162+AQ162+AV162+BA162</f>
        <v>32370.876003225</v>
      </c>
      <c r="BC162" s="54" t="n">
        <v>0.975</v>
      </c>
      <c r="BD162" s="32"/>
      <c r="BE162" s="32"/>
      <c r="BF162" s="32"/>
      <c r="BG162" s="32" t="s">
        <v>197</v>
      </c>
    </row>
    <row r="163" customFormat="false" ht="15" hidden="false" customHeight="false" outlineLevel="0" collapsed="false">
      <c r="A163" s="18" t="s">
        <v>200</v>
      </c>
      <c r="B163" s="18" t="s">
        <v>201</v>
      </c>
      <c r="C163" s="18"/>
      <c r="D163" s="49" t="n">
        <v>46113</v>
      </c>
      <c r="E163" s="18" t="s">
        <v>127</v>
      </c>
      <c r="F163" s="18" t="s">
        <v>119</v>
      </c>
      <c r="G163" s="18" t="s">
        <v>100</v>
      </c>
      <c r="H163" s="18" t="s">
        <v>128</v>
      </c>
      <c r="I163" s="18" t="s">
        <v>125</v>
      </c>
      <c r="J163" s="50" t="n">
        <v>15800</v>
      </c>
      <c r="K163" s="51" t="n">
        <v>0.281</v>
      </c>
      <c r="L163" s="51" t="n">
        <v>0.96</v>
      </c>
      <c r="M163" s="51" t="n">
        <v>0.04</v>
      </c>
      <c r="N163" s="52" t="n">
        <f aca="false">J163*K163*L163*M163</f>
        <v>170.48832</v>
      </c>
      <c r="O163" s="50" t="n">
        <v>1.12336</v>
      </c>
      <c r="P163" s="52" t="n">
        <f aca="false">N163*O163</f>
        <v>191.5197591552</v>
      </c>
      <c r="Q163" s="50" t="n">
        <v>0.9246</v>
      </c>
      <c r="R163" s="52" t="n">
        <f aca="false">P163*Q163</f>
        <v>177.079169314898</v>
      </c>
      <c r="S163" s="50" t="n">
        <v>0.08</v>
      </c>
      <c r="T163" s="52" t="n">
        <f aca="false">N163*S163</f>
        <v>13.6390656</v>
      </c>
      <c r="U163" s="52" t="n">
        <v>0.00918</v>
      </c>
      <c r="V163" s="52" t="n">
        <f aca="false">P163*U163</f>
        <v>1.75815138904474</v>
      </c>
      <c r="W163" s="53" t="s">
        <v>199</v>
      </c>
      <c r="X163" s="50" t="n">
        <v>7.56</v>
      </c>
      <c r="Y163" s="53" t="s">
        <v>198</v>
      </c>
      <c r="Z163" s="50" t="n">
        <v>0.58464</v>
      </c>
      <c r="AA163" s="50" t="n">
        <v>7.84</v>
      </c>
      <c r="AB163" s="50" t="n">
        <v>9.11</v>
      </c>
      <c r="AC163" s="52" t="n">
        <f aca="false">IF(W163="EUR",AA163,IF(W163="GBP",AB163,1))</f>
        <v>9.11</v>
      </c>
      <c r="AD163" s="52" t="n">
        <f aca="false">R163*X163</f>
        <v>1338.71852002063</v>
      </c>
      <c r="AE163" s="52" t="n">
        <f aca="false">IF(Y163="PERCENTAGE_OF_BASE_FREIGHT",AD163*Z163,IF(Y163="PER_CHARGEABLE_KG",R163*Z163,P163*Z163))</f>
        <v>103.527565548262</v>
      </c>
      <c r="AF163" s="52" t="n">
        <f aca="false">AD163*AC163</f>
        <v>12195.7257173879</v>
      </c>
      <c r="AG163" s="52" t="n">
        <f aca="false">AE163*AC163</f>
        <v>943.136122144666</v>
      </c>
      <c r="AH163" s="52" t="s">
        <v>195</v>
      </c>
      <c r="AI163" s="52" t="n">
        <v>1.18944</v>
      </c>
      <c r="AJ163" s="52" t="n">
        <f aca="false">IF(AH163="EUR",AA163,IF(AH163="GBP",AB163,1))</f>
        <v>7.84</v>
      </c>
      <c r="AK163" s="52" t="n">
        <f aca="false">N163*AI163</f>
        <v>202.7856273408</v>
      </c>
      <c r="AL163" s="52" t="n">
        <f aca="false">AK163*AJ163</f>
        <v>1589.83931835187</v>
      </c>
      <c r="AM163" s="52" t="s">
        <v>195</v>
      </c>
      <c r="AN163" s="52" t="n">
        <v>0.42336</v>
      </c>
      <c r="AO163" s="52" t="n">
        <f aca="false">IF(AM163="EUR",AA163,IF(AM163="GBP",AB163,1))</f>
        <v>7.84</v>
      </c>
      <c r="AP163" s="52" t="n">
        <f aca="false">P163*AN163</f>
        <v>81.0818052359455</v>
      </c>
      <c r="AQ163" s="52" t="n">
        <f aca="false">AP163*AO163</f>
        <v>635.681353049812</v>
      </c>
      <c r="AR163" s="52" t="s">
        <v>199</v>
      </c>
      <c r="AS163" s="52" t="n">
        <v>4.8384</v>
      </c>
      <c r="AT163" s="52" t="n">
        <f aca="false">IF(AR163="EUR",AA163,IF(AR163="GBP",AB163,1))</f>
        <v>9.11</v>
      </c>
      <c r="AU163" s="52" t="n">
        <f aca="false">T163*AS163</f>
        <v>65.99125499904</v>
      </c>
      <c r="AV163" s="52" t="n">
        <f aca="false">AU163*AT163</f>
        <v>601.180333041254</v>
      </c>
      <c r="AW163" s="52" t="s">
        <v>199</v>
      </c>
      <c r="AX163" s="52" t="n">
        <v>3.6288</v>
      </c>
      <c r="AY163" s="52" t="n">
        <f aca="false">IF(AW163="EUR",AA163,IF(AW163="GBP",AB163,1))</f>
        <v>9.11</v>
      </c>
      <c r="AZ163" s="52" t="n">
        <f aca="false">V163*AX163</f>
        <v>6.37997976056554</v>
      </c>
      <c r="BA163" s="52" t="n">
        <f aca="false">AZ163*AY163</f>
        <v>58.1216156187521</v>
      </c>
      <c r="BB163" s="52" t="n">
        <f aca="false">AF163+AG163+AL163+AQ163+AV163+BA163</f>
        <v>16023.6844595943</v>
      </c>
      <c r="BC163" s="54" t="n">
        <v>0.989</v>
      </c>
      <c r="BD163" s="32"/>
      <c r="BE163" s="32"/>
      <c r="BF163" s="32"/>
      <c r="BG163" s="32" t="s">
        <v>197</v>
      </c>
    </row>
    <row r="164" customFormat="false" ht="15" hidden="false" customHeight="false" outlineLevel="0" collapsed="false">
      <c r="A164" s="18" t="s">
        <v>200</v>
      </c>
      <c r="B164" s="18" t="s">
        <v>201</v>
      </c>
      <c r="C164" s="18"/>
      <c r="D164" s="49" t="n">
        <v>46113</v>
      </c>
      <c r="E164" s="18" t="s">
        <v>130</v>
      </c>
      <c r="F164" s="18" t="s">
        <v>119</v>
      </c>
      <c r="G164" s="18" t="s">
        <v>110</v>
      </c>
      <c r="H164" s="18" t="s">
        <v>107</v>
      </c>
      <c r="I164" s="18" t="s">
        <v>125</v>
      </c>
      <c r="J164" s="50" t="n">
        <v>15800</v>
      </c>
      <c r="K164" s="51" t="n">
        <v>0.281</v>
      </c>
      <c r="L164" s="51" t="n">
        <v>0.04</v>
      </c>
      <c r="M164" s="51" t="n">
        <v>1</v>
      </c>
      <c r="N164" s="52" t="n">
        <f aca="false">J164*K164*L164*M164</f>
        <v>177.592</v>
      </c>
      <c r="O164" s="50" t="n">
        <v>1.15345</v>
      </c>
      <c r="P164" s="52" t="n">
        <f aca="false">N164*O164</f>
        <v>204.8434924</v>
      </c>
      <c r="Q164" s="50" t="n">
        <v>0.9045</v>
      </c>
      <c r="R164" s="52" t="n">
        <f aca="false">P164*Q164</f>
        <v>185.2809388758</v>
      </c>
      <c r="S164" s="50" t="n">
        <v>0.08</v>
      </c>
      <c r="T164" s="52" t="n">
        <f aca="false">N164*S164</f>
        <v>14.20736</v>
      </c>
      <c r="U164" s="52" t="n">
        <v>0.01224</v>
      </c>
      <c r="V164" s="52" t="n">
        <f aca="false">P164*U164</f>
        <v>2.507284346976</v>
      </c>
      <c r="W164" s="53" t="s">
        <v>195</v>
      </c>
      <c r="X164" s="50" t="n">
        <v>6.7536</v>
      </c>
      <c r="Y164" s="53" t="s">
        <v>196</v>
      </c>
      <c r="Z164" s="50" t="n">
        <v>0.10584</v>
      </c>
      <c r="AA164" s="50" t="n">
        <v>7.84</v>
      </c>
      <c r="AB164" s="50" t="n">
        <v>9.11</v>
      </c>
      <c r="AC164" s="52" t="n">
        <f aca="false">IF(W164="EUR",AA164,IF(W164="GBP",AB164,1))</f>
        <v>7.84</v>
      </c>
      <c r="AD164" s="52" t="n">
        <f aca="false">R164*X164</f>
        <v>1251.3133487916</v>
      </c>
      <c r="AE164" s="52" t="n">
        <f aca="false">IF(Y164="PERCENTAGE_OF_BASE_FREIGHT",AD164*Z164,IF(Y164="PER_CHARGEABLE_KG",R164*Z164,P164*Z164))</f>
        <v>132.439004836103</v>
      </c>
      <c r="AF164" s="52" t="n">
        <f aca="false">AD164*AC164</f>
        <v>9810.29665452617</v>
      </c>
      <c r="AG164" s="52" t="n">
        <f aca="false">AE164*AC164</f>
        <v>1038.32179791505</v>
      </c>
      <c r="AH164" s="52" t="s">
        <v>195</v>
      </c>
      <c r="AI164" s="52" t="n">
        <v>1.0584</v>
      </c>
      <c r="AJ164" s="52" t="n">
        <f aca="false">IF(AH164="EUR",AA164,IF(AH164="GBP",AB164,1))</f>
        <v>7.84</v>
      </c>
      <c r="AK164" s="52" t="n">
        <f aca="false">N164*AI164</f>
        <v>187.9633728</v>
      </c>
      <c r="AL164" s="52" t="n">
        <f aca="false">AK164*AJ164</f>
        <v>1473.632842752</v>
      </c>
      <c r="AM164" s="52" t="s">
        <v>195</v>
      </c>
      <c r="AN164" s="52" t="n">
        <v>0.38304</v>
      </c>
      <c r="AO164" s="52" t="n">
        <f aca="false">IF(AM164="EUR",AA164,IF(AM164="GBP",AB164,1))</f>
        <v>7.84</v>
      </c>
      <c r="AP164" s="52" t="n">
        <f aca="false">P164*AN164</f>
        <v>78.463251328896</v>
      </c>
      <c r="AQ164" s="52" t="n">
        <f aca="false">AP164*AO164</f>
        <v>615.151890418545</v>
      </c>
      <c r="AR164" s="52" t="s">
        <v>195</v>
      </c>
      <c r="AS164" s="52" t="n">
        <v>5.2416</v>
      </c>
      <c r="AT164" s="52" t="n">
        <f aca="false">IF(AR164="EUR",AA164,IF(AR164="GBP",AB164,1))</f>
        <v>7.84</v>
      </c>
      <c r="AU164" s="52" t="n">
        <f aca="false">T164*AS164</f>
        <v>74.469298176</v>
      </c>
      <c r="AV164" s="52" t="n">
        <f aca="false">AU164*AT164</f>
        <v>583.83929769984</v>
      </c>
      <c r="AW164" s="52" t="s">
        <v>195</v>
      </c>
      <c r="AX164" s="52" t="n">
        <v>2.8224</v>
      </c>
      <c r="AY164" s="52" t="n">
        <f aca="false">IF(AW164="EUR",AA164,IF(AW164="GBP",AB164,1))</f>
        <v>7.84</v>
      </c>
      <c r="AZ164" s="52" t="n">
        <f aca="false">V164*AX164</f>
        <v>7.07655934090506</v>
      </c>
      <c r="BA164" s="52" t="n">
        <f aca="false">AZ164*AY164</f>
        <v>55.4802252326957</v>
      </c>
      <c r="BB164" s="52" t="n">
        <f aca="false">AF164+AG164+AL164+AQ164+AV164+BA164</f>
        <v>13576.7227085443</v>
      </c>
      <c r="BC164" s="54" t="n">
        <v>0.972</v>
      </c>
      <c r="BD164" s="32"/>
      <c r="BE164" s="32"/>
      <c r="BF164" s="32"/>
      <c r="BG164" s="32" t="s">
        <v>197</v>
      </c>
    </row>
    <row r="165" customFormat="false" ht="15" hidden="false" customHeight="false" outlineLevel="0" collapsed="false">
      <c r="A165" s="18" t="s">
        <v>200</v>
      </c>
      <c r="B165" s="18" t="s">
        <v>201</v>
      </c>
      <c r="C165" s="18"/>
      <c r="D165" s="49" t="n">
        <v>46143</v>
      </c>
      <c r="E165" s="18" t="s">
        <v>98</v>
      </c>
      <c r="F165" s="18" t="s">
        <v>99</v>
      </c>
      <c r="G165" s="18" t="s">
        <v>100</v>
      </c>
      <c r="H165" s="18" t="s">
        <v>101</v>
      </c>
      <c r="I165" s="18" t="s">
        <v>102</v>
      </c>
      <c r="J165" s="50" t="n">
        <v>16600</v>
      </c>
      <c r="K165" s="51" t="n">
        <v>0.386</v>
      </c>
      <c r="L165" s="51" t="n">
        <v>0.97</v>
      </c>
      <c r="M165" s="51" t="n">
        <v>0.6</v>
      </c>
      <c r="N165" s="52" t="n">
        <f aca="false">J165*K165*L165*M165</f>
        <v>3729.2232</v>
      </c>
      <c r="O165" s="50" t="n">
        <v>1.0542</v>
      </c>
      <c r="P165" s="52" t="n">
        <f aca="false">N165*O165</f>
        <v>3931.34709744</v>
      </c>
      <c r="Q165" s="50" t="n">
        <v>0.7839</v>
      </c>
      <c r="R165" s="52" t="n">
        <f aca="false">P165*Q165</f>
        <v>3081.78298968322</v>
      </c>
      <c r="S165" s="50" t="n">
        <v>0.05</v>
      </c>
      <c r="T165" s="52" t="n">
        <f aca="false">N165*S165</f>
        <v>186.46116</v>
      </c>
      <c r="U165" s="52" t="n">
        <v>0.01632</v>
      </c>
      <c r="V165" s="52" t="n">
        <f aca="false">P165*U165</f>
        <v>64.1595846302208</v>
      </c>
      <c r="W165" s="53" t="s">
        <v>195</v>
      </c>
      <c r="X165" s="50" t="n">
        <v>2.222</v>
      </c>
      <c r="Y165" s="53" t="s">
        <v>196</v>
      </c>
      <c r="Z165" s="50" t="n">
        <v>0.09595</v>
      </c>
      <c r="AA165" s="50" t="n">
        <v>7.87</v>
      </c>
      <c r="AB165" s="50" t="n">
        <v>9.13</v>
      </c>
      <c r="AC165" s="52" t="n">
        <f aca="false">IF(W165="EUR",AA165,IF(W165="GBP",AB165,1))</f>
        <v>7.87</v>
      </c>
      <c r="AD165" s="52" t="n">
        <f aca="false">R165*X165</f>
        <v>6847.72180307611</v>
      </c>
      <c r="AE165" s="52" t="n">
        <f aca="false">IF(Y165="PERCENTAGE_OF_BASE_FREIGHT",AD165*Z165,IF(Y165="PER_CHARGEABLE_KG",R165*Z165,P165*Z165))</f>
        <v>657.038907005152</v>
      </c>
      <c r="AF165" s="52" t="n">
        <f aca="false">AD165*AC165</f>
        <v>53891.570590209</v>
      </c>
      <c r="AG165" s="52" t="n">
        <f aca="false">AE165*AC165</f>
        <v>5170.89619813055</v>
      </c>
      <c r="AH165" s="52" t="s">
        <v>195</v>
      </c>
      <c r="AI165" s="52" t="n">
        <v>1.1918</v>
      </c>
      <c r="AJ165" s="52" t="n">
        <f aca="false">IF(AH165="EUR",AA165,IF(AH165="GBP",AB165,1))</f>
        <v>7.87</v>
      </c>
      <c r="AK165" s="52" t="n">
        <f aca="false">N165*AI165</f>
        <v>4444.48820976</v>
      </c>
      <c r="AL165" s="52" t="n">
        <f aca="false">AK165*AJ165</f>
        <v>34978.1222108112</v>
      </c>
      <c r="AM165" s="52" t="s">
        <v>195</v>
      </c>
      <c r="AN165" s="52" t="n">
        <v>0.4242</v>
      </c>
      <c r="AO165" s="52" t="n">
        <f aca="false">IF(AM165="EUR",AA165,IF(AM165="GBP",AB165,1))</f>
        <v>7.87</v>
      </c>
      <c r="AP165" s="52" t="n">
        <f aca="false">P165*AN165</f>
        <v>1667.67743873405</v>
      </c>
      <c r="AQ165" s="52" t="n">
        <f aca="false">AP165*AO165</f>
        <v>13124.621442837</v>
      </c>
      <c r="AR165" s="52" t="s">
        <v>195</v>
      </c>
      <c r="AS165" s="52" t="n">
        <v>3.232</v>
      </c>
      <c r="AT165" s="52" t="n">
        <f aca="false">IF(AR165="EUR",AA165,IF(AR165="GBP",AB165,1))</f>
        <v>7.87</v>
      </c>
      <c r="AU165" s="52" t="n">
        <f aca="false">T165*AS165</f>
        <v>602.64246912</v>
      </c>
      <c r="AV165" s="52" t="n">
        <f aca="false">AU165*AT165</f>
        <v>4742.7962319744</v>
      </c>
      <c r="AW165" s="52" t="s">
        <v>195</v>
      </c>
      <c r="AX165" s="52" t="n">
        <v>2.323</v>
      </c>
      <c r="AY165" s="52" t="n">
        <f aca="false">IF(AW165="EUR",AA165,IF(AW165="GBP",AB165,1))</f>
        <v>7.87</v>
      </c>
      <c r="AZ165" s="52" t="n">
        <f aca="false">V165*AX165</f>
        <v>149.042715096003</v>
      </c>
      <c r="BA165" s="52" t="n">
        <f aca="false">AZ165*AY165</f>
        <v>1172.96616780554</v>
      </c>
      <c r="BB165" s="52" t="n">
        <f aca="false">AF165+AG165+AL165+AQ165+AV165+BA165</f>
        <v>113080.972841768</v>
      </c>
      <c r="BC165" s="54" t="n">
        <v>0.966</v>
      </c>
      <c r="BD165" s="32"/>
      <c r="BE165" s="32"/>
      <c r="BF165" s="32"/>
      <c r="BG165" s="32" t="s">
        <v>197</v>
      </c>
    </row>
    <row r="166" customFormat="false" ht="15" hidden="false" customHeight="false" outlineLevel="0" collapsed="false">
      <c r="A166" s="18" t="s">
        <v>200</v>
      </c>
      <c r="B166" s="18" t="s">
        <v>201</v>
      </c>
      <c r="C166" s="18"/>
      <c r="D166" s="49" t="n">
        <v>46143</v>
      </c>
      <c r="E166" s="18" t="s">
        <v>106</v>
      </c>
      <c r="F166" s="18" t="s">
        <v>99</v>
      </c>
      <c r="G166" s="18" t="s">
        <v>100</v>
      </c>
      <c r="H166" s="18" t="s">
        <v>107</v>
      </c>
      <c r="I166" s="18" t="s">
        <v>102</v>
      </c>
      <c r="J166" s="50" t="n">
        <v>16600</v>
      </c>
      <c r="K166" s="51" t="n">
        <v>0.386</v>
      </c>
      <c r="L166" s="51" t="n">
        <v>0.97</v>
      </c>
      <c r="M166" s="51" t="n">
        <v>0.4</v>
      </c>
      <c r="N166" s="52" t="n">
        <f aca="false">J166*K166*L166*M166</f>
        <v>2486.1488</v>
      </c>
      <c r="O166" s="50" t="n">
        <v>1.0542</v>
      </c>
      <c r="P166" s="52" t="n">
        <f aca="false">N166*O166</f>
        <v>2620.89806496</v>
      </c>
      <c r="Q166" s="50" t="n">
        <v>0.804</v>
      </c>
      <c r="R166" s="52" t="n">
        <f aca="false">P166*Q166</f>
        <v>2107.20204422784</v>
      </c>
      <c r="S166" s="50" t="n">
        <v>0.05</v>
      </c>
      <c r="T166" s="52" t="n">
        <f aca="false">N166*S166</f>
        <v>124.30744</v>
      </c>
      <c r="U166" s="52" t="n">
        <v>0.01326</v>
      </c>
      <c r="V166" s="52" t="n">
        <f aca="false">P166*U166</f>
        <v>34.7531083413696</v>
      </c>
      <c r="W166" s="53" t="s">
        <v>195</v>
      </c>
      <c r="X166" s="50" t="n">
        <v>2.7775</v>
      </c>
      <c r="Y166" s="53" t="s">
        <v>198</v>
      </c>
      <c r="Z166" s="50" t="n">
        <v>0.2121</v>
      </c>
      <c r="AA166" s="50" t="n">
        <v>7.87</v>
      </c>
      <c r="AB166" s="50" t="n">
        <v>9.13</v>
      </c>
      <c r="AC166" s="52" t="n">
        <f aca="false">IF(W166="EUR",AA166,IF(W166="GBP",AB166,1))</f>
        <v>7.87</v>
      </c>
      <c r="AD166" s="52" t="n">
        <f aca="false">R166*X166</f>
        <v>5852.75367784283</v>
      </c>
      <c r="AE166" s="52" t="n">
        <f aca="false">IF(Y166="PERCENTAGE_OF_BASE_FREIGHT",AD166*Z166,IF(Y166="PER_CHARGEABLE_KG",R166*Z166,P166*Z166))</f>
        <v>446.937553580725</v>
      </c>
      <c r="AF166" s="52" t="n">
        <f aca="false">AD166*AC166</f>
        <v>46061.1714446231</v>
      </c>
      <c r="AG166" s="52" t="n">
        <f aca="false">AE166*AC166</f>
        <v>3517.39854668031</v>
      </c>
      <c r="AH166" s="52" t="s">
        <v>195</v>
      </c>
      <c r="AI166" s="52" t="n">
        <v>1.1918</v>
      </c>
      <c r="AJ166" s="52" t="n">
        <f aca="false">IF(AH166="EUR",AA166,IF(AH166="GBP",AB166,1))</f>
        <v>7.87</v>
      </c>
      <c r="AK166" s="52" t="n">
        <f aca="false">N166*AI166</f>
        <v>2962.99213984</v>
      </c>
      <c r="AL166" s="52" t="n">
        <f aca="false">AK166*AJ166</f>
        <v>23318.7481405408</v>
      </c>
      <c r="AM166" s="52" t="s">
        <v>195</v>
      </c>
      <c r="AN166" s="52" t="n">
        <v>0.4242</v>
      </c>
      <c r="AO166" s="52" t="n">
        <f aca="false">IF(AM166="EUR",AA166,IF(AM166="GBP",AB166,1))</f>
        <v>7.87</v>
      </c>
      <c r="AP166" s="52" t="n">
        <f aca="false">P166*AN166</f>
        <v>1111.78495915603</v>
      </c>
      <c r="AQ166" s="52" t="n">
        <f aca="false">AP166*AO166</f>
        <v>8749.74762855797</v>
      </c>
      <c r="AR166" s="52" t="s">
        <v>195</v>
      </c>
      <c r="AS166" s="52" t="n">
        <v>3.232</v>
      </c>
      <c r="AT166" s="52" t="n">
        <f aca="false">IF(AR166="EUR",AA166,IF(AR166="GBP",AB166,1))</f>
        <v>7.87</v>
      </c>
      <c r="AU166" s="52" t="n">
        <f aca="false">T166*AS166</f>
        <v>401.76164608</v>
      </c>
      <c r="AV166" s="52" t="n">
        <f aca="false">AU166*AT166</f>
        <v>3161.8641546496</v>
      </c>
      <c r="AW166" s="52" t="s">
        <v>195</v>
      </c>
      <c r="AX166" s="52" t="n">
        <v>2.323</v>
      </c>
      <c r="AY166" s="52" t="n">
        <f aca="false">IF(AW166="EUR",AA166,IF(AW166="GBP",AB166,1))</f>
        <v>7.87</v>
      </c>
      <c r="AZ166" s="52" t="n">
        <f aca="false">V166*AX166</f>
        <v>80.7314706770016</v>
      </c>
      <c r="BA166" s="52" t="n">
        <f aca="false">AZ166*AY166</f>
        <v>635.356674228003</v>
      </c>
      <c r="BB166" s="52" t="n">
        <f aca="false">AF166+AG166+AL166+AQ166+AV166+BA166</f>
        <v>85444.2865892798</v>
      </c>
      <c r="BC166" s="54" t="n">
        <v>0.977</v>
      </c>
      <c r="BD166" s="32"/>
      <c r="BE166" s="32"/>
      <c r="BF166" s="32"/>
      <c r="BG166" s="32" t="s">
        <v>197</v>
      </c>
    </row>
    <row r="167" customFormat="false" ht="15" hidden="false" customHeight="false" outlineLevel="0" collapsed="false">
      <c r="A167" s="18" t="s">
        <v>200</v>
      </c>
      <c r="B167" s="18" t="s">
        <v>201</v>
      </c>
      <c r="C167" s="18"/>
      <c r="D167" s="49" t="n">
        <v>46143</v>
      </c>
      <c r="E167" s="18" t="s">
        <v>109</v>
      </c>
      <c r="F167" s="18" t="s">
        <v>99</v>
      </c>
      <c r="G167" s="18" t="s">
        <v>110</v>
      </c>
      <c r="H167" s="18" t="s">
        <v>107</v>
      </c>
      <c r="I167" s="18" t="s">
        <v>102</v>
      </c>
      <c r="J167" s="50" t="n">
        <v>16600</v>
      </c>
      <c r="K167" s="51" t="n">
        <v>0.386</v>
      </c>
      <c r="L167" s="51" t="n">
        <v>0.03</v>
      </c>
      <c r="M167" s="51" t="n">
        <v>1</v>
      </c>
      <c r="N167" s="52" t="n">
        <f aca="false">J167*K167*L167*M167</f>
        <v>192.228</v>
      </c>
      <c r="O167" s="50" t="n">
        <v>1.08432</v>
      </c>
      <c r="P167" s="52" t="n">
        <f aca="false">N167*O167</f>
        <v>208.43666496</v>
      </c>
      <c r="Q167" s="50" t="n">
        <v>0.8643</v>
      </c>
      <c r="R167" s="52" t="n">
        <f aca="false">P167*Q167</f>
        <v>180.151809524928</v>
      </c>
      <c r="S167" s="50" t="n">
        <v>0.05</v>
      </c>
      <c r="T167" s="52" t="n">
        <f aca="false">N167*S167</f>
        <v>9.6114</v>
      </c>
      <c r="U167" s="52" t="n">
        <v>0.01428</v>
      </c>
      <c r="V167" s="52" t="n">
        <f aca="false">P167*U167</f>
        <v>2.9764755756288</v>
      </c>
      <c r="W167" s="53" t="s">
        <v>195</v>
      </c>
      <c r="X167" s="50" t="n">
        <v>3.333</v>
      </c>
      <c r="Y167" s="53" t="s">
        <v>198</v>
      </c>
      <c r="Z167" s="50" t="n">
        <v>0.2424</v>
      </c>
      <c r="AA167" s="50" t="n">
        <v>7.87</v>
      </c>
      <c r="AB167" s="50" t="n">
        <v>9.13</v>
      </c>
      <c r="AC167" s="52" t="n">
        <f aca="false">IF(W167="EUR",AA167,IF(W167="GBP",AB167,1))</f>
        <v>7.87</v>
      </c>
      <c r="AD167" s="52" t="n">
        <f aca="false">R167*X167</f>
        <v>600.445981146585</v>
      </c>
      <c r="AE167" s="52" t="n">
        <f aca="false">IF(Y167="PERCENTAGE_OF_BASE_FREIGHT",AD167*Z167,IF(Y167="PER_CHARGEABLE_KG",R167*Z167,P167*Z167))</f>
        <v>43.6687986288425</v>
      </c>
      <c r="AF167" s="52" t="n">
        <f aca="false">AD167*AC167</f>
        <v>4725.50987162362</v>
      </c>
      <c r="AG167" s="52" t="n">
        <f aca="false">AE167*AC167</f>
        <v>343.673445208991</v>
      </c>
      <c r="AH167" s="52" t="s">
        <v>195</v>
      </c>
      <c r="AI167" s="52" t="n">
        <v>1.0605</v>
      </c>
      <c r="AJ167" s="52" t="n">
        <f aca="false">IF(AH167="EUR",AA167,IF(AH167="GBP",AB167,1))</f>
        <v>7.87</v>
      </c>
      <c r="AK167" s="52" t="n">
        <f aca="false">N167*AI167</f>
        <v>203.857794</v>
      </c>
      <c r="AL167" s="52" t="n">
        <f aca="false">AK167*AJ167</f>
        <v>1604.36083878</v>
      </c>
      <c r="AM167" s="52" t="s">
        <v>195</v>
      </c>
      <c r="AN167" s="52" t="n">
        <v>0.3838</v>
      </c>
      <c r="AO167" s="52" t="n">
        <f aca="false">IF(AM167="EUR",AA167,IF(AM167="GBP",AB167,1))</f>
        <v>7.87</v>
      </c>
      <c r="AP167" s="52" t="n">
        <f aca="false">P167*AN167</f>
        <v>79.997992011648</v>
      </c>
      <c r="AQ167" s="52" t="n">
        <f aca="false">AP167*AO167</f>
        <v>629.58419713167</v>
      </c>
      <c r="AR167" s="52" t="s">
        <v>195</v>
      </c>
      <c r="AS167" s="52" t="n">
        <v>3.838</v>
      </c>
      <c r="AT167" s="52" t="n">
        <f aca="false">IF(AR167="EUR",AA167,IF(AR167="GBP",AB167,1))</f>
        <v>7.87</v>
      </c>
      <c r="AU167" s="52" t="n">
        <f aca="false">T167*AS167</f>
        <v>36.8885532</v>
      </c>
      <c r="AV167" s="52" t="n">
        <f aca="false">AU167*AT167</f>
        <v>290.312913684</v>
      </c>
      <c r="AW167" s="52" t="s">
        <v>195</v>
      </c>
      <c r="AX167" s="52" t="n">
        <v>2.323</v>
      </c>
      <c r="AY167" s="52" t="n">
        <f aca="false">IF(AW167="EUR",AA167,IF(AW167="GBP",AB167,1))</f>
        <v>7.87</v>
      </c>
      <c r="AZ167" s="52" t="n">
        <f aca="false">V167*AX167</f>
        <v>6.9143527621857</v>
      </c>
      <c r="BA167" s="52" t="n">
        <f aca="false">AZ167*AY167</f>
        <v>54.4159562384015</v>
      </c>
      <c r="BB167" s="52" t="n">
        <f aca="false">AF167+AG167+AL167+AQ167+AV167+BA167</f>
        <v>7647.85722266669</v>
      </c>
      <c r="BC167" s="54" t="n">
        <v>0.969</v>
      </c>
      <c r="BD167" s="32"/>
      <c r="BE167" s="32"/>
      <c r="BF167" s="32"/>
      <c r="BG167" s="32" t="s">
        <v>197</v>
      </c>
    </row>
    <row r="168" customFormat="false" ht="15" hidden="false" customHeight="false" outlineLevel="0" collapsed="false">
      <c r="A168" s="18" t="s">
        <v>200</v>
      </c>
      <c r="B168" s="18" t="s">
        <v>201</v>
      </c>
      <c r="C168" s="18"/>
      <c r="D168" s="49" t="n">
        <v>46143</v>
      </c>
      <c r="E168" s="18" t="s">
        <v>112</v>
      </c>
      <c r="F168" s="18" t="s">
        <v>113</v>
      </c>
      <c r="G168" s="18" t="s">
        <v>110</v>
      </c>
      <c r="H168" s="18" t="s">
        <v>101</v>
      </c>
      <c r="I168" s="18" t="s">
        <v>102</v>
      </c>
      <c r="J168" s="50" t="n">
        <v>16600</v>
      </c>
      <c r="K168" s="51" t="n">
        <v>0.319</v>
      </c>
      <c r="L168" s="51" t="n">
        <v>1</v>
      </c>
      <c r="M168" s="51" t="n">
        <v>0.35</v>
      </c>
      <c r="N168" s="52" t="n">
        <f aca="false">J168*K168*L168*M168</f>
        <v>1853.39</v>
      </c>
      <c r="O168" s="50" t="n">
        <v>1.06424</v>
      </c>
      <c r="P168" s="52" t="n">
        <f aca="false">N168*O168</f>
        <v>1972.4517736</v>
      </c>
      <c r="Q168" s="50" t="n">
        <v>0.7638</v>
      </c>
      <c r="R168" s="52" t="n">
        <f aca="false">P168*Q168</f>
        <v>1506.55866467568</v>
      </c>
      <c r="S168" s="50" t="n">
        <v>0.06</v>
      </c>
      <c r="T168" s="52" t="n">
        <f aca="false">N168*S168</f>
        <v>111.2034</v>
      </c>
      <c r="U168" s="52" t="n">
        <v>0.01734</v>
      </c>
      <c r="V168" s="52" t="n">
        <f aca="false">P168*U168</f>
        <v>34.202313754224</v>
      </c>
      <c r="W168" s="53" t="s">
        <v>195</v>
      </c>
      <c r="X168" s="50" t="n">
        <v>2.121</v>
      </c>
      <c r="Y168" s="53" t="s">
        <v>196</v>
      </c>
      <c r="Z168" s="50" t="n">
        <v>0.0909</v>
      </c>
      <c r="AA168" s="50" t="n">
        <v>7.87</v>
      </c>
      <c r="AB168" s="50" t="n">
        <v>9.13</v>
      </c>
      <c r="AC168" s="52" t="n">
        <f aca="false">IF(W168="EUR",AA168,IF(W168="GBP",AB168,1))</f>
        <v>7.87</v>
      </c>
      <c r="AD168" s="52" t="n">
        <f aca="false">R168*X168</f>
        <v>3195.41092777712</v>
      </c>
      <c r="AE168" s="52" t="n">
        <f aca="false">IF(Y168="PERCENTAGE_OF_BASE_FREIGHT",AD168*Z168,IF(Y168="PER_CHARGEABLE_KG",R168*Z168,P168*Z168))</f>
        <v>290.46285333494</v>
      </c>
      <c r="AF168" s="52" t="n">
        <f aca="false">AD168*AC168</f>
        <v>25147.8840016059</v>
      </c>
      <c r="AG168" s="52" t="n">
        <f aca="false">AE168*AC168</f>
        <v>2285.94265574598</v>
      </c>
      <c r="AH168" s="52" t="s">
        <v>195</v>
      </c>
      <c r="AI168" s="52" t="n">
        <v>1.0605</v>
      </c>
      <c r="AJ168" s="52" t="n">
        <f aca="false">IF(AH168="EUR",AA168,IF(AH168="GBP",AB168,1))</f>
        <v>7.87</v>
      </c>
      <c r="AK168" s="52" t="n">
        <f aca="false">N168*AI168</f>
        <v>1965.520095</v>
      </c>
      <c r="AL168" s="52" t="n">
        <f aca="false">AK168*AJ168</f>
        <v>15468.64314765</v>
      </c>
      <c r="AM168" s="52" t="s">
        <v>195</v>
      </c>
      <c r="AN168" s="52" t="n">
        <v>0.3838</v>
      </c>
      <c r="AO168" s="52" t="n">
        <f aca="false">IF(AM168="EUR",AA168,IF(AM168="GBP",AB168,1))</f>
        <v>7.87</v>
      </c>
      <c r="AP168" s="52" t="n">
        <f aca="false">P168*AN168</f>
        <v>757.02699070768</v>
      </c>
      <c r="AQ168" s="52" t="n">
        <f aca="false">AP168*AO168</f>
        <v>5957.80241686944</v>
      </c>
      <c r="AR168" s="52" t="s">
        <v>195</v>
      </c>
      <c r="AS168" s="52" t="n">
        <v>3.03</v>
      </c>
      <c r="AT168" s="52" t="n">
        <f aca="false">IF(AR168="EUR",AA168,IF(AR168="GBP",AB168,1))</f>
        <v>7.87</v>
      </c>
      <c r="AU168" s="52" t="n">
        <f aca="false">T168*AS168</f>
        <v>336.946302</v>
      </c>
      <c r="AV168" s="52" t="n">
        <f aca="false">AU168*AT168</f>
        <v>2651.76739674</v>
      </c>
      <c r="AW168" s="52" t="s">
        <v>195</v>
      </c>
      <c r="AX168" s="52" t="n">
        <v>2.323</v>
      </c>
      <c r="AY168" s="52" t="n">
        <f aca="false">IF(AW168="EUR",AA168,IF(AW168="GBP",AB168,1))</f>
        <v>7.87</v>
      </c>
      <c r="AZ168" s="52" t="n">
        <f aca="false">V168*AX168</f>
        <v>79.4519748510624</v>
      </c>
      <c r="BA168" s="52" t="n">
        <f aca="false">AZ168*AY168</f>
        <v>625.287042077861</v>
      </c>
      <c r="BB168" s="52" t="n">
        <f aca="false">AF168+AG168+AL168+AQ168+AV168+BA168</f>
        <v>52137.3266606892</v>
      </c>
      <c r="BC168" s="54" t="n">
        <v>0.962</v>
      </c>
      <c r="BD168" s="32"/>
      <c r="BE168" s="32"/>
      <c r="BF168" s="32"/>
      <c r="BG168" s="32" t="s">
        <v>197</v>
      </c>
    </row>
    <row r="169" customFormat="false" ht="15" hidden="false" customHeight="false" outlineLevel="0" collapsed="false">
      <c r="A169" s="18" t="s">
        <v>200</v>
      </c>
      <c r="B169" s="18" t="s">
        <v>201</v>
      </c>
      <c r="C169" s="18"/>
      <c r="D169" s="49" t="n">
        <v>46143</v>
      </c>
      <c r="E169" s="18" t="s">
        <v>116</v>
      </c>
      <c r="F169" s="18" t="s">
        <v>113</v>
      </c>
      <c r="G169" s="18" t="s">
        <v>110</v>
      </c>
      <c r="H169" s="18" t="s">
        <v>107</v>
      </c>
      <c r="I169" s="18" t="s">
        <v>102</v>
      </c>
      <c r="J169" s="50" t="n">
        <v>16600</v>
      </c>
      <c r="K169" s="51" t="n">
        <v>0.319</v>
      </c>
      <c r="L169" s="51" t="n">
        <v>1</v>
      </c>
      <c r="M169" s="51" t="n">
        <v>0.65</v>
      </c>
      <c r="N169" s="52" t="n">
        <f aca="false">J169*K169*L169*M169</f>
        <v>3442.01</v>
      </c>
      <c r="O169" s="50" t="n">
        <v>1.06424</v>
      </c>
      <c r="P169" s="52" t="n">
        <f aca="false">N169*O169</f>
        <v>3663.1247224</v>
      </c>
      <c r="Q169" s="50" t="n">
        <v>0.79395</v>
      </c>
      <c r="R169" s="52" t="n">
        <f aca="false">P169*Q169</f>
        <v>2908.33787334948</v>
      </c>
      <c r="S169" s="50" t="n">
        <v>0.06</v>
      </c>
      <c r="T169" s="52" t="n">
        <f aca="false">N169*S169</f>
        <v>206.5206</v>
      </c>
      <c r="U169" s="52" t="n">
        <v>0.01428</v>
      </c>
      <c r="V169" s="52" t="n">
        <f aca="false">P169*U169</f>
        <v>52.309421035872</v>
      </c>
      <c r="W169" s="53" t="s">
        <v>195</v>
      </c>
      <c r="X169" s="50" t="n">
        <v>2.626</v>
      </c>
      <c r="Y169" s="53" t="s">
        <v>198</v>
      </c>
      <c r="Z169" s="50" t="n">
        <v>0.202</v>
      </c>
      <c r="AA169" s="50" t="n">
        <v>7.87</v>
      </c>
      <c r="AB169" s="50" t="n">
        <v>9.13</v>
      </c>
      <c r="AC169" s="52" t="n">
        <f aca="false">IF(W169="EUR",AA169,IF(W169="GBP",AB169,1))</f>
        <v>7.87</v>
      </c>
      <c r="AD169" s="52" t="n">
        <f aca="false">R169*X169</f>
        <v>7637.29525541574</v>
      </c>
      <c r="AE169" s="52" t="n">
        <f aca="false">IF(Y169="PERCENTAGE_OF_BASE_FREIGHT",AD169*Z169,IF(Y169="PER_CHARGEABLE_KG",R169*Z169,P169*Z169))</f>
        <v>587.484250416595</v>
      </c>
      <c r="AF169" s="52" t="n">
        <f aca="false">AD169*AC169</f>
        <v>60105.5136601219</v>
      </c>
      <c r="AG169" s="52" t="n">
        <f aca="false">AE169*AC169</f>
        <v>4623.5010507786</v>
      </c>
      <c r="AH169" s="52" t="s">
        <v>195</v>
      </c>
      <c r="AI169" s="52" t="n">
        <v>1.0605</v>
      </c>
      <c r="AJ169" s="52" t="n">
        <f aca="false">IF(AH169="EUR",AA169,IF(AH169="GBP",AB169,1))</f>
        <v>7.87</v>
      </c>
      <c r="AK169" s="52" t="n">
        <f aca="false">N169*AI169</f>
        <v>3650.251605</v>
      </c>
      <c r="AL169" s="52" t="n">
        <f aca="false">AK169*AJ169</f>
        <v>28727.48013135</v>
      </c>
      <c r="AM169" s="52" t="s">
        <v>195</v>
      </c>
      <c r="AN169" s="52" t="n">
        <v>0.3838</v>
      </c>
      <c r="AO169" s="52" t="n">
        <f aca="false">IF(AM169="EUR",AA169,IF(AM169="GBP",AB169,1))</f>
        <v>7.87</v>
      </c>
      <c r="AP169" s="52" t="n">
        <f aca="false">P169*AN169</f>
        <v>1405.90726845712</v>
      </c>
      <c r="AQ169" s="52" t="n">
        <f aca="false">AP169*AO169</f>
        <v>11064.4902027575</v>
      </c>
      <c r="AR169" s="52" t="s">
        <v>195</v>
      </c>
      <c r="AS169" s="52" t="n">
        <v>3.03</v>
      </c>
      <c r="AT169" s="52" t="n">
        <f aca="false">IF(AR169="EUR",AA169,IF(AR169="GBP",AB169,1))</f>
        <v>7.87</v>
      </c>
      <c r="AU169" s="52" t="n">
        <f aca="false">T169*AS169</f>
        <v>625.757418</v>
      </c>
      <c r="AV169" s="52" t="n">
        <f aca="false">AU169*AT169</f>
        <v>4924.71087966</v>
      </c>
      <c r="AW169" s="52" t="s">
        <v>195</v>
      </c>
      <c r="AX169" s="52" t="n">
        <v>2.323</v>
      </c>
      <c r="AY169" s="52" t="n">
        <f aca="false">IF(AW169="EUR",AA169,IF(AW169="GBP",AB169,1))</f>
        <v>7.87</v>
      </c>
      <c r="AZ169" s="52" t="n">
        <f aca="false">V169*AX169</f>
        <v>121.514785066331</v>
      </c>
      <c r="BA169" s="52" t="n">
        <f aca="false">AZ169*AY169</f>
        <v>956.321358472022</v>
      </c>
      <c r="BB169" s="52" t="n">
        <f aca="false">AF169+AG169+AL169+AQ169+AV169+BA169</f>
        <v>110402.01728314</v>
      </c>
      <c r="BC169" s="54" t="n">
        <v>0.974</v>
      </c>
      <c r="BD169" s="32"/>
      <c r="BE169" s="32"/>
      <c r="BF169" s="32"/>
      <c r="BG169" s="32" t="s">
        <v>197</v>
      </c>
    </row>
    <row r="170" customFormat="false" ht="15" hidden="false" customHeight="false" outlineLevel="0" collapsed="false">
      <c r="A170" s="18" t="s">
        <v>200</v>
      </c>
      <c r="B170" s="18" t="s">
        <v>201</v>
      </c>
      <c r="C170" s="18"/>
      <c r="D170" s="49" t="n">
        <v>46143</v>
      </c>
      <c r="E170" s="18" t="s">
        <v>118</v>
      </c>
      <c r="F170" s="18" t="s">
        <v>119</v>
      </c>
      <c r="G170" s="18" t="s">
        <v>100</v>
      </c>
      <c r="H170" s="18" t="s">
        <v>101</v>
      </c>
      <c r="I170" s="18" t="s">
        <v>102</v>
      </c>
      <c r="J170" s="50" t="n">
        <v>16600</v>
      </c>
      <c r="K170" s="51" t="n">
        <v>0.295</v>
      </c>
      <c r="L170" s="51" t="n">
        <v>0.96</v>
      </c>
      <c r="M170" s="51" t="n">
        <v>0.62</v>
      </c>
      <c r="N170" s="52" t="n">
        <f aca="false">J170*K170*L170*M170</f>
        <v>2914.6944</v>
      </c>
      <c r="O170" s="50" t="n">
        <v>1.12448</v>
      </c>
      <c r="P170" s="52" t="n">
        <f aca="false">N170*O170</f>
        <v>3277.515558912</v>
      </c>
      <c r="Q170" s="50" t="n">
        <v>1.0251</v>
      </c>
      <c r="R170" s="52" t="n">
        <f aca="false">P170*Q170</f>
        <v>3359.78119944069</v>
      </c>
      <c r="S170" s="50" t="n">
        <v>0.08</v>
      </c>
      <c r="T170" s="52" t="n">
        <f aca="false">N170*S170</f>
        <v>233.175552</v>
      </c>
      <c r="U170" s="52" t="n">
        <v>0.02244</v>
      </c>
      <c r="V170" s="52" t="n">
        <f aca="false">P170*U170</f>
        <v>73.5474491419853</v>
      </c>
      <c r="W170" s="53" t="s">
        <v>199</v>
      </c>
      <c r="X170" s="50" t="n">
        <v>4.04</v>
      </c>
      <c r="Y170" s="53" t="s">
        <v>196</v>
      </c>
      <c r="Z170" s="50" t="n">
        <v>0.101</v>
      </c>
      <c r="AA170" s="50" t="n">
        <v>7.87</v>
      </c>
      <c r="AB170" s="50" t="n">
        <v>9.13</v>
      </c>
      <c r="AC170" s="52" t="n">
        <f aca="false">IF(W170="EUR",AA170,IF(W170="GBP",AB170,1))</f>
        <v>9.13</v>
      </c>
      <c r="AD170" s="52" t="n">
        <f aca="false">R170*X170</f>
        <v>13573.5160457404</v>
      </c>
      <c r="AE170" s="52" t="n">
        <f aca="false">IF(Y170="PERCENTAGE_OF_BASE_FREIGHT",AD170*Z170,IF(Y170="PER_CHARGEABLE_KG",R170*Z170,P170*Z170))</f>
        <v>1370.92512061978</v>
      </c>
      <c r="AF170" s="52" t="n">
        <f aca="false">AD170*AC170</f>
        <v>123926.20149761</v>
      </c>
      <c r="AG170" s="52" t="n">
        <f aca="false">AE170*AC170</f>
        <v>12516.5463512586</v>
      </c>
      <c r="AH170" s="52" t="s">
        <v>195</v>
      </c>
      <c r="AI170" s="52" t="n">
        <v>1.1918</v>
      </c>
      <c r="AJ170" s="52" t="n">
        <f aca="false">IF(AH170="EUR",AA170,IF(AH170="GBP",AB170,1))</f>
        <v>7.87</v>
      </c>
      <c r="AK170" s="52" t="n">
        <f aca="false">N170*AI170</f>
        <v>3473.73278592</v>
      </c>
      <c r="AL170" s="52" t="n">
        <f aca="false">AK170*AJ170</f>
        <v>27338.2770251904</v>
      </c>
      <c r="AM170" s="52" t="s">
        <v>195</v>
      </c>
      <c r="AN170" s="52" t="n">
        <v>0.4242</v>
      </c>
      <c r="AO170" s="52" t="n">
        <f aca="false">IF(AM170="EUR",AA170,IF(AM170="GBP",AB170,1))</f>
        <v>7.87</v>
      </c>
      <c r="AP170" s="52" t="n">
        <f aca="false">P170*AN170</f>
        <v>1390.32210009047</v>
      </c>
      <c r="AQ170" s="52" t="n">
        <f aca="false">AP170*AO170</f>
        <v>10941.834927712</v>
      </c>
      <c r="AR170" s="52" t="s">
        <v>199</v>
      </c>
      <c r="AS170" s="52" t="n">
        <v>4.848</v>
      </c>
      <c r="AT170" s="52" t="n">
        <f aca="false">IF(AR170="EUR",AA170,IF(AR170="GBP",AB170,1))</f>
        <v>9.13</v>
      </c>
      <c r="AU170" s="52" t="n">
        <f aca="false">T170*AS170</f>
        <v>1130.435076096</v>
      </c>
      <c r="AV170" s="52" t="n">
        <f aca="false">AU170*AT170</f>
        <v>10320.8722447565</v>
      </c>
      <c r="AW170" s="52" t="s">
        <v>199</v>
      </c>
      <c r="AX170" s="52" t="n">
        <v>2.323</v>
      </c>
      <c r="AY170" s="52" t="n">
        <f aca="false">IF(AW170="EUR",AA170,IF(AW170="GBP",AB170,1))</f>
        <v>9.13</v>
      </c>
      <c r="AZ170" s="52" t="n">
        <f aca="false">V170*AX170</f>
        <v>170.850724356832</v>
      </c>
      <c r="BA170" s="52" t="n">
        <f aca="false">AZ170*AY170</f>
        <v>1559.86711337787</v>
      </c>
      <c r="BB170" s="52" t="n">
        <f aca="false">AF170+AG170+AL170+AQ170+AV170+BA170</f>
        <v>186603.599159905</v>
      </c>
      <c r="BC170" s="54" t="n">
        <v>0.931</v>
      </c>
      <c r="BD170" s="32"/>
      <c r="BE170" s="32"/>
      <c r="BF170" s="32"/>
      <c r="BG170" s="32" t="s">
        <v>197</v>
      </c>
    </row>
    <row r="171" customFormat="false" ht="15" hidden="false" customHeight="false" outlineLevel="0" collapsed="false">
      <c r="A171" s="18" t="s">
        <v>200</v>
      </c>
      <c r="B171" s="18" t="s">
        <v>201</v>
      </c>
      <c r="C171" s="18"/>
      <c r="D171" s="49" t="n">
        <v>46143</v>
      </c>
      <c r="E171" s="18" t="s">
        <v>122</v>
      </c>
      <c r="F171" s="18" t="s">
        <v>119</v>
      </c>
      <c r="G171" s="18" t="s">
        <v>100</v>
      </c>
      <c r="H171" s="18" t="s">
        <v>107</v>
      </c>
      <c r="I171" s="18" t="s">
        <v>102</v>
      </c>
      <c r="J171" s="50" t="n">
        <v>16600</v>
      </c>
      <c r="K171" s="51" t="n">
        <v>0.295</v>
      </c>
      <c r="L171" s="51" t="n">
        <v>0.96</v>
      </c>
      <c r="M171" s="51" t="n">
        <v>0.25</v>
      </c>
      <c r="N171" s="52" t="n">
        <f aca="false">J171*K171*L171*M171</f>
        <v>1175.28</v>
      </c>
      <c r="O171" s="50" t="n">
        <v>1.12448</v>
      </c>
      <c r="P171" s="52" t="n">
        <f aca="false">N171*O171</f>
        <v>1321.5788544</v>
      </c>
      <c r="Q171" s="50" t="n">
        <v>1.005</v>
      </c>
      <c r="R171" s="52" t="n">
        <f aca="false">P171*Q171</f>
        <v>1328.186748672</v>
      </c>
      <c r="S171" s="50" t="n">
        <v>0.08</v>
      </c>
      <c r="T171" s="52" t="n">
        <f aca="false">N171*S171</f>
        <v>94.0224</v>
      </c>
      <c r="U171" s="52" t="n">
        <v>0.01734</v>
      </c>
      <c r="V171" s="52" t="n">
        <f aca="false">P171*U171</f>
        <v>22.916177335296</v>
      </c>
      <c r="W171" s="53" t="s">
        <v>199</v>
      </c>
      <c r="X171" s="50" t="n">
        <v>4.747</v>
      </c>
      <c r="Y171" s="53" t="s">
        <v>198</v>
      </c>
      <c r="Z171" s="50" t="n">
        <v>0.3333</v>
      </c>
      <c r="AA171" s="50" t="n">
        <v>7.87</v>
      </c>
      <c r="AB171" s="50" t="n">
        <v>9.13</v>
      </c>
      <c r="AC171" s="52" t="n">
        <f aca="false">IF(W171="EUR",AA171,IF(W171="GBP",AB171,1))</f>
        <v>9.13</v>
      </c>
      <c r="AD171" s="52" t="n">
        <f aca="false">R171*X171</f>
        <v>6304.90249594598</v>
      </c>
      <c r="AE171" s="52" t="n">
        <f aca="false">IF(Y171="PERCENTAGE_OF_BASE_FREIGHT",AD171*Z171,IF(Y171="PER_CHARGEABLE_KG",R171*Z171,P171*Z171))</f>
        <v>442.684643332378</v>
      </c>
      <c r="AF171" s="52" t="n">
        <f aca="false">AD171*AC171</f>
        <v>57563.7597879868</v>
      </c>
      <c r="AG171" s="52" t="n">
        <f aca="false">AE171*AC171</f>
        <v>4041.71079362461</v>
      </c>
      <c r="AH171" s="52" t="s">
        <v>195</v>
      </c>
      <c r="AI171" s="52" t="n">
        <v>1.1918</v>
      </c>
      <c r="AJ171" s="52" t="n">
        <f aca="false">IF(AH171="EUR",AA171,IF(AH171="GBP",AB171,1))</f>
        <v>7.87</v>
      </c>
      <c r="AK171" s="52" t="n">
        <f aca="false">N171*AI171</f>
        <v>1400.698704</v>
      </c>
      <c r="AL171" s="52" t="n">
        <f aca="false">AK171*AJ171</f>
        <v>11023.49880048</v>
      </c>
      <c r="AM171" s="52" t="s">
        <v>195</v>
      </c>
      <c r="AN171" s="52" t="n">
        <v>0.4242</v>
      </c>
      <c r="AO171" s="52" t="n">
        <f aca="false">IF(AM171="EUR",AA171,IF(AM171="GBP",AB171,1))</f>
        <v>7.87</v>
      </c>
      <c r="AP171" s="52" t="n">
        <f aca="false">P171*AN171</f>
        <v>560.61375003648</v>
      </c>
      <c r="AQ171" s="52" t="n">
        <f aca="false">AP171*AO171</f>
        <v>4412.0302127871</v>
      </c>
      <c r="AR171" s="52" t="s">
        <v>199</v>
      </c>
      <c r="AS171" s="52" t="n">
        <v>4.848</v>
      </c>
      <c r="AT171" s="52" t="n">
        <f aca="false">IF(AR171="EUR",AA171,IF(AR171="GBP",AB171,1))</f>
        <v>9.13</v>
      </c>
      <c r="AU171" s="52" t="n">
        <f aca="false">T171*AS171</f>
        <v>455.8205952</v>
      </c>
      <c r="AV171" s="52" t="n">
        <f aca="false">AU171*AT171</f>
        <v>4161.642034176</v>
      </c>
      <c r="AW171" s="52" t="s">
        <v>199</v>
      </c>
      <c r="AX171" s="52" t="n">
        <v>2.323</v>
      </c>
      <c r="AY171" s="52" t="n">
        <f aca="false">IF(AW171="EUR",AA171,IF(AW171="GBP",AB171,1))</f>
        <v>9.13</v>
      </c>
      <c r="AZ171" s="52" t="n">
        <f aca="false">V171*AX171</f>
        <v>53.2342799498926</v>
      </c>
      <c r="BA171" s="52" t="n">
        <f aca="false">AZ171*AY171</f>
        <v>486.02897594252</v>
      </c>
      <c r="BB171" s="52" t="n">
        <f aca="false">AF171+AG171+AL171+AQ171+AV171+BA171</f>
        <v>81688.6706049971</v>
      </c>
      <c r="BC171" s="54" t="n">
        <v>0.951</v>
      </c>
      <c r="BD171" s="32"/>
      <c r="BE171" s="32"/>
      <c r="BF171" s="32"/>
      <c r="BG171" s="32" t="s">
        <v>197</v>
      </c>
    </row>
    <row r="172" customFormat="false" ht="15" hidden="false" customHeight="false" outlineLevel="0" collapsed="false">
      <c r="A172" s="18" t="s">
        <v>200</v>
      </c>
      <c r="B172" s="18" t="s">
        <v>201</v>
      </c>
      <c r="C172" s="18"/>
      <c r="D172" s="49" t="n">
        <v>46143</v>
      </c>
      <c r="E172" s="18" t="s">
        <v>124</v>
      </c>
      <c r="F172" s="18" t="s">
        <v>119</v>
      </c>
      <c r="G172" s="18" t="s">
        <v>100</v>
      </c>
      <c r="H172" s="18" t="s">
        <v>107</v>
      </c>
      <c r="I172" s="18" t="s">
        <v>125</v>
      </c>
      <c r="J172" s="50" t="n">
        <v>16600</v>
      </c>
      <c r="K172" s="51" t="n">
        <v>0.295</v>
      </c>
      <c r="L172" s="51" t="n">
        <v>0.96</v>
      </c>
      <c r="M172" s="51" t="n">
        <v>0.09</v>
      </c>
      <c r="N172" s="52" t="n">
        <f aca="false">J172*K172*L172*M172</f>
        <v>423.1008</v>
      </c>
      <c r="O172" s="50" t="n">
        <v>1.12448</v>
      </c>
      <c r="P172" s="52" t="n">
        <f aca="false">N172*O172</f>
        <v>475.768387584</v>
      </c>
      <c r="Q172" s="50" t="n">
        <v>0.9447</v>
      </c>
      <c r="R172" s="52" t="n">
        <f aca="false">P172*Q172</f>
        <v>449.458395750605</v>
      </c>
      <c r="S172" s="50" t="n">
        <v>0.08</v>
      </c>
      <c r="T172" s="52" t="n">
        <f aca="false">N172*S172</f>
        <v>33.848064</v>
      </c>
      <c r="U172" s="52" t="n">
        <v>0.01326</v>
      </c>
      <c r="V172" s="52" t="n">
        <f aca="false">P172*U172</f>
        <v>6.30868881936384</v>
      </c>
      <c r="W172" s="53" t="s">
        <v>199</v>
      </c>
      <c r="X172" s="50" t="n">
        <v>6.262</v>
      </c>
      <c r="Y172" s="53" t="s">
        <v>196</v>
      </c>
      <c r="Z172" s="50" t="n">
        <v>0.11615</v>
      </c>
      <c r="AA172" s="50" t="n">
        <v>7.87</v>
      </c>
      <c r="AB172" s="50" t="n">
        <v>9.13</v>
      </c>
      <c r="AC172" s="52" t="n">
        <f aca="false">IF(W172="EUR",AA172,IF(W172="GBP",AB172,1))</f>
        <v>9.13</v>
      </c>
      <c r="AD172" s="52" t="n">
        <f aca="false">R172*X172</f>
        <v>2814.50847419029</v>
      </c>
      <c r="AE172" s="52" t="n">
        <f aca="false">IF(Y172="PERCENTAGE_OF_BASE_FREIGHT",AD172*Z172,IF(Y172="PER_CHARGEABLE_KG",R172*Z172,P172*Z172))</f>
        <v>326.905159277202</v>
      </c>
      <c r="AF172" s="52" t="n">
        <f aca="false">AD172*AC172</f>
        <v>25696.4623693573</v>
      </c>
      <c r="AG172" s="52" t="n">
        <f aca="false">AE172*AC172</f>
        <v>2984.64410420085</v>
      </c>
      <c r="AH172" s="52" t="s">
        <v>195</v>
      </c>
      <c r="AI172" s="52" t="n">
        <v>1.1918</v>
      </c>
      <c r="AJ172" s="52" t="n">
        <f aca="false">IF(AH172="EUR",AA172,IF(AH172="GBP",AB172,1))</f>
        <v>7.87</v>
      </c>
      <c r="AK172" s="52" t="n">
        <f aca="false">N172*AI172</f>
        <v>504.25153344</v>
      </c>
      <c r="AL172" s="52" t="n">
        <f aca="false">AK172*AJ172</f>
        <v>3968.4595681728</v>
      </c>
      <c r="AM172" s="52" t="s">
        <v>195</v>
      </c>
      <c r="AN172" s="52" t="n">
        <v>0.4242</v>
      </c>
      <c r="AO172" s="52" t="n">
        <f aca="false">IF(AM172="EUR",AA172,IF(AM172="GBP",AB172,1))</f>
        <v>7.87</v>
      </c>
      <c r="AP172" s="52" t="n">
        <f aca="false">P172*AN172</f>
        <v>201.820950013133</v>
      </c>
      <c r="AQ172" s="52" t="n">
        <f aca="false">AP172*AO172</f>
        <v>1588.33087660336</v>
      </c>
      <c r="AR172" s="52" t="s">
        <v>199</v>
      </c>
      <c r="AS172" s="52" t="n">
        <v>4.848</v>
      </c>
      <c r="AT172" s="52" t="n">
        <f aca="false">IF(AR172="EUR",AA172,IF(AR172="GBP",AB172,1))</f>
        <v>9.13</v>
      </c>
      <c r="AU172" s="52" t="n">
        <f aca="false">T172*AS172</f>
        <v>164.095414272</v>
      </c>
      <c r="AV172" s="52" t="n">
        <f aca="false">AU172*AT172</f>
        <v>1498.19113230336</v>
      </c>
      <c r="AW172" s="52" t="s">
        <v>199</v>
      </c>
      <c r="AX172" s="52" t="n">
        <v>2.828</v>
      </c>
      <c r="AY172" s="52" t="n">
        <f aca="false">IF(AW172="EUR",AA172,IF(AW172="GBP",AB172,1))</f>
        <v>9.13</v>
      </c>
      <c r="AZ172" s="52" t="n">
        <f aca="false">V172*AX172</f>
        <v>17.8409719811609</v>
      </c>
      <c r="BA172" s="52" t="n">
        <f aca="false">AZ172*AY172</f>
        <v>162.888074187999</v>
      </c>
      <c r="BB172" s="52" t="n">
        <f aca="false">AF172+AG172+AL172+AQ172+AV172+BA172</f>
        <v>35898.9761248257</v>
      </c>
      <c r="BC172" s="54" t="n">
        <v>0.975</v>
      </c>
      <c r="BD172" s="32"/>
      <c r="BE172" s="32"/>
      <c r="BF172" s="32"/>
      <c r="BG172" s="32" t="s">
        <v>197</v>
      </c>
    </row>
    <row r="173" customFormat="false" ht="15" hidden="false" customHeight="false" outlineLevel="0" collapsed="false">
      <c r="A173" s="18" t="s">
        <v>200</v>
      </c>
      <c r="B173" s="18" t="s">
        <v>201</v>
      </c>
      <c r="C173" s="18"/>
      <c r="D173" s="49" t="n">
        <v>46143</v>
      </c>
      <c r="E173" s="18" t="s">
        <v>127</v>
      </c>
      <c r="F173" s="18" t="s">
        <v>119</v>
      </c>
      <c r="G173" s="18" t="s">
        <v>100</v>
      </c>
      <c r="H173" s="18" t="s">
        <v>128</v>
      </c>
      <c r="I173" s="18" t="s">
        <v>125</v>
      </c>
      <c r="J173" s="50" t="n">
        <v>16600</v>
      </c>
      <c r="K173" s="51" t="n">
        <v>0.295</v>
      </c>
      <c r="L173" s="51" t="n">
        <v>0.96</v>
      </c>
      <c r="M173" s="51" t="n">
        <v>0.04</v>
      </c>
      <c r="N173" s="52" t="n">
        <f aca="false">J173*K173*L173*M173</f>
        <v>188.0448</v>
      </c>
      <c r="O173" s="50" t="n">
        <v>1.12448</v>
      </c>
      <c r="P173" s="52" t="n">
        <f aca="false">N173*O173</f>
        <v>211.452616704</v>
      </c>
      <c r="Q173" s="50" t="n">
        <v>0.9246</v>
      </c>
      <c r="R173" s="52" t="n">
        <f aca="false">P173*Q173</f>
        <v>195.509089404518</v>
      </c>
      <c r="S173" s="50" t="n">
        <v>0.08</v>
      </c>
      <c r="T173" s="52" t="n">
        <f aca="false">N173*S173</f>
        <v>15.043584</v>
      </c>
      <c r="U173" s="52" t="n">
        <v>0.00918</v>
      </c>
      <c r="V173" s="52" t="n">
        <f aca="false">P173*U173</f>
        <v>1.94113502134272</v>
      </c>
      <c r="W173" s="53" t="s">
        <v>199</v>
      </c>
      <c r="X173" s="50" t="n">
        <v>7.575</v>
      </c>
      <c r="Y173" s="53" t="s">
        <v>198</v>
      </c>
      <c r="Z173" s="50" t="n">
        <v>0.5858</v>
      </c>
      <c r="AA173" s="50" t="n">
        <v>7.87</v>
      </c>
      <c r="AB173" s="50" t="n">
        <v>9.13</v>
      </c>
      <c r="AC173" s="52" t="n">
        <f aca="false">IF(W173="EUR",AA173,IF(W173="GBP",AB173,1))</f>
        <v>9.13</v>
      </c>
      <c r="AD173" s="52" t="n">
        <f aca="false">R173*X173</f>
        <v>1480.98135223923</v>
      </c>
      <c r="AE173" s="52" t="n">
        <f aca="false">IF(Y173="PERCENTAGE_OF_BASE_FREIGHT",AD173*Z173,IF(Y173="PER_CHARGEABLE_KG",R173*Z173,P173*Z173))</f>
        <v>114.529224573167</v>
      </c>
      <c r="AF173" s="52" t="n">
        <f aca="false">AD173*AC173</f>
        <v>13521.3597459441</v>
      </c>
      <c r="AG173" s="52" t="n">
        <f aca="false">AE173*AC173</f>
        <v>1045.65182035301</v>
      </c>
      <c r="AH173" s="52" t="s">
        <v>195</v>
      </c>
      <c r="AI173" s="52" t="n">
        <v>1.1918</v>
      </c>
      <c r="AJ173" s="52" t="n">
        <f aca="false">IF(AH173="EUR",AA173,IF(AH173="GBP",AB173,1))</f>
        <v>7.87</v>
      </c>
      <c r="AK173" s="52" t="n">
        <f aca="false">N173*AI173</f>
        <v>224.11179264</v>
      </c>
      <c r="AL173" s="52" t="n">
        <f aca="false">AK173*AJ173</f>
        <v>1763.7598080768</v>
      </c>
      <c r="AM173" s="52" t="s">
        <v>195</v>
      </c>
      <c r="AN173" s="52" t="n">
        <v>0.4242</v>
      </c>
      <c r="AO173" s="52" t="n">
        <f aca="false">IF(AM173="EUR",AA173,IF(AM173="GBP",AB173,1))</f>
        <v>7.87</v>
      </c>
      <c r="AP173" s="52" t="n">
        <f aca="false">P173*AN173</f>
        <v>89.6982000058368</v>
      </c>
      <c r="AQ173" s="52" t="n">
        <f aca="false">AP173*AO173</f>
        <v>705.924834045936</v>
      </c>
      <c r="AR173" s="52" t="s">
        <v>199</v>
      </c>
      <c r="AS173" s="52" t="n">
        <v>4.848</v>
      </c>
      <c r="AT173" s="52" t="n">
        <f aca="false">IF(AR173="EUR",AA173,IF(AR173="GBP",AB173,1))</f>
        <v>9.13</v>
      </c>
      <c r="AU173" s="52" t="n">
        <f aca="false">T173*AS173</f>
        <v>72.931295232</v>
      </c>
      <c r="AV173" s="52" t="n">
        <f aca="false">AU173*AT173</f>
        <v>665.86272546816</v>
      </c>
      <c r="AW173" s="52" t="s">
        <v>199</v>
      </c>
      <c r="AX173" s="52" t="n">
        <v>3.636</v>
      </c>
      <c r="AY173" s="52" t="n">
        <f aca="false">IF(AW173="EUR",AA173,IF(AW173="GBP",AB173,1))</f>
        <v>9.13</v>
      </c>
      <c r="AZ173" s="52" t="n">
        <f aca="false">V173*AX173</f>
        <v>7.05796693760213</v>
      </c>
      <c r="BA173" s="52" t="n">
        <f aca="false">AZ173*AY173</f>
        <v>64.4392381403075</v>
      </c>
      <c r="BB173" s="52" t="n">
        <f aca="false">AF173+AG173+AL173+AQ173+AV173+BA173</f>
        <v>17766.9981720284</v>
      </c>
      <c r="BC173" s="54" t="n">
        <v>0.989</v>
      </c>
      <c r="BD173" s="32"/>
      <c r="BE173" s="32"/>
      <c r="BF173" s="32"/>
      <c r="BG173" s="32" t="s">
        <v>197</v>
      </c>
    </row>
    <row r="174" customFormat="false" ht="15" hidden="false" customHeight="false" outlineLevel="0" collapsed="false">
      <c r="A174" s="18" t="s">
        <v>200</v>
      </c>
      <c r="B174" s="18" t="s">
        <v>201</v>
      </c>
      <c r="C174" s="18"/>
      <c r="D174" s="49" t="n">
        <v>46143</v>
      </c>
      <c r="E174" s="18" t="s">
        <v>130</v>
      </c>
      <c r="F174" s="18" t="s">
        <v>119</v>
      </c>
      <c r="G174" s="18" t="s">
        <v>110</v>
      </c>
      <c r="H174" s="18" t="s">
        <v>107</v>
      </c>
      <c r="I174" s="18" t="s">
        <v>125</v>
      </c>
      <c r="J174" s="50" t="n">
        <v>16600</v>
      </c>
      <c r="K174" s="51" t="n">
        <v>0.295</v>
      </c>
      <c r="L174" s="51" t="n">
        <v>0.04</v>
      </c>
      <c r="M174" s="51" t="n">
        <v>1</v>
      </c>
      <c r="N174" s="52" t="n">
        <f aca="false">J174*K174*L174*M174</f>
        <v>195.88</v>
      </c>
      <c r="O174" s="50" t="n">
        <v>1.1546</v>
      </c>
      <c r="P174" s="52" t="n">
        <f aca="false">N174*O174</f>
        <v>226.163048</v>
      </c>
      <c r="Q174" s="50" t="n">
        <v>0.9045</v>
      </c>
      <c r="R174" s="52" t="n">
        <f aca="false">P174*Q174</f>
        <v>204.564476916</v>
      </c>
      <c r="S174" s="50" t="n">
        <v>0.08</v>
      </c>
      <c r="T174" s="52" t="n">
        <f aca="false">N174*S174</f>
        <v>15.6704</v>
      </c>
      <c r="U174" s="52" t="n">
        <v>0.01224</v>
      </c>
      <c r="V174" s="52" t="n">
        <f aca="false">P174*U174</f>
        <v>2.76823570752</v>
      </c>
      <c r="W174" s="53" t="s">
        <v>195</v>
      </c>
      <c r="X174" s="50" t="n">
        <v>6.767</v>
      </c>
      <c r="Y174" s="53" t="s">
        <v>196</v>
      </c>
      <c r="Z174" s="50" t="n">
        <v>0.10605</v>
      </c>
      <c r="AA174" s="50" t="n">
        <v>7.87</v>
      </c>
      <c r="AB174" s="50" t="n">
        <v>9.13</v>
      </c>
      <c r="AC174" s="52" t="n">
        <f aca="false">IF(W174="EUR",AA174,IF(W174="GBP",AB174,1))</f>
        <v>7.87</v>
      </c>
      <c r="AD174" s="52" t="n">
        <f aca="false">R174*X174</f>
        <v>1384.28781529057</v>
      </c>
      <c r="AE174" s="52" t="n">
        <f aca="false">IF(Y174="PERCENTAGE_OF_BASE_FREIGHT",AD174*Z174,IF(Y174="PER_CHARGEABLE_KG",R174*Z174,P174*Z174))</f>
        <v>146.803722811565</v>
      </c>
      <c r="AF174" s="52" t="n">
        <f aca="false">AD174*AC174</f>
        <v>10894.3451063368</v>
      </c>
      <c r="AG174" s="52" t="n">
        <f aca="false">AE174*AC174</f>
        <v>1155.34529852702</v>
      </c>
      <c r="AH174" s="52" t="s">
        <v>195</v>
      </c>
      <c r="AI174" s="52" t="n">
        <v>1.0605</v>
      </c>
      <c r="AJ174" s="52" t="n">
        <f aca="false">IF(AH174="EUR",AA174,IF(AH174="GBP",AB174,1))</f>
        <v>7.87</v>
      </c>
      <c r="AK174" s="52" t="n">
        <f aca="false">N174*AI174</f>
        <v>207.73074</v>
      </c>
      <c r="AL174" s="52" t="n">
        <f aca="false">AK174*AJ174</f>
        <v>1634.8409238</v>
      </c>
      <c r="AM174" s="52" t="s">
        <v>195</v>
      </c>
      <c r="AN174" s="52" t="n">
        <v>0.3838</v>
      </c>
      <c r="AO174" s="52" t="n">
        <f aca="false">IF(AM174="EUR",AA174,IF(AM174="GBP",AB174,1))</f>
        <v>7.87</v>
      </c>
      <c r="AP174" s="52" t="n">
        <f aca="false">P174*AN174</f>
        <v>86.8013778224</v>
      </c>
      <c r="AQ174" s="52" t="n">
        <f aca="false">AP174*AO174</f>
        <v>683.126843462288</v>
      </c>
      <c r="AR174" s="52" t="s">
        <v>195</v>
      </c>
      <c r="AS174" s="52" t="n">
        <v>5.252</v>
      </c>
      <c r="AT174" s="52" t="n">
        <f aca="false">IF(AR174="EUR",AA174,IF(AR174="GBP",AB174,1))</f>
        <v>7.87</v>
      </c>
      <c r="AU174" s="52" t="n">
        <f aca="false">T174*AS174</f>
        <v>82.3009408</v>
      </c>
      <c r="AV174" s="52" t="n">
        <f aca="false">AU174*AT174</f>
        <v>647.708404096</v>
      </c>
      <c r="AW174" s="52" t="s">
        <v>195</v>
      </c>
      <c r="AX174" s="52" t="n">
        <v>2.828</v>
      </c>
      <c r="AY174" s="52" t="n">
        <f aca="false">IF(AW174="EUR",AA174,IF(AW174="GBP",AB174,1))</f>
        <v>7.87</v>
      </c>
      <c r="AZ174" s="52" t="n">
        <f aca="false">V174*AX174</f>
        <v>7.82857058086656</v>
      </c>
      <c r="BA174" s="52" t="n">
        <f aca="false">AZ174*AY174</f>
        <v>61.6108504714198</v>
      </c>
      <c r="BB174" s="52" t="n">
        <f aca="false">AF174+AG174+AL174+AQ174+AV174+BA174</f>
        <v>15076.9774266935</v>
      </c>
      <c r="BC174" s="54" t="n">
        <v>0.972</v>
      </c>
      <c r="BD174" s="32"/>
      <c r="BE174" s="32"/>
      <c r="BF174" s="32"/>
      <c r="BG174" s="32" t="s">
        <v>197</v>
      </c>
    </row>
    <row r="175" customFormat="false" ht="15" hidden="false" customHeight="false" outlineLevel="0" collapsed="false">
      <c r="A175" s="18" t="s">
        <v>200</v>
      </c>
      <c r="B175" s="18" t="s">
        <v>201</v>
      </c>
      <c r="C175" s="18"/>
      <c r="D175" s="49" t="n">
        <v>46174</v>
      </c>
      <c r="E175" s="18" t="s">
        <v>98</v>
      </c>
      <c r="F175" s="18" t="s">
        <v>99</v>
      </c>
      <c r="G175" s="18" t="s">
        <v>100</v>
      </c>
      <c r="H175" s="18" t="s">
        <v>101</v>
      </c>
      <c r="I175" s="18" t="s">
        <v>102</v>
      </c>
      <c r="J175" s="50" t="n">
        <v>17200</v>
      </c>
      <c r="K175" s="51" t="n">
        <v>0.382</v>
      </c>
      <c r="L175" s="51" t="n">
        <v>0.97</v>
      </c>
      <c r="M175" s="51" t="n">
        <v>0.6</v>
      </c>
      <c r="N175" s="52" t="n">
        <f aca="false">J175*K175*L175*M175</f>
        <v>3823.9728</v>
      </c>
      <c r="O175" s="50" t="n">
        <v>1.05525</v>
      </c>
      <c r="P175" s="52" t="n">
        <f aca="false">N175*O175</f>
        <v>4035.2472972</v>
      </c>
      <c r="Q175" s="50" t="n">
        <v>0.7839</v>
      </c>
      <c r="R175" s="52" t="n">
        <f aca="false">P175*Q175</f>
        <v>3163.23035627508</v>
      </c>
      <c r="S175" s="50" t="n">
        <v>0.05</v>
      </c>
      <c r="T175" s="52" t="n">
        <f aca="false">N175*S175</f>
        <v>191.19864</v>
      </c>
      <c r="U175" s="52" t="n">
        <v>0.01632</v>
      </c>
      <c r="V175" s="52" t="n">
        <f aca="false">P175*U175</f>
        <v>65.855235890304</v>
      </c>
      <c r="W175" s="53" t="s">
        <v>195</v>
      </c>
      <c r="X175" s="50" t="n">
        <v>2.2264</v>
      </c>
      <c r="Y175" s="53" t="s">
        <v>196</v>
      </c>
      <c r="Z175" s="50" t="n">
        <v>0.09614</v>
      </c>
      <c r="AA175" s="50" t="n">
        <v>7.89</v>
      </c>
      <c r="AB175" s="50" t="n">
        <v>9.16</v>
      </c>
      <c r="AC175" s="52" t="n">
        <f aca="false">IF(W175="EUR",AA175,IF(W175="GBP",AB175,1))</f>
        <v>7.89</v>
      </c>
      <c r="AD175" s="52" t="n">
        <f aca="false">R175*X175</f>
        <v>7042.61606521084</v>
      </c>
      <c r="AE175" s="52" t="n">
        <f aca="false">IF(Y175="PERCENTAGE_OF_BASE_FREIGHT",AD175*Z175,IF(Y175="PER_CHARGEABLE_KG",R175*Z175,P175*Z175))</f>
        <v>677.07710850937</v>
      </c>
      <c r="AF175" s="52" t="n">
        <f aca="false">AD175*AC175</f>
        <v>55566.2407545135</v>
      </c>
      <c r="AG175" s="52" t="n">
        <f aca="false">AE175*AC175</f>
        <v>5342.13838613893</v>
      </c>
      <c r="AH175" s="52" t="s">
        <v>195</v>
      </c>
      <c r="AI175" s="52" t="n">
        <v>1.19416</v>
      </c>
      <c r="AJ175" s="52" t="n">
        <f aca="false">IF(AH175="EUR",AA175,IF(AH175="GBP",AB175,1))</f>
        <v>7.89</v>
      </c>
      <c r="AK175" s="52" t="n">
        <f aca="false">N175*AI175</f>
        <v>4566.435358848</v>
      </c>
      <c r="AL175" s="52" t="n">
        <f aca="false">AK175*AJ175</f>
        <v>36029.1749813107</v>
      </c>
      <c r="AM175" s="52" t="s">
        <v>195</v>
      </c>
      <c r="AN175" s="52" t="n">
        <v>0.42504</v>
      </c>
      <c r="AO175" s="52" t="n">
        <f aca="false">IF(AM175="EUR",AA175,IF(AM175="GBP",AB175,1))</f>
        <v>7.89</v>
      </c>
      <c r="AP175" s="52" t="n">
        <f aca="false">P175*AN175</f>
        <v>1715.14151120189</v>
      </c>
      <c r="AQ175" s="52" t="n">
        <f aca="false">AP175*AO175</f>
        <v>13532.4665233829</v>
      </c>
      <c r="AR175" s="52" t="s">
        <v>195</v>
      </c>
      <c r="AS175" s="52" t="n">
        <v>3.2384</v>
      </c>
      <c r="AT175" s="52" t="n">
        <f aca="false">IF(AR175="EUR",AA175,IF(AR175="GBP",AB175,1))</f>
        <v>7.89</v>
      </c>
      <c r="AU175" s="52" t="n">
        <f aca="false">T175*AS175</f>
        <v>619.177675776</v>
      </c>
      <c r="AV175" s="52" t="n">
        <f aca="false">AU175*AT175</f>
        <v>4885.31186187264</v>
      </c>
      <c r="AW175" s="52" t="s">
        <v>195</v>
      </c>
      <c r="AX175" s="52" t="n">
        <v>2.3276</v>
      </c>
      <c r="AY175" s="52" t="n">
        <f aca="false">IF(AW175="EUR",AA175,IF(AW175="GBP",AB175,1))</f>
        <v>7.89</v>
      </c>
      <c r="AZ175" s="52" t="n">
        <f aca="false">V175*AX175</f>
        <v>153.284647058272</v>
      </c>
      <c r="BA175" s="52" t="n">
        <f aca="false">AZ175*AY175</f>
        <v>1209.41586528976</v>
      </c>
      <c r="BB175" s="52" t="n">
        <f aca="false">AF175+AG175+AL175+AQ175+AV175+BA175</f>
        <v>116564.748372508</v>
      </c>
      <c r="BC175" s="54" t="n">
        <v>0.966</v>
      </c>
      <c r="BD175" s="32"/>
      <c r="BE175" s="32"/>
      <c r="BF175" s="32"/>
      <c r="BG175" s="32" t="s">
        <v>197</v>
      </c>
    </row>
    <row r="176" customFormat="false" ht="15" hidden="false" customHeight="false" outlineLevel="0" collapsed="false">
      <c r="A176" s="18" t="s">
        <v>200</v>
      </c>
      <c r="B176" s="18" t="s">
        <v>201</v>
      </c>
      <c r="C176" s="18"/>
      <c r="D176" s="49" t="n">
        <v>46174</v>
      </c>
      <c r="E176" s="18" t="s">
        <v>106</v>
      </c>
      <c r="F176" s="18" t="s">
        <v>99</v>
      </c>
      <c r="G176" s="18" t="s">
        <v>100</v>
      </c>
      <c r="H176" s="18" t="s">
        <v>107</v>
      </c>
      <c r="I176" s="18" t="s">
        <v>102</v>
      </c>
      <c r="J176" s="50" t="n">
        <v>17200</v>
      </c>
      <c r="K176" s="51" t="n">
        <v>0.382</v>
      </c>
      <c r="L176" s="51" t="n">
        <v>0.97</v>
      </c>
      <c r="M176" s="51" t="n">
        <v>0.4</v>
      </c>
      <c r="N176" s="52" t="n">
        <f aca="false">J176*K176*L176*M176</f>
        <v>2549.3152</v>
      </c>
      <c r="O176" s="50" t="n">
        <v>1.05525</v>
      </c>
      <c r="P176" s="52" t="n">
        <f aca="false">N176*O176</f>
        <v>2690.1648648</v>
      </c>
      <c r="Q176" s="50" t="n">
        <v>0.804</v>
      </c>
      <c r="R176" s="52" t="n">
        <f aca="false">P176*Q176</f>
        <v>2162.8925512992</v>
      </c>
      <c r="S176" s="50" t="n">
        <v>0.05</v>
      </c>
      <c r="T176" s="52" t="n">
        <f aca="false">N176*S176</f>
        <v>127.46576</v>
      </c>
      <c r="U176" s="52" t="n">
        <v>0.01326</v>
      </c>
      <c r="V176" s="52" t="n">
        <f aca="false">P176*U176</f>
        <v>35.671586107248</v>
      </c>
      <c r="W176" s="53" t="s">
        <v>195</v>
      </c>
      <c r="X176" s="50" t="n">
        <v>2.783</v>
      </c>
      <c r="Y176" s="53" t="s">
        <v>198</v>
      </c>
      <c r="Z176" s="50" t="n">
        <v>0.21252</v>
      </c>
      <c r="AA176" s="50" t="n">
        <v>7.89</v>
      </c>
      <c r="AB176" s="50" t="n">
        <v>9.16</v>
      </c>
      <c r="AC176" s="52" t="n">
        <f aca="false">IF(W176="EUR",AA176,IF(W176="GBP",AB176,1))</f>
        <v>7.89</v>
      </c>
      <c r="AD176" s="52" t="n">
        <f aca="false">R176*X176</f>
        <v>6019.32997026568</v>
      </c>
      <c r="AE176" s="52" t="n">
        <f aca="false">IF(Y176="PERCENTAGE_OF_BASE_FREIGHT",AD176*Z176,IF(Y176="PER_CHARGEABLE_KG",R176*Z176,P176*Z176))</f>
        <v>459.657925002106</v>
      </c>
      <c r="AF176" s="52" t="n">
        <f aca="false">AD176*AC176</f>
        <v>47492.5134653962</v>
      </c>
      <c r="AG176" s="52" t="n">
        <f aca="false">AE176*AC176</f>
        <v>3626.70102826662</v>
      </c>
      <c r="AH176" s="52" t="s">
        <v>195</v>
      </c>
      <c r="AI176" s="52" t="n">
        <v>1.19416</v>
      </c>
      <c r="AJ176" s="52" t="n">
        <f aca="false">IF(AH176="EUR",AA176,IF(AH176="GBP",AB176,1))</f>
        <v>7.89</v>
      </c>
      <c r="AK176" s="52" t="n">
        <f aca="false">N176*AI176</f>
        <v>3044.290239232</v>
      </c>
      <c r="AL176" s="52" t="n">
        <f aca="false">AK176*AJ176</f>
        <v>24019.4499875405</v>
      </c>
      <c r="AM176" s="52" t="s">
        <v>195</v>
      </c>
      <c r="AN176" s="52" t="n">
        <v>0.42504</v>
      </c>
      <c r="AO176" s="52" t="n">
        <f aca="false">IF(AM176="EUR",AA176,IF(AM176="GBP",AB176,1))</f>
        <v>7.89</v>
      </c>
      <c r="AP176" s="52" t="n">
        <f aca="false">P176*AN176</f>
        <v>1143.42767413459</v>
      </c>
      <c r="AQ176" s="52" t="n">
        <f aca="false">AP176*AO176</f>
        <v>9021.64434892193</v>
      </c>
      <c r="AR176" s="52" t="s">
        <v>195</v>
      </c>
      <c r="AS176" s="52" t="n">
        <v>3.2384</v>
      </c>
      <c r="AT176" s="52" t="n">
        <f aca="false">IF(AR176="EUR",AA176,IF(AR176="GBP",AB176,1))</f>
        <v>7.89</v>
      </c>
      <c r="AU176" s="52" t="n">
        <f aca="false">T176*AS176</f>
        <v>412.785117184</v>
      </c>
      <c r="AV176" s="52" t="n">
        <f aca="false">AU176*AT176</f>
        <v>3256.87457458176</v>
      </c>
      <c r="AW176" s="52" t="s">
        <v>195</v>
      </c>
      <c r="AX176" s="52" t="n">
        <v>2.3276</v>
      </c>
      <c r="AY176" s="52" t="n">
        <f aca="false">IF(AW176="EUR",AA176,IF(AW176="GBP",AB176,1))</f>
        <v>7.89</v>
      </c>
      <c r="AZ176" s="52" t="n">
        <f aca="false">V176*AX176</f>
        <v>83.0291838232305</v>
      </c>
      <c r="BA176" s="52" t="n">
        <f aca="false">AZ176*AY176</f>
        <v>655.100260365288</v>
      </c>
      <c r="BB176" s="52" t="n">
        <f aca="false">AF176+AG176+AL176+AQ176+AV176+BA176</f>
        <v>88072.2836650723</v>
      </c>
      <c r="BC176" s="54" t="n">
        <v>0.977</v>
      </c>
      <c r="BD176" s="32"/>
      <c r="BE176" s="32"/>
      <c r="BF176" s="32"/>
      <c r="BG176" s="32" t="s">
        <v>197</v>
      </c>
    </row>
    <row r="177" customFormat="false" ht="15" hidden="false" customHeight="false" outlineLevel="0" collapsed="false">
      <c r="A177" s="18" t="s">
        <v>200</v>
      </c>
      <c r="B177" s="18" t="s">
        <v>201</v>
      </c>
      <c r="C177" s="18"/>
      <c r="D177" s="49" t="n">
        <v>46174</v>
      </c>
      <c r="E177" s="18" t="s">
        <v>109</v>
      </c>
      <c r="F177" s="18" t="s">
        <v>99</v>
      </c>
      <c r="G177" s="18" t="s">
        <v>110</v>
      </c>
      <c r="H177" s="18" t="s">
        <v>107</v>
      </c>
      <c r="I177" s="18" t="s">
        <v>102</v>
      </c>
      <c r="J177" s="50" t="n">
        <v>17200</v>
      </c>
      <c r="K177" s="51" t="n">
        <v>0.382</v>
      </c>
      <c r="L177" s="51" t="n">
        <v>0.03</v>
      </c>
      <c r="M177" s="51" t="n">
        <v>1</v>
      </c>
      <c r="N177" s="52" t="n">
        <f aca="false">J177*K177*L177*M177</f>
        <v>197.112</v>
      </c>
      <c r="O177" s="50" t="n">
        <v>1.0854</v>
      </c>
      <c r="P177" s="52" t="n">
        <f aca="false">N177*O177</f>
        <v>213.9453648</v>
      </c>
      <c r="Q177" s="50" t="n">
        <v>0.8643</v>
      </c>
      <c r="R177" s="52" t="n">
        <f aca="false">P177*Q177</f>
        <v>184.91297879664</v>
      </c>
      <c r="S177" s="50" t="n">
        <v>0.05</v>
      </c>
      <c r="T177" s="52" t="n">
        <f aca="false">N177*S177</f>
        <v>9.8556</v>
      </c>
      <c r="U177" s="52" t="n">
        <v>0.01428</v>
      </c>
      <c r="V177" s="52" t="n">
        <f aca="false">P177*U177</f>
        <v>3.055139809344</v>
      </c>
      <c r="W177" s="53" t="s">
        <v>195</v>
      </c>
      <c r="X177" s="50" t="n">
        <v>3.3396</v>
      </c>
      <c r="Y177" s="53" t="s">
        <v>198</v>
      </c>
      <c r="Z177" s="50" t="n">
        <v>0.24288</v>
      </c>
      <c r="AA177" s="50" t="n">
        <v>7.89</v>
      </c>
      <c r="AB177" s="50" t="n">
        <v>9.16</v>
      </c>
      <c r="AC177" s="52" t="n">
        <f aca="false">IF(W177="EUR",AA177,IF(W177="GBP",AB177,1))</f>
        <v>7.89</v>
      </c>
      <c r="AD177" s="52" t="n">
        <f aca="false">R177*X177</f>
        <v>617.535383989259</v>
      </c>
      <c r="AE177" s="52" t="n">
        <f aca="false">IF(Y177="PERCENTAGE_OF_BASE_FREIGHT",AD177*Z177,IF(Y177="PER_CHARGEABLE_KG",R177*Z177,P177*Z177))</f>
        <v>44.9116642901279</v>
      </c>
      <c r="AF177" s="52" t="n">
        <f aca="false">AD177*AC177</f>
        <v>4872.35417967525</v>
      </c>
      <c r="AG177" s="52" t="n">
        <f aca="false">AE177*AC177</f>
        <v>354.353031249109</v>
      </c>
      <c r="AH177" s="52" t="s">
        <v>195</v>
      </c>
      <c r="AI177" s="52" t="n">
        <v>1.0626</v>
      </c>
      <c r="AJ177" s="52" t="n">
        <f aca="false">IF(AH177="EUR",AA177,IF(AH177="GBP",AB177,1))</f>
        <v>7.89</v>
      </c>
      <c r="AK177" s="52" t="n">
        <f aca="false">N177*AI177</f>
        <v>209.4512112</v>
      </c>
      <c r="AL177" s="52" t="n">
        <f aca="false">AK177*AJ177</f>
        <v>1652.570056368</v>
      </c>
      <c r="AM177" s="52" t="s">
        <v>195</v>
      </c>
      <c r="AN177" s="52" t="n">
        <v>0.38456</v>
      </c>
      <c r="AO177" s="52" t="n">
        <f aca="false">IF(AM177="EUR",AA177,IF(AM177="GBP",AB177,1))</f>
        <v>7.89</v>
      </c>
      <c r="AP177" s="52" t="n">
        <f aca="false">P177*AN177</f>
        <v>82.274829487488</v>
      </c>
      <c r="AQ177" s="52" t="n">
        <f aca="false">AP177*AO177</f>
        <v>649.14840465628</v>
      </c>
      <c r="AR177" s="52" t="s">
        <v>195</v>
      </c>
      <c r="AS177" s="52" t="n">
        <v>3.8456</v>
      </c>
      <c r="AT177" s="52" t="n">
        <f aca="false">IF(AR177="EUR",AA177,IF(AR177="GBP",AB177,1))</f>
        <v>7.89</v>
      </c>
      <c r="AU177" s="52" t="n">
        <f aca="false">T177*AS177</f>
        <v>37.90069536</v>
      </c>
      <c r="AV177" s="52" t="n">
        <f aca="false">AU177*AT177</f>
        <v>299.0364863904</v>
      </c>
      <c r="AW177" s="52" t="s">
        <v>195</v>
      </c>
      <c r="AX177" s="52" t="n">
        <v>2.3276</v>
      </c>
      <c r="AY177" s="52" t="n">
        <f aca="false">IF(AW177="EUR",AA177,IF(AW177="GBP",AB177,1))</f>
        <v>7.89</v>
      </c>
      <c r="AZ177" s="52" t="n">
        <f aca="false">V177*AX177</f>
        <v>7.11114342022909</v>
      </c>
      <c r="BA177" s="52" t="n">
        <f aca="false">AZ177*AY177</f>
        <v>56.1069215856076</v>
      </c>
      <c r="BB177" s="52" t="n">
        <f aca="false">AF177+AG177+AL177+AQ177+AV177+BA177</f>
        <v>7883.56907992465</v>
      </c>
      <c r="BC177" s="54" t="n">
        <v>0.969</v>
      </c>
      <c r="BD177" s="32"/>
      <c r="BE177" s="32"/>
      <c r="BF177" s="32"/>
      <c r="BG177" s="32" t="s">
        <v>197</v>
      </c>
    </row>
    <row r="178" customFormat="false" ht="15" hidden="false" customHeight="false" outlineLevel="0" collapsed="false">
      <c r="A178" s="18" t="s">
        <v>200</v>
      </c>
      <c r="B178" s="18" t="s">
        <v>201</v>
      </c>
      <c r="C178" s="18"/>
      <c r="D178" s="49" t="n">
        <v>46174</v>
      </c>
      <c r="E178" s="18" t="s">
        <v>112</v>
      </c>
      <c r="F178" s="18" t="s">
        <v>113</v>
      </c>
      <c r="G178" s="18" t="s">
        <v>110</v>
      </c>
      <c r="H178" s="18" t="s">
        <v>101</v>
      </c>
      <c r="I178" s="18" t="s">
        <v>102</v>
      </c>
      <c r="J178" s="50" t="n">
        <v>17200</v>
      </c>
      <c r="K178" s="51" t="n">
        <v>0.315</v>
      </c>
      <c r="L178" s="51" t="n">
        <v>1</v>
      </c>
      <c r="M178" s="51" t="n">
        <v>0.35</v>
      </c>
      <c r="N178" s="52" t="n">
        <f aca="false">J178*K178*L178*M178</f>
        <v>1896.3</v>
      </c>
      <c r="O178" s="50" t="n">
        <v>1.0653</v>
      </c>
      <c r="P178" s="52" t="n">
        <f aca="false">N178*O178</f>
        <v>2020.12839</v>
      </c>
      <c r="Q178" s="50" t="n">
        <v>0.7638</v>
      </c>
      <c r="R178" s="52" t="n">
        <f aca="false">P178*Q178</f>
        <v>1542.974064282</v>
      </c>
      <c r="S178" s="50" t="n">
        <v>0.06</v>
      </c>
      <c r="T178" s="52" t="n">
        <f aca="false">N178*S178</f>
        <v>113.778</v>
      </c>
      <c r="U178" s="52" t="n">
        <v>0.01734</v>
      </c>
      <c r="V178" s="52" t="n">
        <f aca="false">P178*U178</f>
        <v>35.0290262826</v>
      </c>
      <c r="W178" s="53" t="s">
        <v>195</v>
      </c>
      <c r="X178" s="50" t="n">
        <v>2.1252</v>
      </c>
      <c r="Y178" s="53" t="s">
        <v>196</v>
      </c>
      <c r="Z178" s="50" t="n">
        <v>0.09108</v>
      </c>
      <c r="AA178" s="50" t="n">
        <v>7.89</v>
      </c>
      <c r="AB178" s="50" t="n">
        <v>9.16</v>
      </c>
      <c r="AC178" s="52" t="n">
        <f aca="false">IF(W178="EUR",AA178,IF(W178="GBP",AB178,1))</f>
        <v>7.89</v>
      </c>
      <c r="AD178" s="52" t="n">
        <f aca="false">R178*X178</f>
        <v>3279.12848141211</v>
      </c>
      <c r="AE178" s="52" t="n">
        <f aca="false">IF(Y178="PERCENTAGE_OF_BASE_FREIGHT",AD178*Z178,IF(Y178="PER_CHARGEABLE_KG",R178*Z178,P178*Z178))</f>
        <v>298.663022087015</v>
      </c>
      <c r="AF178" s="52" t="n">
        <f aca="false">AD178*AC178</f>
        <v>25872.3237183415</v>
      </c>
      <c r="AG178" s="52" t="n">
        <f aca="false">AE178*AC178</f>
        <v>2356.45124426655</v>
      </c>
      <c r="AH178" s="52" t="s">
        <v>195</v>
      </c>
      <c r="AI178" s="52" t="n">
        <v>1.0626</v>
      </c>
      <c r="AJ178" s="52" t="n">
        <f aca="false">IF(AH178="EUR",AA178,IF(AH178="GBP",AB178,1))</f>
        <v>7.89</v>
      </c>
      <c r="AK178" s="52" t="n">
        <f aca="false">N178*AI178</f>
        <v>2015.00838</v>
      </c>
      <c r="AL178" s="52" t="n">
        <f aca="false">AK178*AJ178</f>
        <v>15898.4161182</v>
      </c>
      <c r="AM178" s="52" t="s">
        <v>195</v>
      </c>
      <c r="AN178" s="52" t="n">
        <v>0.38456</v>
      </c>
      <c r="AO178" s="52" t="n">
        <f aca="false">IF(AM178="EUR",AA178,IF(AM178="GBP",AB178,1))</f>
        <v>7.89</v>
      </c>
      <c r="AP178" s="52" t="n">
        <f aca="false">P178*AN178</f>
        <v>776.8605736584</v>
      </c>
      <c r="AQ178" s="52" t="n">
        <f aca="false">AP178*AO178</f>
        <v>6129.42992616478</v>
      </c>
      <c r="AR178" s="52" t="s">
        <v>195</v>
      </c>
      <c r="AS178" s="52" t="n">
        <v>3.036</v>
      </c>
      <c r="AT178" s="52" t="n">
        <f aca="false">IF(AR178="EUR",AA178,IF(AR178="GBP",AB178,1))</f>
        <v>7.89</v>
      </c>
      <c r="AU178" s="52" t="n">
        <f aca="false">T178*AS178</f>
        <v>345.430008</v>
      </c>
      <c r="AV178" s="52" t="n">
        <f aca="false">AU178*AT178</f>
        <v>2725.44276312</v>
      </c>
      <c r="AW178" s="52" t="s">
        <v>195</v>
      </c>
      <c r="AX178" s="52" t="n">
        <v>2.3276</v>
      </c>
      <c r="AY178" s="52" t="n">
        <f aca="false">IF(AW178="EUR",AA178,IF(AW178="GBP",AB178,1))</f>
        <v>7.89</v>
      </c>
      <c r="AZ178" s="52" t="n">
        <f aca="false">V178*AX178</f>
        <v>81.5335615753798</v>
      </c>
      <c r="BA178" s="52" t="n">
        <f aca="false">AZ178*AY178</f>
        <v>643.299800829746</v>
      </c>
      <c r="BB178" s="52" t="n">
        <f aca="false">AF178+AG178+AL178+AQ178+AV178+BA178</f>
        <v>53625.3635709226</v>
      </c>
      <c r="BC178" s="54" t="n">
        <v>0.962</v>
      </c>
      <c r="BD178" s="32"/>
      <c r="BE178" s="32"/>
      <c r="BF178" s="32"/>
      <c r="BG178" s="32" t="s">
        <v>197</v>
      </c>
    </row>
    <row r="179" customFormat="false" ht="15" hidden="false" customHeight="false" outlineLevel="0" collapsed="false">
      <c r="A179" s="18" t="s">
        <v>200</v>
      </c>
      <c r="B179" s="18" t="s">
        <v>201</v>
      </c>
      <c r="C179" s="18"/>
      <c r="D179" s="49" t="n">
        <v>46174</v>
      </c>
      <c r="E179" s="18" t="s">
        <v>116</v>
      </c>
      <c r="F179" s="18" t="s">
        <v>113</v>
      </c>
      <c r="G179" s="18" t="s">
        <v>110</v>
      </c>
      <c r="H179" s="18" t="s">
        <v>107</v>
      </c>
      <c r="I179" s="18" t="s">
        <v>102</v>
      </c>
      <c r="J179" s="50" t="n">
        <v>17200</v>
      </c>
      <c r="K179" s="51" t="n">
        <v>0.315</v>
      </c>
      <c r="L179" s="51" t="n">
        <v>1</v>
      </c>
      <c r="M179" s="51" t="n">
        <v>0.65</v>
      </c>
      <c r="N179" s="52" t="n">
        <f aca="false">J179*K179*L179*M179</f>
        <v>3521.7</v>
      </c>
      <c r="O179" s="50" t="n">
        <v>1.0653</v>
      </c>
      <c r="P179" s="52" t="n">
        <f aca="false">N179*O179</f>
        <v>3751.66701</v>
      </c>
      <c r="Q179" s="50" t="n">
        <v>0.79395</v>
      </c>
      <c r="R179" s="52" t="n">
        <f aca="false">P179*Q179</f>
        <v>2978.6360225895</v>
      </c>
      <c r="S179" s="50" t="n">
        <v>0.06</v>
      </c>
      <c r="T179" s="52" t="n">
        <f aca="false">N179*S179</f>
        <v>211.302</v>
      </c>
      <c r="U179" s="52" t="n">
        <v>0.01428</v>
      </c>
      <c r="V179" s="52" t="n">
        <f aca="false">P179*U179</f>
        <v>53.5738049028</v>
      </c>
      <c r="W179" s="53" t="s">
        <v>195</v>
      </c>
      <c r="X179" s="50" t="n">
        <v>2.6312</v>
      </c>
      <c r="Y179" s="53" t="s">
        <v>198</v>
      </c>
      <c r="Z179" s="50" t="n">
        <v>0.2024</v>
      </c>
      <c r="AA179" s="50" t="n">
        <v>7.89</v>
      </c>
      <c r="AB179" s="50" t="n">
        <v>9.16</v>
      </c>
      <c r="AC179" s="52" t="n">
        <f aca="false">IF(W179="EUR",AA179,IF(W179="GBP",AB179,1))</f>
        <v>7.89</v>
      </c>
      <c r="AD179" s="52" t="n">
        <f aca="false">R179*X179</f>
        <v>7837.38710263749</v>
      </c>
      <c r="AE179" s="52" t="n">
        <f aca="false">IF(Y179="PERCENTAGE_OF_BASE_FREIGHT",AD179*Z179,IF(Y179="PER_CHARGEABLE_KG",R179*Z179,P179*Z179))</f>
        <v>602.875930972115</v>
      </c>
      <c r="AF179" s="52" t="n">
        <f aca="false">AD179*AC179</f>
        <v>61836.9842398098</v>
      </c>
      <c r="AG179" s="52" t="n">
        <f aca="false">AE179*AC179</f>
        <v>4756.69109536999</v>
      </c>
      <c r="AH179" s="52" t="s">
        <v>195</v>
      </c>
      <c r="AI179" s="52" t="n">
        <v>1.0626</v>
      </c>
      <c r="AJ179" s="52" t="n">
        <f aca="false">IF(AH179="EUR",AA179,IF(AH179="GBP",AB179,1))</f>
        <v>7.89</v>
      </c>
      <c r="AK179" s="52" t="n">
        <f aca="false">N179*AI179</f>
        <v>3742.15842</v>
      </c>
      <c r="AL179" s="52" t="n">
        <f aca="false">AK179*AJ179</f>
        <v>29525.6299338</v>
      </c>
      <c r="AM179" s="52" t="s">
        <v>195</v>
      </c>
      <c r="AN179" s="52" t="n">
        <v>0.38456</v>
      </c>
      <c r="AO179" s="52" t="n">
        <f aca="false">IF(AM179="EUR",AA179,IF(AM179="GBP",AB179,1))</f>
        <v>7.89</v>
      </c>
      <c r="AP179" s="52" t="n">
        <f aca="false">P179*AN179</f>
        <v>1442.7410653656</v>
      </c>
      <c r="AQ179" s="52" t="n">
        <f aca="false">AP179*AO179</f>
        <v>11383.2270057346</v>
      </c>
      <c r="AR179" s="52" t="s">
        <v>195</v>
      </c>
      <c r="AS179" s="52" t="n">
        <v>3.036</v>
      </c>
      <c r="AT179" s="52" t="n">
        <f aca="false">IF(AR179="EUR",AA179,IF(AR179="GBP",AB179,1))</f>
        <v>7.89</v>
      </c>
      <c r="AU179" s="52" t="n">
        <f aca="false">T179*AS179</f>
        <v>641.512872</v>
      </c>
      <c r="AV179" s="52" t="n">
        <f aca="false">AU179*AT179</f>
        <v>5061.53656008</v>
      </c>
      <c r="AW179" s="52" t="s">
        <v>195</v>
      </c>
      <c r="AX179" s="52" t="n">
        <v>2.3276</v>
      </c>
      <c r="AY179" s="52" t="n">
        <f aca="false">IF(AW179="EUR",AA179,IF(AW179="GBP",AB179,1))</f>
        <v>7.89</v>
      </c>
      <c r="AZ179" s="52" t="n">
        <f aca="false">V179*AX179</f>
        <v>124.698388291757</v>
      </c>
      <c r="BA179" s="52" t="n">
        <f aca="false">AZ179*AY179</f>
        <v>983.870283621965</v>
      </c>
      <c r="BB179" s="52" t="n">
        <f aca="false">AF179+AG179+AL179+AQ179+AV179+BA179</f>
        <v>113547.939118416</v>
      </c>
      <c r="BC179" s="54" t="n">
        <v>0.974</v>
      </c>
      <c r="BD179" s="32"/>
      <c r="BE179" s="32"/>
      <c r="BF179" s="32"/>
      <c r="BG179" s="32" t="s">
        <v>197</v>
      </c>
    </row>
    <row r="180" customFormat="false" ht="15" hidden="false" customHeight="false" outlineLevel="0" collapsed="false">
      <c r="A180" s="18" t="s">
        <v>200</v>
      </c>
      <c r="B180" s="18" t="s">
        <v>201</v>
      </c>
      <c r="C180" s="18"/>
      <c r="D180" s="49" t="n">
        <v>46174</v>
      </c>
      <c r="E180" s="18" t="s">
        <v>118</v>
      </c>
      <c r="F180" s="18" t="s">
        <v>119</v>
      </c>
      <c r="G180" s="18" t="s">
        <v>100</v>
      </c>
      <c r="H180" s="18" t="s">
        <v>101</v>
      </c>
      <c r="I180" s="18" t="s">
        <v>102</v>
      </c>
      <c r="J180" s="50" t="n">
        <v>17200</v>
      </c>
      <c r="K180" s="51" t="n">
        <v>0.303</v>
      </c>
      <c r="L180" s="51" t="n">
        <v>0.96</v>
      </c>
      <c r="M180" s="51" t="n">
        <v>0.62</v>
      </c>
      <c r="N180" s="52" t="n">
        <f aca="false">J180*K180*L180*M180</f>
        <v>3101.94432</v>
      </c>
      <c r="O180" s="50" t="n">
        <v>1.1256</v>
      </c>
      <c r="P180" s="52" t="n">
        <f aca="false">N180*O180</f>
        <v>3491.548526592</v>
      </c>
      <c r="Q180" s="50" t="n">
        <v>1.0251</v>
      </c>
      <c r="R180" s="52" t="n">
        <f aca="false">P180*Q180</f>
        <v>3579.18639460946</v>
      </c>
      <c r="S180" s="50" t="n">
        <v>0.08</v>
      </c>
      <c r="T180" s="52" t="n">
        <f aca="false">N180*S180</f>
        <v>248.1555456</v>
      </c>
      <c r="U180" s="52" t="n">
        <v>0.02244</v>
      </c>
      <c r="V180" s="52" t="n">
        <f aca="false">P180*U180</f>
        <v>78.3503489367245</v>
      </c>
      <c r="W180" s="53" t="s">
        <v>199</v>
      </c>
      <c r="X180" s="50" t="n">
        <v>4.048</v>
      </c>
      <c r="Y180" s="53" t="s">
        <v>196</v>
      </c>
      <c r="Z180" s="50" t="n">
        <v>0.1012</v>
      </c>
      <c r="AA180" s="50" t="n">
        <v>7.89</v>
      </c>
      <c r="AB180" s="50" t="n">
        <v>9.16</v>
      </c>
      <c r="AC180" s="52" t="n">
        <f aca="false">IF(W180="EUR",AA180,IF(W180="GBP",AB180,1))</f>
        <v>9.16</v>
      </c>
      <c r="AD180" s="52" t="n">
        <f aca="false">R180*X180</f>
        <v>14488.5465253791</v>
      </c>
      <c r="AE180" s="52" t="n">
        <f aca="false">IF(Y180="PERCENTAGE_OF_BASE_FREIGHT",AD180*Z180,IF(Y180="PER_CHARGEABLE_KG",R180*Z180,P180*Z180))</f>
        <v>1466.24090836836</v>
      </c>
      <c r="AF180" s="52" t="n">
        <f aca="false">AD180*AC180</f>
        <v>132715.086172472</v>
      </c>
      <c r="AG180" s="52" t="n">
        <f aca="false">AE180*AC180</f>
        <v>13430.7667206542</v>
      </c>
      <c r="AH180" s="52" t="s">
        <v>195</v>
      </c>
      <c r="AI180" s="52" t="n">
        <v>1.19416</v>
      </c>
      <c r="AJ180" s="52" t="n">
        <f aca="false">IF(AH180="EUR",AA180,IF(AH180="GBP",AB180,1))</f>
        <v>7.89</v>
      </c>
      <c r="AK180" s="52" t="n">
        <f aca="false">N180*AI180</f>
        <v>3704.2178291712</v>
      </c>
      <c r="AL180" s="52" t="n">
        <f aca="false">AK180*AJ180</f>
        <v>29226.2786721608</v>
      </c>
      <c r="AM180" s="52" t="s">
        <v>195</v>
      </c>
      <c r="AN180" s="52" t="n">
        <v>0.42504</v>
      </c>
      <c r="AO180" s="52" t="n">
        <f aca="false">IF(AM180="EUR",AA180,IF(AM180="GBP",AB180,1))</f>
        <v>7.89</v>
      </c>
      <c r="AP180" s="52" t="n">
        <f aca="false">P180*AN180</f>
        <v>1484.04778574266</v>
      </c>
      <c r="AQ180" s="52" t="n">
        <f aca="false">AP180*AO180</f>
        <v>11709.1370295096</v>
      </c>
      <c r="AR180" s="52" t="s">
        <v>199</v>
      </c>
      <c r="AS180" s="52" t="n">
        <v>4.8576</v>
      </c>
      <c r="AT180" s="52" t="n">
        <f aca="false">IF(AR180="EUR",AA180,IF(AR180="GBP",AB180,1))</f>
        <v>9.16</v>
      </c>
      <c r="AU180" s="52" t="n">
        <f aca="false">T180*AS180</f>
        <v>1205.44037830656</v>
      </c>
      <c r="AV180" s="52" t="n">
        <f aca="false">AU180*AT180</f>
        <v>11041.8338652881</v>
      </c>
      <c r="AW180" s="52" t="s">
        <v>199</v>
      </c>
      <c r="AX180" s="52" t="n">
        <v>2.3276</v>
      </c>
      <c r="AY180" s="52" t="n">
        <f aca="false">IF(AW180="EUR",AA180,IF(AW180="GBP",AB180,1))</f>
        <v>9.16</v>
      </c>
      <c r="AZ180" s="52" t="n">
        <f aca="false">V180*AX180</f>
        <v>182.36827218512</v>
      </c>
      <c r="BA180" s="52" t="n">
        <f aca="false">AZ180*AY180</f>
        <v>1670.4933732157</v>
      </c>
      <c r="BB180" s="52" t="n">
        <f aca="false">AF180+AG180+AL180+AQ180+AV180+BA180</f>
        <v>199793.595833301</v>
      </c>
      <c r="BC180" s="54" t="n">
        <v>0.931</v>
      </c>
      <c r="BD180" s="32"/>
      <c r="BE180" s="32"/>
      <c r="BF180" s="32"/>
      <c r="BG180" s="32" t="s">
        <v>197</v>
      </c>
    </row>
    <row r="181" customFormat="false" ht="15" hidden="false" customHeight="false" outlineLevel="0" collapsed="false">
      <c r="A181" s="18" t="s">
        <v>200</v>
      </c>
      <c r="B181" s="18" t="s">
        <v>201</v>
      </c>
      <c r="C181" s="18"/>
      <c r="D181" s="49" t="n">
        <v>46174</v>
      </c>
      <c r="E181" s="18" t="s">
        <v>122</v>
      </c>
      <c r="F181" s="18" t="s">
        <v>119</v>
      </c>
      <c r="G181" s="18" t="s">
        <v>100</v>
      </c>
      <c r="H181" s="18" t="s">
        <v>107</v>
      </c>
      <c r="I181" s="18" t="s">
        <v>102</v>
      </c>
      <c r="J181" s="50" t="n">
        <v>17200</v>
      </c>
      <c r="K181" s="51" t="n">
        <v>0.303</v>
      </c>
      <c r="L181" s="51" t="n">
        <v>0.96</v>
      </c>
      <c r="M181" s="51" t="n">
        <v>0.25</v>
      </c>
      <c r="N181" s="52" t="n">
        <f aca="false">J181*K181*L181*M181</f>
        <v>1250.784</v>
      </c>
      <c r="O181" s="50" t="n">
        <v>1.1256</v>
      </c>
      <c r="P181" s="52" t="n">
        <f aca="false">N181*O181</f>
        <v>1407.8824704</v>
      </c>
      <c r="Q181" s="50" t="n">
        <v>1.005</v>
      </c>
      <c r="R181" s="52" t="n">
        <f aca="false">P181*Q181</f>
        <v>1414.921882752</v>
      </c>
      <c r="S181" s="50" t="n">
        <v>0.08</v>
      </c>
      <c r="T181" s="52" t="n">
        <f aca="false">N181*S181</f>
        <v>100.06272</v>
      </c>
      <c r="U181" s="52" t="n">
        <v>0.01734</v>
      </c>
      <c r="V181" s="52" t="n">
        <f aca="false">P181*U181</f>
        <v>24.412682036736</v>
      </c>
      <c r="W181" s="53" t="s">
        <v>199</v>
      </c>
      <c r="X181" s="50" t="n">
        <v>4.7564</v>
      </c>
      <c r="Y181" s="53" t="s">
        <v>198</v>
      </c>
      <c r="Z181" s="50" t="n">
        <v>0.33396</v>
      </c>
      <c r="AA181" s="50" t="n">
        <v>7.89</v>
      </c>
      <c r="AB181" s="50" t="n">
        <v>9.16</v>
      </c>
      <c r="AC181" s="52" t="n">
        <f aca="false">IF(W181="EUR",AA181,IF(W181="GBP",AB181,1))</f>
        <v>9.16</v>
      </c>
      <c r="AD181" s="52" t="n">
        <f aca="false">R181*X181</f>
        <v>6729.93444312161</v>
      </c>
      <c r="AE181" s="52" t="n">
        <f aca="false">IF(Y181="PERCENTAGE_OF_BASE_FREIGHT",AD181*Z181,IF(Y181="PER_CHARGEABLE_KG",R181*Z181,P181*Z181))</f>
        <v>472.527311963858</v>
      </c>
      <c r="AF181" s="52" t="n">
        <f aca="false">AD181*AC181</f>
        <v>61646.199498994</v>
      </c>
      <c r="AG181" s="52" t="n">
        <f aca="false">AE181*AC181</f>
        <v>4328.35017758894</v>
      </c>
      <c r="AH181" s="52" t="s">
        <v>195</v>
      </c>
      <c r="AI181" s="52" t="n">
        <v>1.19416</v>
      </c>
      <c r="AJ181" s="52" t="n">
        <f aca="false">IF(AH181="EUR",AA181,IF(AH181="GBP",AB181,1))</f>
        <v>7.89</v>
      </c>
      <c r="AK181" s="52" t="n">
        <f aca="false">N181*AI181</f>
        <v>1493.63622144</v>
      </c>
      <c r="AL181" s="52" t="n">
        <f aca="false">AK181*AJ181</f>
        <v>11784.7897871616</v>
      </c>
      <c r="AM181" s="52" t="s">
        <v>195</v>
      </c>
      <c r="AN181" s="52" t="n">
        <v>0.42504</v>
      </c>
      <c r="AO181" s="52" t="n">
        <f aca="false">IF(AM181="EUR",AA181,IF(AM181="GBP",AB181,1))</f>
        <v>7.89</v>
      </c>
      <c r="AP181" s="52" t="n">
        <f aca="false">P181*AN181</f>
        <v>598.406365218816</v>
      </c>
      <c r="AQ181" s="52" t="n">
        <f aca="false">AP181*AO181</f>
        <v>4721.42622157646</v>
      </c>
      <c r="AR181" s="52" t="s">
        <v>199</v>
      </c>
      <c r="AS181" s="52" t="n">
        <v>4.8576</v>
      </c>
      <c r="AT181" s="52" t="n">
        <f aca="false">IF(AR181="EUR",AA181,IF(AR181="GBP",AB181,1))</f>
        <v>9.16</v>
      </c>
      <c r="AU181" s="52" t="n">
        <f aca="false">T181*AS181</f>
        <v>486.064668672</v>
      </c>
      <c r="AV181" s="52" t="n">
        <f aca="false">AU181*AT181</f>
        <v>4452.35236503552</v>
      </c>
      <c r="AW181" s="52" t="s">
        <v>199</v>
      </c>
      <c r="AX181" s="52" t="n">
        <v>2.3276</v>
      </c>
      <c r="AY181" s="52" t="n">
        <f aca="false">IF(AW181="EUR",AA181,IF(AW181="GBP",AB181,1))</f>
        <v>9.16</v>
      </c>
      <c r="AZ181" s="52" t="n">
        <f aca="false">V181*AX181</f>
        <v>56.8229587087067</v>
      </c>
      <c r="BA181" s="52" t="n">
        <f aca="false">AZ181*AY181</f>
        <v>520.498301771754</v>
      </c>
      <c r="BB181" s="52" t="n">
        <f aca="false">AF181+AG181+AL181+AQ181+AV181+BA181</f>
        <v>87453.6163521282</v>
      </c>
      <c r="BC181" s="54" t="n">
        <v>0.951</v>
      </c>
      <c r="BD181" s="32"/>
      <c r="BE181" s="32"/>
      <c r="BF181" s="32"/>
      <c r="BG181" s="32" t="s">
        <v>197</v>
      </c>
    </row>
    <row r="182" customFormat="false" ht="15" hidden="false" customHeight="false" outlineLevel="0" collapsed="false">
      <c r="A182" s="18" t="s">
        <v>200</v>
      </c>
      <c r="B182" s="18" t="s">
        <v>201</v>
      </c>
      <c r="C182" s="18"/>
      <c r="D182" s="49" t="n">
        <v>46174</v>
      </c>
      <c r="E182" s="18" t="s">
        <v>124</v>
      </c>
      <c r="F182" s="18" t="s">
        <v>119</v>
      </c>
      <c r="G182" s="18" t="s">
        <v>100</v>
      </c>
      <c r="H182" s="18" t="s">
        <v>107</v>
      </c>
      <c r="I182" s="18" t="s">
        <v>125</v>
      </c>
      <c r="J182" s="50" t="n">
        <v>17200</v>
      </c>
      <c r="K182" s="51" t="n">
        <v>0.303</v>
      </c>
      <c r="L182" s="51" t="n">
        <v>0.96</v>
      </c>
      <c r="M182" s="51" t="n">
        <v>0.09</v>
      </c>
      <c r="N182" s="52" t="n">
        <f aca="false">J182*K182*L182*M182</f>
        <v>450.28224</v>
      </c>
      <c r="O182" s="50" t="n">
        <v>1.1256</v>
      </c>
      <c r="P182" s="52" t="n">
        <f aca="false">N182*O182</f>
        <v>506.837689344</v>
      </c>
      <c r="Q182" s="50" t="n">
        <v>0.9447</v>
      </c>
      <c r="R182" s="52" t="n">
        <f aca="false">P182*Q182</f>
        <v>478.809565123277</v>
      </c>
      <c r="S182" s="50" t="n">
        <v>0.08</v>
      </c>
      <c r="T182" s="52" t="n">
        <f aca="false">N182*S182</f>
        <v>36.0225792</v>
      </c>
      <c r="U182" s="52" t="n">
        <v>0.01326</v>
      </c>
      <c r="V182" s="52" t="n">
        <f aca="false">P182*U182</f>
        <v>6.72066776070144</v>
      </c>
      <c r="W182" s="53" t="s">
        <v>199</v>
      </c>
      <c r="X182" s="50" t="n">
        <v>6.2744</v>
      </c>
      <c r="Y182" s="53" t="s">
        <v>196</v>
      </c>
      <c r="Z182" s="50" t="n">
        <v>0.11638</v>
      </c>
      <c r="AA182" s="50" t="n">
        <v>7.89</v>
      </c>
      <c r="AB182" s="50" t="n">
        <v>9.16</v>
      </c>
      <c r="AC182" s="52" t="n">
        <f aca="false">IF(W182="EUR",AA182,IF(W182="GBP",AB182,1))</f>
        <v>9.16</v>
      </c>
      <c r="AD182" s="52" t="n">
        <f aca="false">R182*X182</f>
        <v>3004.24273540949</v>
      </c>
      <c r="AE182" s="52" t="n">
        <f aca="false">IF(Y182="PERCENTAGE_OF_BASE_FREIGHT",AD182*Z182,IF(Y182="PER_CHARGEABLE_KG",R182*Z182,P182*Z182))</f>
        <v>349.633769546956</v>
      </c>
      <c r="AF182" s="52" t="n">
        <f aca="false">AD182*AC182</f>
        <v>27518.8634563509</v>
      </c>
      <c r="AG182" s="52" t="n">
        <f aca="false">AE182*AC182</f>
        <v>3202.64532905012</v>
      </c>
      <c r="AH182" s="52" t="s">
        <v>195</v>
      </c>
      <c r="AI182" s="52" t="n">
        <v>1.19416</v>
      </c>
      <c r="AJ182" s="52" t="n">
        <f aca="false">IF(AH182="EUR",AA182,IF(AH182="GBP",AB182,1))</f>
        <v>7.89</v>
      </c>
      <c r="AK182" s="52" t="n">
        <f aca="false">N182*AI182</f>
        <v>537.7090397184</v>
      </c>
      <c r="AL182" s="52" t="n">
        <f aca="false">AK182*AJ182</f>
        <v>4242.52432337818</v>
      </c>
      <c r="AM182" s="52" t="s">
        <v>195</v>
      </c>
      <c r="AN182" s="52" t="n">
        <v>0.42504</v>
      </c>
      <c r="AO182" s="52" t="n">
        <f aca="false">IF(AM182="EUR",AA182,IF(AM182="GBP",AB182,1))</f>
        <v>7.89</v>
      </c>
      <c r="AP182" s="52" t="n">
        <f aca="false">P182*AN182</f>
        <v>215.426291478774</v>
      </c>
      <c r="AQ182" s="52" t="n">
        <f aca="false">AP182*AO182</f>
        <v>1699.71343976752</v>
      </c>
      <c r="AR182" s="52" t="s">
        <v>199</v>
      </c>
      <c r="AS182" s="52" t="n">
        <v>4.8576</v>
      </c>
      <c r="AT182" s="52" t="n">
        <f aca="false">IF(AR182="EUR",AA182,IF(AR182="GBP",AB182,1))</f>
        <v>9.16</v>
      </c>
      <c r="AU182" s="52" t="n">
        <f aca="false">T182*AS182</f>
        <v>174.98328072192</v>
      </c>
      <c r="AV182" s="52" t="n">
        <f aca="false">AU182*AT182</f>
        <v>1602.84685141279</v>
      </c>
      <c r="AW182" s="52" t="s">
        <v>199</v>
      </c>
      <c r="AX182" s="52" t="n">
        <v>2.8336</v>
      </c>
      <c r="AY182" s="52" t="n">
        <f aca="false">IF(AW182="EUR",AA182,IF(AW182="GBP",AB182,1))</f>
        <v>9.16</v>
      </c>
      <c r="AZ182" s="52" t="n">
        <f aca="false">V182*AX182</f>
        <v>19.0436841667236</v>
      </c>
      <c r="BA182" s="52" t="n">
        <f aca="false">AZ182*AY182</f>
        <v>174.440146967188</v>
      </c>
      <c r="BB182" s="52" t="n">
        <f aca="false">AF182+AG182+AL182+AQ182+AV182+BA182</f>
        <v>38441.0335469267</v>
      </c>
      <c r="BC182" s="54" t="n">
        <v>0.975</v>
      </c>
      <c r="BD182" s="32"/>
      <c r="BE182" s="32"/>
      <c r="BF182" s="32"/>
      <c r="BG182" s="32" t="s">
        <v>197</v>
      </c>
    </row>
    <row r="183" customFormat="false" ht="15" hidden="false" customHeight="false" outlineLevel="0" collapsed="false">
      <c r="A183" s="18" t="s">
        <v>200</v>
      </c>
      <c r="B183" s="18" t="s">
        <v>201</v>
      </c>
      <c r="C183" s="18"/>
      <c r="D183" s="49" t="n">
        <v>46174</v>
      </c>
      <c r="E183" s="18" t="s">
        <v>127</v>
      </c>
      <c r="F183" s="18" t="s">
        <v>119</v>
      </c>
      <c r="G183" s="18" t="s">
        <v>100</v>
      </c>
      <c r="H183" s="18" t="s">
        <v>128</v>
      </c>
      <c r="I183" s="18" t="s">
        <v>125</v>
      </c>
      <c r="J183" s="50" t="n">
        <v>17200</v>
      </c>
      <c r="K183" s="51" t="n">
        <v>0.303</v>
      </c>
      <c r="L183" s="51" t="n">
        <v>0.96</v>
      </c>
      <c r="M183" s="51" t="n">
        <v>0.04</v>
      </c>
      <c r="N183" s="52" t="n">
        <f aca="false">J183*K183*L183*M183</f>
        <v>200.12544</v>
      </c>
      <c r="O183" s="50" t="n">
        <v>1.1256</v>
      </c>
      <c r="P183" s="52" t="n">
        <f aca="false">N183*O183</f>
        <v>225.261195264</v>
      </c>
      <c r="Q183" s="50" t="n">
        <v>0.9246</v>
      </c>
      <c r="R183" s="52" t="n">
        <f aca="false">P183*Q183</f>
        <v>208.276501141094</v>
      </c>
      <c r="S183" s="50" t="n">
        <v>0.08</v>
      </c>
      <c r="T183" s="52" t="n">
        <f aca="false">N183*S183</f>
        <v>16.0100352</v>
      </c>
      <c r="U183" s="52" t="n">
        <v>0.00918</v>
      </c>
      <c r="V183" s="52" t="n">
        <f aca="false">P183*U183</f>
        <v>2.06789777252352</v>
      </c>
      <c r="W183" s="53" t="s">
        <v>199</v>
      </c>
      <c r="X183" s="50" t="n">
        <v>7.59</v>
      </c>
      <c r="Y183" s="53" t="s">
        <v>198</v>
      </c>
      <c r="Z183" s="50" t="n">
        <v>0.58696</v>
      </c>
      <c r="AA183" s="50" t="n">
        <v>7.89</v>
      </c>
      <c r="AB183" s="50" t="n">
        <v>9.16</v>
      </c>
      <c r="AC183" s="52" t="n">
        <f aca="false">IF(W183="EUR",AA183,IF(W183="GBP",AB183,1))</f>
        <v>9.16</v>
      </c>
      <c r="AD183" s="52" t="n">
        <f aca="false">R183*X183</f>
        <v>1580.81864366091</v>
      </c>
      <c r="AE183" s="52" t="n">
        <f aca="false">IF(Y183="PERCENTAGE_OF_BASE_FREIGHT",AD183*Z183,IF(Y183="PER_CHARGEABLE_KG",R183*Z183,P183*Z183))</f>
        <v>122.249975109777</v>
      </c>
      <c r="AF183" s="52" t="n">
        <f aca="false">AD183*AC183</f>
        <v>14480.2987759339</v>
      </c>
      <c r="AG183" s="52" t="n">
        <f aca="false">AE183*AC183</f>
        <v>1119.80977200556</v>
      </c>
      <c r="AH183" s="52" t="s">
        <v>195</v>
      </c>
      <c r="AI183" s="52" t="n">
        <v>1.19416</v>
      </c>
      <c r="AJ183" s="52" t="n">
        <f aca="false">IF(AH183="EUR",AA183,IF(AH183="GBP",AB183,1))</f>
        <v>7.89</v>
      </c>
      <c r="AK183" s="52" t="n">
        <f aca="false">N183*AI183</f>
        <v>238.9817954304</v>
      </c>
      <c r="AL183" s="52" t="n">
        <f aca="false">AK183*AJ183</f>
        <v>1885.56636594586</v>
      </c>
      <c r="AM183" s="52" t="s">
        <v>195</v>
      </c>
      <c r="AN183" s="52" t="n">
        <v>0.42504</v>
      </c>
      <c r="AO183" s="52" t="n">
        <f aca="false">IF(AM183="EUR",AA183,IF(AM183="GBP",AB183,1))</f>
        <v>7.89</v>
      </c>
      <c r="AP183" s="52" t="n">
        <f aca="false">P183*AN183</f>
        <v>95.7450184350106</v>
      </c>
      <c r="AQ183" s="52" t="n">
        <f aca="false">AP183*AO183</f>
        <v>755.428195452233</v>
      </c>
      <c r="AR183" s="52" t="s">
        <v>199</v>
      </c>
      <c r="AS183" s="52" t="n">
        <v>4.8576</v>
      </c>
      <c r="AT183" s="52" t="n">
        <f aca="false">IF(AR183="EUR",AA183,IF(AR183="GBP",AB183,1))</f>
        <v>9.16</v>
      </c>
      <c r="AU183" s="52" t="n">
        <f aca="false">T183*AS183</f>
        <v>77.77034698752</v>
      </c>
      <c r="AV183" s="52" t="n">
        <f aca="false">AU183*AT183</f>
        <v>712.376378405683</v>
      </c>
      <c r="AW183" s="52" t="s">
        <v>199</v>
      </c>
      <c r="AX183" s="52" t="n">
        <v>3.6432</v>
      </c>
      <c r="AY183" s="52" t="n">
        <f aca="false">IF(AW183="EUR",AA183,IF(AW183="GBP",AB183,1))</f>
        <v>9.16</v>
      </c>
      <c r="AZ183" s="52" t="n">
        <f aca="false">V183*AX183</f>
        <v>7.53376516485769</v>
      </c>
      <c r="BA183" s="52" t="n">
        <f aca="false">AZ183*AY183</f>
        <v>69.0092889100964</v>
      </c>
      <c r="BB183" s="52" t="n">
        <f aca="false">AF183+AG183+AL183+AQ183+AV183+BA183</f>
        <v>19022.4887766533</v>
      </c>
      <c r="BC183" s="54" t="n">
        <v>0.989</v>
      </c>
      <c r="BD183" s="32"/>
      <c r="BE183" s="32"/>
      <c r="BF183" s="32"/>
      <c r="BG183" s="32" t="s">
        <v>197</v>
      </c>
    </row>
    <row r="184" customFormat="false" ht="15" hidden="false" customHeight="false" outlineLevel="0" collapsed="false">
      <c r="A184" s="18" t="s">
        <v>200</v>
      </c>
      <c r="B184" s="18" t="s">
        <v>201</v>
      </c>
      <c r="C184" s="18"/>
      <c r="D184" s="49" t="n">
        <v>46174</v>
      </c>
      <c r="E184" s="18" t="s">
        <v>130</v>
      </c>
      <c r="F184" s="18" t="s">
        <v>119</v>
      </c>
      <c r="G184" s="18" t="s">
        <v>110</v>
      </c>
      <c r="H184" s="18" t="s">
        <v>107</v>
      </c>
      <c r="I184" s="18" t="s">
        <v>125</v>
      </c>
      <c r="J184" s="50" t="n">
        <v>17200</v>
      </c>
      <c r="K184" s="51" t="n">
        <v>0.303</v>
      </c>
      <c r="L184" s="51" t="n">
        <v>0.04</v>
      </c>
      <c r="M184" s="51" t="n">
        <v>1</v>
      </c>
      <c r="N184" s="52" t="n">
        <f aca="false">J184*K184*L184*M184</f>
        <v>208.464</v>
      </c>
      <c r="O184" s="50" t="n">
        <v>1.15575</v>
      </c>
      <c r="P184" s="52" t="n">
        <f aca="false">N184*O184</f>
        <v>240.932268</v>
      </c>
      <c r="Q184" s="50" t="n">
        <v>0.9045</v>
      </c>
      <c r="R184" s="52" t="n">
        <f aca="false">P184*Q184</f>
        <v>217.923236406</v>
      </c>
      <c r="S184" s="50" t="n">
        <v>0.08</v>
      </c>
      <c r="T184" s="52" t="n">
        <f aca="false">N184*S184</f>
        <v>16.67712</v>
      </c>
      <c r="U184" s="52" t="n">
        <v>0.01224</v>
      </c>
      <c r="V184" s="52" t="n">
        <f aca="false">P184*U184</f>
        <v>2.94901096032</v>
      </c>
      <c r="W184" s="53" t="s">
        <v>195</v>
      </c>
      <c r="X184" s="50" t="n">
        <v>6.7804</v>
      </c>
      <c r="Y184" s="53" t="s">
        <v>196</v>
      </c>
      <c r="Z184" s="50" t="n">
        <v>0.10626</v>
      </c>
      <c r="AA184" s="50" t="n">
        <v>7.89</v>
      </c>
      <c r="AB184" s="50" t="n">
        <v>9.16</v>
      </c>
      <c r="AC184" s="52" t="n">
        <f aca="false">IF(W184="EUR",AA184,IF(W184="GBP",AB184,1))</f>
        <v>7.89</v>
      </c>
      <c r="AD184" s="52" t="n">
        <f aca="false">R184*X184</f>
        <v>1477.60671212724</v>
      </c>
      <c r="AE184" s="52" t="n">
        <f aca="false">IF(Y184="PERCENTAGE_OF_BASE_FREIGHT",AD184*Z184,IF(Y184="PER_CHARGEABLE_KG",R184*Z184,P184*Z184))</f>
        <v>157.010489230641</v>
      </c>
      <c r="AF184" s="52" t="n">
        <f aca="false">AD184*AC184</f>
        <v>11658.3169586839</v>
      </c>
      <c r="AG184" s="52" t="n">
        <f aca="false">AE184*AC184</f>
        <v>1238.81276002976</v>
      </c>
      <c r="AH184" s="52" t="s">
        <v>195</v>
      </c>
      <c r="AI184" s="52" t="n">
        <v>1.0626</v>
      </c>
      <c r="AJ184" s="52" t="n">
        <f aca="false">IF(AH184="EUR",AA184,IF(AH184="GBP",AB184,1))</f>
        <v>7.89</v>
      </c>
      <c r="AK184" s="52" t="n">
        <f aca="false">N184*AI184</f>
        <v>221.5138464</v>
      </c>
      <c r="AL184" s="52" t="n">
        <f aca="false">AK184*AJ184</f>
        <v>1747.744248096</v>
      </c>
      <c r="AM184" s="52" t="s">
        <v>195</v>
      </c>
      <c r="AN184" s="52" t="n">
        <v>0.38456</v>
      </c>
      <c r="AO184" s="52" t="n">
        <f aca="false">IF(AM184="EUR",AA184,IF(AM184="GBP",AB184,1))</f>
        <v>7.89</v>
      </c>
      <c r="AP184" s="52" t="n">
        <f aca="false">P184*AN184</f>
        <v>92.65291298208</v>
      </c>
      <c r="AQ184" s="52" t="n">
        <f aca="false">AP184*AO184</f>
        <v>731.031483428611</v>
      </c>
      <c r="AR184" s="52" t="s">
        <v>195</v>
      </c>
      <c r="AS184" s="52" t="n">
        <v>5.2624</v>
      </c>
      <c r="AT184" s="52" t="n">
        <f aca="false">IF(AR184="EUR",AA184,IF(AR184="GBP",AB184,1))</f>
        <v>7.89</v>
      </c>
      <c r="AU184" s="52" t="n">
        <f aca="false">T184*AS184</f>
        <v>87.761676288</v>
      </c>
      <c r="AV184" s="52" t="n">
        <f aca="false">AU184*AT184</f>
        <v>692.43962591232</v>
      </c>
      <c r="AW184" s="52" t="s">
        <v>195</v>
      </c>
      <c r="AX184" s="52" t="n">
        <v>2.8336</v>
      </c>
      <c r="AY184" s="52" t="n">
        <f aca="false">IF(AW184="EUR",AA184,IF(AW184="GBP",AB184,1))</f>
        <v>7.89</v>
      </c>
      <c r="AZ184" s="52" t="n">
        <f aca="false">V184*AX184</f>
        <v>8.35631745716275</v>
      </c>
      <c r="BA184" s="52" t="n">
        <f aca="false">AZ184*AY184</f>
        <v>65.9313447370141</v>
      </c>
      <c r="BB184" s="52" t="n">
        <f aca="false">AF184+AG184+AL184+AQ184+AV184+BA184</f>
        <v>16134.2764208876</v>
      </c>
      <c r="BC184" s="54" t="n">
        <v>0.972</v>
      </c>
      <c r="BD184" s="32"/>
      <c r="BE184" s="32"/>
      <c r="BF184" s="32"/>
      <c r="BG184" s="32" t="s">
        <v>197</v>
      </c>
    </row>
    <row r="185" customFormat="false" ht="15" hidden="false" customHeight="false" outlineLevel="0" collapsed="false">
      <c r="A185" s="18" t="s">
        <v>200</v>
      </c>
      <c r="B185" s="18" t="s">
        <v>201</v>
      </c>
      <c r="C185" s="18"/>
      <c r="D185" s="49" t="n">
        <v>46204</v>
      </c>
      <c r="E185" s="18" t="s">
        <v>98</v>
      </c>
      <c r="F185" s="18" t="s">
        <v>99</v>
      </c>
      <c r="G185" s="18" t="s">
        <v>100</v>
      </c>
      <c r="H185" s="18" t="s">
        <v>101</v>
      </c>
      <c r="I185" s="18" t="s">
        <v>102</v>
      </c>
      <c r="J185" s="50" t="n">
        <v>18000</v>
      </c>
      <c r="K185" s="51" t="n">
        <v>0.365</v>
      </c>
      <c r="L185" s="51" t="n">
        <v>0.97</v>
      </c>
      <c r="M185" s="51" t="n">
        <v>0.6</v>
      </c>
      <c r="N185" s="52" t="n">
        <f aca="false">J185*K185*L185*M185</f>
        <v>3823.74</v>
      </c>
      <c r="O185" s="50" t="n">
        <v>1.0563</v>
      </c>
      <c r="P185" s="52" t="n">
        <f aca="false">N185*O185</f>
        <v>4039.016562</v>
      </c>
      <c r="Q185" s="50" t="n">
        <v>0.7839</v>
      </c>
      <c r="R185" s="52" t="n">
        <f aca="false">P185*Q185</f>
        <v>3166.1850829518</v>
      </c>
      <c r="S185" s="50" t="n">
        <v>0.05</v>
      </c>
      <c r="T185" s="52" t="n">
        <f aca="false">N185*S185</f>
        <v>191.187</v>
      </c>
      <c r="U185" s="52" t="n">
        <v>0.01632</v>
      </c>
      <c r="V185" s="52" t="n">
        <f aca="false">P185*U185</f>
        <v>65.91675029184</v>
      </c>
      <c r="W185" s="53" t="s">
        <v>195</v>
      </c>
      <c r="X185" s="50" t="n">
        <v>2.2308</v>
      </c>
      <c r="Y185" s="53" t="s">
        <v>196</v>
      </c>
      <c r="Z185" s="50" t="n">
        <v>0.09633</v>
      </c>
      <c r="AA185" s="50" t="n">
        <v>7.91</v>
      </c>
      <c r="AB185" s="50" t="n">
        <v>9.18</v>
      </c>
      <c r="AC185" s="52" t="n">
        <f aca="false">IF(W185="EUR",AA185,IF(W185="GBP",AB185,1))</f>
        <v>7.91</v>
      </c>
      <c r="AD185" s="52" t="n">
        <f aca="false">R185*X185</f>
        <v>7063.12568304888</v>
      </c>
      <c r="AE185" s="52" t="n">
        <f aca="false">IF(Y185="PERCENTAGE_OF_BASE_FREIGHT",AD185*Z185,IF(Y185="PER_CHARGEABLE_KG",R185*Z185,P185*Z185))</f>
        <v>680.390897048098</v>
      </c>
      <c r="AF185" s="52" t="n">
        <f aca="false">AD185*AC185</f>
        <v>55869.3241529166</v>
      </c>
      <c r="AG185" s="52" t="n">
        <f aca="false">AE185*AC185</f>
        <v>5381.89199565046</v>
      </c>
      <c r="AH185" s="52" t="s">
        <v>195</v>
      </c>
      <c r="AI185" s="52" t="n">
        <v>1.19652</v>
      </c>
      <c r="AJ185" s="52" t="n">
        <f aca="false">IF(AH185="EUR",AA185,IF(AH185="GBP",AB185,1))</f>
        <v>7.91</v>
      </c>
      <c r="AK185" s="52" t="n">
        <f aca="false">N185*AI185</f>
        <v>4575.1813848</v>
      </c>
      <c r="AL185" s="52" t="n">
        <f aca="false">AK185*AJ185</f>
        <v>36189.684753768</v>
      </c>
      <c r="AM185" s="52" t="s">
        <v>195</v>
      </c>
      <c r="AN185" s="52" t="n">
        <v>0.42588</v>
      </c>
      <c r="AO185" s="52" t="n">
        <f aca="false">IF(AM185="EUR",AA185,IF(AM185="GBP",AB185,1))</f>
        <v>7.91</v>
      </c>
      <c r="AP185" s="52" t="n">
        <f aca="false">P185*AN185</f>
        <v>1720.13637342456</v>
      </c>
      <c r="AQ185" s="52" t="n">
        <f aca="false">AP185*AO185</f>
        <v>13606.2787137883</v>
      </c>
      <c r="AR185" s="52" t="s">
        <v>195</v>
      </c>
      <c r="AS185" s="52" t="n">
        <v>3.2448</v>
      </c>
      <c r="AT185" s="52" t="n">
        <f aca="false">IF(AR185="EUR",AA185,IF(AR185="GBP",AB185,1))</f>
        <v>7.91</v>
      </c>
      <c r="AU185" s="52" t="n">
        <f aca="false">T185*AS185</f>
        <v>620.3635776</v>
      </c>
      <c r="AV185" s="52" t="n">
        <f aca="false">AU185*AT185</f>
        <v>4907.075898816</v>
      </c>
      <c r="AW185" s="52" t="s">
        <v>195</v>
      </c>
      <c r="AX185" s="52" t="n">
        <v>2.3322</v>
      </c>
      <c r="AY185" s="52" t="n">
        <f aca="false">IF(AW185="EUR",AA185,IF(AW185="GBP",AB185,1))</f>
        <v>7.91</v>
      </c>
      <c r="AZ185" s="52" t="n">
        <f aca="false">V185*AX185</f>
        <v>153.731045030629</v>
      </c>
      <c r="BA185" s="52" t="n">
        <f aca="false">AZ185*AY185</f>
        <v>1216.01256619228</v>
      </c>
      <c r="BB185" s="52" t="n">
        <f aca="false">AF185+AG185+AL185+AQ185+AV185+BA185</f>
        <v>117170.268081132</v>
      </c>
      <c r="BC185" s="54" t="n">
        <v>0.962</v>
      </c>
      <c r="BD185" s="32"/>
      <c r="BE185" s="32"/>
      <c r="BF185" s="32"/>
      <c r="BG185" s="32" t="s">
        <v>197</v>
      </c>
    </row>
    <row r="186" customFormat="false" ht="15" hidden="false" customHeight="false" outlineLevel="0" collapsed="false">
      <c r="A186" s="18" t="s">
        <v>200</v>
      </c>
      <c r="B186" s="18" t="s">
        <v>201</v>
      </c>
      <c r="C186" s="18"/>
      <c r="D186" s="49" t="n">
        <v>46204</v>
      </c>
      <c r="E186" s="18" t="s">
        <v>106</v>
      </c>
      <c r="F186" s="18" t="s">
        <v>99</v>
      </c>
      <c r="G186" s="18" t="s">
        <v>100</v>
      </c>
      <c r="H186" s="18" t="s">
        <v>107</v>
      </c>
      <c r="I186" s="18" t="s">
        <v>102</v>
      </c>
      <c r="J186" s="50" t="n">
        <v>18000</v>
      </c>
      <c r="K186" s="51" t="n">
        <v>0.365</v>
      </c>
      <c r="L186" s="51" t="n">
        <v>0.97</v>
      </c>
      <c r="M186" s="51" t="n">
        <v>0.4</v>
      </c>
      <c r="N186" s="52" t="n">
        <f aca="false">J186*K186*L186*M186</f>
        <v>2549.16</v>
      </c>
      <c r="O186" s="50" t="n">
        <v>1.0563</v>
      </c>
      <c r="P186" s="52" t="n">
        <f aca="false">N186*O186</f>
        <v>2692.677708</v>
      </c>
      <c r="Q186" s="50" t="n">
        <v>0.804</v>
      </c>
      <c r="R186" s="52" t="n">
        <f aca="false">P186*Q186</f>
        <v>2164.912877232</v>
      </c>
      <c r="S186" s="50" t="n">
        <v>0.05</v>
      </c>
      <c r="T186" s="52" t="n">
        <f aca="false">N186*S186</f>
        <v>127.458</v>
      </c>
      <c r="U186" s="52" t="n">
        <v>0.01326</v>
      </c>
      <c r="V186" s="52" t="n">
        <f aca="false">P186*U186</f>
        <v>35.70490640808</v>
      </c>
      <c r="W186" s="53" t="s">
        <v>195</v>
      </c>
      <c r="X186" s="50" t="n">
        <v>2.7885</v>
      </c>
      <c r="Y186" s="53" t="s">
        <v>198</v>
      </c>
      <c r="Z186" s="50" t="n">
        <v>0.21294</v>
      </c>
      <c r="AA186" s="50" t="n">
        <v>7.91</v>
      </c>
      <c r="AB186" s="50" t="n">
        <v>9.18</v>
      </c>
      <c r="AC186" s="52" t="n">
        <f aca="false">IF(W186="EUR",AA186,IF(W186="GBP",AB186,1))</f>
        <v>7.91</v>
      </c>
      <c r="AD186" s="52" t="n">
        <f aca="false">R186*X186</f>
        <v>6036.85955816143</v>
      </c>
      <c r="AE186" s="52" t="n">
        <f aca="false">IF(Y186="PERCENTAGE_OF_BASE_FREIGHT",AD186*Z186,IF(Y186="PER_CHARGEABLE_KG",R186*Z186,P186*Z186))</f>
        <v>460.996548077782</v>
      </c>
      <c r="AF186" s="52" t="n">
        <f aca="false">AD186*AC186</f>
        <v>47751.5591050569</v>
      </c>
      <c r="AG186" s="52" t="n">
        <f aca="false">AE186*AC186</f>
        <v>3646.48269529526</v>
      </c>
      <c r="AH186" s="52" t="s">
        <v>195</v>
      </c>
      <c r="AI186" s="52" t="n">
        <v>1.19652</v>
      </c>
      <c r="AJ186" s="52" t="n">
        <f aca="false">IF(AH186="EUR",AA186,IF(AH186="GBP",AB186,1))</f>
        <v>7.91</v>
      </c>
      <c r="AK186" s="52" t="n">
        <f aca="false">N186*AI186</f>
        <v>3050.1209232</v>
      </c>
      <c r="AL186" s="52" t="n">
        <f aca="false">AK186*AJ186</f>
        <v>24126.456502512</v>
      </c>
      <c r="AM186" s="52" t="s">
        <v>195</v>
      </c>
      <c r="AN186" s="52" t="n">
        <v>0.42588</v>
      </c>
      <c r="AO186" s="52" t="n">
        <f aca="false">IF(AM186="EUR",AA186,IF(AM186="GBP",AB186,1))</f>
        <v>7.91</v>
      </c>
      <c r="AP186" s="52" t="n">
        <f aca="false">P186*AN186</f>
        <v>1146.75758228304</v>
      </c>
      <c r="AQ186" s="52" t="n">
        <f aca="false">AP186*AO186</f>
        <v>9070.85247585885</v>
      </c>
      <c r="AR186" s="52" t="s">
        <v>195</v>
      </c>
      <c r="AS186" s="52" t="n">
        <v>3.2448</v>
      </c>
      <c r="AT186" s="52" t="n">
        <f aca="false">IF(AR186="EUR",AA186,IF(AR186="GBP",AB186,1))</f>
        <v>7.91</v>
      </c>
      <c r="AU186" s="52" t="n">
        <f aca="false">T186*AS186</f>
        <v>413.5757184</v>
      </c>
      <c r="AV186" s="52" t="n">
        <f aca="false">AU186*AT186</f>
        <v>3271.383932544</v>
      </c>
      <c r="AW186" s="52" t="s">
        <v>195</v>
      </c>
      <c r="AX186" s="52" t="n">
        <v>2.3322</v>
      </c>
      <c r="AY186" s="52" t="n">
        <f aca="false">IF(AW186="EUR",AA186,IF(AW186="GBP",AB186,1))</f>
        <v>7.91</v>
      </c>
      <c r="AZ186" s="52" t="n">
        <f aca="false">V186*AX186</f>
        <v>83.2709827249242</v>
      </c>
      <c r="BA186" s="52" t="n">
        <f aca="false">AZ186*AY186</f>
        <v>658.67347335415</v>
      </c>
      <c r="BB186" s="52" t="n">
        <f aca="false">AF186+AG186+AL186+AQ186+AV186+BA186</f>
        <v>88525.4081846212</v>
      </c>
      <c r="BC186" s="54" t="n">
        <v>0.973</v>
      </c>
      <c r="BD186" s="32"/>
      <c r="BE186" s="32"/>
      <c r="BF186" s="32"/>
      <c r="BG186" s="32" t="s">
        <v>197</v>
      </c>
    </row>
    <row r="187" customFormat="false" ht="15" hidden="false" customHeight="false" outlineLevel="0" collapsed="false">
      <c r="A187" s="18" t="s">
        <v>200</v>
      </c>
      <c r="B187" s="18" t="s">
        <v>201</v>
      </c>
      <c r="C187" s="18"/>
      <c r="D187" s="49" t="n">
        <v>46204</v>
      </c>
      <c r="E187" s="18" t="s">
        <v>109</v>
      </c>
      <c r="F187" s="18" t="s">
        <v>99</v>
      </c>
      <c r="G187" s="18" t="s">
        <v>110</v>
      </c>
      <c r="H187" s="18" t="s">
        <v>107</v>
      </c>
      <c r="I187" s="18" t="s">
        <v>102</v>
      </c>
      <c r="J187" s="50" t="n">
        <v>18000</v>
      </c>
      <c r="K187" s="51" t="n">
        <v>0.365</v>
      </c>
      <c r="L187" s="51" t="n">
        <v>0.03</v>
      </c>
      <c r="M187" s="51" t="n">
        <v>1</v>
      </c>
      <c r="N187" s="52" t="n">
        <f aca="false">J187*K187*L187*M187</f>
        <v>197.1</v>
      </c>
      <c r="O187" s="50" t="n">
        <v>1.08648</v>
      </c>
      <c r="P187" s="52" t="n">
        <f aca="false">N187*O187</f>
        <v>214.145208</v>
      </c>
      <c r="Q187" s="50" t="n">
        <v>0.8643</v>
      </c>
      <c r="R187" s="52" t="n">
        <f aca="false">P187*Q187</f>
        <v>185.0857032744</v>
      </c>
      <c r="S187" s="50" t="n">
        <v>0.05</v>
      </c>
      <c r="T187" s="52" t="n">
        <f aca="false">N187*S187</f>
        <v>9.855</v>
      </c>
      <c r="U187" s="52" t="n">
        <v>0.01428</v>
      </c>
      <c r="V187" s="52" t="n">
        <f aca="false">P187*U187</f>
        <v>3.05799357024</v>
      </c>
      <c r="W187" s="53" t="s">
        <v>195</v>
      </c>
      <c r="X187" s="50" t="n">
        <v>3.3462</v>
      </c>
      <c r="Y187" s="53" t="s">
        <v>198</v>
      </c>
      <c r="Z187" s="50" t="n">
        <v>0.24336</v>
      </c>
      <c r="AA187" s="50" t="n">
        <v>7.91</v>
      </c>
      <c r="AB187" s="50" t="n">
        <v>9.18</v>
      </c>
      <c r="AC187" s="52" t="n">
        <f aca="false">IF(W187="EUR",AA187,IF(W187="GBP",AB187,1))</f>
        <v>7.91</v>
      </c>
      <c r="AD187" s="52" t="n">
        <f aca="false">R187*X187</f>
        <v>619.333780296797</v>
      </c>
      <c r="AE187" s="52" t="n">
        <f aca="false">IF(Y187="PERCENTAGE_OF_BASE_FREIGHT",AD187*Z187,IF(Y187="PER_CHARGEABLE_KG",R187*Z187,P187*Z187))</f>
        <v>45.042456748858</v>
      </c>
      <c r="AF187" s="52" t="n">
        <f aca="false">AD187*AC187</f>
        <v>4898.93020214767</v>
      </c>
      <c r="AG187" s="52" t="n">
        <f aca="false">AE187*AC187</f>
        <v>356.285832883467</v>
      </c>
      <c r="AH187" s="52" t="s">
        <v>195</v>
      </c>
      <c r="AI187" s="52" t="n">
        <v>1.0647</v>
      </c>
      <c r="AJ187" s="52" t="n">
        <f aca="false">IF(AH187="EUR",AA187,IF(AH187="GBP",AB187,1))</f>
        <v>7.91</v>
      </c>
      <c r="AK187" s="52" t="n">
        <f aca="false">N187*AI187</f>
        <v>209.85237</v>
      </c>
      <c r="AL187" s="52" t="n">
        <f aca="false">AK187*AJ187</f>
        <v>1659.9322467</v>
      </c>
      <c r="AM187" s="52" t="s">
        <v>195</v>
      </c>
      <c r="AN187" s="52" t="n">
        <v>0.38532</v>
      </c>
      <c r="AO187" s="52" t="n">
        <f aca="false">IF(AM187="EUR",AA187,IF(AM187="GBP",AB187,1))</f>
        <v>7.91</v>
      </c>
      <c r="AP187" s="52" t="n">
        <f aca="false">P187*AN187</f>
        <v>82.51443154656</v>
      </c>
      <c r="AQ187" s="52" t="n">
        <f aca="false">AP187*AO187</f>
        <v>652.68915353329</v>
      </c>
      <c r="AR187" s="52" t="s">
        <v>195</v>
      </c>
      <c r="AS187" s="52" t="n">
        <v>3.8532</v>
      </c>
      <c r="AT187" s="52" t="n">
        <f aca="false">IF(AR187="EUR",AA187,IF(AR187="GBP",AB187,1))</f>
        <v>7.91</v>
      </c>
      <c r="AU187" s="52" t="n">
        <f aca="false">T187*AS187</f>
        <v>37.973286</v>
      </c>
      <c r="AV187" s="52" t="n">
        <f aca="false">AU187*AT187</f>
        <v>300.36869226</v>
      </c>
      <c r="AW187" s="52" t="s">
        <v>195</v>
      </c>
      <c r="AX187" s="52" t="n">
        <v>2.3322</v>
      </c>
      <c r="AY187" s="52" t="n">
        <f aca="false">IF(AW187="EUR",AA187,IF(AW187="GBP",AB187,1))</f>
        <v>7.91</v>
      </c>
      <c r="AZ187" s="52" t="n">
        <f aca="false">V187*AX187</f>
        <v>7.13185260451373</v>
      </c>
      <c r="BA187" s="52" t="n">
        <f aca="false">AZ187*AY187</f>
        <v>56.4129541017036</v>
      </c>
      <c r="BB187" s="52" t="n">
        <f aca="false">AF187+AG187+AL187+AQ187+AV187+BA187</f>
        <v>7924.61908162613</v>
      </c>
      <c r="BC187" s="54" t="n">
        <v>0.965</v>
      </c>
      <c r="BD187" s="32"/>
      <c r="BE187" s="32"/>
      <c r="BF187" s="32"/>
      <c r="BG187" s="32" t="s">
        <v>197</v>
      </c>
    </row>
    <row r="188" customFormat="false" ht="15" hidden="false" customHeight="false" outlineLevel="0" collapsed="false">
      <c r="A188" s="18" t="s">
        <v>200</v>
      </c>
      <c r="B188" s="18" t="s">
        <v>201</v>
      </c>
      <c r="C188" s="18"/>
      <c r="D188" s="49" t="n">
        <v>46204</v>
      </c>
      <c r="E188" s="18" t="s">
        <v>112</v>
      </c>
      <c r="F188" s="18" t="s">
        <v>113</v>
      </c>
      <c r="G188" s="18" t="s">
        <v>110</v>
      </c>
      <c r="H188" s="18" t="s">
        <v>101</v>
      </c>
      <c r="I188" s="18" t="s">
        <v>102</v>
      </c>
      <c r="J188" s="50" t="n">
        <v>18000</v>
      </c>
      <c r="K188" s="51" t="n">
        <v>0.305</v>
      </c>
      <c r="L188" s="51" t="n">
        <v>1</v>
      </c>
      <c r="M188" s="51" t="n">
        <v>0.35</v>
      </c>
      <c r="N188" s="52" t="n">
        <f aca="false">J188*K188*L188*M188</f>
        <v>1921.5</v>
      </c>
      <c r="O188" s="50" t="n">
        <v>1.06636</v>
      </c>
      <c r="P188" s="52" t="n">
        <f aca="false">N188*O188</f>
        <v>2049.01074</v>
      </c>
      <c r="Q188" s="50" t="n">
        <v>0.7638</v>
      </c>
      <c r="R188" s="52" t="n">
        <f aca="false">P188*Q188</f>
        <v>1565.034403212</v>
      </c>
      <c r="S188" s="50" t="n">
        <v>0.06</v>
      </c>
      <c r="T188" s="52" t="n">
        <f aca="false">N188*S188</f>
        <v>115.29</v>
      </c>
      <c r="U188" s="52" t="n">
        <v>0.01734</v>
      </c>
      <c r="V188" s="52" t="n">
        <f aca="false">P188*U188</f>
        <v>35.5298462316</v>
      </c>
      <c r="W188" s="53" t="s">
        <v>195</v>
      </c>
      <c r="X188" s="50" t="n">
        <v>2.1294</v>
      </c>
      <c r="Y188" s="53" t="s">
        <v>196</v>
      </c>
      <c r="Z188" s="50" t="n">
        <v>0.09126</v>
      </c>
      <c r="AA188" s="50" t="n">
        <v>7.91</v>
      </c>
      <c r="AB188" s="50" t="n">
        <v>9.18</v>
      </c>
      <c r="AC188" s="52" t="n">
        <f aca="false">IF(W188="EUR",AA188,IF(W188="GBP",AB188,1))</f>
        <v>7.91</v>
      </c>
      <c r="AD188" s="52" t="n">
        <f aca="false">R188*X188</f>
        <v>3332.58425819963</v>
      </c>
      <c r="AE188" s="52" t="n">
        <f aca="false">IF(Y188="PERCENTAGE_OF_BASE_FREIGHT",AD188*Z188,IF(Y188="PER_CHARGEABLE_KG",R188*Z188,P188*Z188))</f>
        <v>304.131639403298</v>
      </c>
      <c r="AF188" s="52" t="n">
        <f aca="false">AD188*AC188</f>
        <v>26360.7414823591</v>
      </c>
      <c r="AG188" s="52" t="n">
        <f aca="false">AE188*AC188</f>
        <v>2405.68126768009</v>
      </c>
      <c r="AH188" s="52" t="s">
        <v>195</v>
      </c>
      <c r="AI188" s="52" t="n">
        <v>1.0647</v>
      </c>
      <c r="AJ188" s="52" t="n">
        <f aca="false">IF(AH188="EUR",AA188,IF(AH188="GBP",AB188,1))</f>
        <v>7.91</v>
      </c>
      <c r="AK188" s="52" t="n">
        <f aca="false">N188*AI188</f>
        <v>2045.82105</v>
      </c>
      <c r="AL188" s="52" t="n">
        <f aca="false">AK188*AJ188</f>
        <v>16182.4445055</v>
      </c>
      <c r="AM188" s="52" t="s">
        <v>195</v>
      </c>
      <c r="AN188" s="52" t="n">
        <v>0.38532</v>
      </c>
      <c r="AO188" s="52" t="n">
        <f aca="false">IF(AM188="EUR",AA188,IF(AM188="GBP",AB188,1))</f>
        <v>7.91</v>
      </c>
      <c r="AP188" s="52" t="n">
        <f aca="false">P188*AN188</f>
        <v>789.5248183368</v>
      </c>
      <c r="AQ188" s="52" t="n">
        <f aca="false">AP188*AO188</f>
        <v>6245.14131304409</v>
      </c>
      <c r="AR188" s="52" t="s">
        <v>195</v>
      </c>
      <c r="AS188" s="52" t="n">
        <v>3.042</v>
      </c>
      <c r="AT188" s="52" t="n">
        <f aca="false">IF(AR188="EUR",AA188,IF(AR188="GBP",AB188,1))</f>
        <v>7.91</v>
      </c>
      <c r="AU188" s="52" t="n">
        <f aca="false">T188*AS188</f>
        <v>350.71218</v>
      </c>
      <c r="AV188" s="52" t="n">
        <f aca="false">AU188*AT188</f>
        <v>2774.1333438</v>
      </c>
      <c r="AW188" s="52" t="s">
        <v>195</v>
      </c>
      <c r="AX188" s="52" t="n">
        <v>2.3322</v>
      </c>
      <c r="AY188" s="52" t="n">
        <f aca="false">IF(AW188="EUR",AA188,IF(AW188="GBP",AB188,1))</f>
        <v>7.91</v>
      </c>
      <c r="AZ188" s="52" t="n">
        <f aca="false">V188*AX188</f>
        <v>82.8627073813375</v>
      </c>
      <c r="BA188" s="52" t="n">
        <f aca="false">AZ188*AY188</f>
        <v>655.44401538638</v>
      </c>
      <c r="BB188" s="52" t="n">
        <f aca="false">AF188+AG188+AL188+AQ188+AV188+BA188</f>
        <v>54623.5859277696</v>
      </c>
      <c r="BC188" s="54" t="n">
        <v>0.958</v>
      </c>
      <c r="BD188" s="32"/>
      <c r="BE188" s="32"/>
      <c r="BF188" s="32"/>
      <c r="BG188" s="32" t="s">
        <v>197</v>
      </c>
    </row>
    <row r="189" customFormat="false" ht="15" hidden="false" customHeight="false" outlineLevel="0" collapsed="false">
      <c r="A189" s="18" t="s">
        <v>200</v>
      </c>
      <c r="B189" s="18" t="s">
        <v>201</v>
      </c>
      <c r="C189" s="18"/>
      <c r="D189" s="49" t="n">
        <v>46204</v>
      </c>
      <c r="E189" s="18" t="s">
        <v>116</v>
      </c>
      <c r="F189" s="18" t="s">
        <v>113</v>
      </c>
      <c r="G189" s="18" t="s">
        <v>110</v>
      </c>
      <c r="H189" s="18" t="s">
        <v>107</v>
      </c>
      <c r="I189" s="18" t="s">
        <v>102</v>
      </c>
      <c r="J189" s="50" t="n">
        <v>18000</v>
      </c>
      <c r="K189" s="51" t="n">
        <v>0.305</v>
      </c>
      <c r="L189" s="51" t="n">
        <v>1</v>
      </c>
      <c r="M189" s="51" t="n">
        <v>0.65</v>
      </c>
      <c r="N189" s="52" t="n">
        <f aca="false">J189*K189*L189*M189</f>
        <v>3568.5</v>
      </c>
      <c r="O189" s="50" t="n">
        <v>1.06636</v>
      </c>
      <c r="P189" s="52" t="n">
        <f aca="false">N189*O189</f>
        <v>3805.30566</v>
      </c>
      <c r="Q189" s="50" t="n">
        <v>0.79395</v>
      </c>
      <c r="R189" s="52" t="n">
        <f aca="false">P189*Q189</f>
        <v>3021.222428757</v>
      </c>
      <c r="S189" s="50" t="n">
        <v>0.06</v>
      </c>
      <c r="T189" s="52" t="n">
        <f aca="false">N189*S189</f>
        <v>214.11</v>
      </c>
      <c r="U189" s="52" t="n">
        <v>0.01428</v>
      </c>
      <c r="V189" s="52" t="n">
        <f aca="false">P189*U189</f>
        <v>54.3397648248</v>
      </c>
      <c r="W189" s="53" t="s">
        <v>195</v>
      </c>
      <c r="X189" s="50" t="n">
        <v>2.6364</v>
      </c>
      <c r="Y189" s="53" t="s">
        <v>198</v>
      </c>
      <c r="Z189" s="50" t="n">
        <v>0.2028</v>
      </c>
      <c r="AA189" s="50" t="n">
        <v>7.91</v>
      </c>
      <c r="AB189" s="50" t="n">
        <v>9.18</v>
      </c>
      <c r="AC189" s="52" t="n">
        <f aca="false">IF(W189="EUR",AA189,IF(W189="GBP",AB189,1))</f>
        <v>7.91</v>
      </c>
      <c r="AD189" s="52" t="n">
        <f aca="false">R189*X189</f>
        <v>7965.15081117496</v>
      </c>
      <c r="AE189" s="52" t="n">
        <f aca="false">IF(Y189="PERCENTAGE_OF_BASE_FREIGHT",AD189*Z189,IF(Y189="PER_CHARGEABLE_KG",R189*Z189,P189*Z189))</f>
        <v>612.70390855192</v>
      </c>
      <c r="AF189" s="52" t="n">
        <f aca="false">AD189*AC189</f>
        <v>63004.3429163939</v>
      </c>
      <c r="AG189" s="52" t="n">
        <f aca="false">AE189*AC189</f>
        <v>4846.48791664569</v>
      </c>
      <c r="AH189" s="52" t="s">
        <v>195</v>
      </c>
      <c r="AI189" s="52" t="n">
        <v>1.0647</v>
      </c>
      <c r="AJ189" s="52" t="n">
        <f aca="false">IF(AH189="EUR",AA189,IF(AH189="GBP",AB189,1))</f>
        <v>7.91</v>
      </c>
      <c r="AK189" s="52" t="n">
        <f aca="false">N189*AI189</f>
        <v>3799.38195</v>
      </c>
      <c r="AL189" s="52" t="n">
        <f aca="false">AK189*AJ189</f>
        <v>30053.1112245</v>
      </c>
      <c r="AM189" s="52" t="s">
        <v>195</v>
      </c>
      <c r="AN189" s="52" t="n">
        <v>0.38532</v>
      </c>
      <c r="AO189" s="52" t="n">
        <f aca="false">IF(AM189="EUR",AA189,IF(AM189="GBP",AB189,1))</f>
        <v>7.91</v>
      </c>
      <c r="AP189" s="52" t="n">
        <f aca="false">P189*AN189</f>
        <v>1466.2603769112</v>
      </c>
      <c r="AQ189" s="52" t="n">
        <f aca="false">AP189*AO189</f>
        <v>11598.1195813676</v>
      </c>
      <c r="AR189" s="52" t="s">
        <v>195</v>
      </c>
      <c r="AS189" s="52" t="n">
        <v>3.042</v>
      </c>
      <c r="AT189" s="52" t="n">
        <f aca="false">IF(AR189="EUR",AA189,IF(AR189="GBP",AB189,1))</f>
        <v>7.91</v>
      </c>
      <c r="AU189" s="52" t="n">
        <f aca="false">T189*AS189</f>
        <v>651.32262</v>
      </c>
      <c r="AV189" s="52" t="n">
        <f aca="false">AU189*AT189</f>
        <v>5151.9619242</v>
      </c>
      <c r="AW189" s="52" t="s">
        <v>195</v>
      </c>
      <c r="AX189" s="52" t="n">
        <v>2.3322</v>
      </c>
      <c r="AY189" s="52" t="n">
        <f aca="false">IF(AW189="EUR",AA189,IF(AW189="GBP",AB189,1))</f>
        <v>7.91</v>
      </c>
      <c r="AZ189" s="52" t="n">
        <f aca="false">V189*AX189</f>
        <v>126.731199524399</v>
      </c>
      <c r="BA189" s="52" t="n">
        <f aca="false">AZ189*AY189</f>
        <v>1002.44378823799</v>
      </c>
      <c r="BB189" s="52" t="n">
        <f aca="false">AF189+AG189+AL189+AQ189+AV189+BA189</f>
        <v>115656.467351345</v>
      </c>
      <c r="BC189" s="54" t="n">
        <v>0.97</v>
      </c>
      <c r="BD189" s="32"/>
      <c r="BE189" s="32"/>
      <c r="BF189" s="32"/>
      <c r="BG189" s="32" t="s">
        <v>197</v>
      </c>
    </row>
    <row r="190" customFormat="false" ht="15" hidden="false" customHeight="false" outlineLevel="0" collapsed="false">
      <c r="A190" s="18" t="s">
        <v>200</v>
      </c>
      <c r="B190" s="18" t="s">
        <v>201</v>
      </c>
      <c r="C190" s="18"/>
      <c r="D190" s="49" t="n">
        <v>46204</v>
      </c>
      <c r="E190" s="18" t="s">
        <v>118</v>
      </c>
      <c r="F190" s="18" t="s">
        <v>119</v>
      </c>
      <c r="G190" s="18" t="s">
        <v>100</v>
      </c>
      <c r="H190" s="18" t="s">
        <v>101</v>
      </c>
      <c r="I190" s="18" t="s">
        <v>102</v>
      </c>
      <c r="J190" s="50" t="n">
        <v>18000</v>
      </c>
      <c r="K190" s="51" t="n">
        <v>0.33</v>
      </c>
      <c r="L190" s="51" t="n">
        <v>0.96</v>
      </c>
      <c r="M190" s="51" t="n">
        <v>0.57</v>
      </c>
      <c r="N190" s="52" t="n">
        <f aca="false">J190*K190*L190*M190</f>
        <v>3250.368</v>
      </c>
      <c r="O190" s="50" t="n">
        <v>1.12672</v>
      </c>
      <c r="P190" s="52" t="n">
        <f aca="false">N190*O190</f>
        <v>3662.25463296</v>
      </c>
      <c r="Q190" s="50" t="n">
        <v>1.0251</v>
      </c>
      <c r="R190" s="52" t="n">
        <f aca="false">P190*Q190</f>
        <v>3754.1772242473</v>
      </c>
      <c r="S190" s="50" t="n">
        <v>0.08</v>
      </c>
      <c r="T190" s="52" t="n">
        <f aca="false">N190*S190</f>
        <v>260.02944</v>
      </c>
      <c r="U190" s="52" t="n">
        <v>0.02244</v>
      </c>
      <c r="V190" s="52" t="n">
        <f aca="false">P190*U190</f>
        <v>82.1809939636224</v>
      </c>
      <c r="W190" s="53" t="s">
        <v>199</v>
      </c>
      <c r="X190" s="50" t="n">
        <v>4.056</v>
      </c>
      <c r="Y190" s="53" t="s">
        <v>196</v>
      </c>
      <c r="Z190" s="50" t="n">
        <v>0.1014</v>
      </c>
      <c r="AA190" s="50" t="n">
        <v>7.91</v>
      </c>
      <c r="AB190" s="50" t="n">
        <v>9.18</v>
      </c>
      <c r="AC190" s="52" t="n">
        <f aca="false">IF(W190="EUR",AA190,IF(W190="GBP",AB190,1))</f>
        <v>9.18</v>
      </c>
      <c r="AD190" s="52" t="n">
        <f aca="false">R190*X190</f>
        <v>15226.942821547</v>
      </c>
      <c r="AE190" s="52" t="n">
        <f aca="false">IF(Y190="PERCENTAGE_OF_BASE_FREIGHT",AD190*Z190,IF(Y190="PER_CHARGEABLE_KG",R190*Z190,P190*Z190))</f>
        <v>1544.01200210487</v>
      </c>
      <c r="AF190" s="52" t="n">
        <f aca="false">AD190*AC190</f>
        <v>139783.335101802</v>
      </c>
      <c r="AG190" s="52" t="n">
        <f aca="false">AE190*AC190</f>
        <v>14174.0301793227</v>
      </c>
      <c r="AH190" s="52" t="s">
        <v>195</v>
      </c>
      <c r="AI190" s="52" t="n">
        <v>1.19652</v>
      </c>
      <c r="AJ190" s="52" t="n">
        <f aca="false">IF(AH190="EUR",AA190,IF(AH190="GBP",AB190,1))</f>
        <v>7.91</v>
      </c>
      <c r="AK190" s="52" t="n">
        <f aca="false">N190*AI190</f>
        <v>3889.13031936</v>
      </c>
      <c r="AL190" s="52" t="n">
        <f aca="false">AK190*AJ190</f>
        <v>30763.0208261376</v>
      </c>
      <c r="AM190" s="52" t="s">
        <v>195</v>
      </c>
      <c r="AN190" s="52" t="n">
        <v>0.42588</v>
      </c>
      <c r="AO190" s="52" t="n">
        <f aca="false">IF(AM190="EUR",AA190,IF(AM190="GBP",AB190,1))</f>
        <v>7.91</v>
      </c>
      <c r="AP190" s="52" t="n">
        <f aca="false">P190*AN190</f>
        <v>1559.681003085</v>
      </c>
      <c r="AQ190" s="52" t="n">
        <f aca="false">AP190*AO190</f>
        <v>12337.0767344024</v>
      </c>
      <c r="AR190" s="52" t="s">
        <v>199</v>
      </c>
      <c r="AS190" s="52" t="n">
        <v>4.8672</v>
      </c>
      <c r="AT190" s="52" t="n">
        <f aca="false">IF(AR190="EUR",AA190,IF(AR190="GBP",AB190,1))</f>
        <v>9.18</v>
      </c>
      <c r="AU190" s="52" t="n">
        <f aca="false">T190*AS190</f>
        <v>1265.615290368</v>
      </c>
      <c r="AV190" s="52" t="n">
        <f aca="false">AU190*AT190</f>
        <v>11618.3483655782</v>
      </c>
      <c r="AW190" s="52" t="s">
        <v>199</v>
      </c>
      <c r="AX190" s="52" t="n">
        <v>2.3322</v>
      </c>
      <c r="AY190" s="52" t="n">
        <f aca="false">IF(AW190="EUR",AA190,IF(AW190="GBP",AB190,1))</f>
        <v>9.18</v>
      </c>
      <c r="AZ190" s="52" t="n">
        <f aca="false">V190*AX190</f>
        <v>191.66251412196</v>
      </c>
      <c r="BA190" s="52" t="n">
        <f aca="false">AZ190*AY190</f>
        <v>1759.46187963959</v>
      </c>
      <c r="BB190" s="52" t="n">
        <f aca="false">AF190+AG190+AL190+AQ190+AV190+BA190</f>
        <v>210435.273086882</v>
      </c>
      <c r="BC190" s="54" t="n">
        <v>0.927</v>
      </c>
      <c r="BD190" s="32"/>
      <c r="BE190" s="32"/>
      <c r="BF190" s="32"/>
      <c r="BG190" s="32" t="s">
        <v>197</v>
      </c>
    </row>
    <row r="191" customFormat="false" ht="15" hidden="false" customHeight="false" outlineLevel="0" collapsed="false">
      <c r="A191" s="18" t="s">
        <v>200</v>
      </c>
      <c r="B191" s="18" t="s">
        <v>201</v>
      </c>
      <c r="C191" s="18"/>
      <c r="D191" s="49" t="n">
        <v>46204</v>
      </c>
      <c r="E191" s="18" t="s">
        <v>122</v>
      </c>
      <c r="F191" s="18" t="s">
        <v>119</v>
      </c>
      <c r="G191" s="18" t="s">
        <v>100</v>
      </c>
      <c r="H191" s="18" t="s">
        <v>107</v>
      </c>
      <c r="I191" s="18" t="s">
        <v>102</v>
      </c>
      <c r="J191" s="50" t="n">
        <v>18000</v>
      </c>
      <c r="K191" s="51" t="n">
        <v>0.33</v>
      </c>
      <c r="L191" s="51" t="n">
        <v>0.96</v>
      </c>
      <c r="M191" s="51" t="n">
        <v>0.26</v>
      </c>
      <c r="N191" s="52" t="n">
        <f aca="false">J191*K191*L191*M191</f>
        <v>1482.624</v>
      </c>
      <c r="O191" s="50" t="n">
        <v>1.12672</v>
      </c>
      <c r="P191" s="52" t="n">
        <f aca="false">N191*O191</f>
        <v>1670.50211328</v>
      </c>
      <c r="Q191" s="50" t="n">
        <v>1.005</v>
      </c>
      <c r="R191" s="52" t="n">
        <f aca="false">P191*Q191</f>
        <v>1678.8546238464</v>
      </c>
      <c r="S191" s="50" t="n">
        <v>0.08</v>
      </c>
      <c r="T191" s="52" t="n">
        <f aca="false">N191*S191</f>
        <v>118.60992</v>
      </c>
      <c r="U191" s="52" t="n">
        <v>0.01734</v>
      </c>
      <c r="V191" s="52" t="n">
        <f aca="false">P191*U191</f>
        <v>28.9665066442752</v>
      </c>
      <c r="W191" s="53" t="s">
        <v>199</v>
      </c>
      <c r="X191" s="50" t="n">
        <v>4.7658</v>
      </c>
      <c r="Y191" s="53" t="s">
        <v>198</v>
      </c>
      <c r="Z191" s="50" t="n">
        <v>0.33462</v>
      </c>
      <c r="AA191" s="50" t="n">
        <v>7.91</v>
      </c>
      <c r="AB191" s="50" t="n">
        <v>9.18</v>
      </c>
      <c r="AC191" s="52" t="n">
        <f aca="false">IF(W191="EUR",AA191,IF(W191="GBP",AB191,1))</f>
        <v>9.18</v>
      </c>
      <c r="AD191" s="52" t="n">
        <f aca="false">R191*X191</f>
        <v>8001.08536632717</v>
      </c>
      <c r="AE191" s="52" t="n">
        <f aca="false">IF(Y191="PERCENTAGE_OF_BASE_FREIGHT",AD191*Z191,IF(Y191="PER_CHARGEABLE_KG",R191*Z191,P191*Z191))</f>
        <v>561.778334231482</v>
      </c>
      <c r="AF191" s="52" t="n">
        <f aca="false">AD191*AC191</f>
        <v>73449.9636628834</v>
      </c>
      <c r="AG191" s="52" t="n">
        <f aca="false">AE191*AC191</f>
        <v>5157.12510824501</v>
      </c>
      <c r="AH191" s="52" t="s">
        <v>195</v>
      </c>
      <c r="AI191" s="52" t="n">
        <v>1.19652</v>
      </c>
      <c r="AJ191" s="52" t="n">
        <f aca="false">IF(AH191="EUR",AA191,IF(AH191="GBP",AB191,1))</f>
        <v>7.91</v>
      </c>
      <c r="AK191" s="52" t="n">
        <f aca="false">N191*AI191</f>
        <v>1773.98926848</v>
      </c>
      <c r="AL191" s="52" t="n">
        <f aca="false">AK191*AJ191</f>
        <v>14032.2551136768</v>
      </c>
      <c r="AM191" s="52" t="s">
        <v>195</v>
      </c>
      <c r="AN191" s="52" t="n">
        <v>0.42588</v>
      </c>
      <c r="AO191" s="52" t="n">
        <f aca="false">IF(AM191="EUR",AA191,IF(AM191="GBP",AB191,1))</f>
        <v>7.91</v>
      </c>
      <c r="AP191" s="52" t="n">
        <f aca="false">P191*AN191</f>
        <v>711.433440003686</v>
      </c>
      <c r="AQ191" s="52" t="n">
        <f aca="false">AP191*AO191</f>
        <v>5627.43851042916</v>
      </c>
      <c r="AR191" s="52" t="s">
        <v>199</v>
      </c>
      <c r="AS191" s="52" t="n">
        <v>4.8672</v>
      </c>
      <c r="AT191" s="52" t="n">
        <f aca="false">IF(AR191="EUR",AA191,IF(AR191="GBP",AB191,1))</f>
        <v>9.18</v>
      </c>
      <c r="AU191" s="52" t="n">
        <f aca="false">T191*AS191</f>
        <v>577.298202624</v>
      </c>
      <c r="AV191" s="52" t="n">
        <f aca="false">AU191*AT191</f>
        <v>5299.59750008832</v>
      </c>
      <c r="AW191" s="52" t="s">
        <v>199</v>
      </c>
      <c r="AX191" s="52" t="n">
        <v>2.3322</v>
      </c>
      <c r="AY191" s="52" t="n">
        <f aca="false">IF(AW191="EUR",AA191,IF(AW191="GBP",AB191,1))</f>
        <v>9.18</v>
      </c>
      <c r="AZ191" s="52" t="n">
        <f aca="false">V191*AX191</f>
        <v>67.5556867957786</v>
      </c>
      <c r="BA191" s="52" t="n">
        <f aca="false">AZ191*AY191</f>
        <v>620.161204785248</v>
      </c>
      <c r="BB191" s="52" t="n">
        <f aca="false">AF191+AG191+AL191+AQ191+AV191+BA191</f>
        <v>104186.541100108</v>
      </c>
      <c r="BC191" s="54" t="n">
        <v>0.947</v>
      </c>
      <c r="BD191" s="32"/>
      <c r="BE191" s="32"/>
      <c r="BF191" s="32"/>
      <c r="BG191" s="32" t="s">
        <v>197</v>
      </c>
    </row>
    <row r="192" customFormat="false" ht="15" hidden="false" customHeight="false" outlineLevel="0" collapsed="false">
      <c r="A192" s="18" t="s">
        <v>200</v>
      </c>
      <c r="B192" s="18" t="s">
        <v>201</v>
      </c>
      <c r="C192" s="18"/>
      <c r="D192" s="49" t="n">
        <v>46204</v>
      </c>
      <c r="E192" s="18" t="s">
        <v>124</v>
      </c>
      <c r="F192" s="18" t="s">
        <v>119</v>
      </c>
      <c r="G192" s="18" t="s">
        <v>100</v>
      </c>
      <c r="H192" s="18" t="s">
        <v>107</v>
      </c>
      <c r="I192" s="18" t="s">
        <v>125</v>
      </c>
      <c r="J192" s="50" t="n">
        <v>18000</v>
      </c>
      <c r="K192" s="51" t="n">
        <v>0.33</v>
      </c>
      <c r="L192" s="51" t="n">
        <v>0.96</v>
      </c>
      <c r="M192" s="51" t="n">
        <v>0.11</v>
      </c>
      <c r="N192" s="52" t="n">
        <f aca="false">J192*K192*L192*M192</f>
        <v>627.264</v>
      </c>
      <c r="O192" s="50" t="n">
        <v>1.12672</v>
      </c>
      <c r="P192" s="52" t="n">
        <f aca="false">N192*O192</f>
        <v>706.75089408</v>
      </c>
      <c r="Q192" s="50" t="n">
        <v>0.9447</v>
      </c>
      <c r="R192" s="52" t="n">
        <f aca="false">P192*Q192</f>
        <v>667.667569637376</v>
      </c>
      <c r="S192" s="50" t="n">
        <v>0.08</v>
      </c>
      <c r="T192" s="52" t="n">
        <f aca="false">N192*S192</f>
        <v>50.18112</v>
      </c>
      <c r="U192" s="52" t="n">
        <v>0.01326</v>
      </c>
      <c r="V192" s="52" t="n">
        <f aca="false">P192*U192</f>
        <v>9.3715168555008</v>
      </c>
      <c r="W192" s="53" t="s">
        <v>199</v>
      </c>
      <c r="X192" s="50" t="n">
        <v>6.2868</v>
      </c>
      <c r="Y192" s="53" t="s">
        <v>196</v>
      </c>
      <c r="Z192" s="50" t="n">
        <v>0.11661</v>
      </c>
      <c r="AA192" s="50" t="n">
        <v>7.91</v>
      </c>
      <c r="AB192" s="50" t="n">
        <v>9.18</v>
      </c>
      <c r="AC192" s="52" t="n">
        <f aca="false">IF(W192="EUR",AA192,IF(W192="GBP",AB192,1))</f>
        <v>9.18</v>
      </c>
      <c r="AD192" s="52" t="n">
        <f aca="false">R192*X192</f>
        <v>4197.49247679626</v>
      </c>
      <c r="AE192" s="52" t="n">
        <f aca="false">IF(Y192="PERCENTAGE_OF_BASE_FREIGHT",AD192*Z192,IF(Y192="PER_CHARGEABLE_KG",R192*Z192,P192*Z192))</f>
        <v>489.469597719211</v>
      </c>
      <c r="AF192" s="52" t="n">
        <f aca="false">AD192*AC192</f>
        <v>38532.9809369896</v>
      </c>
      <c r="AG192" s="52" t="n">
        <f aca="false">AE192*AC192</f>
        <v>4493.33090706236</v>
      </c>
      <c r="AH192" s="52" t="s">
        <v>195</v>
      </c>
      <c r="AI192" s="52" t="n">
        <v>1.19652</v>
      </c>
      <c r="AJ192" s="52" t="n">
        <f aca="false">IF(AH192="EUR",AA192,IF(AH192="GBP",AB192,1))</f>
        <v>7.91</v>
      </c>
      <c r="AK192" s="52" t="n">
        <f aca="false">N192*AI192</f>
        <v>750.53392128</v>
      </c>
      <c r="AL192" s="52" t="n">
        <f aca="false">AK192*AJ192</f>
        <v>5936.7233173248</v>
      </c>
      <c r="AM192" s="52" t="s">
        <v>195</v>
      </c>
      <c r="AN192" s="52" t="n">
        <v>0.42588</v>
      </c>
      <c r="AO192" s="52" t="n">
        <f aca="false">IF(AM192="EUR",AA192,IF(AM192="GBP",AB192,1))</f>
        <v>7.91</v>
      </c>
      <c r="AP192" s="52" t="n">
        <f aca="false">P192*AN192</f>
        <v>300.99107077079</v>
      </c>
      <c r="AQ192" s="52" t="n">
        <f aca="false">AP192*AO192</f>
        <v>2380.83936979695</v>
      </c>
      <c r="AR192" s="52" t="s">
        <v>199</v>
      </c>
      <c r="AS192" s="52" t="n">
        <v>4.8672</v>
      </c>
      <c r="AT192" s="52" t="n">
        <f aca="false">IF(AR192="EUR",AA192,IF(AR192="GBP",AB192,1))</f>
        <v>9.18</v>
      </c>
      <c r="AU192" s="52" t="n">
        <f aca="false">T192*AS192</f>
        <v>244.241547264</v>
      </c>
      <c r="AV192" s="52" t="n">
        <f aca="false">AU192*AT192</f>
        <v>2242.13740388352</v>
      </c>
      <c r="AW192" s="52" t="s">
        <v>199</v>
      </c>
      <c r="AX192" s="52" t="n">
        <v>2.8392</v>
      </c>
      <c r="AY192" s="52" t="n">
        <f aca="false">IF(AW192="EUR",AA192,IF(AW192="GBP",AB192,1))</f>
        <v>9.18</v>
      </c>
      <c r="AZ192" s="52" t="n">
        <f aca="false">V192*AX192</f>
        <v>26.6076106561379</v>
      </c>
      <c r="BA192" s="52" t="n">
        <f aca="false">AZ192*AY192</f>
        <v>244.257865823346</v>
      </c>
      <c r="BB192" s="52" t="n">
        <f aca="false">AF192+AG192+AL192+AQ192+AV192+BA192</f>
        <v>53830.2698008806</v>
      </c>
      <c r="BC192" s="54" t="n">
        <v>0.971</v>
      </c>
      <c r="BD192" s="32"/>
      <c r="BE192" s="32"/>
      <c r="BF192" s="32"/>
      <c r="BG192" s="32" t="s">
        <v>197</v>
      </c>
    </row>
    <row r="193" customFormat="false" ht="15" hidden="false" customHeight="false" outlineLevel="0" collapsed="false">
      <c r="A193" s="18" t="s">
        <v>200</v>
      </c>
      <c r="B193" s="18" t="s">
        <v>201</v>
      </c>
      <c r="C193" s="18"/>
      <c r="D193" s="49" t="n">
        <v>46204</v>
      </c>
      <c r="E193" s="18" t="s">
        <v>127</v>
      </c>
      <c r="F193" s="18" t="s">
        <v>119</v>
      </c>
      <c r="G193" s="18" t="s">
        <v>100</v>
      </c>
      <c r="H193" s="18" t="s">
        <v>128</v>
      </c>
      <c r="I193" s="18" t="s">
        <v>125</v>
      </c>
      <c r="J193" s="50" t="n">
        <v>18000</v>
      </c>
      <c r="K193" s="51" t="n">
        <v>0.33</v>
      </c>
      <c r="L193" s="51" t="n">
        <v>0.96</v>
      </c>
      <c r="M193" s="51" t="n">
        <v>0.06</v>
      </c>
      <c r="N193" s="52" t="n">
        <f aca="false">J193*K193*L193*M193</f>
        <v>342.144</v>
      </c>
      <c r="O193" s="50" t="n">
        <v>1.12672</v>
      </c>
      <c r="P193" s="52" t="n">
        <f aca="false">N193*O193</f>
        <v>385.50048768</v>
      </c>
      <c r="Q193" s="50" t="n">
        <v>0.9246</v>
      </c>
      <c r="R193" s="52" t="n">
        <f aca="false">P193*Q193</f>
        <v>356.433750908928</v>
      </c>
      <c r="S193" s="50" t="n">
        <v>0.08</v>
      </c>
      <c r="T193" s="52" t="n">
        <f aca="false">N193*S193</f>
        <v>27.37152</v>
      </c>
      <c r="U193" s="52" t="n">
        <v>0.00918</v>
      </c>
      <c r="V193" s="52" t="n">
        <f aca="false">P193*U193</f>
        <v>3.5388944769024</v>
      </c>
      <c r="W193" s="53" t="s">
        <v>199</v>
      </c>
      <c r="X193" s="50" t="n">
        <v>7.605</v>
      </c>
      <c r="Y193" s="53" t="s">
        <v>198</v>
      </c>
      <c r="Z193" s="50" t="n">
        <v>0.58812</v>
      </c>
      <c r="AA193" s="50" t="n">
        <v>7.91</v>
      </c>
      <c r="AB193" s="50" t="n">
        <v>9.18</v>
      </c>
      <c r="AC193" s="52" t="n">
        <f aca="false">IF(W193="EUR",AA193,IF(W193="GBP",AB193,1))</f>
        <v>9.18</v>
      </c>
      <c r="AD193" s="52" t="n">
        <f aca="false">R193*X193</f>
        <v>2710.6786756624</v>
      </c>
      <c r="AE193" s="52" t="n">
        <f aca="false">IF(Y193="PERCENTAGE_OF_BASE_FREIGHT",AD193*Z193,IF(Y193="PER_CHARGEABLE_KG",R193*Z193,P193*Z193))</f>
        <v>209.625817584559</v>
      </c>
      <c r="AF193" s="52" t="n">
        <f aca="false">AD193*AC193</f>
        <v>24884.0302425808</v>
      </c>
      <c r="AG193" s="52" t="n">
        <f aca="false">AE193*AC193</f>
        <v>1924.36500542625</v>
      </c>
      <c r="AH193" s="52" t="s">
        <v>195</v>
      </c>
      <c r="AI193" s="52" t="n">
        <v>1.19652</v>
      </c>
      <c r="AJ193" s="52" t="n">
        <f aca="false">IF(AH193="EUR",AA193,IF(AH193="GBP",AB193,1))</f>
        <v>7.91</v>
      </c>
      <c r="AK193" s="52" t="n">
        <f aca="false">N193*AI193</f>
        <v>409.38213888</v>
      </c>
      <c r="AL193" s="52" t="n">
        <f aca="false">AK193*AJ193</f>
        <v>3238.2127185408</v>
      </c>
      <c r="AM193" s="52" t="s">
        <v>195</v>
      </c>
      <c r="AN193" s="52" t="n">
        <v>0.42588</v>
      </c>
      <c r="AO193" s="52" t="n">
        <f aca="false">IF(AM193="EUR",AA193,IF(AM193="GBP",AB193,1))</f>
        <v>7.91</v>
      </c>
      <c r="AP193" s="52" t="n">
        <f aca="false">P193*AN193</f>
        <v>164.176947693158</v>
      </c>
      <c r="AQ193" s="52" t="n">
        <f aca="false">AP193*AO193</f>
        <v>1298.63965625288</v>
      </c>
      <c r="AR193" s="52" t="s">
        <v>199</v>
      </c>
      <c r="AS193" s="52" t="n">
        <v>4.8672</v>
      </c>
      <c r="AT193" s="52" t="n">
        <f aca="false">IF(AR193="EUR",AA193,IF(AR193="GBP",AB193,1))</f>
        <v>9.18</v>
      </c>
      <c r="AU193" s="52" t="n">
        <f aca="false">T193*AS193</f>
        <v>133.222662144</v>
      </c>
      <c r="AV193" s="52" t="n">
        <f aca="false">AU193*AT193</f>
        <v>1222.98403848192</v>
      </c>
      <c r="AW193" s="52" t="s">
        <v>199</v>
      </c>
      <c r="AX193" s="52" t="n">
        <v>3.6504</v>
      </c>
      <c r="AY193" s="52" t="n">
        <f aca="false">IF(AW193="EUR",AA193,IF(AW193="GBP",AB193,1))</f>
        <v>9.18</v>
      </c>
      <c r="AZ193" s="52" t="n">
        <f aca="false">V193*AX193</f>
        <v>12.9183803984845</v>
      </c>
      <c r="BA193" s="52" t="n">
        <f aca="false">AZ193*AY193</f>
        <v>118.590732058088</v>
      </c>
      <c r="BB193" s="52" t="n">
        <f aca="false">AF193+AG193+AL193+AQ193+AV193+BA193</f>
        <v>32686.8223933407</v>
      </c>
      <c r="BC193" s="54" t="n">
        <v>0.985</v>
      </c>
      <c r="BD193" s="32"/>
      <c r="BE193" s="32"/>
      <c r="BF193" s="32"/>
      <c r="BG193" s="32" t="s">
        <v>197</v>
      </c>
    </row>
    <row r="194" customFormat="false" ht="15" hidden="false" customHeight="false" outlineLevel="0" collapsed="false">
      <c r="A194" s="18" t="s">
        <v>200</v>
      </c>
      <c r="B194" s="18" t="s">
        <v>201</v>
      </c>
      <c r="C194" s="18"/>
      <c r="D194" s="49" t="n">
        <v>46204</v>
      </c>
      <c r="E194" s="18" t="s">
        <v>130</v>
      </c>
      <c r="F194" s="18" t="s">
        <v>119</v>
      </c>
      <c r="G194" s="18" t="s">
        <v>110</v>
      </c>
      <c r="H194" s="18" t="s">
        <v>107</v>
      </c>
      <c r="I194" s="18" t="s">
        <v>125</v>
      </c>
      <c r="J194" s="50" t="n">
        <v>18000</v>
      </c>
      <c r="K194" s="51" t="n">
        <v>0.33</v>
      </c>
      <c r="L194" s="51" t="n">
        <v>0.04</v>
      </c>
      <c r="M194" s="51" t="n">
        <v>1</v>
      </c>
      <c r="N194" s="52" t="n">
        <f aca="false">J194*K194*L194*M194</f>
        <v>237.6</v>
      </c>
      <c r="O194" s="50" t="n">
        <v>1.1569</v>
      </c>
      <c r="P194" s="52" t="n">
        <f aca="false">N194*O194</f>
        <v>274.87944</v>
      </c>
      <c r="Q194" s="50" t="n">
        <v>0.9045</v>
      </c>
      <c r="R194" s="52" t="n">
        <f aca="false">P194*Q194</f>
        <v>248.62845348</v>
      </c>
      <c r="S194" s="50" t="n">
        <v>0.08</v>
      </c>
      <c r="T194" s="52" t="n">
        <f aca="false">N194*S194</f>
        <v>19.008</v>
      </c>
      <c r="U194" s="52" t="n">
        <v>0.01224</v>
      </c>
      <c r="V194" s="52" t="n">
        <f aca="false">P194*U194</f>
        <v>3.3645243456</v>
      </c>
      <c r="W194" s="53" t="s">
        <v>195</v>
      </c>
      <c r="X194" s="50" t="n">
        <v>6.7938</v>
      </c>
      <c r="Y194" s="53" t="s">
        <v>196</v>
      </c>
      <c r="Z194" s="50" t="n">
        <v>0.10647</v>
      </c>
      <c r="AA194" s="50" t="n">
        <v>7.91</v>
      </c>
      <c r="AB194" s="50" t="n">
        <v>9.18</v>
      </c>
      <c r="AC194" s="52" t="n">
        <f aca="false">IF(W194="EUR",AA194,IF(W194="GBP",AB194,1))</f>
        <v>7.91</v>
      </c>
      <c r="AD194" s="52" t="n">
        <f aca="false">R194*X194</f>
        <v>1689.13198725242</v>
      </c>
      <c r="AE194" s="52" t="n">
        <f aca="false">IF(Y194="PERCENTAGE_OF_BASE_FREIGHT",AD194*Z194,IF(Y194="PER_CHARGEABLE_KG",R194*Z194,P194*Z194))</f>
        <v>179.841882682766</v>
      </c>
      <c r="AF194" s="52" t="n">
        <f aca="false">AD194*AC194</f>
        <v>13361.0340191667</v>
      </c>
      <c r="AG194" s="52" t="n">
        <f aca="false">AE194*AC194</f>
        <v>1422.54929202068</v>
      </c>
      <c r="AH194" s="52" t="s">
        <v>195</v>
      </c>
      <c r="AI194" s="52" t="n">
        <v>1.0647</v>
      </c>
      <c r="AJ194" s="52" t="n">
        <f aca="false">IF(AH194="EUR",AA194,IF(AH194="GBP",AB194,1))</f>
        <v>7.91</v>
      </c>
      <c r="AK194" s="52" t="n">
        <f aca="false">N194*AI194</f>
        <v>252.97272</v>
      </c>
      <c r="AL194" s="52" t="n">
        <f aca="false">AK194*AJ194</f>
        <v>2001.0142152</v>
      </c>
      <c r="AM194" s="52" t="s">
        <v>195</v>
      </c>
      <c r="AN194" s="52" t="n">
        <v>0.38532</v>
      </c>
      <c r="AO194" s="52" t="n">
        <f aca="false">IF(AM194="EUR",AA194,IF(AM194="GBP",AB194,1))</f>
        <v>7.91</v>
      </c>
      <c r="AP194" s="52" t="n">
        <f aca="false">P194*AN194</f>
        <v>105.9165458208</v>
      </c>
      <c r="AQ194" s="52" t="n">
        <f aca="false">AP194*AO194</f>
        <v>837.799877442528</v>
      </c>
      <c r="AR194" s="52" t="s">
        <v>195</v>
      </c>
      <c r="AS194" s="52" t="n">
        <v>5.2728</v>
      </c>
      <c r="AT194" s="52" t="n">
        <f aca="false">IF(AR194="EUR",AA194,IF(AR194="GBP",AB194,1))</f>
        <v>7.91</v>
      </c>
      <c r="AU194" s="52" t="n">
        <f aca="false">T194*AS194</f>
        <v>100.2253824</v>
      </c>
      <c r="AV194" s="52" t="n">
        <f aca="false">AU194*AT194</f>
        <v>792.782774784</v>
      </c>
      <c r="AW194" s="52" t="s">
        <v>195</v>
      </c>
      <c r="AX194" s="52" t="n">
        <v>2.8392</v>
      </c>
      <c r="AY194" s="52" t="n">
        <f aca="false">IF(AW194="EUR",AA194,IF(AW194="GBP",AB194,1))</f>
        <v>7.91</v>
      </c>
      <c r="AZ194" s="52" t="n">
        <f aca="false">V194*AX194</f>
        <v>9.55255752202752</v>
      </c>
      <c r="BA194" s="52" t="n">
        <f aca="false">AZ194*AY194</f>
        <v>75.5607299992377</v>
      </c>
      <c r="BB194" s="52" t="n">
        <f aca="false">AF194+AG194+AL194+AQ194+AV194+BA194</f>
        <v>18490.7409086131</v>
      </c>
      <c r="BC194" s="54" t="n">
        <v>0.968</v>
      </c>
      <c r="BD194" s="32"/>
      <c r="BE194" s="32"/>
      <c r="BF194" s="32"/>
      <c r="BG194" s="32" t="s">
        <v>197</v>
      </c>
    </row>
    <row r="195" customFormat="false" ht="26.5" hidden="false" customHeight="false" outlineLevel="0" collapsed="false">
      <c r="A195" s="18" t="s">
        <v>200</v>
      </c>
      <c r="B195" s="18" t="s">
        <v>201</v>
      </c>
      <c r="C195" s="18"/>
      <c r="D195" s="49" t="n">
        <v>46235</v>
      </c>
      <c r="E195" s="18" t="s">
        <v>98</v>
      </c>
      <c r="F195" s="18" t="s">
        <v>99</v>
      </c>
      <c r="G195" s="18" t="s">
        <v>100</v>
      </c>
      <c r="H195" s="18" t="s">
        <v>101</v>
      </c>
      <c r="I195" s="18" t="s">
        <v>102</v>
      </c>
      <c r="J195" s="50" t="n">
        <v>20300</v>
      </c>
      <c r="K195" s="51" t="n">
        <v>0.31</v>
      </c>
      <c r="L195" s="51" t="n">
        <v>0.97</v>
      </c>
      <c r="M195" s="51" t="n">
        <v>0.6</v>
      </c>
      <c r="N195" s="52" t="n">
        <f aca="false">J195*K195*L195*M195</f>
        <v>3662.526</v>
      </c>
      <c r="O195" s="50" t="n">
        <v>1.05</v>
      </c>
      <c r="P195" s="52" t="n">
        <f aca="false">N195*O195</f>
        <v>3845.6523</v>
      </c>
      <c r="Q195" s="50" t="n">
        <v>0.78</v>
      </c>
      <c r="R195" s="52" t="n">
        <f aca="false">P195*Q195</f>
        <v>2999.608794</v>
      </c>
      <c r="S195" s="50" t="n">
        <v>0.05</v>
      </c>
      <c r="T195" s="52" t="n">
        <f aca="false">N195*S195</f>
        <v>183.1263</v>
      </c>
      <c r="U195" s="52" t="n">
        <v>0.016</v>
      </c>
      <c r="V195" s="52" t="n">
        <f aca="false">P195*U195</f>
        <v>61.5304368</v>
      </c>
      <c r="W195" s="53" t="s">
        <v>195</v>
      </c>
      <c r="X195" s="50" t="n">
        <v>2.2352</v>
      </c>
      <c r="Y195" s="53" t="s">
        <v>196</v>
      </c>
      <c r="Z195" s="50" t="n">
        <v>0.09652</v>
      </c>
      <c r="AA195" s="50" t="n">
        <v>7.95</v>
      </c>
      <c r="AB195" s="50" t="n">
        <v>9.22</v>
      </c>
      <c r="AC195" s="52" t="n">
        <f aca="false">IF(W195="EUR",AA195,IF(W195="GBP",AB195,1))</f>
        <v>7.95</v>
      </c>
      <c r="AD195" s="52" t="n">
        <f aca="false">R195*X195</f>
        <v>6704.7255763488</v>
      </c>
      <c r="AE195" s="52" t="n">
        <f aca="false">IF(Y195="PERCENTAGE_OF_BASE_FREIGHT",AD195*Z195,IF(Y195="PER_CHARGEABLE_KG",R195*Z195,P195*Z195))</f>
        <v>647.140112629186</v>
      </c>
      <c r="AF195" s="52" t="n">
        <f aca="false">AD195*AC195</f>
        <v>53302.568331973</v>
      </c>
      <c r="AG195" s="52" t="n">
        <f aca="false">AE195*AC195</f>
        <v>5144.76389540203</v>
      </c>
      <c r="AH195" s="52" t="s">
        <v>195</v>
      </c>
      <c r="AI195" s="52" t="n">
        <v>1.38847592368764</v>
      </c>
      <c r="AJ195" s="52" t="n">
        <f aca="false">IF(AH195="EUR",AA195,IF(AH195="GBP",AB195,1))</f>
        <v>7.95</v>
      </c>
      <c r="AK195" s="52" t="n">
        <f aca="false">N195*AI195</f>
        <v>5085.32917088</v>
      </c>
      <c r="AL195" s="52" t="n">
        <f aca="false">AK195*AJ195</f>
        <v>40428.366908496</v>
      </c>
      <c r="AM195" s="52" t="s">
        <v>195</v>
      </c>
      <c r="AN195" s="52" t="n">
        <v>0.42672</v>
      </c>
      <c r="AO195" s="52" t="n">
        <f aca="false">IF(AM195="EUR",AA195,IF(AM195="GBP",AB195,1))</f>
        <v>7.95</v>
      </c>
      <c r="AP195" s="52" t="n">
        <f aca="false">P195*AN195</f>
        <v>1641.016749456</v>
      </c>
      <c r="AQ195" s="52" t="n">
        <f aca="false">AP195*AO195</f>
        <v>13046.0831581752</v>
      </c>
      <c r="AR195" s="52" t="s">
        <v>195</v>
      </c>
      <c r="AS195" s="52" t="n">
        <v>3.2512</v>
      </c>
      <c r="AT195" s="52" t="n">
        <f aca="false">IF(AR195="EUR",AA195,IF(AR195="GBP",AB195,1))</f>
        <v>7.95</v>
      </c>
      <c r="AU195" s="52" t="n">
        <f aca="false">T195*AS195</f>
        <v>595.38022656</v>
      </c>
      <c r="AV195" s="52" t="n">
        <f aca="false">AU195*AT195</f>
        <v>4733.272801152</v>
      </c>
      <c r="AW195" s="52" t="s">
        <v>195</v>
      </c>
      <c r="AX195" s="52" t="n">
        <v>2.3368</v>
      </c>
      <c r="AY195" s="52" t="n">
        <f aca="false">IF(AW195="EUR",AA195,IF(AW195="GBP",AB195,1))</f>
        <v>7.95</v>
      </c>
      <c r="AZ195" s="52" t="n">
        <f aca="false">V195*AX195</f>
        <v>143.78432471424</v>
      </c>
      <c r="BA195" s="52" t="n">
        <f aca="false">AZ195*AY195</f>
        <v>1143.08538147821</v>
      </c>
      <c r="BB195" s="52" t="n">
        <f aca="false">AF195+AG195+AL195+AQ195+AV195+BA195</f>
        <v>117798.140476676</v>
      </c>
      <c r="BC195" s="54" t="n">
        <v>0.962</v>
      </c>
      <c r="BD195" s="32" t="s">
        <v>77</v>
      </c>
      <c r="BE195" s="30" t="s">
        <v>202</v>
      </c>
      <c r="BF195" s="32"/>
      <c r="BG195" s="32" t="s">
        <v>197</v>
      </c>
    </row>
    <row r="196" customFormat="false" ht="26.5" hidden="false" customHeight="false" outlineLevel="0" collapsed="false">
      <c r="A196" s="18" t="s">
        <v>200</v>
      </c>
      <c r="B196" s="18" t="s">
        <v>201</v>
      </c>
      <c r="C196" s="18"/>
      <c r="D196" s="49" t="n">
        <v>46235</v>
      </c>
      <c r="E196" s="18" t="s">
        <v>106</v>
      </c>
      <c r="F196" s="18" t="s">
        <v>99</v>
      </c>
      <c r="G196" s="18" t="s">
        <v>100</v>
      </c>
      <c r="H196" s="18" t="s">
        <v>107</v>
      </c>
      <c r="I196" s="18" t="s">
        <v>102</v>
      </c>
      <c r="J196" s="50" t="n">
        <v>20300</v>
      </c>
      <c r="K196" s="51" t="n">
        <v>0.31</v>
      </c>
      <c r="L196" s="51" t="n">
        <v>0.97</v>
      </c>
      <c r="M196" s="51" t="n">
        <v>0.4</v>
      </c>
      <c r="N196" s="52" t="n">
        <f aca="false">J196*K196*L196*M196</f>
        <v>2441.684</v>
      </c>
      <c r="O196" s="50" t="n">
        <v>1.05</v>
      </c>
      <c r="P196" s="52" t="n">
        <f aca="false">N196*O196</f>
        <v>2563.7682</v>
      </c>
      <c r="Q196" s="50" t="n">
        <v>0.8</v>
      </c>
      <c r="R196" s="52" t="n">
        <f aca="false">P196*Q196</f>
        <v>2051.01456</v>
      </c>
      <c r="S196" s="50" t="n">
        <v>0.05</v>
      </c>
      <c r="T196" s="52" t="n">
        <f aca="false">N196*S196</f>
        <v>122.0842</v>
      </c>
      <c r="U196" s="52" t="n">
        <v>0.013</v>
      </c>
      <c r="V196" s="52" t="n">
        <f aca="false">P196*U196</f>
        <v>33.3289866</v>
      </c>
      <c r="W196" s="53" t="s">
        <v>195</v>
      </c>
      <c r="X196" s="50" t="n">
        <v>2.794</v>
      </c>
      <c r="Y196" s="53" t="s">
        <v>198</v>
      </c>
      <c r="Z196" s="50" t="n">
        <v>0.21336</v>
      </c>
      <c r="AA196" s="50" t="n">
        <v>7.95</v>
      </c>
      <c r="AB196" s="50" t="n">
        <v>9.22</v>
      </c>
      <c r="AC196" s="52" t="n">
        <f aca="false">IF(W196="EUR",AA196,IF(W196="GBP",AB196,1))</f>
        <v>7.95</v>
      </c>
      <c r="AD196" s="52" t="n">
        <f aca="false">R196*X196</f>
        <v>5730.53468064</v>
      </c>
      <c r="AE196" s="52" t="n">
        <f aca="false">IF(Y196="PERCENTAGE_OF_BASE_FREIGHT",AD196*Z196,IF(Y196="PER_CHARGEABLE_KG",R196*Z196,P196*Z196))</f>
        <v>437.6044665216</v>
      </c>
      <c r="AF196" s="52" t="n">
        <f aca="false">AD196*AC196</f>
        <v>45557.750711088</v>
      </c>
      <c r="AG196" s="52" t="n">
        <f aca="false">AE196*AC196</f>
        <v>3478.95550884672</v>
      </c>
      <c r="AH196" s="52" t="s">
        <v>195</v>
      </c>
      <c r="AI196" s="52" t="n">
        <v>1.38847592368764</v>
      </c>
      <c r="AJ196" s="52" t="n">
        <f aca="false">IF(AH196="EUR",AA196,IF(AH196="GBP",AB196,1))</f>
        <v>7.95</v>
      </c>
      <c r="AK196" s="52" t="n">
        <f aca="false">N196*AI196</f>
        <v>3390.21944725333</v>
      </c>
      <c r="AL196" s="52" t="n">
        <f aca="false">AK196*AJ196</f>
        <v>26952.244605664</v>
      </c>
      <c r="AM196" s="52" t="s">
        <v>195</v>
      </c>
      <c r="AN196" s="52" t="n">
        <v>0.42672</v>
      </c>
      <c r="AO196" s="52" t="n">
        <f aca="false">IF(AM196="EUR",AA196,IF(AM196="GBP",AB196,1))</f>
        <v>7.95</v>
      </c>
      <c r="AP196" s="52" t="n">
        <f aca="false">P196*AN196</f>
        <v>1094.011166304</v>
      </c>
      <c r="AQ196" s="52" t="n">
        <f aca="false">AP196*AO196</f>
        <v>8697.3887721168</v>
      </c>
      <c r="AR196" s="52" t="s">
        <v>195</v>
      </c>
      <c r="AS196" s="52" t="n">
        <v>3.2512</v>
      </c>
      <c r="AT196" s="52" t="n">
        <f aca="false">IF(AR196="EUR",AA196,IF(AR196="GBP",AB196,1))</f>
        <v>7.95</v>
      </c>
      <c r="AU196" s="52" t="n">
        <f aca="false">T196*AS196</f>
        <v>396.92015104</v>
      </c>
      <c r="AV196" s="52" t="n">
        <f aca="false">AU196*AT196</f>
        <v>3155.515200768</v>
      </c>
      <c r="AW196" s="52" t="s">
        <v>195</v>
      </c>
      <c r="AX196" s="52" t="n">
        <v>2.3368</v>
      </c>
      <c r="AY196" s="52" t="n">
        <f aca="false">IF(AW196="EUR",AA196,IF(AW196="GBP",AB196,1))</f>
        <v>7.95</v>
      </c>
      <c r="AZ196" s="52" t="n">
        <f aca="false">V196*AX196</f>
        <v>77.88317588688</v>
      </c>
      <c r="BA196" s="52" t="n">
        <f aca="false">AZ196*AY196</f>
        <v>619.171248300696</v>
      </c>
      <c r="BB196" s="52" t="n">
        <f aca="false">AF196+AG196+AL196+AQ196+AV196+BA196</f>
        <v>88461.0260467842</v>
      </c>
      <c r="BC196" s="54" t="n">
        <v>0.973</v>
      </c>
      <c r="BD196" s="32" t="s">
        <v>77</v>
      </c>
      <c r="BE196" s="30" t="s">
        <v>202</v>
      </c>
      <c r="BF196" s="32"/>
      <c r="BG196" s="32" t="s">
        <v>197</v>
      </c>
    </row>
    <row r="197" customFormat="false" ht="26.5" hidden="false" customHeight="false" outlineLevel="0" collapsed="false">
      <c r="A197" s="18" t="s">
        <v>200</v>
      </c>
      <c r="B197" s="18" t="s">
        <v>201</v>
      </c>
      <c r="C197" s="18"/>
      <c r="D197" s="49" t="n">
        <v>46235</v>
      </c>
      <c r="E197" s="18" t="s">
        <v>109</v>
      </c>
      <c r="F197" s="18" t="s">
        <v>99</v>
      </c>
      <c r="G197" s="18" t="s">
        <v>110</v>
      </c>
      <c r="H197" s="18" t="s">
        <v>107</v>
      </c>
      <c r="I197" s="18" t="s">
        <v>102</v>
      </c>
      <c r="J197" s="50" t="n">
        <v>20300</v>
      </c>
      <c r="K197" s="51" t="n">
        <v>0.31</v>
      </c>
      <c r="L197" s="51" t="n">
        <v>0.03</v>
      </c>
      <c r="M197" s="51" t="n">
        <v>1</v>
      </c>
      <c r="N197" s="52" t="n">
        <f aca="false">J197*K197*L197*M197</f>
        <v>188.79</v>
      </c>
      <c r="O197" s="50" t="n">
        <v>1.08</v>
      </c>
      <c r="P197" s="52" t="n">
        <f aca="false">N197*O197</f>
        <v>203.8932</v>
      </c>
      <c r="Q197" s="50" t="n">
        <v>0.86</v>
      </c>
      <c r="R197" s="52" t="n">
        <f aca="false">P197*Q197</f>
        <v>175.348152</v>
      </c>
      <c r="S197" s="50" t="n">
        <v>0.05</v>
      </c>
      <c r="T197" s="52" t="n">
        <f aca="false">N197*S197</f>
        <v>9.4395</v>
      </c>
      <c r="U197" s="52" t="n">
        <v>0.014</v>
      </c>
      <c r="V197" s="52" t="n">
        <f aca="false">P197*U197</f>
        <v>2.8545048</v>
      </c>
      <c r="W197" s="53" t="s">
        <v>195</v>
      </c>
      <c r="X197" s="50" t="n">
        <v>3.3528</v>
      </c>
      <c r="Y197" s="53" t="s">
        <v>198</v>
      </c>
      <c r="Z197" s="50" t="n">
        <v>0.24384</v>
      </c>
      <c r="AA197" s="50" t="n">
        <v>7.95</v>
      </c>
      <c r="AB197" s="50" t="n">
        <v>9.22</v>
      </c>
      <c r="AC197" s="52" t="n">
        <f aca="false">IF(W197="EUR",AA197,IF(W197="GBP",AB197,1))</f>
        <v>7.95</v>
      </c>
      <c r="AD197" s="52" t="n">
        <f aca="false">R197*X197</f>
        <v>587.9072840256</v>
      </c>
      <c r="AE197" s="52" t="n">
        <f aca="false">IF(Y197="PERCENTAGE_OF_BASE_FREIGHT",AD197*Z197,IF(Y197="PER_CHARGEABLE_KG",R197*Z197,P197*Z197))</f>
        <v>42.75689338368</v>
      </c>
      <c r="AF197" s="52" t="n">
        <f aca="false">AD197*AC197</f>
        <v>4673.86290800352</v>
      </c>
      <c r="AG197" s="52" t="n">
        <f aca="false">AE197*AC197</f>
        <v>339.917302400256</v>
      </c>
      <c r="AH197" s="52" t="s">
        <v>195</v>
      </c>
      <c r="AI197" s="52" t="n">
        <v>1.0668</v>
      </c>
      <c r="AJ197" s="52" t="n">
        <f aca="false">IF(AH197="EUR",AA197,IF(AH197="GBP",AB197,1))</f>
        <v>7.95</v>
      </c>
      <c r="AK197" s="52" t="n">
        <f aca="false">N197*AI197</f>
        <v>201.401172</v>
      </c>
      <c r="AL197" s="52" t="n">
        <f aca="false">AK197*AJ197</f>
        <v>1601.1393174</v>
      </c>
      <c r="AM197" s="52" t="s">
        <v>195</v>
      </c>
      <c r="AN197" s="52" t="n">
        <v>0.38608</v>
      </c>
      <c r="AO197" s="52" t="n">
        <f aca="false">IF(AM197="EUR",AA197,IF(AM197="GBP",AB197,1))</f>
        <v>7.95</v>
      </c>
      <c r="AP197" s="52" t="n">
        <f aca="false">P197*AN197</f>
        <v>78.719086656</v>
      </c>
      <c r="AQ197" s="52" t="n">
        <f aca="false">AP197*AO197</f>
        <v>625.8167389152</v>
      </c>
      <c r="AR197" s="52" t="s">
        <v>195</v>
      </c>
      <c r="AS197" s="52" t="n">
        <v>3.8608</v>
      </c>
      <c r="AT197" s="52" t="n">
        <f aca="false">IF(AR197="EUR",AA197,IF(AR197="GBP",AB197,1))</f>
        <v>7.95</v>
      </c>
      <c r="AU197" s="52" t="n">
        <f aca="false">T197*AS197</f>
        <v>36.4440216</v>
      </c>
      <c r="AV197" s="52" t="n">
        <f aca="false">AU197*AT197</f>
        <v>289.72997172</v>
      </c>
      <c r="AW197" s="52" t="s">
        <v>195</v>
      </c>
      <c r="AX197" s="52" t="n">
        <v>2.3368</v>
      </c>
      <c r="AY197" s="52" t="n">
        <f aca="false">IF(AW197="EUR",AA197,IF(AW197="GBP",AB197,1))</f>
        <v>7.95</v>
      </c>
      <c r="AZ197" s="52" t="n">
        <f aca="false">V197*AX197</f>
        <v>6.67040681664</v>
      </c>
      <c r="BA197" s="52" t="n">
        <f aca="false">AZ197*AY197</f>
        <v>53.029734192288</v>
      </c>
      <c r="BB197" s="52" t="n">
        <f aca="false">AF197+AG197+AL197+AQ197+AV197+BA197</f>
        <v>7583.49597263126</v>
      </c>
      <c r="BC197" s="54" t="n">
        <v>0.965</v>
      </c>
      <c r="BD197" s="32" t="s">
        <v>77</v>
      </c>
      <c r="BE197" s="30" t="s">
        <v>202</v>
      </c>
      <c r="BF197" s="32"/>
      <c r="BG197" s="32" t="s">
        <v>197</v>
      </c>
    </row>
    <row r="198" customFormat="false" ht="26.5" hidden="false" customHeight="false" outlineLevel="0" collapsed="false">
      <c r="A198" s="18" t="s">
        <v>200</v>
      </c>
      <c r="B198" s="18" t="s">
        <v>201</v>
      </c>
      <c r="C198" s="18"/>
      <c r="D198" s="49" t="n">
        <v>46235</v>
      </c>
      <c r="E198" s="18" t="s">
        <v>112</v>
      </c>
      <c r="F198" s="18" t="s">
        <v>113</v>
      </c>
      <c r="G198" s="18" t="s">
        <v>110</v>
      </c>
      <c r="H198" s="18" t="s">
        <v>101</v>
      </c>
      <c r="I198" s="18" t="s">
        <v>102</v>
      </c>
      <c r="J198" s="50" t="n">
        <v>20300</v>
      </c>
      <c r="K198" s="51" t="n">
        <v>0.25</v>
      </c>
      <c r="L198" s="51" t="n">
        <v>1</v>
      </c>
      <c r="M198" s="51" t="n">
        <v>0.35</v>
      </c>
      <c r="N198" s="52" t="n">
        <f aca="false">J198*K198*L198*M198</f>
        <v>1776.25</v>
      </c>
      <c r="O198" s="50" t="n">
        <v>1.06</v>
      </c>
      <c r="P198" s="52" t="n">
        <f aca="false">N198*O198</f>
        <v>1882.825</v>
      </c>
      <c r="Q198" s="50" t="n">
        <v>0.76</v>
      </c>
      <c r="R198" s="52" t="n">
        <f aca="false">P198*Q198</f>
        <v>1430.947</v>
      </c>
      <c r="S198" s="50" t="n">
        <v>0.06</v>
      </c>
      <c r="T198" s="52" t="n">
        <f aca="false">N198*S198</f>
        <v>106.575</v>
      </c>
      <c r="U198" s="52" t="n">
        <v>0.017</v>
      </c>
      <c r="V198" s="52" t="n">
        <f aca="false">P198*U198</f>
        <v>32.008025</v>
      </c>
      <c r="W198" s="53" t="s">
        <v>195</v>
      </c>
      <c r="X198" s="50" t="n">
        <v>2.1336</v>
      </c>
      <c r="Y198" s="53" t="s">
        <v>196</v>
      </c>
      <c r="Z198" s="50" t="n">
        <v>0.09144</v>
      </c>
      <c r="AA198" s="50" t="n">
        <v>7.95</v>
      </c>
      <c r="AB198" s="50" t="n">
        <v>9.22</v>
      </c>
      <c r="AC198" s="52" t="n">
        <f aca="false">IF(W198="EUR",AA198,IF(W198="GBP",AB198,1))</f>
        <v>7.95</v>
      </c>
      <c r="AD198" s="52" t="n">
        <f aca="false">R198*X198</f>
        <v>3053.0685192</v>
      </c>
      <c r="AE198" s="52" t="n">
        <f aca="false">IF(Y198="PERCENTAGE_OF_BASE_FREIGHT",AD198*Z198,IF(Y198="PER_CHARGEABLE_KG",R198*Z198,P198*Z198))</f>
        <v>279.172585395648</v>
      </c>
      <c r="AF198" s="52" t="n">
        <f aca="false">AD198*AC198</f>
        <v>24271.89472764</v>
      </c>
      <c r="AG198" s="52" t="n">
        <f aca="false">AE198*AC198</f>
        <v>2219.4220538954</v>
      </c>
      <c r="AH198" s="52" t="s">
        <v>195</v>
      </c>
      <c r="AI198" s="52" t="n">
        <v>1.0668</v>
      </c>
      <c r="AJ198" s="52" t="n">
        <f aca="false">IF(AH198="EUR",AA198,IF(AH198="GBP",AB198,1))</f>
        <v>7.95</v>
      </c>
      <c r="AK198" s="52" t="n">
        <f aca="false">N198*AI198</f>
        <v>1894.9035</v>
      </c>
      <c r="AL198" s="52" t="n">
        <f aca="false">AK198*AJ198</f>
        <v>15064.482825</v>
      </c>
      <c r="AM198" s="52" t="s">
        <v>195</v>
      </c>
      <c r="AN198" s="52" t="n">
        <v>0.38608</v>
      </c>
      <c r="AO198" s="52" t="n">
        <f aca="false">IF(AM198="EUR",AA198,IF(AM198="GBP",AB198,1))</f>
        <v>7.95</v>
      </c>
      <c r="AP198" s="52" t="n">
        <f aca="false">P198*AN198</f>
        <v>726.921076</v>
      </c>
      <c r="AQ198" s="52" t="n">
        <f aca="false">AP198*AO198</f>
        <v>5779.0225542</v>
      </c>
      <c r="AR198" s="52" t="s">
        <v>195</v>
      </c>
      <c r="AS198" s="52" t="n">
        <v>3.048</v>
      </c>
      <c r="AT198" s="52" t="n">
        <f aca="false">IF(AR198="EUR",AA198,IF(AR198="GBP",AB198,1))</f>
        <v>7.95</v>
      </c>
      <c r="AU198" s="52" t="n">
        <f aca="false">T198*AS198</f>
        <v>324.8406</v>
      </c>
      <c r="AV198" s="52" t="n">
        <f aca="false">AU198*AT198</f>
        <v>2582.48277</v>
      </c>
      <c r="AW198" s="52" t="s">
        <v>195</v>
      </c>
      <c r="AX198" s="52" t="n">
        <v>2.3368</v>
      </c>
      <c r="AY198" s="52" t="n">
        <f aca="false">IF(AW198="EUR",AA198,IF(AW198="GBP",AB198,1))</f>
        <v>7.95</v>
      </c>
      <c r="AZ198" s="52" t="n">
        <f aca="false">V198*AX198</f>
        <v>74.79635282</v>
      </c>
      <c r="BA198" s="52" t="n">
        <f aca="false">AZ198*AY198</f>
        <v>594.631004919</v>
      </c>
      <c r="BB198" s="52" t="n">
        <f aca="false">AF198+AG198+AL198+AQ198+AV198+BA198</f>
        <v>50511.9359356544</v>
      </c>
      <c r="BC198" s="54" t="n">
        <v>0.958</v>
      </c>
      <c r="BD198" s="32" t="s">
        <v>77</v>
      </c>
      <c r="BE198" s="30" t="s">
        <v>202</v>
      </c>
      <c r="BF198" s="32"/>
      <c r="BG198" s="32" t="s">
        <v>197</v>
      </c>
    </row>
    <row r="199" customFormat="false" ht="26.5" hidden="false" customHeight="false" outlineLevel="0" collapsed="false">
      <c r="A199" s="18" t="s">
        <v>200</v>
      </c>
      <c r="B199" s="18" t="s">
        <v>201</v>
      </c>
      <c r="C199" s="18"/>
      <c r="D199" s="49" t="n">
        <v>46235</v>
      </c>
      <c r="E199" s="18" t="s">
        <v>116</v>
      </c>
      <c r="F199" s="18" t="s">
        <v>113</v>
      </c>
      <c r="G199" s="18" t="s">
        <v>110</v>
      </c>
      <c r="H199" s="18" t="s">
        <v>107</v>
      </c>
      <c r="I199" s="18" t="s">
        <v>102</v>
      </c>
      <c r="J199" s="50" t="n">
        <v>20300</v>
      </c>
      <c r="K199" s="51" t="n">
        <v>0.25</v>
      </c>
      <c r="L199" s="51" t="n">
        <v>1</v>
      </c>
      <c r="M199" s="51" t="n">
        <v>0.65</v>
      </c>
      <c r="N199" s="52" t="n">
        <f aca="false">J199*K199*L199*M199</f>
        <v>3298.75</v>
      </c>
      <c r="O199" s="50" t="n">
        <v>1.06</v>
      </c>
      <c r="P199" s="52" t="n">
        <f aca="false">N199*O199</f>
        <v>3496.675</v>
      </c>
      <c r="Q199" s="50" t="n">
        <v>0.79</v>
      </c>
      <c r="R199" s="52" t="n">
        <f aca="false">P199*Q199</f>
        <v>2762.37325</v>
      </c>
      <c r="S199" s="50" t="n">
        <v>0.06</v>
      </c>
      <c r="T199" s="52" t="n">
        <f aca="false">N199*S199</f>
        <v>197.925</v>
      </c>
      <c r="U199" s="52" t="n">
        <v>0.014</v>
      </c>
      <c r="V199" s="52" t="n">
        <f aca="false">P199*U199</f>
        <v>48.95345</v>
      </c>
      <c r="W199" s="53" t="s">
        <v>195</v>
      </c>
      <c r="X199" s="50" t="n">
        <v>2.6416</v>
      </c>
      <c r="Y199" s="53" t="s">
        <v>198</v>
      </c>
      <c r="Z199" s="50" t="n">
        <v>0.2032</v>
      </c>
      <c r="AA199" s="50" t="n">
        <v>7.95</v>
      </c>
      <c r="AB199" s="50" t="n">
        <v>9.22</v>
      </c>
      <c r="AC199" s="52" t="n">
        <f aca="false">IF(W199="EUR",AA199,IF(W199="GBP",AB199,1))</f>
        <v>7.95</v>
      </c>
      <c r="AD199" s="52" t="n">
        <f aca="false">R199*X199</f>
        <v>7297.0851772</v>
      </c>
      <c r="AE199" s="52" t="n">
        <f aca="false">IF(Y199="PERCENTAGE_OF_BASE_FREIGHT",AD199*Z199,IF(Y199="PER_CHARGEABLE_KG",R199*Z199,P199*Z199))</f>
        <v>561.3142444</v>
      </c>
      <c r="AF199" s="52" t="n">
        <f aca="false">AD199*AC199</f>
        <v>58011.82715874</v>
      </c>
      <c r="AG199" s="52" t="n">
        <f aca="false">AE199*AC199</f>
        <v>4462.44824298</v>
      </c>
      <c r="AH199" s="52" t="s">
        <v>195</v>
      </c>
      <c r="AI199" s="52" t="n">
        <v>1.0668</v>
      </c>
      <c r="AJ199" s="52" t="n">
        <f aca="false">IF(AH199="EUR",AA199,IF(AH199="GBP",AB199,1))</f>
        <v>7.95</v>
      </c>
      <c r="AK199" s="52" t="n">
        <f aca="false">N199*AI199</f>
        <v>3519.1065</v>
      </c>
      <c r="AL199" s="52" t="n">
        <f aca="false">AK199*AJ199</f>
        <v>27976.896675</v>
      </c>
      <c r="AM199" s="52" t="s">
        <v>195</v>
      </c>
      <c r="AN199" s="52" t="n">
        <v>0.38608</v>
      </c>
      <c r="AO199" s="52" t="n">
        <f aca="false">IF(AM199="EUR",AA199,IF(AM199="GBP",AB199,1))</f>
        <v>7.95</v>
      </c>
      <c r="AP199" s="52" t="n">
        <f aca="false">P199*AN199</f>
        <v>1349.996284</v>
      </c>
      <c r="AQ199" s="52" t="n">
        <f aca="false">AP199*AO199</f>
        <v>10732.4704578</v>
      </c>
      <c r="AR199" s="52" t="s">
        <v>195</v>
      </c>
      <c r="AS199" s="52" t="n">
        <v>3.048</v>
      </c>
      <c r="AT199" s="52" t="n">
        <f aca="false">IF(AR199="EUR",AA199,IF(AR199="GBP",AB199,1))</f>
        <v>7.95</v>
      </c>
      <c r="AU199" s="52" t="n">
        <f aca="false">T199*AS199</f>
        <v>603.2754</v>
      </c>
      <c r="AV199" s="52" t="n">
        <f aca="false">AU199*AT199</f>
        <v>4796.03943</v>
      </c>
      <c r="AW199" s="52" t="s">
        <v>195</v>
      </c>
      <c r="AX199" s="52" t="n">
        <v>2.3368</v>
      </c>
      <c r="AY199" s="52" t="n">
        <f aca="false">IF(AW199="EUR",AA199,IF(AW199="GBP",AB199,1))</f>
        <v>7.95</v>
      </c>
      <c r="AZ199" s="52" t="n">
        <f aca="false">V199*AX199</f>
        <v>114.39442196</v>
      </c>
      <c r="BA199" s="52" t="n">
        <f aca="false">AZ199*AY199</f>
        <v>909.435654582</v>
      </c>
      <c r="BB199" s="52" t="n">
        <f aca="false">AF199+AG199+AL199+AQ199+AV199+BA199</f>
        <v>106889.117619102</v>
      </c>
      <c r="BC199" s="54" t="n">
        <v>0.97</v>
      </c>
      <c r="BD199" s="32" t="s">
        <v>77</v>
      </c>
      <c r="BE199" s="30" t="s">
        <v>202</v>
      </c>
      <c r="BF199" s="32"/>
      <c r="BG199" s="32" t="s">
        <v>197</v>
      </c>
    </row>
    <row r="200" customFormat="false" ht="26.5" hidden="false" customHeight="false" outlineLevel="0" collapsed="false">
      <c r="A200" s="18" t="s">
        <v>200</v>
      </c>
      <c r="B200" s="18" t="s">
        <v>201</v>
      </c>
      <c r="C200" s="18"/>
      <c r="D200" s="49" t="n">
        <v>46235</v>
      </c>
      <c r="E200" s="18" t="s">
        <v>118</v>
      </c>
      <c r="F200" s="18" t="s">
        <v>119</v>
      </c>
      <c r="G200" s="18" t="s">
        <v>100</v>
      </c>
      <c r="H200" s="18" t="s">
        <v>101</v>
      </c>
      <c r="I200" s="18" t="s">
        <v>102</v>
      </c>
      <c r="J200" s="50" t="n">
        <v>20300</v>
      </c>
      <c r="K200" s="51" t="n">
        <v>0.44</v>
      </c>
      <c r="L200" s="51" t="n">
        <v>0.97</v>
      </c>
      <c r="M200" s="51" t="n">
        <v>0.22</v>
      </c>
      <c r="N200" s="52" t="n">
        <f aca="false">J200*K200*L200*M200</f>
        <v>1906.0888</v>
      </c>
      <c r="O200" s="50" t="n">
        <v>1.22</v>
      </c>
      <c r="P200" s="52" t="n">
        <f aca="false">N200*O200</f>
        <v>2325.428336</v>
      </c>
      <c r="Q200" s="50" t="n">
        <v>1.0506</v>
      </c>
      <c r="R200" s="52" t="n">
        <f aca="false">P200*Q200</f>
        <v>2443.0950098016</v>
      </c>
      <c r="S200" s="50" t="n">
        <v>0.105</v>
      </c>
      <c r="T200" s="52" t="n">
        <f aca="false">N200*S200</f>
        <v>200.139324</v>
      </c>
      <c r="U200" s="52" t="n">
        <v>0.03</v>
      </c>
      <c r="V200" s="52" t="n">
        <f aca="false">P200*U200</f>
        <v>69.76285008</v>
      </c>
      <c r="W200" s="53" t="s">
        <v>199</v>
      </c>
      <c r="X200" s="50" t="n">
        <v>4.14528</v>
      </c>
      <c r="Y200" s="53" t="s">
        <v>196</v>
      </c>
      <c r="Z200" s="50" t="n">
        <v>0.103632</v>
      </c>
      <c r="AA200" s="50" t="n">
        <v>7.95</v>
      </c>
      <c r="AB200" s="50" t="n">
        <v>9.22</v>
      </c>
      <c r="AC200" s="52" t="n">
        <f aca="false">IF(W200="EUR",AA200,IF(W200="GBP",AB200,1))</f>
        <v>9.22</v>
      </c>
      <c r="AD200" s="52" t="n">
        <f aca="false">R200*X200</f>
        <v>10127.3128822304</v>
      </c>
      <c r="AE200" s="52" t="n">
        <f aca="false">IF(Y200="PERCENTAGE_OF_BASE_FREIGHT",AD200*Z200,IF(Y200="PER_CHARGEABLE_KG",R200*Z200,P200*Z200))</f>
        <v>1049.5136886113</v>
      </c>
      <c r="AF200" s="52" t="n">
        <f aca="false">AD200*AC200</f>
        <v>93373.824774164</v>
      </c>
      <c r="AG200" s="52" t="n">
        <f aca="false">AE200*AC200</f>
        <v>9676.51620899617</v>
      </c>
      <c r="AH200" s="52" t="s">
        <v>195</v>
      </c>
      <c r="AI200" s="52" t="n">
        <v>1.38847592368764</v>
      </c>
      <c r="AJ200" s="52" t="n">
        <f aca="false">IF(AH200="EUR",AA200,IF(AH200="GBP",AB200,1))</f>
        <v>7.95</v>
      </c>
      <c r="AK200" s="52" t="n">
        <f aca="false">N200*AI200</f>
        <v>2646.55840721067</v>
      </c>
      <c r="AL200" s="52" t="n">
        <f aca="false">AK200*AJ200</f>
        <v>21040.1393373248</v>
      </c>
      <c r="AM200" s="52" t="s">
        <v>195</v>
      </c>
      <c r="AN200" s="52" t="n">
        <v>0.42672</v>
      </c>
      <c r="AO200" s="52" t="n">
        <f aca="false">IF(AM200="EUR",AA200,IF(AM200="GBP",AB200,1))</f>
        <v>7.95</v>
      </c>
      <c r="AP200" s="52" t="n">
        <f aca="false">P200*AN200</f>
        <v>992.30677953792</v>
      </c>
      <c r="AQ200" s="52" t="n">
        <f aca="false">AP200*AO200</f>
        <v>7888.83889732646</v>
      </c>
      <c r="AR200" s="52" t="s">
        <v>199</v>
      </c>
      <c r="AS200" s="52" t="n">
        <v>4.8768</v>
      </c>
      <c r="AT200" s="52" t="n">
        <f aca="false">IF(AR200="EUR",AA200,IF(AR200="GBP",AB200,1))</f>
        <v>9.22</v>
      </c>
      <c r="AU200" s="52" t="n">
        <f aca="false">T200*AS200</f>
        <v>976.0394552832</v>
      </c>
      <c r="AV200" s="52" t="n">
        <f aca="false">AU200*AT200</f>
        <v>8999.0837777111</v>
      </c>
      <c r="AW200" s="52" t="s">
        <v>199</v>
      </c>
      <c r="AX200" s="52" t="n">
        <v>2.3368</v>
      </c>
      <c r="AY200" s="52" t="n">
        <f aca="false">IF(AW200="EUR",AA200,IF(AW200="GBP",AB200,1))</f>
        <v>9.22</v>
      </c>
      <c r="AZ200" s="52" t="n">
        <f aca="false">V200*AX200</f>
        <v>163.021828066944</v>
      </c>
      <c r="BA200" s="52" t="n">
        <f aca="false">AZ200*AY200</f>
        <v>1503.06125477722</v>
      </c>
      <c r="BB200" s="52" t="n">
        <f aca="false">AF200+AG200+AL200+AQ200+AV200+BA200</f>
        <v>142481.4642503</v>
      </c>
      <c r="BC200" s="54" t="n">
        <v>0.918</v>
      </c>
      <c r="BD200" s="32" t="s">
        <v>77</v>
      </c>
      <c r="BE200" s="30" t="s">
        <v>202</v>
      </c>
      <c r="BF200" s="32"/>
      <c r="BG200" s="32" t="s">
        <v>197</v>
      </c>
    </row>
    <row r="201" customFormat="false" ht="26.5" hidden="false" customHeight="false" outlineLevel="0" collapsed="false">
      <c r="A201" s="18" t="s">
        <v>200</v>
      </c>
      <c r="B201" s="18" t="s">
        <v>201</v>
      </c>
      <c r="C201" s="18"/>
      <c r="D201" s="49" t="n">
        <v>46235</v>
      </c>
      <c r="E201" s="18" t="s">
        <v>122</v>
      </c>
      <c r="F201" s="18" t="s">
        <v>119</v>
      </c>
      <c r="G201" s="18" t="s">
        <v>100</v>
      </c>
      <c r="H201" s="18" t="s">
        <v>107</v>
      </c>
      <c r="I201" s="18" t="s">
        <v>102</v>
      </c>
      <c r="J201" s="50" t="n">
        <v>20300</v>
      </c>
      <c r="K201" s="51" t="n">
        <v>0.44</v>
      </c>
      <c r="L201" s="51" t="n">
        <v>0.97</v>
      </c>
      <c r="M201" s="51" t="n">
        <v>0.13</v>
      </c>
      <c r="N201" s="52" t="n">
        <f aca="false">J201*K201*L201*M201</f>
        <v>1126.3252</v>
      </c>
      <c r="O201" s="50" t="n">
        <v>1.22</v>
      </c>
      <c r="P201" s="52" t="n">
        <f aca="false">N201*O201</f>
        <v>1374.116744</v>
      </c>
      <c r="Q201" s="50" t="n">
        <v>1.03</v>
      </c>
      <c r="R201" s="52" t="n">
        <f aca="false">P201*Q201</f>
        <v>1415.34024632</v>
      </c>
      <c r="S201" s="50" t="n">
        <v>0.105</v>
      </c>
      <c r="T201" s="52" t="n">
        <f aca="false">N201*S201</f>
        <v>118.264146</v>
      </c>
      <c r="U201" s="52" t="n">
        <v>0.022</v>
      </c>
      <c r="V201" s="52" t="n">
        <f aca="false">P201*U201</f>
        <v>30.230568368</v>
      </c>
      <c r="W201" s="53" t="s">
        <v>199</v>
      </c>
      <c r="X201" s="50" t="n">
        <v>4.918456</v>
      </c>
      <c r="Y201" s="53" t="s">
        <v>198</v>
      </c>
      <c r="Z201" s="50" t="n">
        <v>0.3453384</v>
      </c>
      <c r="AA201" s="50" t="n">
        <v>7.95</v>
      </c>
      <c r="AB201" s="50" t="n">
        <v>9.22</v>
      </c>
      <c r="AC201" s="52" t="n">
        <f aca="false">IF(W201="EUR",AA201,IF(W201="GBP",AB201,1))</f>
        <v>9.22</v>
      </c>
      <c r="AD201" s="52" t="n">
        <f aca="false">R201*X201</f>
        <v>6961.28872655408</v>
      </c>
      <c r="AE201" s="52" t="n">
        <f aca="false">IF(Y201="PERCENTAGE_OF_BASE_FREIGHT",AD201*Z201,IF(Y201="PER_CHARGEABLE_KG",R201*Z201,P201*Z201))</f>
        <v>488.771336119755</v>
      </c>
      <c r="AF201" s="52" t="n">
        <f aca="false">AD201*AC201</f>
        <v>64183.0820588286</v>
      </c>
      <c r="AG201" s="52" t="n">
        <f aca="false">AE201*AC201</f>
        <v>4506.47171902414</v>
      </c>
      <c r="AH201" s="52" t="s">
        <v>195</v>
      </c>
      <c r="AI201" s="52" t="n">
        <v>1.38847592368764</v>
      </c>
      <c r="AJ201" s="52" t="n">
        <f aca="false">IF(AH201="EUR",AA201,IF(AH201="GBP",AB201,1))</f>
        <v>7.95</v>
      </c>
      <c r="AK201" s="52" t="n">
        <f aca="false">N201*AI201</f>
        <v>1563.87542244267</v>
      </c>
      <c r="AL201" s="52" t="n">
        <f aca="false">AK201*AJ201</f>
        <v>12432.8096084192</v>
      </c>
      <c r="AM201" s="52" t="s">
        <v>195</v>
      </c>
      <c r="AN201" s="52" t="n">
        <v>0.42672</v>
      </c>
      <c r="AO201" s="52" t="n">
        <f aca="false">IF(AM201="EUR",AA201,IF(AM201="GBP",AB201,1))</f>
        <v>7.95</v>
      </c>
      <c r="AP201" s="52" t="n">
        <f aca="false">P201*AN201</f>
        <v>586.36309699968</v>
      </c>
      <c r="AQ201" s="52" t="n">
        <f aca="false">AP201*AO201</f>
        <v>4661.58662114746</v>
      </c>
      <c r="AR201" s="52" t="s">
        <v>199</v>
      </c>
      <c r="AS201" s="52" t="n">
        <v>4.8768</v>
      </c>
      <c r="AT201" s="52" t="n">
        <f aca="false">IF(AR201="EUR",AA201,IF(AR201="GBP",AB201,1))</f>
        <v>9.22</v>
      </c>
      <c r="AU201" s="52" t="n">
        <f aca="false">T201*AS201</f>
        <v>576.7505872128</v>
      </c>
      <c r="AV201" s="52" t="n">
        <f aca="false">AU201*AT201</f>
        <v>5317.64041410202</v>
      </c>
      <c r="AW201" s="52" t="s">
        <v>199</v>
      </c>
      <c r="AX201" s="52" t="n">
        <v>2.3368</v>
      </c>
      <c r="AY201" s="52" t="n">
        <f aca="false">IF(AW201="EUR",AA201,IF(AW201="GBP",AB201,1))</f>
        <v>9.22</v>
      </c>
      <c r="AZ201" s="52" t="n">
        <f aca="false">V201*AX201</f>
        <v>70.6427921623424</v>
      </c>
      <c r="BA201" s="52" t="n">
        <f aca="false">AZ201*AY201</f>
        <v>651.326543736797</v>
      </c>
      <c r="BB201" s="52" t="n">
        <f aca="false">AF201+AG201+AL201+AQ201+AV201+BA201</f>
        <v>91752.9169652583</v>
      </c>
      <c r="BC201" s="54" t="n">
        <v>0.944</v>
      </c>
      <c r="BD201" s="32" t="s">
        <v>77</v>
      </c>
      <c r="BE201" s="30" t="s">
        <v>202</v>
      </c>
      <c r="BF201" s="32"/>
      <c r="BG201" s="32" t="s">
        <v>197</v>
      </c>
    </row>
    <row r="202" customFormat="false" ht="26.5" hidden="false" customHeight="false" outlineLevel="0" collapsed="false">
      <c r="A202" s="18" t="s">
        <v>200</v>
      </c>
      <c r="B202" s="18" t="s">
        <v>201</v>
      </c>
      <c r="C202" s="18"/>
      <c r="D202" s="49" t="n">
        <v>46235</v>
      </c>
      <c r="E202" s="18" t="s">
        <v>124</v>
      </c>
      <c r="F202" s="18" t="s">
        <v>119</v>
      </c>
      <c r="G202" s="18" t="s">
        <v>100</v>
      </c>
      <c r="H202" s="18" t="s">
        <v>107</v>
      </c>
      <c r="I202" s="18" t="s">
        <v>125</v>
      </c>
      <c r="J202" s="50" t="n">
        <v>20300</v>
      </c>
      <c r="K202" s="51" t="n">
        <v>0.44</v>
      </c>
      <c r="L202" s="51" t="n">
        <v>0.97</v>
      </c>
      <c r="M202" s="51" t="n">
        <v>0.25</v>
      </c>
      <c r="N202" s="52" t="n">
        <f aca="false">J202*K202*L202*M202</f>
        <v>2166.01</v>
      </c>
      <c r="O202" s="50" t="n">
        <v>1.22</v>
      </c>
      <c r="P202" s="52" t="n">
        <f aca="false">N202*O202</f>
        <v>2642.5322</v>
      </c>
      <c r="Q202" s="50" t="n">
        <v>0.9682</v>
      </c>
      <c r="R202" s="52" t="n">
        <f aca="false">P202*Q202</f>
        <v>2558.49967604</v>
      </c>
      <c r="S202" s="50" t="n">
        <v>0.105</v>
      </c>
      <c r="T202" s="52" t="n">
        <f aca="false">N202*S202</f>
        <v>227.43105</v>
      </c>
      <c r="U202" s="52" t="n">
        <v>0.017</v>
      </c>
      <c r="V202" s="52" t="n">
        <f aca="false">P202*U202</f>
        <v>44.9230474</v>
      </c>
      <c r="W202" s="53" t="s">
        <v>199</v>
      </c>
      <c r="X202" s="50" t="n">
        <v>6.803136</v>
      </c>
      <c r="Y202" s="53" t="s">
        <v>196</v>
      </c>
      <c r="Z202" s="50" t="n">
        <v>0.1261872</v>
      </c>
      <c r="AA202" s="50" t="n">
        <v>7.95</v>
      </c>
      <c r="AB202" s="50" t="n">
        <v>9.22</v>
      </c>
      <c r="AC202" s="52" t="n">
        <f aca="false">IF(W202="EUR",AA202,IF(W202="GBP",AB202,1))</f>
        <v>9.22</v>
      </c>
      <c r="AD202" s="52" t="n">
        <f aca="false">R202*X202</f>
        <v>17405.8212520561</v>
      </c>
      <c r="AE202" s="52" t="n">
        <f aca="false">IF(Y202="PERCENTAGE_OF_BASE_FREIGHT",AD202*Z202,IF(Y202="PER_CHARGEABLE_KG",R202*Z202,P202*Z202))</f>
        <v>2196.39184749745</v>
      </c>
      <c r="AF202" s="52" t="n">
        <f aca="false">AD202*AC202</f>
        <v>160481.671943957</v>
      </c>
      <c r="AG202" s="52" t="n">
        <f aca="false">AE202*AC202</f>
        <v>20250.7328339265</v>
      </c>
      <c r="AH202" s="52" t="s">
        <v>195</v>
      </c>
      <c r="AI202" s="52" t="n">
        <v>1.38847592368764</v>
      </c>
      <c r="AJ202" s="52" t="n">
        <f aca="false">IF(AH202="EUR",AA202,IF(AH202="GBP",AB202,1))</f>
        <v>7.95</v>
      </c>
      <c r="AK202" s="52" t="n">
        <f aca="false">N202*AI202</f>
        <v>3007.45273546667</v>
      </c>
      <c r="AL202" s="52" t="n">
        <f aca="false">AK202*AJ202</f>
        <v>23909.24924696</v>
      </c>
      <c r="AM202" s="52" t="s">
        <v>195</v>
      </c>
      <c r="AN202" s="52" t="n">
        <v>0.42672</v>
      </c>
      <c r="AO202" s="52" t="n">
        <f aca="false">IF(AM202="EUR",AA202,IF(AM202="GBP",AB202,1))</f>
        <v>7.95</v>
      </c>
      <c r="AP202" s="52" t="n">
        <f aca="false">P202*AN202</f>
        <v>1127.621340384</v>
      </c>
      <c r="AQ202" s="52" t="n">
        <f aca="false">AP202*AO202</f>
        <v>8964.5896560528</v>
      </c>
      <c r="AR202" s="52" t="s">
        <v>199</v>
      </c>
      <c r="AS202" s="52" t="n">
        <v>4.8768</v>
      </c>
      <c r="AT202" s="52" t="n">
        <f aca="false">IF(AR202="EUR",AA202,IF(AR202="GBP",AB202,1))</f>
        <v>9.22</v>
      </c>
      <c r="AU202" s="52" t="n">
        <f aca="false">T202*AS202</f>
        <v>1109.13574464</v>
      </c>
      <c r="AV202" s="52" t="n">
        <f aca="false">AU202*AT202</f>
        <v>10226.2315655808</v>
      </c>
      <c r="AW202" s="52" t="s">
        <v>199</v>
      </c>
      <c r="AX202" s="52" t="n">
        <v>2.8448</v>
      </c>
      <c r="AY202" s="52" t="n">
        <f aca="false">IF(AW202="EUR",AA202,IF(AW202="GBP",AB202,1))</f>
        <v>9.22</v>
      </c>
      <c r="AZ202" s="52" t="n">
        <f aca="false">V202*AX202</f>
        <v>127.79708524352</v>
      </c>
      <c r="BA202" s="52" t="n">
        <f aca="false">AZ202*AY202</f>
        <v>1178.28912594525</v>
      </c>
      <c r="BB202" s="52" t="n">
        <f aca="false">AF202+AG202+AL202+AQ202+AV202+BA202</f>
        <v>225010.764372422</v>
      </c>
      <c r="BC202" s="54" t="n">
        <v>0.971</v>
      </c>
      <c r="BD202" s="32" t="s">
        <v>77</v>
      </c>
      <c r="BE202" s="30" t="s">
        <v>202</v>
      </c>
      <c r="BF202" s="32"/>
      <c r="BG202" s="32" t="s">
        <v>197</v>
      </c>
    </row>
    <row r="203" customFormat="false" ht="26.5" hidden="false" customHeight="false" outlineLevel="0" collapsed="false">
      <c r="A203" s="18" t="s">
        <v>200</v>
      </c>
      <c r="B203" s="18" t="s">
        <v>201</v>
      </c>
      <c r="C203" s="18"/>
      <c r="D203" s="49" t="n">
        <v>46235</v>
      </c>
      <c r="E203" s="18" t="s">
        <v>127</v>
      </c>
      <c r="F203" s="18" t="s">
        <v>119</v>
      </c>
      <c r="G203" s="18" t="s">
        <v>100</v>
      </c>
      <c r="H203" s="18" t="s">
        <v>128</v>
      </c>
      <c r="I203" s="18" t="s">
        <v>125</v>
      </c>
      <c r="J203" s="50" t="n">
        <v>20300</v>
      </c>
      <c r="K203" s="51" t="n">
        <v>0.44</v>
      </c>
      <c r="L203" s="51" t="n">
        <v>0.97</v>
      </c>
      <c r="M203" s="51" t="n">
        <v>0.4</v>
      </c>
      <c r="N203" s="52" t="n">
        <f aca="false">J203*K203*L203*M203</f>
        <v>3465.616</v>
      </c>
      <c r="O203" s="50" t="n">
        <v>1.22</v>
      </c>
      <c r="P203" s="52" t="n">
        <f aca="false">N203*O203</f>
        <v>4228.05152</v>
      </c>
      <c r="Q203" s="50" t="n">
        <v>0.9476</v>
      </c>
      <c r="R203" s="52" t="n">
        <f aca="false">P203*Q203</f>
        <v>4006.501620352</v>
      </c>
      <c r="S203" s="50" t="n">
        <v>0.105</v>
      </c>
      <c r="T203" s="52" t="n">
        <f aca="false">N203*S203</f>
        <v>363.88968</v>
      </c>
      <c r="U203" s="52" t="n">
        <v>0.012</v>
      </c>
      <c r="V203" s="52" t="n">
        <f aca="false">P203*U203</f>
        <v>50.73661824</v>
      </c>
      <c r="W203" s="53" t="s">
        <v>199</v>
      </c>
      <c r="X203" s="50" t="n">
        <v>8.5344</v>
      </c>
      <c r="Y203" s="53" t="s">
        <v>198</v>
      </c>
      <c r="Z203" s="50" t="n">
        <v>0.6599936</v>
      </c>
      <c r="AA203" s="50" t="n">
        <v>7.95</v>
      </c>
      <c r="AB203" s="50" t="n">
        <v>9.22</v>
      </c>
      <c r="AC203" s="52" t="n">
        <f aca="false">IF(W203="EUR",AA203,IF(W203="GBP",AB203,1))</f>
        <v>9.22</v>
      </c>
      <c r="AD203" s="52" t="n">
        <f aca="false">R203*X203</f>
        <v>34193.0874287321</v>
      </c>
      <c r="AE203" s="52" t="n">
        <f aca="false">IF(Y203="PERCENTAGE_OF_BASE_FREIGHT",AD203*Z203,IF(Y203="PER_CHARGEABLE_KG",R203*Z203,P203*Z203))</f>
        <v>2644.26542782195</v>
      </c>
      <c r="AF203" s="52" t="n">
        <f aca="false">AD203*AC203</f>
        <v>315260.26609291</v>
      </c>
      <c r="AG203" s="52" t="n">
        <f aca="false">AE203*AC203</f>
        <v>24380.1272445184</v>
      </c>
      <c r="AH203" s="52" t="s">
        <v>195</v>
      </c>
      <c r="AI203" s="52" t="n">
        <v>1.38847592368764</v>
      </c>
      <c r="AJ203" s="52" t="n">
        <f aca="false">IF(AH203="EUR",AA203,IF(AH203="GBP",AB203,1))</f>
        <v>7.95</v>
      </c>
      <c r="AK203" s="52" t="n">
        <f aca="false">N203*AI203</f>
        <v>4811.92437674667</v>
      </c>
      <c r="AL203" s="52" t="n">
        <f aca="false">AK203*AJ203</f>
        <v>38254.798795136</v>
      </c>
      <c r="AM203" s="52" t="s">
        <v>195</v>
      </c>
      <c r="AN203" s="52" t="n">
        <v>0.42672</v>
      </c>
      <c r="AO203" s="52" t="n">
        <f aca="false">IF(AM203="EUR",AA203,IF(AM203="GBP",AB203,1))</f>
        <v>7.95</v>
      </c>
      <c r="AP203" s="52" t="n">
        <f aca="false">P203*AN203</f>
        <v>1804.1941446144</v>
      </c>
      <c r="AQ203" s="52" t="n">
        <f aca="false">AP203*AO203</f>
        <v>14343.3434496845</v>
      </c>
      <c r="AR203" s="52" t="s">
        <v>199</v>
      </c>
      <c r="AS203" s="52" t="n">
        <v>4.8768</v>
      </c>
      <c r="AT203" s="52" t="n">
        <f aca="false">IF(AR203="EUR",AA203,IF(AR203="GBP",AB203,1))</f>
        <v>9.22</v>
      </c>
      <c r="AU203" s="52" t="n">
        <f aca="false">T203*AS203</f>
        <v>1774.617191424</v>
      </c>
      <c r="AV203" s="52" t="n">
        <f aca="false">AU203*AT203</f>
        <v>16361.9705049293</v>
      </c>
      <c r="AW203" s="52" t="s">
        <v>199</v>
      </c>
      <c r="AX203" s="52" t="n">
        <v>3.6576</v>
      </c>
      <c r="AY203" s="52" t="n">
        <f aca="false">IF(AW203="EUR",AA203,IF(AW203="GBP",AB203,1))</f>
        <v>9.22</v>
      </c>
      <c r="AZ203" s="52" t="n">
        <f aca="false">V203*AX203</f>
        <v>185.574254874624</v>
      </c>
      <c r="BA203" s="52" t="n">
        <f aca="false">AZ203*AY203</f>
        <v>1710.99462994403</v>
      </c>
      <c r="BB203" s="52" t="n">
        <f aca="false">AF203+AG203+AL203+AQ203+AV203+BA203</f>
        <v>410311.500717122</v>
      </c>
      <c r="BC203" s="54" t="n">
        <v>0.985</v>
      </c>
      <c r="BD203" s="32" t="s">
        <v>77</v>
      </c>
      <c r="BE203" s="30" t="s">
        <v>202</v>
      </c>
      <c r="BF203" s="32"/>
      <c r="BG203" s="32" t="s">
        <v>197</v>
      </c>
    </row>
    <row r="204" customFormat="false" ht="26.5" hidden="false" customHeight="false" outlineLevel="0" collapsed="false">
      <c r="A204" s="18" t="s">
        <v>200</v>
      </c>
      <c r="B204" s="18" t="s">
        <v>201</v>
      </c>
      <c r="C204" s="18"/>
      <c r="D204" s="49" t="n">
        <v>46235</v>
      </c>
      <c r="E204" s="18" t="s">
        <v>130</v>
      </c>
      <c r="F204" s="18" t="s">
        <v>119</v>
      </c>
      <c r="G204" s="18" t="s">
        <v>110</v>
      </c>
      <c r="H204" s="18" t="s">
        <v>107</v>
      </c>
      <c r="I204" s="18" t="s">
        <v>125</v>
      </c>
      <c r="J204" s="50" t="n">
        <v>20300</v>
      </c>
      <c r="K204" s="51" t="n">
        <v>0.44</v>
      </c>
      <c r="L204" s="51" t="n">
        <v>0.03</v>
      </c>
      <c r="M204" s="51" t="n">
        <v>1</v>
      </c>
      <c r="N204" s="52" t="n">
        <f aca="false">J204*K204*L204*M204</f>
        <v>267.96</v>
      </c>
      <c r="O204" s="50" t="n">
        <v>1.18</v>
      </c>
      <c r="P204" s="52" t="n">
        <f aca="false">N204*O204</f>
        <v>316.1928</v>
      </c>
      <c r="Q204" s="50" t="n">
        <v>0.927</v>
      </c>
      <c r="R204" s="52" t="n">
        <f aca="false">P204*Q204</f>
        <v>293.1107256</v>
      </c>
      <c r="S204" s="50" t="n">
        <v>0.105</v>
      </c>
      <c r="T204" s="52" t="n">
        <f aca="false">N204*S204</f>
        <v>28.1358</v>
      </c>
      <c r="U204" s="52" t="n">
        <v>0.015</v>
      </c>
      <c r="V204" s="52" t="n">
        <f aca="false">P204*U204</f>
        <v>4.742892</v>
      </c>
      <c r="W204" s="53" t="s">
        <v>195</v>
      </c>
      <c r="X204" s="50" t="n">
        <v>6.8072</v>
      </c>
      <c r="Y204" s="53" t="s">
        <v>196</v>
      </c>
      <c r="Z204" s="50" t="n">
        <v>0.10668</v>
      </c>
      <c r="AA204" s="50" t="n">
        <v>7.95</v>
      </c>
      <c r="AB204" s="50" t="n">
        <v>9.22</v>
      </c>
      <c r="AC204" s="52" t="n">
        <f aca="false">IF(W204="EUR",AA204,IF(W204="GBP",AB204,1))</f>
        <v>7.95</v>
      </c>
      <c r="AD204" s="52" t="n">
        <f aca="false">R204*X204</f>
        <v>1995.26333130432</v>
      </c>
      <c r="AE204" s="52" t="n">
        <f aca="false">IF(Y204="PERCENTAGE_OF_BASE_FREIGHT",AD204*Z204,IF(Y204="PER_CHARGEABLE_KG",R204*Z204,P204*Z204))</f>
        <v>212.854692183545</v>
      </c>
      <c r="AF204" s="52" t="n">
        <f aca="false">AD204*AC204</f>
        <v>15862.3434838693</v>
      </c>
      <c r="AG204" s="52" t="n">
        <f aca="false">AE204*AC204</f>
        <v>1692.19480285918</v>
      </c>
      <c r="AH204" s="52" t="s">
        <v>195</v>
      </c>
      <c r="AI204" s="52" t="n">
        <v>1.0668</v>
      </c>
      <c r="AJ204" s="52" t="n">
        <f aca="false">IF(AH204="EUR",AA204,IF(AH204="GBP",AB204,1))</f>
        <v>7.95</v>
      </c>
      <c r="AK204" s="52" t="n">
        <f aca="false">N204*AI204</f>
        <v>285.859728</v>
      </c>
      <c r="AL204" s="52" t="n">
        <f aca="false">AK204*AJ204</f>
        <v>2272.5848376</v>
      </c>
      <c r="AM204" s="52" t="s">
        <v>195</v>
      </c>
      <c r="AN204" s="52" t="n">
        <v>0.38608</v>
      </c>
      <c r="AO204" s="52" t="n">
        <f aca="false">IF(AM204="EUR",AA204,IF(AM204="GBP",AB204,1))</f>
        <v>7.95</v>
      </c>
      <c r="AP204" s="52" t="n">
        <f aca="false">P204*AN204</f>
        <v>122.075716224</v>
      </c>
      <c r="AQ204" s="52" t="n">
        <f aca="false">AP204*AO204</f>
        <v>970.5019439808</v>
      </c>
      <c r="AR204" s="52" t="s">
        <v>195</v>
      </c>
      <c r="AS204" s="52" t="n">
        <v>5.2832</v>
      </c>
      <c r="AT204" s="52" t="n">
        <f aca="false">IF(AR204="EUR",AA204,IF(AR204="GBP",AB204,1))</f>
        <v>7.95</v>
      </c>
      <c r="AU204" s="52" t="n">
        <f aca="false">T204*AS204</f>
        <v>148.64705856</v>
      </c>
      <c r="AV204" s="52" t="n">
        <f aca="false">AU204*AT204</f>
        <v>1181.744115552</v>
      </c>
      <c r="AW204" s="52" t="s">
        <v>195</v>
      </c>
      <c r="AX204" s="52" t="n">
        <v>2.8448</v>
      </c>
      <c r="AY204" s="52" t="n">
        <f aca="false">IF(AW204="EUR",AA204,IF(AW204="GBP",AB204,1))</f>
        <v>7.95</v>
      </c>
      <c r="AZ204" s="52" t="n">
        <f aca="false">V204*AX204</f>
        <v>13.4925791616</v>
      </c>
      <c r="BA204" s="52" t="n">
        <f aca="false">AZ204*AY204</f>
        <v>107.26600433472</v>
      </c>
      <c r="BB204" s="52" t="n">
        <f aca="false">AF204+AG204+AL204+AQ204+AV204+BA204</f>
        <v>22086.635188196</v>
      </c>
      <c r="BC204" s="54" t="n">
        <v>0.968</v>
      </c>
      <c r="BD204" s="32" t="s">
        <v>77</v>
      </c>
      <c r="BE204" s="30" t="s">
        <v>202</v>
      </c>
      <c r="BF204" s="32"/>
      <c r="BG204" s="32" t="s">
        <v>197</v>
      </c>
    </row>
    <row r="205" customFormat="false" ht="26.5" hidden="false" customHeight="false" outlineLevel="0" collapsed="false">
      <c r="A205" s="18" t="s">
        <v>203</v>
      </c>
      <c r="B205" s="18" t="s">
        <v>204</v>
      </c>
      <c r="C205" s="18"/>
      <c r="D205" s="49" t="n">
        <v>46266</v>
      </c>
      <c r="E205" s="18" t="s">
        <v>98</v>
      </c>
      <c r="F205" s="18" t="s">
        <v>99</v>
      </c>
      <c r="G205" s="18" t="s">
        <v>100</v>
      </c>
      <c r="H205" s="18" t="s">
        <v>101</v>
      </c>
      <c r="I205" s="18" t="s">
        <v>102</v>
      </c>
      <c r="J205" s="50" t="n">
        <v>17200</v>
      </c>
      <c r="K205" s="51" t="n">
        <v>0.36</v>
      </c>
      <c r="L205" s="51" t="n">
        <v>0.97</v>
      </c>
      <c r="M205" s="51" t="n">
        <v>0.6</v>
      </c>
      <c r="N205" s="52" t="n">
        <f aca="false">J205*K205*L205*M205</f>
        <v>3603.744</v>
      </c>
      <c r="O205" s="50" t="n">
        <v>1.05</v>
      </c>
      <c r="P205" s="52" t="n">
        <f aca="false">N205*O205</f>
        <v>3783.9312</v>
      </c>
      <c r="Q205" s="50" t="n">
        <v>0.78</v>
      </c>
      <c r="R205" s="52" t="n">
        <f aca="false">P205*Q205</f>
        <v>2951.466336</v>
      </c>
      <c r="S205" s="50" t="n">
        <v>0.05</v>
      </c>
      <c r="T205" s="52" t="n">
        <f aca="false">N205*S205</f>
        <v>180.1872</v>
      </c>
      <c r="U205" s="52" t="n">
        <v>0.016</v>
      </c>
      <c r="V205" s="52" t="n">
        <f aca="false">P205*U205</f>
        <v>60.5428992</v>
      </c>
      <c r="W205" s="53" t="s">
        <v>195</v>
      </c>
      <c r="X205" s="50" t="n">
        <v>2.277</v>
      </c>
      <c r="Y205" s="53" t="s">
        <v>196</v>
      </c>
      <c r="Z205" s="50" t="n">
        <v>0.098325</v>
      </c>
      <c r="AA205" s="50" t="n">
        <v>7.92</v>
      </c>
      <c r="AB205" s="50" t="n">
        <v>9.15</v>
      </c>
      <c r="AC205" s="52" t="n">
        <f aca="false">IF(W205="EUR",AA205,IF(W205="GBP",AB205,1))</f>
        <v>7.92</v>
      </c>
      <c r="AD205" s="52" t="n">
        <f aca="false">R205*X205</f>
        <v>6720.488847072</v>
      </c>
      <c r="AE205" s="52" t="n">
        <f aca="false">IF(Y205="PERCENTAGE_OF_BASE_FREIGHT",AD205*Z205,IF(Y205="PER_CHARGEABLE_KG",R205*Z205,P205*Z205))</f>
        <v>660.792065888354</v>
      </c>
      <c r="AF205" s="52" t="n">
        <f aca="false">AD205*AC205</f>
        <v>53226.2716688102</v>
      </c>
      <c r="AG205" s="52" t="n">
        <f aca="false">AE205*AC205</f>
        <v>5233.47316183577</v>
      </c>
      <c r="AH205" s="52" t="s">
        <v>195</v>
      </c>
      <c r="AI205" s="52" t="n">
        <v>1.37620106985006</v>
      </c>
      <c r="AJ205" s="52" t="n">
        <f aca="false">IF(AH205="EUR",AA205,IF(AH205="GBP",AB205,1))</f>
        <v>7.92</v>
      </c>
      <c r="AK205" s="52" t="n">
        <f aca="false">N205*AI205</f>
        <v>4959.47634826572</v>
      </c>
      <c r="AL205" s="52" t="n">
        <f aca="false">AK205*AJ205</f>
        <v>39279.0526782645</v>
      </c>
      <c r="AM205" s="52" t="s">
        <v>195</v>
      </c>
      <c r="AN205" s="52" t="n">
        <v>0.4347</v>
      </c>
      <c r="AO205" s="52" t="n">
        <f aca="false">IF(AM205="EUR",AA205,IF(AM205="GBP",AB205,1))</f>
        <v>7.92</v>
      </c>
      <c r="AP205" s="52" t="n">
        <f aca="false">P205*AN205</f>
        <v>1644.87489264</v>
      </c>
      <c r="AQ205" s="52" t="n">
        <f aca="false">AP205*AO205</f>
        <v>13027.4091497088</v>
      </c>
      <c r="AR205" s="52" t="s">
        <v>195</v>
      </c>
      <c r="AS205" s="52" t="n">
        <v>3.312</v>
      </c>
      <c r="AT205" s="52" t="n">
        <f aca="false">IF(AR205="EUR",AA205,IF(AR205="GBP",AB205,1))</f>
        <v>7.92</v>
      </c>
      <c r="AU205" s="52" t="n">
        <f aca="false">T205*AS205</f>
        <v>596.7800064</v>
      </c>
      <c r="AV205" s="52" t="n">
        <f aca="false">AU205*AT205</f>
        <v>4726.497650688</v>
      </c>
      <c r="AW205" s="52" t="s">
        <v>195</v>
      </c>
      <c r="AX205" s="52" t="n">
        <v>2.3805</v>
      </c>
      <c r="AY205" s="52" t="n">
        <f aca="false">IF(AW205="EUR",AA205,IF(AW205="GBP",AB205,1))</f>
        <v>7.92</v>
      </c>
      <c r="AZ205" s="52" t="n">
        <f aca="false">V205*AX205</f>
        <v>144.1223715456</v>
      </c>
      <c r="BA205" s="52" t="n">
        <f aca="false">AZ205*AY205</f>
        <v>1141.44918264115</v>
      </c>
      <c r="BB205" s="52" t="n">
        <f aca="false">AF205+AG205+AL205+AQ205+AV205+BA205</f>
        <v>116634.153491948</v>
      </c>
      <c r="BC205" s="54" t="n">
        <v>0.965</v>
      </c>
      <c r="BD205" s="32"/>
      <c r="BE205" s="30" t="s">
        <v>205</v>
      </c>
      <c r="BF205" s="32"/>
      <c r="BG205" s="32" t="s">
        <v>197</v>
      </c>
    </row>
    <row r="206" customFormat="false" ht="26.5" hidden="false" customHeight="false" outlineLevel="0" collapsed="false">
      <c r="A206" s="18" t="s">
        <v>203</v>
      </c>
      <c r="B206" s="18" t="s">
        <v>204</v>
      </c>
      <c r="C206" s="18"/>
      <c r="D206" s="49" t="n">
        <v>46266</v>
      </c>
      <c r="E206" s="18" t="s">
        <v>106</v>
      </c>
      <c r="F206" s="18" t="s">
        <v>99</v>
      </c>
      <c r="G206" s="18" t="s">
        <v>100</v>
      </c>
      <c r="H206" s="18" t="s">
        <v>107</v>
      </c>
      <c r="I206" s="18" t="s">
        <v>102</v>
      </c>
      <c r="J206" s="50" t="n">
        <v>17200</v>
      </c>
      <c r="K206" s="51" t="n">
        <v>0.36</v>
      </c>
      <c r="L206" s="51" t="n">
        <v>0.97</v>
      </c>
      <c r="M206" s="51" t="n">
        <v>0.4</v>
      </c>
      <c r="N206" s="52" t="n">
        <f aca="false">J206*K206*L206*M206</f>
        <v>2402.496</v>
      </c>
      <c r="O206" s="50" t="n">
        <v>1.05</v>
      </c>
      <c r="P206" s="52" t="n">
        <f aca="false">N206*O206</f>
        <v>2522.6208</v>
      </c>
      <c r="Q206" s="50" t="n">
        <v>0.8</v>
      </c>
      <c r="R206" s="52" t="n">
        <f aca="false">P206*Q206</f>
        <v>2018.09664</v>
      </c>
      <c r="S206" s="50" t="n">
        <v>0.05</v>
      </c>
      <c r="T206" s="52" t="n">
        <f aca="false">N206*S206</f>
        <v>120.1248</v>
      </c>
      <c r="U206" s="52" t="n">
        <v>0.013</v>
      </c>
      <c r="V206" s="52" t="n">
        <f aca="false">P206*U206</f>
        <v>32.7940704</v>
      </c>
      <c r="W206" s="53" t="s">
        <v>195</v>
      </c>
      <c r="X206" s="50" t="n">
        <v>2.84625</v>
      </c>
      <c r="Y206" s="53" t="s">
        <v>198</v>
      </c>
      <c r="Z206" s="50" t="n">
        <v>0.21735</v>
      </c>
      <c r="AA206" s="50" t="n">
        <v>7.92</v>
      </c>
      <c r="AB206" s="50" t="n">
        <v>9.15</v>
      </c>
      <c r="AC206" s="52" t="n">
        <f aca="false">IF(W206="EUR",AA206,IF(W206="GBP",AB206,1))</f>
        <v>7.92</v>
      </c>
      <c r="AD206" s="52" t="n">
        <f aca="false">R206*X206</f>
        <v>5744.0075616</v>
      </c>
      <c r="AE206" s="52" t="n">
        <f aca="false">IF(Y206="PERCENTAGE_OF_BASE_FREIGHT",AD206*Z206,IF(Y206="PER_CHARGEABLE_KG",R206*Z206,P206*Z206))</f>
        <v>438.633304704</v>
      </c>
      <c r="AF206" s="52" t="n">
        <f aca="false">AD206*AC206</f>
        <v>45492.539887872</v>
      </c>
      <c r="AG206" s="52" t="n">
        <f aca="false">AE206*AC206</f>
        <v>3473.97577325568</v>
      </c>
      <c r="AH206" s="52" t="s">
        <v>195</v>
      </c>
      <c r="AI206" s="52" t="n">
        <v>1.37620106985006</v>
      </c>
      <c r="AJ206" s="52" t="n">
        <f aca="false">IF(AH206="EUR",AA206,IF(AH206="GBP",AB206,1))</f>
        <v>7.92</v>
      </c>
      <c r="AK206" s="52" t="n">
        <f aca="false">N206*AI206</f>
        <v>3306.31756551048</v>
      </c>
      <c r="AL206" s="52" t="n">
        <f aca="false">AK206*AJ206</f>
        <v>26186.035118843</v>
      </c>
      <c r="AM206" s="52" t="s">
        <v>195</v>
      </c>
      <c r="AN206" s="52" t="n">
        <v>0.4347</v>
      </c>
      <c r="AO206" s="52" t="n">
        <f aca="false">IF(AM206="EUR",AA206,IF(AM206="GBP",AB206,1))</f>
        <v>7.92</v>
      </c>
      <c r="AP206" s="52" t="n">
        <f aca="false">P206*AN206</f>
        <v>1096.58326176</v>
      </c>
      <c r="AQ206" s="52" t="n">
        <f aca="false">AP206*AO206</f>
        <v>8684.9394331392</v>
      </c>
      <c r="AR206" s="52" t="s">
        <v>195</v>
      </c>
      <c r="AS206" s="52" t="n">
        <v>3.312</v>
      </c>
      <c r="AT206" s="52" t="n">
        <f aca="false">IF(AR206="EUR",AA206,IF(AR206="GBP",AB206,1))</f>
        <v>7.92</v>
      </c>
      <c r="AU206" s="52" t="n">
        <f aca="false">T206*AS206</f>
        <v>397.8533376</v>
      </c>
      <c r="AV206" s="52" t="n">
        <f aca="false">AU206*AT206</f>
        <v>3150.998433792</v>
      </c>
      <c r="AW206" s="52" t="s">
        <v>195</v>
      </c>
      <c r="AX206" s="52" t="n">
        <v>2.3805</v>
      </c>
      <c r="AY206" s="52" t="n">
        <f aca="false">IF(AW206="EUR",AA206,IF(AW206="GBP",AB206,1))</f>
        <v>7.92</v>
      </c>
      <c r="AZ206" s="52" t="n">
        <f aca="false">V206*AX206</f>
        <v>78.0662845872</v>
      </c>
      <c r="BA206" s="52" t="n">
        <f aca="false">AZ206*AY206</f>
        <v>618.284973930624</v>
      </c>
      <c r="BB206" s="52" t="n">
        <f aca="false">AF206+AG206+AL206+AQ206+AV206+BA206</f>
        <v>87606.7736208325</v>
      </c>
      <c r="BC206" s="54" t="n">
        <v>0.976</v>
      </c>
      <c r="BD206" s="32"/>
      <c r="BE206" s="30" t="s">
        <v>205</v>
      </c>
      <c r="BF206" s="32"/>
      <c r="BG206" s="32" t="s">
        <v>197</v>
      </c>
    </row>
    <row r="207" customFormat="false" ht="26.5" hidden="false" customHeight="false" outlineLevel="0" collapsed="false">
      <c r="A207" s="18" t="s">
        <v>203</v>
      </c>
      <c r="B207" s="18" t="s">
        <v>204</v>
      </c>
      <c r="C207" s="18"/>
      <c r="D207" s="49" t="n">
        <v>46266</v>
      </c>
      <c r="E207" s="18" t="s">
        <v>109</v>
      </c>
      <c r="F207" s="18" t="s">
        <v>99</v>
      </c>
      <c r="G207" s="18" t="s">
        <v>110</v>
      </c>
      <c r="H207" s="18" t="s">
        <v>107</v>
      </c>
      <c r="I207" s="18" t="s">
        <v>102</v>
      </c>
      <c r="J207" s="50" t="n">
        <v>17200</v>
      </c>
      <c r="K207" s="51" t="n">
        <v>0.36</v>
      </c>
      <c r="L207" s="51" t="n">
        <v>0.03</v>
      </c>
      <c r="M207" s="51" t="n">
        <v>1</v>
      </c>
      <c r="N207" s="52" t="n">
        <f aca="false">J207*K207*L207*M207</f>
        <v>185.76</v>
      </c>
      <c r="O207" s="50" t="n">
        <v>1.08</v>
      </c>
      <c r="P207" s="52" t="n">
        <f aca="false">N207*O207</f>
        <v>200.6208</v>
      </c>
      <c r="Q207" s="50" t="n">
        <v>0.86</v>
      </c>
      <c r="R207" s="52" t="n">
        <f aca="false">P207*Q207</f>
        <v>172.533888</v>
      </c>
      <c r="S207" s="50" t="n">
        <v>0.05</v>
      </c>
      <c r="T207" s="52" t="n">
        <f aca="false">N207*S207</f>
        <v>9.288</v>
      </c>
      <c r="U207" s="52" t="n">
        <v>0.014</v>
      </c>
      <c r="V207" s="52" t="n">
        <f aca="false">P207*U207</f>
        <v>2.8086912</v>
      </c>
      <c r="W207" s="53" t="s">
        <v>195</v>
      </c>
      <c r="X207" s="50" t="n">
        <v>3.4155</v>
      </c>
      <c r="Y207" s="53" t="s">
        <v>198</v>
      </c>
      <c r="Z207" s="50" t="n">
        <v>0.2484</v>
      </c>
      <c r="AA207" s="50" t="n">
        <v>7.92</v>
      </c>
      <c r="AB207" s="50" t="n">
        <v>9.15</v>
      </c>
      <c r="AC207" s="52" t="n">
        <f aca="false">IF(W207="EUR",AA207,IF(W207="GBP",AB207,1))</f>
        <v>7.92</v>
      </c>
      <c r="AD207" s="52" t="n">
        <f aca="false">R207*X207</f>
        <v>589.289494464</v>
      </c>
      <c r="AE207" s="52" t="n">
        <f aca="false">IF(Y207="PERCENTAGE_OF_BASE_FREIGHT",AD207*Z207,IF(Y207="PER_CHARGEABLE_KG",R207*Z207,P207*Z207))</f>
        <v>42.8574177792</v>
      </c>
      <c r="AF207" s="52" t="n">
        <f aca="false">AD207*AC207</f>
        <v>4667.17279615488</v>
      </c>
      <c r="AG207" s="52" t="n">
        <f aca="false">AE207*AC207</f>
        <v>339.430748811264</v>
      </c>
      <c r="AH207" s="52" t="s">
        <v>195</v>
      </c>
      <c r="AI207" s="52" t="n">
        <v>1.08675</v>
      </c>
      <c r="AJ207" s="52" t="n">
        <f aca="false">IF(AH207="EUR",AA207,IF(AH207="GBP",AB207,1))</f>
        <v>7.92</v>
      </c>
      <c r="AK207" s="52" t="n">
        <f aca="false">N207*AI207</f>
        <v>201.87468</v>
      </c>
      <c r="AL207" s="52" t="n">
        <f aca="false">AK207*AJ207</f>
        <v>1598.8474656</v>
      </c>
      <c r="AM207" s="52" t="s">
        <v>195</v>
      </c>
      <c r="AN207" s="52" t="n">
        <v>0.3933</v>
      </c>
      <c r="AO207" s="52" t="n">
        <f aca="false">IF(AM207="EUR",AA207,IF(AM207="GBP",AB207,1))</f>
        <v>7.92</v>
      </c>
      <c r="AP207" s="52" t="n">
        <f aca="false">P207*AN207</f>
        <v>78.90416064</v>
      </c>
      <c r="AQ207" s="52" t="n">
        <f aca="false">AP207*AO207</f>
        <v>624.9209522688</v>
      </c>
      <c r="AR207" s="52" t="s">
        <v>195</v>
      </c>
      <c r="AS207" s="52" t="n">
        <v>3.933</v>
      </c>
      <c r="AT207" s="52" t="n">
        <f aca="false">IF(AR207="EUR",AA207,IF(AR207="GBP",AB207,1))</f>
        <v>7.92</v>
      </c>
      <c r="AU207" s="52" t="n">
        <f aca="false">T207*AS207</f>
        <v>36.529704</v>
      </c>
      <c r="AV207" s="52" t="n">
        <f aca="false">AU207*AT207</f>
        <v>289.31525568</v>
      </c>
      <c r="AW207" s="52" t="s">
        <v>195</v>
      </c>
      <c r="AX207" s="52" t="n">
        <v>2.3805</v>
      </c>
      <c r="AY207" s="52" t="n">
        <f aca="false">IF(AW207="EUR",AA207,IF(AW207="GBP",AB207,1))</f>
        <v>7.92</v>
      </c>
      <c r="AZ207" s="52" t="n">
        <f aca="false">V207*AX207</f>
        <v>6.6860894016</v>
      </c>
      <c r="BA207" s="52" t="n">
        <f aca="false">AZ207*AY207</f>
        <v>52.953828060672</v>
      </c>
      <c r="BB207" s="52" t="n">
        <f aca="false">AF207+AG207+AL207+AQ207+AV207+BA207</f>
        <v>7572.64104657561</v>
      </c>
      <c r="BC207" s="54" t="n">
        <v>0.968</v>
      </c>
      <c r="BD207" s="32"/>
      <c r="BE207" s="30" t="s">
        <v>205</v>
      </c>
      <c r="BF207" s="32"/>
      <c r="BG207" s="32" t="s">
        <v>197</v>
      </c>
    </row>
    <row r="208" customFormat="false" ht="26.5" hidden="false" customHeight="false" outlineLevel="0" collapsed="false">
      <c r="A208" s="18" t="s">
        <v>203</v>
      </c>
      <c r="B208" s="18" t="s">
        <v>204</v>
      </c>
      <c r="C208" s="18"/>
      <c r="D208" s="49" t="n">
        <v>46266</v>
      </c>
      <c r="E208" s="18" t="s">
        <v>112</v>
      </c>
      <c r="F208" s="18" t="s">
        <v>113</v>
      </c>
      <c r="G208" s="18" t="s">
        <v>110</v>
      </c>
      <c r="H208" s="18" t="s">
        <v>101</v>
      </c>
      <c r="I208" s="18" t="s">
        <v>102</v>
      </c>
      <c r="J208" s="50" t="n">
        <v>17200</v>
      </c>
      <c r="K208" s="51" t="n">
        <v>0.3</v>
      </c>
      <c r="L208" s="51" t="n">
        <v>1</v>
      </c>
      <c r="M208" s="51" t="n">
        <v>0.35</v>
      </c>
      <c r="N208" s="52" t="n">
        <f aca="false">J208*K208*L208*M208</f>
        <v>1806</v>
      </c>
      <c r="O208" s="50" t="n">
        <v>1.06</v>
      </c>
      <c r="P208" s="52" t="n">
        <f aca="false">N208*O208</f>
        <v>1914.36</v>
      </c>
      <c r="Q208" s="50" t="n">
        <v>0.76</v>
      </c>
      <c r="R208" s="52" t="n">
        <f aca="false">P208*Q208</f>
        <v>1454.9136</v>
      </c>
      <c r="S208" s="50" t="n">
        <v>0.06</v>
      </c>
      <c r="T208" s="52" t="n">
        <f aca="false">N208*S208</f>
        <v>108.36</v>
      </c>
      <c r="U208" s="52" t="n">
        <v>0.017</v>
      </c>
      <c r="V208" s="52" t="n">
        <f aca="false">P208*U208</f>
        <v>32.54412</v>
      </c>
      <c r="W208" s="53" t="s">
        <v>195</v>
      </c>
      <c r="X208" s="50" t="n">
        <v>2.1735</v>
      </c>
      <c r="Y208" s="53" t="s">
        <v>196</v>
      </c>
      <c r="Z208" s="50" t="n">
        <v>0.09315</v>
      </c>
      <c r="AA208" s="50" t="n">
        <v>7.92</v>
      </c>
      <c r="AB208" s="50" t="n">
        <v>9.15</v>
      </c>
      <c r="AC208" s="52" t="n">
        <f aca="false">IF(W208="EUR",AA208,IF(W208="GBP",AB208,1))</f>
        <v>7.92</v>
      </c>
      <c r="AD208" s="52" t="n">
        <f aca="false">R208*X208</f>
        <v>3162.2547096</v>
      </c>
      <c r="AE208" s="52" t="n">
        <f aca="false">IF(Y208="PERCENTAGE_OF_BASE_FREIGHT",AD208*Z208,IF(Y208="PER_CHARGEABLE_KG",R208*Z208,P208*Z208))</f>
        <v>294.56402619924</v>
      </c>
      <c r="AF208" s="52" t="n">
        <f aca="false">AD208*AC208</f>
        <v>25045.057300032</v>
      </c>
      <c r="AG208" s="52" t="n">
        <f aca="false">AE208*AC208</f>
        <v>2332.94708749798</v>
      </c>
      <c r="AH208" s="52" t="s">
        <v>195</v>
      </c>
      <c r="AI208" s="52" t="n">
        <v>1.08675</v>
      </c>
      <c r="AJ208" s="52" t="n">
        <f aca="false">IF(AH208="EUR",AA208,IF(AH208="GBP",AB208,1))</f>
        <v>7.92</v>
      </c>
      <c r="AK208" s="52" t="n">
        <f aca="false">N208*AI208</f>
        <v>1962.6705</v>
      </c>
      <c r="AL208" s="52" t="n">
        <f aca="false">AK208*AJ208</f>
        <v>15544.35036</v>
      </c>
      <c r="AM208" s="52" t="s">
        <v>195</v>
      </c>
      <c r="AN208" s="52" t="n">
        <v>0.3933</v>
      </c>
      <c r="AO208" s="52" t="n">
        <f aca="false">IF(AM208="EUR",AA208,IF(AM208="GBP",AB208,1))</f>
        <v>7.92</v>
      </c>
      <c r="AP208" s="52" t="n">
        <f aca="false">P208*AN208</f>
        <v>752.917788</v>
      </c>
      <c r="AQ208" s="52" t="n">
        <f aca="false">AP208*AO208</f>
        <v>5963.10888096</v>
      </c>
      <c r="AR208" s="52" t="s">
        <v>195</v>
      </c>
      <c r="AS208" s="52" t="n">
        <v>3.105</v>
      </c>
      <c r="AT208" s="52" t="n">
        <f aca="false">IF(AR208="EUR",AA208,IF(AR208="GBP",AB208,1))</f>
        <v>7.92</v>
      </c>
      <c r="AU208" s="52" t="n">
        <f aca="false">T208*AS208</f>
        <v>336.4578</v>
      </c>
      <c r="AV208" s="52" t="n">
        <f aca="false">AU208*AT208</f>
        <v>2664.745776</v>
      </c>
      <c r="AW208" s="52" t="s">
        <v>195</v>
      </c>
      <c r="AX208" s="52" t="n">
        <v>2.3805</v>
      </c>
      <c r="AY208" s="52" t="n">
        <f aca="false">IF(AW208="EUR",AA208,IF(AW208="GBP",AB208,1))</f>
        <v>7.92</v>
      </c>
      <c r="AZ208" s="52" t="n">
        <f aca="false">V208*AX208</f>
        <v>77.47127766</v>
      </c>
      <c r="BA208" s="52" t="n">
        <f aca="false">AZ208*AY208</f>
        <v>613.5725190672</v>
      </c>
      <c r="BB208" s="52" t="n">
        <f aca="false">AF208+AG208+AL208+AQ208+AV208+BA208</f>
        <v>52163.7819235572</v>
      </c>
      <c r="BC208" s="54" t="n">
        <v>0.961</v>
      </c>
      <c r="BD208" s="32"/>
      <c r="BE208" s="30" t="s">
        <v>205</v>
      </c>
      <c r="BF208" s="32"/>
      <c r="BG208" s="32" t="s">
        <v>197</v>
      </c>
    </row>
    <row r="209" customFormat="false" ht="26.5" hidden="false" customHeight="false" outlineLevel="0" collapsed="false">
      <c r="A209" s="18" t="s">
        <v>203</v>
      </c>
      <c r="B209" s="18" t="s">
        <v>204</v>
      </c>
      <c r="C209" s="18"/>
      <c r="D209" s="49" t="n">
        <v>46266</v>
      </c>
      <c r="E209" s="18" t="s">
        <v>116</v>
      </c>
      <c r="F209" s="18" t="s">
        <v>113</v>
      </c>
      <c r="G209" s="18" t="s">
        <v>110</v>
      </c>
      <c r="H209" s="18" t="s">
        <v>107</v>
      </c>
      <c r="I209" s="18" t="s">
        <v>102</v>
      </c>
      <c r="J209" s="50" t="n">
        <v>17200</v>
      </c>
      <c r="K209" s="51" t="n">
        <v>0.3</v>
      </c>
      <c r="L209" s="51" t="n">
        <v>1</v>
      </c>
      <c r="M209" s="51" t="n">
        <v>0.65</v>
      </c>
      <c r="N209" s="52" t="n">
        <f aca="false">J209*K209*L209*M209</f>
        <v>3354</v>
      </c>
      <c r="O209" s="50" t="n">
        <v>1.06</v>
      </c>
      <c r="P209" s="52" t="n">
        <f aca="false">N209*O209</f>
        <v>3555.24</v>
      </c>
      <c r="Q209" s="50" t="n">
        <v>0.79</v>
      </c>
      <c r="R209" s="52" t="n">
        <f aca="false">P209*Q209</f>
        <v>2808.6396</v>
      </c>
      <c r="S209" s="50" t="n">
        <v>0.06</v>
      </c>
      <c r="T209" s="52" t="n">
        <f aca="false">N209*S209</f>
        <v>201.24</v>
      </c>
      <c r="U209" s="52" t="n">
        <v>0.014</v>
      </c>
      <c r="V209" s="52" t="n">
        <f aca="false">P209*U209</f>
        <v>49.77336</v>
      </c>
      <c r="W209" s="53" t="s">
        <v>195</v>
      </c>
      <c r="X209" s="50" t="n">
        <v>2.691</v>
      </c>
      <c r="Y209" s="53" t="s">
        <v>198</v>
      </c>
      <c r="Z209" s="50" t="n">
        <v>0.207</v>
      </c>
      <c r="AA209" s="50" t="n">
        <v>7.92</v>
      </c>
      <c r="AB209" s="50" t="n">
        <v>9.15</v>
      </c>
      <c r="AC209" s="52" t="n">
        <f aca="false">IF(W209="EUR",AA209,IF(W209="GBP",AB209,1))</f>
        <v>7.92</v>
      </c>
      <c r="AD209" s="52" t="n">
        <f aca="false">R209*X209</f>
        <v>7558.0491636</v>
      </c>
      <c r="AE209" s="52" t="n">
        <f aca="false">IF(Y209="PERCENTAGE_OF_BASE_FREIGHT",AD209*Z209,IF(Y209="PER_CHARGEABLE_KG",R209*Z209,P209*Z209))</f>
        <v>581.3883972</v>
      </c>
      <c r="AF209" s="52" t="n">
        <f aca="false">AD209*AC209</f>
        <v>59859.749375712</v>
      </c>
      <c r="AG209" s="52" t="n">
        <f aca="false">AE209*AC209</f>
        <v>4604.596105824</v>
      </c>
      <c r="AH209" s="52" t="s">
        <v>195</v>
      </c>
      <c r="AI209" s="52" t="n">
        <v>1.08675</v>
      </c>
      <c r="AJ209" s="52" t="n">
        <f aca="false">IF(AH209="EUR",AA209,IF(AH209="GBP",AB209,1))</f>
        <v>7.92</v>
      </c>
      <c r="AK209" s="52" t="n">
        <f aca="false">N209*AI209</f>
        <v>3644.9595</v>
      </c>
      <c r="AL209" s="52" t="n">
        <f aca="false">AK209*AJ209</f>
        <v>28868.07924</v>
      </c>
      <c r="AM209" s="52" t="s">
        <v>195</v>
      </c>
      <c r="AN209" s="52" t="n">
        <v>0.3933</v>
      </c>
      <c r="AO209" s="52" t="n">
        <f aca="false">IF(AM209="EUR",AA209,IF(AM209="GBP",AB209,1))</f>
        <v>7.92</v>
      </c>
      <c r="AP209" s="52" t="n">
        <f aca="false">P209*AN209</f>
        <v>1398.275892</v>
      </c>
      <c r="AQ209" s="52" t="n">
        <f aca="false">AP209*AO209</f>
        <v>11074.34506464</v>
      </c>
      <c r="AR209" s="52" t="s">
        <v>195</v>
      </c>
      <c r="AS209" s="52" t="n">
        <v>3.105</v>
      </c>
      <c r="AT209" s="52" t="n">
        <f aca="false">IF(AR209="EUR",AA209,IF(AR209="GBP",AB209,1))</f>
        <v>7.92</v>
      </c>
      <c r="AU209" s="52" t="n">
        <f aca="false">T209*AS209</f>
        <v>624.8502</v>
      </c>
      <c r="AV209" s="52" t="n">
        <f aca="false">AU209*AT209</f>
        <v>4948.813584</v>
      </c>
      <c r="AW209" s="52" t="s">
        <v>195</v>
      </c>
      <c r="AX209" s="52" t="n">
        <v>2.3805</v>
      </c>
      <c r="AY209" s="52" t="n">
        <f aca="false">IF(AW209="EUR",AA209,IF(AW209="GBP",AB209,1))</f>
        <v>7.92</v>
      </c>
      <c r="AZ209" s="52" t="n">
        <f aca="false">V209*AX209</f>
        <v>118.48548348</v>
      </c>
      <c r="BA209" s="52" t="n">
        <f aca="false">AZ209*AY209</f>
        <v>938.4050291616</v>
      </c>
      <c r="BB209" s="52" t="n">
        <f aca="false">AF209+AG209+AL209+AQ209+AV209+BA209</f>
        <v>110293.988399338</v>
      </c>
      <c r="BC209" s="54" t="n">
        <v>0.973</v>
      </c>
      <c r="BD209" s="32"/>
      <c r="BE209" s="30" t="s">
        <v>205</v>
      </c>
      <c r="BF209" s="32"/>
      <c r="BG209" s="32" t="s">
        <v>197</v>
      </c>
    </row>
    <row r="210" customFormat="false" ht="26.5" hidden="false" customHeight="false" outlineLevel="0" collapsed="false">
      <c r="A210" s="18" t="s">
        <v>203</v>
      </c>
      <c r="B210" s="18" t="s">
        <v>204</v>
      </c>
      <c r="C210" s="18"/>
      <c r="D210" s="49" t="n">
        <v>46266</v>
      </c>
      <c r="E210" s="18" t="s">
        <v>118</v>
      </c>
      <c r="F210" s="18" t="s">
        <v>119</v>
      </c>
      <c r="G210" s="18" t="s">
        <v>100</v>
      </c>
      <c r="H210" s="18" t="s">
        <v>101</v>
      </c>
      <c r="I210" s="18" t="s">
        <v>102</v>
      </c>
      <c r="J210" s="50" t="n">
        <v>17200</v>
      </c>
      <c r="K210" s="51" t="n">
        <v>0.34</v>
      </c>
      <c r="L210" s="51" t="n">
        <v>0.96</v>
      </c>
      <c r="M210" s="51" t="n">
        <v>0.3</v>
      </c>
      <c r="N210" s="52" t="n">
        <f aca="false">J210*K210*L210*M210</f>
        <v>1684.224</v>
      </c>
      <c r="O210" s="50" t="n">
        <v>1.19</v>
      </c>
      <c r="P210" s="52" t="n">
        <f aca="false">N210*O210</f>
        <v>2004.22656</v>
      </c>
      <c r="Q210" s="50" t="n">
        <v>1.0404</v>
      </c>
      <c r="R210" s="52" t="n">
        <f aca="false">P210*Q210</f>
        <v>2085.197313024</v>
      </c>
      <c r="S210" s="50" t="n">
        <v>0.095</v>
      </c>
      <c r="T210" s="52" t="n">
        <f aca="false">N210*S210</f>
        <v>160.00128</v>
      </c>
      <c r="U210" s="52" t="n">
        <v>0.027</v>
      </c>
      <c r="V210" s="52" t="n">
        <f aca="false">P210*U210</f>
        <v>54.11411712</v>
      </c>
      <c r="W210" s="53" t="s">
        <v>199</v>
      </c>
      <c r="X210" s="50" t="n">
        <v>4.14</v>
      </c>
      <c r="Y210" s="53" t="s">
        <v>196</v>
      </c>
      <c r="Z210" s="50" t="n">
        <v>0.1035</v>
      </c>
      <c r="AA210" s="50" t="n">
        <v>7.92</v>
      </c>
      <c r="AB210" s="50" t="n">
        <v>9.15</v>
      </c>
      <c r="AC210" s="52" t="n">
        <f aca="false">IF(W210="EUR",AA210,IF(W210="GBP",AB210,1))</f>
        <v>9.15</v>
      </c>
      <c r="AD210" s="52" t="n">
        <f aca="false">R210*X210</f>
        <v>8632.71687591936</v>
      </c>
      <c r="AE210" s="52" t="n">
        <f aca="false">IF(Y210="PERCENTAGE_OF_BASE_FREIGHT",AD210*Z210,IF(Y210="PER_CHARGEABLE_KG",R210*Z210,P210*Z210))</f>
        <v>893.486196657654</v>
      </c>
      <c r="AF210" s="52" t="n">
        <f aca="false">AD210*AC210</f>
        <v>78989.3594146621</v>
      </c>
      <c r="AG210" s="52" t="n">
        <f aca="false">AE210*AC210</f>
        <v>8175.39869941753</v>
      </c>
      <c r="AH210" s="52" t="s">
        <v>195</v>
      </c>
      <c r="AI210" s="52" t="n">
        <v>1.37620106985006</v>
      </c>
      <c r="AJ210" s="52" t="n">
        <f aca="false">IF(AH210="EUR",AA210,IF(AH210="GBP",AB210,1))</f>
        <v>7.92</v>
      </c>
      <c r="AK210" s="52" t="n">
        <f aca="false">N210*AI210</f>
        <v>2317.83087066714</v>
      </c>
      <c r="AL210" s="52" t="n">
        <f aca="false">AK210*AJ210</f>
        <v>18357.2204956838</v>
      </c>
      <c r="AM210" s="52" t="s">
        <v>195</v>
      </c>
      <c r="AN210" s="52" t="n">
        <v>0.4347</v>
      </c>
      <c r="AO210" s="52" t="n">
        <f aca="false">IF(AM210="EUR",AA210,IF(AM210="GBP",AB210,1))</f>
        <v>7.92</v>
      </c>
      <c r="AP210" s="52" t="n">
        <f aca="false">P210*AN210</f>
        <v>871.237285632</v>
      </c>
      <c r="AQ210" s="52" t="n">
        <f aca="false">AP210*AO210</f>
        <v>6900.19930220544</v>
      </c>
      <c r="AR210" s="52" t="s">
        <v>199</v>
      </c>
      <c r="AS210" s="52" t="n">
        <v>4.968</v>
      </c>
      <c r="AT210" s="52" t="n">
        <f aca="false">IF(AR210="EUR",AA210,IF(AR210="GBP",AB210,1))</f>
        <v>9.15</v>
      </c>
      <c r="AU210" s="52" t="n">
        <f aca="false">T210*AS210</f>
        <v>794.88635904</v>
      </c>
      <c r="AV210" s="52" t="n">
        <f aca="false">AU210*AT210</f>
        <v>7273.210185216</v>
      </c>
      <c r="AW210" s="52" t="s">
        <v>199</v>
      </c>
      <c r="AX210" s="52" t="n">
        <v>2.3805</v>
      </c>
      <c r="AY210" s="52" t="n">
        <f aca="false">IF(AW210="EUR",AA210,IF(AW210="GBP",AB210,1))</f>
        <v>9.15</v>
      </c>
      <c r="AZ210" s="52" t="n">
        <f aca="false">V210*AX210</f>
        <v>128.81865580416</v>
      </c>
      <c r="BA210" s="52" t="n">
        <f aca="false">AZ210*AY210</f>
        <v>1178.69070060806</v>
      </c>
      <c r="BB210" s="52" t="n">
        <f aca="false">AF210+AG210+AL210+AQ210+AV210+BA210</f>
        <v>120874.078797793</v>
      </c>
      <c r="BC210" s="54" t="n">
        <v>0.93</v>
      </c>
      <c r="BD210" s="32"/>
      <c r="BE210" s="30" t="s">
        <v>205</v>
      </c>
      <c r="BF210" s="32"/>
      <c r="BG210" s="32" t="s">
        <v>197</v>
      </c>
    </row>
    <row r="211" customFormat="false" ht="26.5" hidden="false" customHeight="false" outlineLevel="0" collapsed="false">
      <c r="A211" s="18" t="s">
        <v>203</v>
      </c>
      <c r="B211" s="18" t="s">
        <v>204</v>
      </c>
      <c r="C211" s="18"/>
      <c r="D211" s="49" t="n">
        <v>46266</v>
      </c>
      <c r="E211" s="18" t="s">
        <v>122</v>
      </c>
      <c r="F211" s="18" t="s">
        <v>119</v>
      </c>
      <c r="G211" s="18" t="s">
        <v>100</v>
      </c>
      <c r="H211" s="18" t="s">
        <v>107</v>
      </c>
      <c r="I211" s="18" t="s">
        <v>102</v>
      </c>
      <c r="J211" s="50" t="n">
        <v>17200</v>
      </c>
      <c r="K211" s="51" t="n">
        <v>0.34</v>
      </c>
      <c r="L211" s="51" t="n">
        <v>0.96</v>
      </c>
      <c r="M211" s="51" t="n">
        <v>0.17</v>
      </c>
      <c r="N211" s="52" t="n">
        <f aca="false">J211*K211*L211*M211</f>
        <v>954.3936</v>
      </c>
      <c r="O211" s="50" t="n">
        <v>1.19</v>
      </c>
      <c r="P211" s="52" t="n">
        <f aca="false">N211*O211</f>
        <v>1135.728384</v>
      </c>
      <c r="Q211" s="50" t="n">
        <v>1.02</v>
      </c>
      <c r="R211" s="52" t="n">
        <f aca="false">P211*Q211</f>
        <v>1158.44295168</v>
      </c>
      <c r="S211" s="50" t="n">
        <v>0.095</v>
      </c>
      <c r="T211" s="52" t="n">
        <f aca="false">N211*S211</f>
        <v>90.667392</v>
      </c>
      <c r="U211" s="52" t="n">
        <v>0.02</v>
      </c>
      <c r="V211" s="52" t="n">
        <f aca="false">P211*U211</f>
        <v>22.71456768</v>
      </c>
      <c r="W211" s="53" t="s">
        <v>199</v>
      </c>
      <c r="X211" s="50" t="n">
        <v>4.8645</v>
      </c>
      <c r="Y211" s="53" t="s">
        <v>198</v>
      </c>
      <c r="Z211" s="50" t="n">
        <v>0.34155</v>
      </c>
      <c r="AA211" s="50" t="n">
        <v>7.92</v>
      </c>
      <c r="AB211" s="50" t="n">
        <v>9.15</v>
      </c>
      <c r="AC211" s="52" t="n">
        <f aca="false">IF(W211="EUR",AA211,IF(W211="GBP",AB211,1))</f>
        <v>9.15</v>
      </c>
      <c r="AD211" s="52" t="n">
        <f aca="false">R211*X211</f>
        <v>5635.24573844736</v>
      </c>
      <c r="AE211" s="52" t="n">
        <f aca="false">IF(Y211="PERCENTAGE_OF_BASE_FREIGHT",AD211*Z211,IF(Y211="PER_CHARGEABLE_KG",R211*Z211,P211*Z211))</f>
        <v>395.666190146304</v>
      </c>
      <c r="AF211" s="52" t="n">
        <f aca="false">AD211*AC211</f>
        <v>51562.4985067933</v>
      </c>
      <c r="AG211" s="52" t="n">
        <f aca="false">AE211*AC211</f>
        <v>3620.34563983868</v>
      </c>
      <c r="AH211" s="52" t="s">
        <v>195</v>
      </c>
      <c r="AI211" s="52" t="n">
        <v>1.37620106985006</v>
      </c>
      <c r="AJ211" s="52" t="n">
        <f aca="false">IF(AH211="EUR",AA211,IF(AH211="GBP",AB211,1))</f>
        <v>7.92</v>
      </c>
      <c r="AK211" s="52" t="n">
        <f aca="false">N211*AI211</f>
        <v>1313.43749337805</v>
      </c>
      <c r="AL211" s="52" t="n">
        <f aca="false">AK211*AJ211</f>
        <v>10402.4249475541</v>
      </c>
      <c r="AM211" s="52" t="s">
        <v>195</v>
      </c>
      <c r="AN211" s="52" t="n">
        <v>0.4347</v>
      </c>
      <c r="AO211" s="52" t="n">
        <f aca="false">IF(AM211="EUR",AA211,IF(AM211="GBP",AB211,1))</f>
        <v>7.92</v>
      </c>
      <c r="AP211" s="52" t="n">
        <f aca="false">P211*AN211</f>
        <v>493.7011285248</v>
      </c>
      <c r="AQ211" s="52" t="n">
        <f aca="false">AP211*AO211</f>
        <v>3910.11293791642</v>
      </c>
      <c r="AR211" s="52" t="s">
        <v>199</v>
      </c>
      <c r="AS211" s="52" t="n">
        <v>4.968</v>
      </c>
      <c r="AT211" s="52" t="n">
        <f aca="false">IF(AR211="EUR",AA211,IF(AR211="GBP",AB211,1))</f>
        <v>9.15</v>
      </c>
      <c r="AU211" s="52" t="n">
        <f aca="false">T211*AS211</f>
        <v>450.435603456</v>
      </c>
      <c r="AV211" s="52" t="n">
        <f aca="false">AU211*AT211</f>
        <v>4121.4857716224</v>
      </c>
      <c r="AW211" s="52" t="s">
        <v>199</v>
      </c>
      <c r="AX211" s="52" t="n">
        <v>2.3805</v>
      </c>
      <c r="AY211" s="52" t="n">
        <f aca="false">IF(AW211="EUR",AA211,IF(AW211="GBP",AB211,1))</f>
        <v>9.15</v>
      </c>
      <c r="AZ211" s="52" t="n">
        <f aca="false">V211*AX211</f>
        <v>54.07202836224</v>
      </c>
      <c r="BA211" s="52" t="n">
        <f aca="false">AZ211*AY211</f>
        <v>494.759059514496</v>
      </c>
      <c r="BB211" s="52" t="n">
        <f aca="false">AF211+AG211+AL211+AQ211+AV211+BA211</f>
        <v>74111.6268632395</v>
      </c>
      <c r="BC211" s="54" t="n">
        <v>0.95</v>
      </c>
      <c r="BD211" s="32"/>
      <c r="BE211" s="30" t="s">
        <v>205</v>
      </c>
      <c r="BF211" s="32"/>
      <c r="BG211" s="32" t="s">
        <v>197</v>
      </c>
    </row>
    <row r="212" customFormat="false" ht="26.5" hidden="false" customHeight="false" outlineLevel="0" collapsed="false">
      <c r="A212" s="18" t="s">
        <v>203</v>
      </c>
      <c r="B212" s="18" t="s">
        <v>204</v>
      </c>
      <c r="C212" s="18"/>
      <c r="D212" s="49" t="n">
        <v>46266</v>
      </c>
      <c r="E212" s="18" t="s">
        <v>124</v>
      </c>
      <c r="F212" s="18" t="s">
        <v>119</v>
      </c>
      <c r="G212" s="18" t="s">
        <v>100</v>
      </c>
      <c r="H212" s="18" t="s">
        <v>107</v>
      </c>
      <c r="I212" s="18" t="s">
        <v>125</v>
      </c>
      <c r="J212" s="50" t="n">
        <v>17200</v>
      </c>
      <c r="K212" s="51" t="n">
        <v>0.34</v>
      </c>
      <c r="L212" s="51" t="n">
        <v>0.96</v>
      </c>
      <c r="M212" s="51" t="n">
        <v>0.25</v>
      </c>
      <c r="N212" s="52" t="n">
        <f aca="false">J212*K212*L212*M212</f>
        <v>1403.52</v>
      </c>
      <c r="O212" s="50" t="n">
        <v>1.19</v>
      </c>
      <c r="P212" s="52" t="n">
        <f aca="false">N212*O212</f>
        <v>1670.1888</v>
      </c>
      <c r="Q212" s="50" t="n">
        <v>0.9588</v>
      </c>
      <c r="R212" s="52" t="n">
        <f aca="false">P212*Q212</f>
        <v>1601.37702144</v>
      </c>
      <c r="S212" s="50" t="n">
        <v>0.095</v>
      </c>
      <c r="T212" s="52" t="n">
        <f aca="false">N212*S212</f>
        <v>133.3344</v>
      </c>
      <c r="U212" s="52" t="n">
        <v>0.016</v>
      </c>
      <c r="V212" s="52" t="n">
        <f aca="false">P212*U212</f>
        <v>26.7230208</v>
      </c>
      <c r="W212" s="53" t="s">
        <v>199</v>
      </c>
      <c r="X212" s="50" t="n">
        <v>6.67368</v>
      </c>
      <c r="Y212" s="53" t="s">
        <v>196</v>
      </c>
      <c r="Z212" s="50" t="n">
        <v>0.123786</v>
      </c>
      <c r="AA212" s="50" t="n">
        <v>7.92</v>
      </c>
      <c r="AB212" s="50" t="n">
        <v>9.15</v>
      </c>
      <c r="AC212" s="52" t="n">
        <f aca="false">IF(W212="EUR",AA212,IF(W212="GBP",AB212,1))</f>
        <v>9.15</v>
      </c>
      <c r="AD212" s="52" t="n">
        <f aca="false">R212*X212</f>
        <v>10687.0778004437</v>
      </c>
      <c r="AE212" s="52" t="n">
        <f aca="false">IF(Y212="PERCENTAGE_OF_BASE_FREIGHT",AD212*Z212,IF(Y212="PER_CHARGEABLE_KG",R212*Z212,P212*Z212))</f>
        <v>1322.91061260572</v>
      </c>
      <c r="AF212" s="52" t="n">
        <f aca="false">AD212*AC212</f>
        <v>97786.7618740598</v>
      </c>
      <c r="AG212" s="52" t="n">
        <f aca="false">AE212*AC212</f>
        <v>12104.6321053424</v>
      </c>
      <c r="AH212" s="52" t="s">
        <v>195</v>
      </c>
      <c r="AI212" s="52" t="n">
        <v>1.37620106985006</v>
      </c>
      <c r="AJ212" s="52" t="n">
        <f aca="false">IF(AH212="EUR",AA212,IF(AH212="GBP",AB212,1))</f>
        <v>7.92</v>
      </c>
      <c r="AK212" s="52" t="n">
        <f aca="false">N212*AI212</f>
        <v>1931.52572555595</v>
      </c>
      <c r="AL212" s="52" t="n">
        <f aca="false">AK212*AJ212</f>
        <v>15297.6837464031</v>
      </c>
      <c r="AM212" s="52" t="s">
        <v>195</v>
      </c>
      <c r="AN212" s="52" t="n">
        <v>0.4347</v>
      </c>
      <c r="AO212" s="52" t="n">
        <f aca="false">IF(AM212="EUR",AA212,IF(AM212="GBP",AB212,1))</f>
        <v>7.92</v>
      </c>
      <c r="AP212" s="52" t="n">
        <f aca="false">P212*AN212</f>
        <v>726.03107136</v>
      </c>
      <c r="AQ212" s="52" t="n">
        <f aca="false">AP212*AO212</f>
        <v>5750.1660851712</v>
      </c>
      <c r="AR212" s="52" t="s">
        <v>199</v>
      </c>
      <c r="AS212" s="52" t="n">
        <v>4.968</v>
      </c>
      <c r="AT212" s="52" t="n">
        <f aca="false">IF(AR212="EUR",AA212,IF(AR212="GBP",AB212,1))</f>
        <v>9.15</v>
      </c>
      <c r="AU212" s="52" t="n">
        <f aca="false">T212*AS212</f>
        <v>662.4052992</v>
      </c>
      <c r="AV212" s="52" t="n">
        <f aca="false">AU212*AT212</f>
        <v>6061.00848768</v>
      </c>
      <c r="AW212" s="52" t="s">
        <v>199</v>
      </c>
      <c r="AX212" s="52" t="n">
        <v>2.898</v>
      </c>
      <c r="AY212" s="52" t="n">
        <f aca="false">IF(AW212="EUR",AA212,IF(AW212="GBP",AB212,1))</f>
        <v>9.15</v>
      </c>
      <c r="AZ212" s="52" t="n">
        <f aca="false">V212*AX212</f>
        <v>77.4433142784</v>
      </c>
      <c r="BA212" s="52" t="n">
        <f aca="false">AZ212*AY212</f>
        <v>708.60632564736</v>
      </c>
      <c r="BB212" s="52" t="n">
        <f aca="false">AF212+AG212+AL212+AQ212+AV212+BA212</f>
        <v>137708.858624304</v>
      </c>
      <c r="BC212" s="54" t="n">
        <v>0.974</v>
      </c>
      <c r="BD212" s="32"/>
      <c r="BE212" s="30" t="s">
        <v>205</v>
      </c>
      <c r="BF212" s="32"/>
      <c r="BG212" s="32" t="s">
        <v>197</v>
      </c>
    </row>
    <row r="213" customFormat="false" ht="26.5" hidden="false" customHeight="false" outlineLevel="0" collapsed="false">
      <c r="A213" s="18" t="s">
        <v>203</v>
      </c>
      <c r="B213" s="18" t="s">
        <v>204</v>
      </c>
      <c r="C213" s="18"/>
      <c r="D213" s="49" t="n">
        <v>46266</v>
      </c>
      <c r="E213" s="18" t="s">
        <v>127</v>
      </c>
      <c r="F213" s="18" t="s">
        <v>119</v>
      </c>
      <c r="G213" s="18" t="s">
        <v>100</v>
      </c>
      <c r="H213" s="18" t="s">
        <v>128</v>
      </c>
      <c r="I213" s="18" t="s">
        <v>125</v>
      </c>
      <c r="J213" s="50" t="n">
        <v>17200</v>
      </c>
      <c r="K213" s="51" t="n">
        <v>0.34</v>
      </c>
      <c r="L213" s="51" t="n">
        <v>0.96</v>
      </c>
      <c r="M213" s="51" t="n">
        <v>0.28</v>
      </c>
      <c r="N213" s="52" t="n">
        <f aca="false">J213*K213*L213*M213</f>
        <v>1571.9424</v>
      </c>
      <c r="O213" s="50" t="n">
        <v>1.19</v>
      </c>
      <c r="P213" s="52" t="n">
        <f aca="false">N213*O213</f>
        <v>1870.611456</v>
      </c>
      <c r="Q213" s="50" t="n">
        <v>0.9384</v>
      </c>
      <c r="R213" s="52" t="n">
        <f aca="false">P213*Q213</f>
        <v>1755.3817903104</v>
      </c>
      <c r="S213" s="50" t="n">
        <v>0.095</v>
      </c>
      <c r="T213" s="52" t="n">
        <f aca="false">N213*S213</f>
        <v>149.334528</v>
      </c>
      <c r="U213" s="52" t="n">
        <v>0.011</v>
      </c>
      <c r="V213" s="52" t="n">
        <f aca="false">P213*U213</f>
        <v>20.576726016</v>
      </c>
      <c r="W213" s="53" t="s">
        <v>199</v>
      </c>
      <c r="X213" s="50" t="n">
        <v>8.22825</v>
      </c>
      <c r="Y213" s="53" t="s">
        <v>198</v>
      </c>
      <c r="Z213" s="50" t="n">
        <v>0.636318</v>
      </c>
      <c r="AA213" s="50" t="n">
        <v>7.92</v>
      </c>
      <c r="AB213" s="50" t="n">
        <v>9.15</v>
      </c>
      <c r="AC213" s="52" t="n">
        <f aca="false">IF(W213="EUR",AA213,IF(W213="GBP",AB213,1))</f>
        <v>9.15</v>
      </c>
      <c r="AD213" s="52" t="n">
        <f aca="false">R213*X213</f>
        <v>14443.7202161215</v>
      </c>
      <c r="AE213" s="52" t="n">
        <f aca="false">IF(Y213="PERCENTAGE_OF_BASE_FREIGHT",AD213*Z213,IF(Y213="PER_CHARGEABLE_KG",R213*Z213,P213*Z213))</f>
        <v>1116.98103004673</v>
      </c>
      <c r="AF213" s="52" t="n">
        <f aca="false">AD213*AC213</f>
        <v>132160.039977512</v>
      </c>
      <c r="AG213" s="52" t="n">
        <f aca="false">AE213*AC213</f>
        <v>10220.3764249276</v>
      </c>
      <c r="AH213" s="52" t="s">
        <v>195</v>
      </c>
      <c r="AI213" s="52" t="n">
        <v>1.37620106985006</v>
      </c>
      <c r="AJ213" s="52" t="n">
        <f aca="false">IF(AH213="EUR",AA213,IF(AH213="GBP",AB213,1))</f>
        <v>7.92</v>
      </c>
      <c r="AK213" s="52" t="n">
        <f aca="false">N213*AI213</f>
        <v>2163.30881262266</v>
      </c>
      <c r="AL213" s="52" t="n">
        <f aca="false">AK213*AJ213</f>
        <v>17133.4057959715</v>
      </c>
      <c r="AM213" s="52" t="s">
        <v>195</v>
      </c>
      <c r="AN213" s="52" t="n">
        <v>0.4347</v>
      </c>
      <c r="AO213" s="52" t="n">
        <f aca="false">IF(AM213="EUR",AA213,IF(AM213="GBP",AB213,1))</f>
        <v>7.92</v>
      </c>
      <c r="AP213" s="52" t="n">
        <f aca="false">P213*AN213</f>
        <v>813.1547999232</v>
      </c>
      <c r="AQ213" s="52" t="n">
        <f aca="false">AP213*AO213</f>
        <v>6440.18601539174</v>
      </c>
      <c r="AR213" s="52" t="s">
        <v>199</v>
      </c>
      <c r="AS213" s="52" t="n">
        <v>4.968</v>
      </c>
      <c r="AT213" s="52" t="n">
        <f aca="false">IF(AR213="EUR",AA213,IF(AR213="GBP",AB213,1))</f>
        <v>9.15</v>
      </c>
      <c r="AU213" s="52" t="n">
        <f aca="false">T213*AS213</f>
        <v>741.893935104</v>
      </c>
      <c r="AV213" s="52" t="n">
        <f aca="false">AU213*AT213</f>
        <v>6788.3295062016</v>
      </c>
      <c r="AW213" s="52" t="s">
        <v>199</v>
      </c>
      <c r="AX213" s="52" t="n">
        <v>3.726</v>
      </c>
      <c r="AY213" s="52" t="n">
        <f aca="false">IF(AW213="EUR",AA213,IF(AW213="GBP",AB213,1))</f>
        <v>9.15</v>
      </c>
      <c r="AZ213" s="52" t="n">
        <f aca="false">V213*AX213</f>
        <v>76.668881135616</v>
      </c>
      <c r="BA213" s="52" t="n">
        <f aca="false">AZ213*AY213</f>
        <v>701.520262390886</v>
      </c>
      <c r="BB213" s="52" t="n">
        <f aca="false">AF213+AG213+AL213+AQ213+AV213+BA213</f>
        <v>173443.857982396</v>
      </c>
      <c r="BC213" s="54" t="n">
        <v>0.988</v>
      </c>
      <c r="BD213" s="32"/>
      <c r="BE213" s="30" t="s">
        <v>205</v>
      </c>
      <c r="BF213" s="32"/>
      <c r="BG213" s="32" t="s">
        <v>197</v>
      </c>
    </row>
    <row r="214" customFormat="false" ht="26.5" hidden="false" customHeight="false" outlineLevel="0" collapsed="false">
      <c r="A214" s="18" t="s">
        <v>203</v>
      </c>
      <c r="B214" s="18" t="s">
        <v>204</v>
      </c>
      <c r="C214" s="18"/>
      <c r="D214" s="49" t="n">
        <v>46266</v>
      </c>
      <c r="E214" s="18" t="s">
        <v>130</v>
      </c>
      <c r="F214" s="18" t="s">
        <v>119</v>
      </c>
      <c r="G214" s="18" t="s">
        <v>110</v>
      </c>
      <c r="H214" s="18" t="s">
        <v>107</v>
      </c>
      <c r="I214" s="18" t="s">
        <v>125</v>
      </c>
      <c r="J214" s="50" t="n">
        <v>17200</v>
      </c>
      <c r="K214" s="51" t="n">
        <v>0.34</v>
      </c>
      <c r="L214" s="51" t="n">
        <v>0.04</v>
      </c>
      <c r="M214" s="51" t="n">
        <v>1</v>
      </c>
      <c r="N214" s="52" t="n">
        <f aca="false">J214*K214*L214*M214</f>
        <v>233.92</v>
      </c>
      <c r="O214" s="50" t="n">
        <v>1.17</v>
      </c>
      <c r="P214" s="52" t="n">
        <f aca="false">N214*O214</f>
        <v>273.6864</v>
      </c>
      <c r="Q214" s="50" t="n">
        <v>0.918</v>
      </c>
      <c r="R214" s="52" t="n">
        <f aca="false">P214*Q214</f>
        <v>251.2441152</v>
      </c>
      <c r="S214" s="50" t="n">
        <v>0.095</v>
      </c>
      <c r="T214" s="52" t="n">
        <f aca="false">N214*S214</f>
        <v>22.2224</v>
      </c>
      <c r="U214" s="52" t="n">
        <v>0.014</v>
      </c>
      <c r="V214" s="52" t="n">
        <f aca="false">P214*U214</f>
        <v>3.8316096</v>
      </c>
      <c r="W214" s="53" t="s">
        <v>195</v>
      </c>
      <c r="X214" s="50" t="n">
        <v>6.9345</v>
      </c>
      <c r="Y214" s="53" t="s">
        <v>196</v>
      </c>
      <c r="Z214" s="50" t="n">
        <v>0.108675</v>
      </c>
      <c r="AA214" s="50" t="n">
        <v>7.92</v>
      </c>
      <c r="AB214" s="50" t="n">
        <v>9.15</v>
      </c>
      <c r="AC214" s="52" t="n">
        <f aca="false">IF(W214="EUR",AA214,IF(W214="GBP",AB214,1))</f>
        <v>7.92</v>
      </c>
      <c r="AD214" s="52" t="n">
        <f aca="false">R214*X214</f>
        <v>1742.2523168544</v>
      </c>
      <c r="AE214" s="52" t="n">
        <f aca="false">IF(Y214="PERCENTAGE_OF_BASE_FREIGHT",AD214*Z214,IF(Y214="PER_CHARGEABLE_KG",R214*Z214,P214*Z214))</f>
        <v>189.339270534152</v>
      </c>
      <c r="AF214" s="52" t="n">
        <f aca="false">AD214*AC214</f>
        <v>13798.6383494868</v>
      </c>
      <c r="AG214" s="52" t="n">
        <f aca="false">AE214*AC214</f>
        <v>1499.56702263048</v>
      </c>
      <c r="AH214" s="52" t="s">
        <v>195</v>
      </c>
      <c r="AI214" s="52" t="n">
        <v>1.08675</v>
      </c>
      <c r="AJ214" s="52" t="n">
        <f aca="false">IF(AH214="EUR",AA214,IF(AH214="GBP",AB214,1))</f>
        <v>7.92</v>
      </c>
      <c r="AK214" s="52" t="n">
        <f aca="false">N214*AI214</f>
        <v>254.21256</v>
      </c>
      <c r="AL214" s="52" t="n">
        <f aca="false">AK214*AJ214</f>
        <v>2013.3634752</v>
      </c>
      <c r="AM214" s="52" t="s">
        <v>195</v>
      </c>
      <c r="AN214" s="52" t="n">
        <v>0.3933</v>
      </c>
      <c r="AO214" s="52" t="n">
        <f aca="false">IF(AM214="EUR",AA214,IF(AM214="GBP",AB214,1))</f>
        <v>7.92</v>
      </c>
      <c r="AP214" s="52" t="n">
        <f aca="false">P214*AN214</f>
        <v>107.64086112</v>
      </c>
      <c r="AQ214" s="52" t="n">
        <f aca="false">AP214*AO214</f>
        <v>852.5156200704</v>
      </c>
      <c r="AR214" s="52" t="s">
        <v>195</v>
      </c>
      <c r="AS214" s="52" t="n">
        <v>5.382</v>
      </c>
      <c r="AT214" s="52" t="n">
        <f aca="false">IF(AR214="EUR",AA214,IF(AR214="GBP",AB214,1))</f>
        <v>7.92</v>
      </c>
      <c r="AU214" s="52" t="n">
        <f aca="false">T214*AS214</f>
        <v>119.6009568</v>
      </c>
      <c r="AV214" s="52" t="n">
        <f aca="false">AU214*AT214</f>
        <v>947.239577856</v>
      </c>
      <c r="AW214" s="52" t="s">
        <v>195</v>
      </c>
      <c r="AX214" s="52" t="n">
        <v>2.898</v>
      </c>
      <c r="AY214" s="52" t="n">
        <f aca="false">IF(AW214="EUR",AA214,IF(AW214="GBP",AB214,1))</f>
        <v>7.92</v>
      </c>
      <c r="AZ214" s="52" t="n">
        <f aca="false">V214*AX214</f>
        <v>11.1040046208</v>
      </c>
      <c r="BA214" s="52" t="n">
        <f aca="false">AZ214*AY214</f>
        <v>87.943716596736</v>
      </c>
      <c r="BB214" s="52" t="n">
        <f aca="false">AF214+AG214+AL214+AQ214+AV214+BA214</f>
        <v>19199.2677618405</v>
      </c>
      <c r="BC214" s="54" t="n">
        <v>0.971</v>
      </c>
      <c r="BD214" s="32"/>
      <c r="BE214" s="30" t="s">
        <v>205</v>
      </c>
      <c r="BF214" s="32"/>
      <c r="BG214" s="32" t="s">
        <v>197</v>
      </c>
    </row>
    <row r="215" customFormat="false" ht="26.5" hidden="false" customHeight="false" outlineLevel="0" collapsed="false">
      <c r="A215" s="18" t="s">
        <v>203</v>
      </c>
      <c r="B215" s="18" t="s">
        <v>204</v>
      </c>
      <c r="C215" s="18"/>
      <c r="D215" s="49" t="n">
        <v>46296</v>
      </c>
      <c r="E215" s="18" t="s">
        <v>98</v>
      </c>
      <c r="F215" s="18" t="s">
        <v>99</v>
      </c>
      <c r="G215" s="18" t="s">
        <v>100</v>
      </c>
      <c r="H215" s="18" t="s">
        <v>101</v>
      </c>
      <c r="I215" s="18" t="s">
        <v>102</v>
      </c>
      <c r="J215" s="50" t="n">
        <v>19500</v>
      </c>
      <c r="K215" s="51" t="n">
        <v>0.34</v>
      </c>
      <c r="L215" s="51" t="n">
        <v>0.97</v>
      </c>
      <c r="M215" s="51" t="n">
        <v>0.6</v>
      </c>
      <c r="N215" s="52" t="n">
        <f aca="false">J215*K215*L215*M215</f>
        <v>3858.66</v>
      </c>
      <c r="O215" s="50" t="n">
        <v>1.05</v>
      </c>
      <c r="P215" s="52" t="n">
        <f aca="false">N215*O215</f>
        <v>4051.593</v>
      </c>
      <c r="Q215" s="50" t="n">
        <v>0.7878</v>
      </c>
      <c r="R215" s="52" t="n">
        <f aca="false">P215*Q215</f>
        <v>3191.8449654</v>
      </c>
      <c r="S215" s="50" t="n">
        <v>0.05</v>
      </c>
      <c r="T215" s="52" t="n">
        <f aca="false">N215*S215</f>
        <v>192.933</v>
      </c>
      <c r="U215" s="52" t="n">
        <v>0.016</v>
      </c>
      <c r="V215" s="52" t="n">
        <f aca="false">P215*U215</f>
        <v>64.825488</v>
      </c>
      <c r="W215" s="53" t="s">
        <v>195</v>
      </c>
      <c r="X215" s="50" t="n">
        <v>2.277</v>
      </c>
      <c r="Y215" s="53" t="s">
        <v>196</v>
      </c>
      <c r="Z215" s="50" t="n">
        <v>0.098325</v>
      </c>
      <c r="AA215" s="50" t="n">
        <v>7.9</v>
      </c>
      <c r="AB215" s="50" t="n">
        <v>9.1</v>
      </c>
      <c r="AC215" s="52" t="n">
        <f aca="false">IF(W215="EUR",AA215,IF(W215="GBP",AB215,1))</f>
        <v>7.9</v>
      </c>
      <c r="AD215" s="52" t="n">
        <f aca="false">R215*X215</f>
        <v>7267.8309862158</v>
      </c>
      <c r="AE215" s="52" t="n">
        <f aca="false">IF(Y215="PERCENTAGE_OF_BASE_FREIGHT",AD215*Z215,IF(Y215="PER_CHARGEABLE_KG",R215*Z215,P215*Z215))</f>
        <v>714.609481719669</v>
      </c>
      <c r="AF215" s="52" t="n">
        <f aca="false">AD215*AC215</f>
        <v>57415.8647911048</v>
      </c>
      <c r="AG215" s="52" t="n">
        <f aca="false">AE215*AC215</f>
        <v>5645.41490558538</v>
      </c>
      <c r="AH215" s="52" t="s">
        <v>195</v>
      </c>
      <c r="AI215" s="52" t="n">
        <v>1.35797114644313</v>
      </c>
      <c r="AJ215" s="52" t="n">
        <f aca="false">IF(AH215="EUR",AA215,IF(AH215="GBP",AB215,1))</f>
        <v>7.9</v>
      </c>
      <c r="AK215" s="52" t="n">
        <f aca="false">N215*AI215</f>
        <v>5239.94894393426</v>
      </c>
      <c r="AL215" s="52" t="n">
        <f aca="false">AK215*AJ215</f>
        <v>41395.5966570807</v>
      </c>
      <c r="AM215" s="52" t="s">
        <v>195</v>
      </c>
      <c r="AN215" s="52" t="n">
        <v>0.4347</v>
      </c>
      <c r="AO215" s="52" t="n">
        <f aca="false">IF(AM215="EUR",AA215,IF(AM215="GBP",AB215,1))</f>
        <v>7.9</v>
      </c>
      <c r="AP215" s="52" t="n">
        <f aca="false">P215*AN215</f>
        <v>1761.2274771</v>
      </c>
      <c r="AQ215" s="52" t="n">
        <f aca="false">AP215*AO215</f>
        <v>13913.69706909</v>
      </c>
      <c r="AR215" s="52" t="s">
        <v>195</v>
      </c>
      <c r="AS215" s="52" t="n">
        <v>3.312</v>
      </c>
      <c r="AT215" s="52" t="n">
        <f aca="false">IF(AR215="EUR",AA215,IF(AR215="GBP",AB215,1))</f>
        <v>7.9</v>
      </c>
      <c r="AU215" s="52" t="n">
        <f aca="false">T215*AS215</f>
        <v>638.994096</v>
      </c>
      <c r="AV215" s="52" t="n">
        <f aca="false">AU215*AT215</f>
        <v>5048.0533584</v>
      </c>
      <c r="AW215" s="52" t="s">
        <v>195</v>
      </c>
      <c r="AX215" s="52" t="n">
        <v>2.3805</v>
      </c>
      <c r="AY215" s="52" t="n">
        <f aca="false">IF(AW215="EUR",AA215,IF(AW215="GBP",AB215,1))</f>
        <v>7.9</v>
      </c>
      <c r="AZ215" s="52" t="n">
        <f aca="false">V215*AX215</f>
        <v>154.317074184</v>
      </c>
      <c r="BA215" s="52" t="n">
        <f aca="false">AZ215*AY215</f>
        <v>1219.1048860536</v>
      </c>
      <c r="BB215" s="52" t="n">
        <f aca="false">AF215+AG215+AL215+AQ215+AV215+BA215</f>
        <v>124637.731667314</v>
      </c>
      <c r="BC215" s="54" t="n">
        <v>0.965</v>
      </c>
      <c r="BD215" s="32"/>
      <c r="BE215" s="30" t="s">
        <v>205</v>
      </c>
      <c r="BF215" s="32"/>
      <c r="BG215" s="32" t="s">
        <v>197</v>
      </c>
    </row>
    <row r="216" customFormat="false" ht="26.5" hidden="false" customHeight="false" outlineLevel="0" collapsed="false">
      <c r="A216" s="18" t="s">
        <v>203</v>
      </c>
      <c r="B216" s="18" t="s">
        <v>204</v>
      </c>
      <c r="C216" s="18"/>
      <c r="D216" s="49" t="n">
        <v>46296</v>
      </c>
      <c r="E216" s="18" t="s">
        <v>106</v>
      </c>
      <c r="F216" s="18" t="s">
        <v>99</v>
      </c>
      <c r="G216" s="18" t="s">
        <v>100</v>
      </c>
      <c r="H216" s="18" t="s">
        <v>107</v>
      </c>
      <c r="I216" s="18" t="s">
        <v>102</v>
      </c>
      <c r="J216" s="50" t="n">
        <v>19500</v>
      </c>
      <c r="K216" s="51" t="n">
        <v>0.34</v>
      </c>
      <c r="L216" s="51" t="n">
        <v>0.97</v>
      </c>
      <c r="M216" s="51" t="n">
        <v>0.4</v>
      </c>
      <c r="N216" s="52" t="n">
        <f aca="false">J216*K216*L216*M216</f>
        <v>2572.44</v>
      </c>
      <c r="O216" s="50" t="n">
        <v>1.05</v>
      </c>
      <c r="P216" s="52" t="n">
        <f aca="false">N216*O216</f>
        <v>2701.062</v>
      </c>
      <c r="Q216" s="50" t="n">
        <v>0.808</v>
      </c>
      <c r="R216" s="52" t="n">
        <f aca="false">P216*Q216</f>
        <v>2182.458096</v>
      </c>
      <c r="S216" s="50" t="n">
        <v>0.05</v>
      </c>
      <c r="T216" s="52" t="n">
        <f aca="false">N216*S216</f>
        <v>128.622</v>
      </c>
      <c r="U216" s="52" t="n">
        <v>0.013</v>
      </c>
      <c r="V216" s="52" t="n">
        <f aca="false">P216*U216</f>
        <v>35.113806</v>
      </c>
      <c r="W216" s="53" t="s">
        <v>195</v>
      </c>
      <c r="X216" s="50" t="n">
        <v>2.84625</v>
      </c>
      <c r="Y216" s="53" t="s">
        <v>198</v>
      </c>
      <c r="Z216" s="50" t="n">
        <v>0.21735</v>
      </c>
      <c r="AA216" s="50" t="n">
        <v>7.9</v>
      </c>
      <c r="AB216" s="50" t="n">
        <v>9.1</v>
      </c>
      <c r="AC216" s="52" t="n">
        <f aca="false">IF(W216="EUR",AA216,IF(W216="GBP",AB216,1))</f>
        <v>7.9</v>
      </c>
      <c r="AD216" s="52" t="n">
        <f aca="false">R216*X216</f>
        <v>6211.82135574</v>
      </c>
      <c r="AE216" s="52" t="n">
        <f aca="false">IF(Y216="PERCENTAGE_OF_BASE_FREIGHT",AD216*Z216,IF(Y216="PER_CHARGEABLE_KG",R216*Z216,P216*Z216))</f>
        <v>474.3572671656</v>
      </c>
      <c r="AF216" s="52" t="n">
        <f aca="false">AD216*AC216</f>
        <v>49073.388710346</v>
      </c>
      <c r="AG216" s="52" t="n">
        <f aca="false">AE216*AC216</f>
        <v>3747.42241060824</v>
      </c>
      <c r="AH216" s="52" t="s">
        <v>195</v>
      </c>
      <c r="AI216" s="52" t="n">
        <v>1.35797114644313</v>
      </c>
      <c r="AJ216" s="52" t="n">
        <f aca="false">IF(AH216="EUR",AA216,IF(AH216="GBP",AB216,1))</f>
        <v>7.9</v>
      </c>
      <c r="AK216" s="52" t="n">
        <f aca="false">N216*AI216</f>
        <v>3493.29929595618</v>
      </c>
      <c r="AL216" s="52" t="n">
        <f aca="false">AK216*AJ216</f>
        <v>27597.0644380538</v>
      </c>
      <c r="AM216" s="52" t="s">
        <v>195</v>
      </c>
      <c r="AN216" s="52" t="n">
        <v>0.4347</v>
      </c>
      <c r="AO216" s="52" t="n">
        <f aca="false">IF(AM216="EUR",AA216,IF(AM216="GBP",AB216,1))</f>
        <v>7.9</v>
      </c>
      <c r="AP216" s="52" t="n">
        <f aca="false">P216*AN216</f>
        <v>1174.1516514</v>
      </c>
      <c r="AQ216" s="52" t="n">
        <f aca="false">AP216*AO216</f>
        <v>9275.79804606</v>
      </c>
      <c r="AR216" s="52" t="s">
        <v>195</v>
      </c>
      <c r="AS216" s="52" t="n">
        <v>3.312</v>
      </c>
      <c r="AT216" s="52" t="n">
        <f aca="false">IF(AR216="EUR",AA216,IF(AR216="GBP",AB216,1))</f>
        <v>7.9</v>
      </c>
      <c r="AU216" s="52" t="n">
        <f aca="false">T216*AS216</f>
        <v>425.996064</v>
      </c>
      <c r="AV216" s="52" t="n">
        <f aca="false">AU216*AT216</f>
        <v>3365.3689056</v>
      </c>
      <c r="AW216" s="52" t="s">
        <v>195</v>
      </c>
      <c r="AX216" s="52" t="n">
        <v>2.3805</v>
      </c>
      <c r="AY216" s="52" t="n">
        <f aca="false">IF(AW216="EUR",AA216,IF(AW216="GBP",AB216,1))</f>
        <v>7.9</v>
      </c>
      <c r="AZ216" s="52" t="n">
        <f aca="false">V216*AX216</f>
        <v>83.588415183</v>
      </c>
      <c r="BA216" s="52" t="n">
        <f aca="false">AZ216*AY216</f>
        <v>660.3484799457</v>
      </c>
      <c r="BB216" s="52" t="n">
        <f aca="false">AF216+AG216+AL216+AQ216+AV216+BA216</f>
        <v>93719.3909906138</v>
      </c>
      <c r="BC216" s="54" t="n">
        <v>0.976</v>
      </c>
      <c r="BD216" s="32"/>
      <c r="BE216" s="30" t="s">
        <v>205</v>
      </c>
      <c r="BF216" s="32"/>
      <c r="BG216" s="32" t="s">
        <v>197</v>
      </c>
    </row>
    <row r="217" customFormat="false" ht="26.5" hidden="false" customHeight="false" outlineLevel="0" collapsed="false">
      <c r="A217" s="18" t="s">
        <v>203</v>
      </c>
      <c r="B217" s="18" t="s">
        <v>204</v>
      </c>
      <c r="C217" s="18"/>
      <c r="D217" s="49" t="n">
        <v>46296</v>
      </c>
      <c r="E217" s="18" t="s">
        <v>109</v>
      </c>
      <c r="F217" s="18" t="s">
        <v>99</v>
      </c>
      <c r="G217" s="18" t="s">
        <v>110</v>
      </c>
      <c r="H217" s="18" t="s">
        <v>107</v>
      </c>
      <c r="I217" s="18" t="s">
        <v>102</v>
      </c>
      <c r="J217" s="50" t="n">
        <v>19500</v>
      </c>
      <c r="K217" s="51" t="n">
        <v>0.34</v>
      </c>
      <c r="L217" s="51" t="n">
        <v>0.03</v>
      </c>
      <c r="M217" s="51" t="n">
        <v>1</v>
      </c>
      <c r="N217" s="52" t="n">
        <f aca="false">J217*K217*L217*M217</f>
        <v>198.9</v>
      </c>
      <c r="O217" s="50" t="n">
        <v>1.08</v>
      </c>
      <c r="P217" s="52" t="n">
        <f aca="false">N217*O217</f>
        <v>214.812</v>
      </c>
      <c r="Q217" s="50" t="n">
        <v>0.8686</v>
      </c>
      <c r="R217" s="52" t="n">
        <f aca="false">P217*Q217</f>
        <v>186.5857032</v>
      </c>
      <c r="S217" s="50" t="n">
        <v>0.05</v>
      </c>
      <c r="T217" s="52" t="n">
        <f aca="false">N217*S217</f>
        <v>9.945</v>
      </c>
      <c r="U217" s="52" t="n">
        <v>0.014</v>
      </c>
      <c r="V217" s="52" t="n">
        <f aca="false">P217*U217</f>
        <v>3.007368</v>
      </c>
      <c r="W217" s="53" t="s">
        <v>195</v>
      </c>
      <c r="X217" s="50" t="n">
        <v>3.4155</v>
      </c>
      <c r="Y217" s="53" t="s">
        <v>198</v>
      </c>
      <c r="Z217" s="50" t="n">
        <v>0.2484</v>
      </c>
      <c r="AA217" s="50" t="n">
        <v>7.9</v>
      </c>
      <c r="AB217" s="50" t="n">
        <v>9.1</v>
      </c>
      <c r="AC217" s="52" t="n">
        <f aca="false">IF(W217="EUR",AA217,IF(W217="GBP",AB217,1))</f>
        <v>7.9</v>
      </c>
      <c r="AD217" s="52" t="n">
        <f aca="false">R217*X217</f>
        <v>637.2834692796</v>
      </c>
      <c r="AE217" s="52" t="n">
        <f aca="false">IF(Y217="PERCENTAGE_OF_BASE_FREIGHT",AD217*Z217,IF(Y217="PER_CHARGEABLE_KG",R217*Z217,P217*Z217))</f>
        <v>46.34788867488</v>
      </c>
      <c r="AF217" s="52" t="n">
        <f aca="false">AD217*AC217</f>
        <v>5034.53940730884</v>
      </c>
      <c r="AG217" s="52" t="n">
        <f aca="false">AE217*AC217</f>
        <v>366.148320531552</v>
      </c>
      <c r="AH217" s="52" t="s">
        <v>195</v>
      </c>
      <c r="AI217" s="52" t="n">
        <v>1.08675</v>
      </c>
      <c r="AJ217" s="52" t="n">
        <f aca="false">IF(AH217="EUR",AA217,IF(AH217="GBP",AB217,1))</f>
        <v>7.9</v>
      </c>
      <c r="AK217" s="52" t="n">
        <f aca="false">N217*AI217</f>
        <v>216.154575</v>
      </c>
      <c r="AL217" s="52" t="n">
        <f aca="false">AK217*AJ217</f>
        <v>1707.6211425</v>
      </c>
      <c r="AM217" s="52" t="s">
        <v>195</v>
      </c>
      <c r="AN217" s="52" t="n">
        <v>0.3933</v>
      </c>
      <c r="AO217" s="52" t="n">
        <f aca="false">IF(AM217="EUR",AA217,IF(AM217="GBP",AB217,1))</f>
        <v>7.9</v>
      </c>
      <c r="AP217" s="52" t="n">
        <f aca="false">P217*AN217</f>
        <v>84.4855596</v>
      </c>
      <c r="AQ217" s="52" t="n">
        <f aca="false">AP217*AO217</f>
        <v>667.43592084</v>
      </c>
      <c r="AR217" s="52" t="s">
        <v>195</v>
      </c>
      <c r="AS217" s="52" t="n">
        <v>3.933</v>
      </c>
      <c r="AT217" s="52" t="n">
        <f aca="false">IF(AR217="EUR",AA217,IF(AR217="GBP",AB217,1))</f>
        <v>7.9</v>
      </c>
      <c r="AU217" s="52" t="n">
        <f aca="false">T217*AS217</f>
        <v>39.113685</v>
      </c>
      <c r="AV217" s="52" t="n">
        <f aca="false">AU217*AT217</f>
        <v>308.9981115</v>
      </c>
      <c r="AW217" s="52" t="s">
        <v>195</v>
      </c>
      <c r="AX217" s="52" t="n">
        <v>2.3805</v>
      </c>
      <c r="AY217" s="52" t="n">
        <f aca="false">IF(AW217="EUR",AA217,IF(AW217="GBP",AB217,1))</f>
        <v>7.9</v>
      </c>
      <c r="AZ217" s="52" t="n">
        <f aca="false">V217*AX217</f>
        <v>7.159039524</v>
      </c>
      <c r="BA217" s="52" t="n">
        <f aca="false">AZ217*AY217</f>
        <v>56.5564122396</v>
      </c>
      <c r="BB217" s="52" t="n">
        <f aca="false">AF217+AG217+AL217+AQ217+AV217+BA217</f>
        <v>8141.29931491999</v>
      </c>
      <c r="BC217" s="54" t="n">
        <v>0.968</v>
      </c>
      <c r="BD217" s="32"/>
      <c r="BE217" s="30" t="s">
        <v>205</v>
      </c>
      <c r="BF217" s="32"/>
      <c r="BG217" s="32" t="s">
        <v>197</v>
      </c>
    </row>
    <row r="218" customFormat="false" ht="26.5" hidden="false" customHeight="false" outlineLevel="0" collapsed="false">
      <c r="A218" s="18" t="s">
        <v>203</v>
      </c>
      <c r="B218" s="18" t="s">
        <v>204</v>
      </c>
      <c r="C218" s="18"/>
      <c r="D218" s="49" t="n">
        <v>46296</v>
      </c>
      <c r="E218" s="18" t="s">
        <v>112</v>
      </c>
      <c r="F218" s="18" t="s">
        <v>113</v>
      </c>
      <c r="G218" s="18" t="s">
        <v>110</v>
      </c>
      <c r="H218" s="18" t="s">
        <v>101</v>
      </c>
      <c r="I218" s="18" t="s">
        <v>102</v>
      </c>
      <c r="J218" s="50" t="n">
        <v>19500</v>
      </c>
      <c r="K218" s="51" t="n">
        <v>0.3</v>
      </c>
      <c r="L218" s="51" t="n">
        <v>1</v>
      </c>
      <c r="M218" s="51" t="n">
        <v>0.35</v>
      </c>
      <c r="N218" s="52" t="n">
        <f aca="false">J218*K218*L218*M218</f>
        <v>2047.5</v>
      </c>
      <c r="O218" s="50" t="n">
        <v>1.06</v>
      </c>
      <c r="P218" s="52" t="n">
        <f aca="false">N218*O218</f>
        <v>2170.35</v>
      </c>
      <c r="Q218" s="50" t="n">
        <v>0.7676</v>
      </c>
      <c r="R218" s="52" t="n">
        <f aca="false">P218*Q218</f>
        <v>1665.96066</v>
      </c>
      <c r="S218" s="50" t="n">
        <v>0.06</v>
      </c>
      <c r="T218" s="52" t="n">
        <f aca="false">N218*S218</f>
        <v>122.85</v>
      </c>
      <c r="U218" s="52" t="n">
        <v>0.017</v>
      </c>
      <c r="V218" s="52" t="n">
        <f aca="false">P218*U218</f>
        <v>36.89595</v>
      </c>
      <c r="W218" s="53" t="s">
        <v>195</v>
      </c>
      <c r="X218" s="50" t="n">
        <v>2.1735</v>
      </c>
      <c r="Y218" s="53" t="s">
        <v>196</v>
      </c>
      <c r="Z218" s="50" t="n">
        <v>0.09315</v>
      </c>
      <c r="AA218" s="50" t="n">
        <v>7.9</v>
      </c>
      <c r="AB218" s="50" t="n">
        <v>9.1</v>
      </c>
      <c r="AC218" s="52" t="n">
        <f aca="false">IF(W218="EUR",AA218,IF(W218="GBP",AB218,1))</f>
        <v>7.9</v>
      </c>
      <c r="AD218" s="52" t="n">
        <f aca="false">R218*X218</f>
        <v>3620.96549451</v>
      </c>
      <c r="AE218" s="52" t="n">
        <f aca="false">IF(Y218="PERCENTAGE_OF_BASE_FREIGHT",AD218*Z218,IF(Y218="PER_CHARGEABLE_KG",R218*Z218,P218*Z218))</f>
        <v>337.292935813606</v>
      </c>
      <c r="AF218" s="52" t="n">
        <f aca="false">AD218*AC218</f>
        <v>28605.627406629</v>
      </c>
      <c r="AG218" s="52" t="n">
        <f aca="false">AE218*AC218</f>
        <v>2664.61419292749</v>
      </c>
      <c r="AH218" s="52" t="s">
        <v>195</v>
      </c>
      <c r="AI218" s="52" t="n">
        <v>1.08675</v>
      </c>
      <c r="AJ218" s="52" t="n">
        <f aca="false">IF(AH218="EUR",AA218,IF(AH218="GBP",AB218,1))</f>
        <v>7.9</v>
      </c>
      <c r="AK218" s="52" t="n">
        <f aca="false">N218*AI218</f>
        <v>2225.120625</v>
      </c>
      <c r="AL218" s="52" t="n">
        <f aca="false">AK218*AJ218</f>
        <v>17578.4529375</v>
      </c>
      <c r="AM218" s="52" t="s">
        <v>195</v>
      </c>
      <c r="AN218" s="52" t="n">
        <v>0.3933</v>
      </c>
      <c r="AO218" s="52" t="n">
        <f aca="false">IF(AM218="EUR",AA218,IF(AM218="GBP",AB218,1))</f>
        <v>7.9</v>
      </c>
      <c r="AP218" s="52" t="n">
        <f aca="false">P218*AN218</f>
        <v>853.598655</v>
      </c>
      <c r="AQ218" s="52" t="n">
        <f aca="false">AP218*AO218</f>
        <v>6743.4293745</v>
      </c>
      <c r="AR218" s="52" t="s">
        <v>195</v>
      </c>
      <c r="AS218" s="52" t="n">
        <v>3.105</v>
      </c>
      <c r="AT218" s="52" t="n">
        <f aca="false">IF(AR218="EUR",AA218,IF(AR218="GBP",AB218,1))</f>
        <v>7.9</v>
      </c>
      <c r="AU218" s="52" t="n">
        <f aca="false">T218*AS218</f>
        <v>381.44925</v>
      </c>
      <c r="AV218" s="52" t="n">
        <f aca="false">AU218*AT218</f>
        <v>3013.449075</v>
      </c>
      <c r="AW218" s="52" t="s">
        <v>195</v>
      </c>
      <c r="AX218" s="52" t="n">
        <v>2.3805</v>
      </c>
      <c r="AY218" s="52" t="n">
        <f aca="false">IF(AW218="EUR",AA218,IF(AW218="GBP",AB218,1))</f>
        <v>7.9</v>
      </c>
      <c r="AZ218" s="52" t="n">
        <f aca="false">V218*AX218</f>
        <v>87.830808975</v>
      </c>
      <c r="BA218" s="52" t="n">
        <f aca="false">AZ218*AY218</f>
        <v>693.8633909025</v>
      </c>
      <c r="BB218" s="52" t="n">
        <f aca="false">AF218+AG218+AL218+AQ218+AV218+BA218</f>
        <v>59299.436377459</v>
      </c>
      <c r="BC218" s="54" t="n">
        <v>0.961</v>
      </c>
      <c r="BD218" s="32"/>
      <c r="BE218" s="30" t="s">
        <v>205</v>
      </c>
      <c r="BF218" s="32"/>
      <c r="BG218" s="32" t="s">
        <v>197</v>
      </c>
    </row>
    <row r="219" customFormat="false" ht="26.5" hidden="false" customHeight="false" outlineLevel="0" collapsed="false">
      <c r="A219" s="18" t="s">
        <v>203</v>
      </c>
      <c r="B219" s="18" t="s">
        <v>204</v>
      </c>
      <c r="C219" s="18"/>
      <c r="D219" s="49" t="n">
        <v>46296</v>
      </c>
      <c r="E219" s="18" t="s">
        <v>116</v>
      </c>
      <c r="F219" s="18" t="s">
        <v>113</v>
      </c>
      <c r="G219" s="18" t="s">
        <v>110</v>
      </c>
      <c r="H219" s="18" t="s">
        <v>107</v>
      </c>
      <c r="I219" s="18" t="s">
        <v>102</v>
      </c>
      <c r="J219" s="50" t="n">
        <v>19500</v>
      </c>
      <c r="K219" s="51" t="n">
        <v>0.3</v>
      </c>
      <c r="L219" s="51" t="n">
        <v>1</v>
      </c>
      <c r="M219" s="51" t="n">
        <v>0.65</v>
      </c>
      <c r="N219" s="52" t="n">
        <f aca="false">J219*K219*L219*M219</f>
        <v>3802.5</v>
      </c>
      <c r="O219" s="50" t="n">
        <v>1.06</v>
      </c>
      <c r="P219" s="52" t="n">
        <f aca="false">N219*O219</f>
        <v>4030.65</v>
      </c>
      <c r="Q219" s="50" t="n">
        <v>0.7979</v>
      </c>
      <c r="R219" s="52" t="n">
        <f aca="false">P219*Q219</f>
        <v>3216.055635</v>
      </c>
      <c r="S219" s="50" t="n">
        <v>0.06</v>
      </c>
      <c r="T219" s="52" t="n">
        <f aca="false">N219*S219</f>
        <v>228.15</v>
      </c>
      <c r="U219" s="52" t="n">
        <v>0.014</v>
      </c>
      <c r="V219" s="52" t="n">
        <f aca="false">P219*U219</f>
        <v>56.4291</v>
      </c>
      <c r="W219" s="53" t="s">
        <v>195</v>
      </c>
      <c r="X219" s="50" t="n">
        <v>2.691</v>
      </c>
      <c r="Y219" s="53" t="s">
        <v>198</v>
      </c>
      <c r="Z219" s="50" t="n">
        <v>0.207</v>
      </c>
      <c r="AA219" s="50" t="n">
        <v>7.9</v>
      </c>
      <c r="AB219" s="50" t="n">
        <v>9.1</v>
      </c>
      <c r="AC219" s="52" t="n">
        <f aca="false">IF(W219="EUR",AA219,IF(W219="GBP",AB219,1))</f>
        <v>7.9</v>
      </c>
      <c r="AD219" s="52" t="n">
        <f aca="false">R219*X219</f>
        <v>8654.405713785</v>
      </c>
      <c r="AE219" s="52" t="n">
        <f aca="false">IF(Y219="PERCENTAGE_OF_BASE_FREIGHT",AD219*Z219,IF(Y219="PER_CHARGEABLE_KG",R219*Z219,P219*Z219))</f>
        <v>665.723516445</v>
      </c>
      <c r="AF219" s="52" t="n">
        <f aca="false">AD219*AC219</f>
        <v>68369.8051389015</v>
      </c>
      <c r="AG219" s="52" t="n">
        <f aca="false">AE219*AC219</f>
        <v>5259.2157799155</v>
      </c>
      <c r="AH219" s="52" t="s">
        <v>195</v>
      </c>
      <c r="AI219" s="52" t="n">
        <v>1.08675</v>
      </c>
      <c r="AJ219" s="52" t="n">
        <f aca="false">IF(AH219="EUR",AA219,IF(AH219="GBP",AB219,1))</f>
        <v>7.9</v>
      </c>
      <c r="AK219" s="52" t="n">
        <f aca="false">N219*AI219</f>
        <v>4132.366875</v>
      </c>
      <c r="AL219" s="52" t="n">
        <f aca="false">AK219*AJ219</f>
        <v>32645.6983125</v>
      </c>
      <c r="AM219" s="52" t="s">
        <v>195</v>
      </c>
      <c r="AN219" s="52" t="n">
        <v>0.3933</v>
      </c>
      <c r="AO219" s="52" t="n">
        <f aca="false">IF(AM219="EUR",AA219,IF(AM219="GBP",AB219,1))</f>
        <v>7.9</v>
      </c>
      <c r="AP219" s="52" t="n">
        <f aca="false">P219*AN219</f>
        <v>1585.254645</v>
      </c>
      <c r="AQ219" s="52" t="n">
        <f aca="false">AP219*AO219</f>
        <v>12523.5116955</v>
      </c>
      <c r="AR219" s="52" t="s">
        <v>195</v>
      </c>
      <c r="AS219" s="52" t="n">
        <v>3.105</v>
      </c>
      <c r="AT219" s="52" t="n">
        <f aca="false">IF(AR219="EUR",AA219,IF(AR219="GBP",AB219,1))</f>
        <v>7.9</v>
      </c>
      <c r="AU219" s="52" t="n">
        <f aca="false">T219*AS219</f>
        <v>708.40575</v>
      </c>
      <c r="AV219" s="52" t="n">
        <f aca="false">AU219*AT219</f>
        <v>5596.405425</v>
      </c>
      <c r="AW219" s="52" t="s">
        <v>195</v>
      </c>
      <c r="AX219" s="52" t="n">
        <v>2.3805</v>
      </c>
      <c r="AY219" s="52" t="n">
        <f aca="false">IF(AW219="EUR",AA219,IF(AW219="GBP",AB219,1))</f>
        <v>7.9</v>
      </c>
      <c r="AZ219" s="52" t="n">
        <f aca="false">V219*AX219</f>
        <v>134.32947255</v>
      </c>
      <c r="BA219" s="52" t="n">
        <f aca="false">AZ219*AY219</f>
        <v>1061.202833145</v>
      </c>
      <c r="BB219" s="52" t="n">
        <f aca="false">AF219+AG219+AL219+AQ219+AV219+BA219</f>
        <v>125455.839184962</v>
      </c>
      <c r="BC219" s="54" t="n">
        <v>0.973</v>
      </c>
      <c r="BD219" s="32"/>
      <c r="BE219" s="30" t="s">
        <v>205</v>
      </c>
      <c r="BF219" s="32"/>
      <c r="BG219" s="32" t="s">
        <v>197</v>
      </c>
    </row>
    <row r="220" customFormat="false" ht="26.5" hidden="false" customHeight="false" outlineLevel="0" collapsed="false">
      <c r="A220" s="18" t="s">
        <v>203</v>
      </c>
      <c r="B220" s="18" t="s">
        <v>204</v>
      </c>
      <c r="C220" s="18"/>
      <c r="D220" s="49" t="n">
        <v>46296</v>
      </c>
      <c r="E220" s="18" t="s">
        <v>118</v>
      </c>
      <c r="F220" s="18" t="s">
        <v>119</v>
      </c>
      <c r="G220" s="18" t="s">
        <v>100</v>
      </c>
      <c r="H220" s="18" t="s">
        <v>101</v>
      </c>
      <c r="I220" s="18" t="s">
        <v>102</v>
      </c>
      <c r="J220" s="50" t="n">
        <v>19500</v>
      </c>
      <c r="K220" s="51" t="n">
        <v>0.36</v>
      </c>
      <c r="L220" s="51" t="n">
        <v>0.96</v>
      </c>
      <c r="M220" s="51" t="n">
        <v>0.36</v>
      </c>
      <c r="N220" s="52" t="n">
        <f aca="false">J220*K220*L220*M220</f>
        <v>2426.112</v>
      </c>
      <c r="O220" s="50" t="n">
        <v>1.17</v>
      </c>
      <c r="P220" s="52" t="n">
        <f aca="false">N220*O220</f>
        <v>2838.55104</v>
      </c>
      <c r="Q220" s="50" t="n">
        <v>1.050804</v>
      </c>
      <c r="R220" s="52" t="n">
        <f aca="false">P220*Q220</f>
        <v>2982.76078703616</v>
      </c>
      <c r="S220" s="50" t="n">
        <v>0.09</v>
      </c>
      <c r="T220" s="52" t="n">
        <f aca="false">N220*S220</f>
        <v>218.35008</v>
      </c>
      <c r="U220" s="52" t="n">
        <v>0.027</v>
      </c>
      <c r="V220" s="52" t="n">
        <f aca="false">P220*U220</f>
        <v>76.64087808</v>
      </c>
      <c r="W220" s="53" t="s">
        <v>199</v>
      </c>
      <c r="X220" s="50" t="n">
        <v>4.14</v>
      </c>
      <c r="Y220" s="53" t="s">
        <v>196</v>
      </c>
      <c r="Z220" s="50" t="n">
        <v>0.1035</v>
      </c>
      <c r="AA220" s="50" t="n">
        <v>7.9</v>
      </c>
      <c r="AB220" s="50" t="n">
        <v>9.1</v>
      </c>
      <c r="AC220" s="52" t="n">
        <f aca="false">IF(W220="EUR",AA220,IF(W220="GBP",AB220,1))</f>
        <v>9.1</v>
      </c>
      <c r="AD220" s="52" t="n">
        <f aca="false">R220*X220</f>
        <v>12348.6296583297</v>
      </c>
      <c r="AE220" s="52" t="n">
        <f aca="false">IF(Y220="PERCENTAGE_OF_BASE_FREIGHT",AD220*Z220,IF(Y220="PER_CHARGEABLE_KG",R220*Z220,P220*Z220))</f>
        <v>1278.08316963712</v>
      </c>
      <c r="AF220" s="52" t="n">
        <f aca="false">AD220*AC220</f>
        <v>112372.5298908</v>
      </c>
      <c r="AG220" s="52" t="n">
        <f aca="false">AE220*AC220</f>
        <v>11630.5568436978</v>
      </c>
      <c r="AH220" s="52" t="s">
        <v>195</v>
      </c>
      <c r="AI220" s="52" t="n">
        <v>1.35797114644313</v>
      </c>
      <c r="AJ220" s="52" t="n">
        <f aca="false">IF(AH220="EUR",AA220,IF(AH220="GBP",AB220,1))</f>
        <v>7.9</v>
      </c>
      <c r="AK220" s="52" t="n">
        <f aca="false">N220*AI220</f>
        <v>3294.59009403944</v>
      </c>
      <c r="AL220" s="52" t="n">
        <f aca="false">AK220*AJ220</f>
        <v>26027.2617429116</v>
      </c>
      <c r="AM220" s="52" t="s">
        <v>195</v>
      </c>
      <c r="AN220" s="52" t="n">
        <v>0.4347</v>
      </c>
      <c r="AO220" s="52" t="n">
        <f aca="false">IF(AM220="EUR",AA220,IF(AM220="GBP",AB220,1))</f>
        <v>7.9</v>
      </c>
      <c r="AP220" s="52" t="n">
        <f aca="false">P220*AN220</f>
        <v>1233.918137088</v>
      </c>
      <c r="AQ220" s="52" t="n">
        <f aca="false">AP220*AO220</f>
        <v>9747.9532829952</v>
      </c>
      <c r="AR220" s="52" t="s">
        <v>199</v>
      </c>
      <c r="AS220" s="52" t="n">
        <v>4.968</v>
      </c>
      <c r="AT220" s="52" t="n">
        <f aca="false">IF(AR220="EUR",AA220,IF(AR220="GBP",AB220,1))</f>
        <v>9.1</v>
      </c>
      <c r="AU220" s="52" t="n">
        <f aca="false">T220*AS220</f>
        <v>1084.76319744</v>
      </c>
      <c r="AV220" s="52" t="n">
        <f aca="false">AU220*AT220</f>
        <v>9871.345096704</v>
      </c>
      <c r="AW220" s="52" t="s">
        <v>199</v>
      </c>
      <c r="AX220" s="52" t="n">
        <v>2.3805</v>
      </c>
      <c r="AY220" s="52" t="n">
        <f aca="false">IF(AW220="EUR",AA220,IF(AW220="GBP",AB220,1))</f>
        <v>9.1</v>
      </c>
      <c r="AZ220" s="52" t="n">
        <f aca="false">V220*AX220</f>
        <v>182.44361026944</v>
      </c>
      <c r="BA220" s="52" t="n">
        <f aca="false">AZ220*AY220</f>
        <v>1660.2368534519</v>
      </c>
      <c r="BB220" s="52" t="n">
        <f aca="false">AF220+AG220+AL220+AQ220+AV220+BA220</f>
        <v>171309.883710561</v>
      </c>
      <c r="BC220" s="54" t="n">
        <v>0.93</v>
      </c>
      <c r="BD220" s="32"/>
      <c r="BE220" s="30" t="s">
        <v>205</v>
      </c>
      <c r="BF220" s="32"/>
      <c r="BG220" s="32" t="s">
        <v>197</v>
      </c>
    </row>
    <row r="221" customFormat="false" ht="26.5" hidden="false" customHeight="false" outlineLevel="0" collapsed="false">
      <c r="A221" s="18" t="s">
        <v>203</v>
      </c>
      <c r="B221" s="18" t="s">
        <v>204</v>
      </c>
      <c r="C221" s="18"/>
      <c r="D221" s="49" t="n">
        <v>46296</v>
      </c>
      <c r="E221" s="18" t="s">
        <v>122</v>
      </c>
      <c r="F221" s="18" t="s">
        <v>119</v>
      </c>
      <c r="G221" s="18" t="s">
        <v>100</v>
      </c>
      <c r="H221" s="18" t="s">
        <v>107</v>
      </c>
      <c r="I221" s="18" t="s">
        <v>102</v>
      </c>
      <c r="J221" s="50" t="n">
        <v>19500</v>
      </c>
      <c r="K221" s="51" t="n">
        <v>0.36</v>
      </c>
      <c r="L221" s="51" t="n">
        <v>0.96</v>
      </c>
      <c r="M221" s="51" t="n">
        <v>0.2</v>
      </c>
      <c r="N221" s="52" t="n">
        <f aca="false">J221*K221*L221*M221</f>
        <v>1347.84</v>
      </c>
      <c r="O221" s="50" t="n">
        <v>1.17</v>
      </c>
      <c r="P221" s="52" t="n">
        <f aca="false">N221*O221</f>
        <v>1576.9728</v>
      </c>
      <c r="Q221" s="50" t="n">
        <v>1.0302</v>
      </c>
      <c r="R221" s="52" t="n">
        <f aca="false">P221*Q221</f>
        <v>1624.59737856</v>
      </c>
      <c r="S221" s="50" t="n">
        <v>0.09</v>
      </c>
      <c r="T221" s="52" t="n">
        <f aca="false">N221*S221</f>
        <v>121.3056</v>
      </c>
      <c r="U221" s="52" t="n">
        <v>0.02</v>
      </c>
      <c r="V221" s="52" t="n">
        <f aca="false">P221*U221</f>
        <v>31.539456</v>
      </c>
      <c r="W221" s="53" t="s">
        <v>199</v>
      </c>
      <c r="X221" s="50" t="n">
        <v>4.8645</v>
      </c>
      <c r="Y221" s="53" t="s">
        <v>198</v>
      </c>
      <c r="Z221" s="50" t="n">
        <v>0.34155</v>
      </c>
      <c r="AA221" s="50" t="n">
        <v>7.9</v>
      </c>
      <c r="AB221" s="50" t="n">
        <v>9.1</v>
      </c>
      <c r="AC221" s="52" t="n">
        <f aca="false">IF(W221="EUR",AA221,IF(W221="GBP",AB221,1))</f>
        <v>9.1</v>
      </c>
      <c r="AD221" s="52" t="n">
        <f aca="false">R221*X221</f>
        <v>7902.85394800512</v>
      </c>
      <c r="AE221" s="52" t="n">
        <f aca="false">IF(Y221="PERCENTAGE_OF_BASE_FREIGHT",AD221*Z221,IF(Y221="PER_CHARGEABLE_KG",R221*Z221,P221*Z221))</f>
        <v>554.881234647168</v>
      </c>
      <c r="AF221" s="52" t="n">
        <f aca="false">AD221*AC221</f>
        <v>71915.9709268466</v>
      </c>
      <c r="AG221" s="52" t="n">
        <f aca="false">AE221*AC221</f>
        <v>5049.41923528923</v>
      </c>
      <c r="AH221" s="52" t="s">
        <v>195</v>
      </c>
      <c r="AI221" s="52" t="n">
        <v>1.35797114644313</v>
      </c>
      <c r="AJ221" s="52" t="n">
        <f aca="false">IF(AH221="EUR",AA221,IF(AH221="GBP",AB221,1))</f>
        <v>7.9</v>
      </c>
      <c r="AK221" s="52" t="n">
        <f aca="false">N221*AI221</f>
        <v>1830.32783002191</v>
      </c>
      <c r="AL221" s="52" t="n">
        <f aca="false">AK221*AJ221</f>
        <v>14459.5898571731</v>
      </c>
      <c r="AM221" s="52" t="s">
        <v>195</v>
      </c>
      <c r="AN221" s="52" t="n">
        <v>0.4347</v>
      </c>
      <c r="AO221" s="52" t="n">
        <f aca="false">IF(AM221="EUR",AA221,IF(AM221="GBP",AB221,1))</f>
        <v>7.9</v>
      </c>
      <c r="AP221" s="52" t="n">
        <f aca="false">P221*AN221</f>
        <v>685.51007616</v>
      </c>
      <c r="AQ221" s="52" t="n">
        <f aca="false">AP221*AO221</f>
        <v>5415.529601664</v>
      </c>
      <c r="AR221" s="52" t="s">
        <v>199</v>
      </c>
      <c r="AS221" s="52" t="n">
        <v>4.968</v>
      </c>
      <c r="AT221" s="52" t="n">
        <f aca="false">IF(AR221="EUR",AA221,IF(AR221="GBP",AB221,1))</f>
        <v>9.1</v>
      </c>
      <c r="AU221" s="52" t="n">
        <f aca="false">T221*AS221</f>
        <v>602.6462208</v>
      </c>
      <c r="AV221" s="52" t="n">
        <f aca="false">AU221*AT221</f>
        <v>5484.08060928</v>
      </c>
      <c r="AW221" s="52" t="s">
        <v>199</v>
      </c>
      <c r="AX221" s="52" t="n">
        <v>2.3805</v>
      </c>
      <c r="AY221" s="52" t="n">
        <f aca="false">IF(AW221="EUR",AA221,IF(AW221="GBP",AB221,1))</f>
        <v>9.1</v>
      </c>
      <c r="AZ221" s="52" t="n">
        <f aca="false">V221*AX221</f>
        <v>75.079675008</v>
      </c>
      <c r="BA221" s="52" t="n">
        <f aca="false">AZ221*AY221</f>
        <v>683.2250425728</v>
      </c>
      <c r="BB221" s="52" t="n">
        <f aca="false">AF221+AG221+AL221+AQ221+AV221+BA221</f>
        <v>103007.815272826</v>
      </c>
      <c r="BC221" s="54" t="n">
        <v>0.95</v>
      </c>
      <c r="BD221" s="32"/>
      <c r="BE221" s="30" t="s">
        <v>205</v>
      </c>
      <c r="BF221" s="32"/>
      <c r="BG221" s="32" t="s">
        <v>197</v>
      </c>
    </row>
    <row r="222" customFormat="false" ht="26.5" hidden="false" customHeight="false" outlineLevel="0" collapsed="false">
      <c r="A222" s="18" t="s">
        <v>203</v>
      </c>
      <c r="B222" s="18" t="s">
        <v>204</v>
      </c>
      <c r="C222" s="18"/>
      <c r="D222" s="49" t="n">
        <v>46296</v>
      </c>
      <c r="E222" s="18" t="s">
        <v>124</v>
      </c>
      <c r="F222" s="18" t="s">
        <v>119</v>
      </c>
      <c r="G222" s="18" t="s">
        <v>100</v>
      </c>
      <c r="H222" s="18" t="s">
        <v>107</v>
      </c>
      <c r="I222" s="18" t="s">
        <v>125</v>
      </c>
      <c r="J222" s="50" t="n">
        <v>19500</v>
      </c>
      <c r="K222" s="51" t="n">
        <v>0.36</v>
      </c>
      <c r="L222" s="51" t="n">
        <v>0.96</v>
      </c>
      <c r="M222" s="51" t="n">
        <v>0.24</v>
      </c>
      <c r="N222" s="52" t="n">
        <f aca="false">J222*K222*L222*M222</f>
        <v>1617.408</v>
      </c>
      <c r="O222" s="50" t="n">
        <v>1.17</v>
      </c>
      <c r="P222" s="52" t="n">
        <f aca="false">N222*O222</f>
        <v>1892.36736</v>
      </c>
      <c r="Q222" s="50" t="n">
        <v>0.968388</v>
      </c>
      <c r="R222" s="52" t="n">
        <f aca="false">P222*Q222</f>
        <v>1832.54584301568</v>
      </c>
      <c r="S222" s="50" t="n">
        <v>0.09</v>
      </c>
      <c r="T222" s="52" t="n">
        <f aca="false">N222*S222</f>
        <v>145.56672</v>
      </c>
      <c r="U222" s="52" t="n">
        <v>0.016</v>
      </c>
      <c r="V222" s="52" t="n">
        <f aca="false">P222*U222</f>
        <v>30.27787776</v>
      </c>
      <c r="W222" s="53" t="s">
        <v>199</v>
      </c>
      <c r="X222" s="50" t="n">
        <v>6.67368</v>
      </c>
      <c r="Y222" s="53" t="s">
        <v>196</v>
      </c>
      <c r="Z222" s="50" t="n">
        <v>0.123786</v>
      </c>
      <c r="AA222" s="50" t="n">
        <v>7.9</v>
      </c>
      <c r="AB222" s="50" t="n">
        <v>9.1</v>
      </c>
      <c r="AC222" s="52" t="n">
        <f aca="false">IF(W222="EUR",AA222,IF(W222="GBP",AB222,1))</f>
        <v>9.1</v>
      </c>
      <c r="AD222" s="52" t="n">
        <f aca="false">R222*X222</f>
        <v>12229.8245416169</v>
      </c>
      <c r="AE222" s="52" t="n">
        <f aca="false">IF(Y222="PERCENTAGE_OF_BASE_FREIGHT",AD222*Z222,IF(Y222="PER_CHARGEABLE_KG",R222*Z222,P222*Z222))</f>
        <v>1513.88106070859</v>
      </c>
      <c r="AF222" s="52" t="n">
        <f aca="false">AD222*AC222</f>
        <v>111291.403328714</v>
      </c>
      <c r="AG222" s="52" t="n">
        <f aca="false">AE222*AC222</f>
        <v>13776.3176524481</v>
      </c>
      <c r="AH222" s="52" t="s">
        <v>195</v>
      </c>
      <c r="AI222" s="52" t="n">
        <v>1.35797114644313</v>
      </c>
      <c r="AJ222" s="52" t="n">
        <f aca="false">IF(AH222="EUR",AA222,IF(AH222="GBP",AB222,1))</f>
        <v>7.9</v>
      </c>
      <c r="AK222" s="52" t="n">
        <f aca="false">N222*AI222</f>
        <v>2196.3933960263</v>
      </c>
      <c r="AL222" s="52" t="n">
        <f aca="false">AK222*AJ222</f>
        <v>17351.5078286077</v>
      </c>
      <c r="AM222" s="52" t="s">
        <v>195</v>
      </c>
      <c r="AN222" s="52" t="n">
        <v>0.4347</v>
      </c>
      <c r="AO222" s="52" t="n">
        <f aca="false">IF(AM222="EUR",AA222,IF(AM222="GBP",AB222,1))</f>
        <v>7.9</v>
      </c>
      <c r="AP222" s="52" t="n">
        <f aca="false">P222*AN222</f>
        <v>822.612091392</v>
      </c>
      <c r="AQ222" s="52" t="n">
        <f aca="false">AP222*AO222</f>
        <v>6498.6355219968</v>
      </c>
      <c r="AR222" s="52" t="s">
        <v>199</v>
      </c>
      <c r="AS222" s="52" t="n">
        <v>4.968</v>
      </c>
      <c r="AT222" s="52" t="n">
        <f aca="false">IF(AR222="EUR",AA222,IF(AR222="GBP",AB222,1))</f>
        <v>9.1</v>
      </c>
      <c r="AU222" s="52" t="n">
        <f aca="false">T222*AS222</f>
        <v>723.17546496</v>
      </c>
      <c r="AV222" s="52" t="n">
        <f aca="false">AU222*AT222</f>
        <v>6580.896731136</v>
      </c>
      <c r="AW222" s="52" t="s">
        <v>199</v>
      </c>
      <c r="AX222" s="52" t="n">
        <v>2.898</v>
      </c>
      <c r="AY222" s="52" t="n">
        <f aca="false">IF(AW222="EUR",AA222,IF(AW222="GBP",AB222,1))</f>
        <v>9.1</v>
      </c>
      <c r="AZ222" s="52" t="n">
        <f aca="false">V222*AX222</f>
        <v>87.74528974848</v>
      </c>
      <c r="BA222" s="52" t="n">
        <f aca="false">AZ222*AY222</f>
        <v>798.482136711168</v>
      </c>
      <c r="BB222" s="52" t="n">
        <f aca="false">AF222+AG222+AL222+AQ222+AV222+BA222</f>
        <v>156297.243199613</v>
      </c>
      <c r="BC222" s="54" t="n">
        <v>0.974</v>
      </c>
      <c r="BD222" s="32"/>
      <c r="BE222" s="30" t="s">
        <v>205</v>
      </c>
      <c r="BF222" s="32"/>
      <c r="BG222" s="32" t="s">
        <v>197</v>
      </c>
    </row>
    <row r="223" customFormat="false" ht="26.5" hidden="false" customHeight="false" outlineLevel="0" collapsed="false">
      <c r="A223" s="18" t="s">
        <v>203</v>
      </c>
      <c r="B223" s="18" t="s">
        <v>204</v>
      </c>
      <c r="C223" s="18"/>
      <c r="D223" s="49" t="n">
        <v>46296</v>
      </c>
      <c r="E223" s="18" t="s">
        <v>127</v>
      </c>
      <c r="F223" s="18" t="s">
        <v>119</v>
      </c>
      <c r="G223" s="18" t="s">
        <v>100</v>
      </c>
      <c r="H223" s="18" t="s">
        <v>128</v>
      </c>
      <c r="I223" s="18" t="s">
        <v>125</v>
      </c>
      <c r="J223" s="50" t="n">
        <v>19500</v>
      </c>
      <c r="K223" s="51" t="n">
        <v>0.36</v>
      </c>
      <c r="L223" s="51" t="n">
        <v>0.96</v>
      </c>
      <c r="M223" s="51" t="n">
        <v>0.2</v>
      </c>
      <c r="N223" s="52" t="n">
        <f aca="false">J223*K223*L223*M223</f>
        <v>1347.84</v>
      </c>
      <c r="O223" s="50" t="n">
        <v>1.17</v>
      </c>
      <c r="P223" s="52" t="n">
        <f aca="false">N223*O223</f>
        <v>1576.9728</v>
      </c>
      <c r="Q223" s="50" t="n">
        <v>0.947784</v>
      </c>
      <c r="R223" s="52" t="n">
        <f aca="false">P223*Q223</f>
        <v>1494.6295882752</v>
      </c>
      <c r="S223" s="50" t="n">
        <v>0.09</v>
      </c>
      <c r="T223" s="52" t="n">
        <f aca="false">N223*S223</f>
        <v>121.3056</v>
      </c>
      <c r="U223" s="52" t="n">
        <v>0.011</v>
      </c>
      <c r="V223" s="52" t="n">
        <f aca="false">P223*U223</f>
        <v>17.3467008</v>
      </c>
      <c r="W223" s="53" t="s">
        <v>199</v>
      </c>
      <c r="X223" s="50" t="n">
        <v>8.22825</v>
      </c>
      <c r="Y223" s="53" t="s">
        <v>198</v>
      </c>
      <c r="Z223" s="50" t="n">
        <v>0.636318</v>
      </c>
      <c r="AA223" s="50" t="n">
        <v>7.9</v>
      </c>
      <c r="AB223" s="50" t="n">
        <v>9.1</v>
      </c>
      <c r="AC223" s="52" t="n">
        <f aca="false">IF(W223="EUR",AA223,IF(W223="GBP",AB223,1))</f>
        <v>9.1</v>
      </c>
      <c r="AD223" s="52" t="n">
        <f aca="false">R223*X223</f>
        <v>12298.1859097254</v>
      </c>
      <c r="AE223" s="52" t="n">
        <f aca="false">IF(Y223="PERCENTAGE_OF_BASE_FREIGHT",AD223*Z223,IF(Y223="PER_CHARGEABLE_KG",R223*Z223,P223*Z223))</f>
        <v>951.059710352099</v>
      </c>
      <c r="AF223" s="52" t="n">
        <f aca="false">AD223*AC223</f>
        <v>111913.491778501</v>
      </c>
      <c r="AG223" s="52" t="n">
        <f aca="false">AE223*AC223</f>
        <v>8654.6433642041</v>
      </c>
      <c r="AH223" s="52" t="s">
        <v>195</v>
      </c>
      <c r="AI223" s="52" t="n">
        <v>1.35797114644313</v>
      </c>
      <c r="AJ223" s="52" t="n">
        <f aca="false">IF(AH223="EUR",AA223,IF(AH223="GBP",AB223,1))</f>
        <v>7.9</v>
      </c>
      <c r="AK223" s="52" t="n">
        <f aca="false">N223*AI223</f>
        <v>1830.32783002191</v>
      </c>
      <c r="AL223" s="52" t="n">
        <f aca="false">AK223*AJ223</f>
        <v>14459.5898571731</v>
      </c>
      <c r="AM223" s="52" t="s">
        <v>195</v>
      </c>
      <c r="AN223" s="52" t="n">
        <v>0.4347</v>
      </c>
      <c r="AO223" s="52" t="n">
        <f aca="false">IF(AM223="EUR",AA223,IF(AM223="GBP",AB223,1))</f>
        <v>7.9</v>
      </c>
      <c r="AP223" s="52" t="n">
        <f aca="false">P223*AN223</f>
        <v>685.51007616</v>
      </c>
      <c r="AQ223" s="52" t="n">
        <f aca="false">AP223*AO223</f>
        <v>5415.529601664</v>
      </c>
      <c r="AR223" s="52" t="s">
        <v>199</v>
      </c>
      <c r="AS223" s="52" t="n">
        <v>4.968</v>
      </c>
      <c r="AT223" s="52" t="n">
        <f aca="false">IF(AR223="EUR",AA223,IF(AR223="GBP",AB223,1))</f>
        <v>9.1</v>
      </c>
      <c r="AU223" s="52" t="n">
        <f aca="false">T223*AS223</f>
        <v>602.6462208</v>
      </c>
      <c r="AV223" s="52" t="n">
        <f aca="false">AU223*AT223</f>
        <v>5484.08060928</v>
      </c>
      <c r="AW223" s="52" t="s">
        <v>199</v>
      </c>
      <c r="AX223" s="52" t="n">
        <v>3.726</v>
      </c>
      <c r="AY223" s="52" t="n">
        <f aca="false">IF(AW223="EUR",AA223,IF(AW223="GBP",AB223,1))</f>
        <v>9.1</v>
      </c>
      <c r="AZ223" s="52" t="n">
        <f aca="false">V223*AX223</f>
        <v>64.6338071808</v>
      </c>
      <c r="BA223" s="52" t="n">
        <f aca="false">AZ223*AY223</f>
        <v>588.16764534528</v>
      </c>
      <c r="BB223" s="52" t="n">
        <f aca="false">AF223+AG223+AL223+AQ223+AV223+BA223</f>
        <v>146515.502856168</v>
      </c>
      <c r="BC223" s="54" t="n">
        <v>0.988</v>
      </c>
      <c r="BD223" s="32"/>
      <c r="BE223" s="30" t="s">
        <v>205</v>
      </c>
      <c r="BF223" s="32"/>
      <c r="BG223" s="32" t="s">
        <v>197</v>
      </c>
    </row>
    <row r="224" customFormat="false" ht="26.5" hidden="false" customHeight="false" outlineLevel="0" collapsed="false">
      <c r="A224" s="18" t="s">
        <v>203</v>
      </c>
      <c r="B224" s="18" t="s">
        <v>204</v>
      </c>
      <c r="C224" s="18"/>
      <c r="D224" s="49" t="n">
        <v>46296</v>
      </c>
      <c r="E224" s="18" t="s">
        <v>130</v>
      </c>
      <c r="F224" s="18" t="s">
        <v>119</v>
      </c>
      <c r="G224" s="18" t="s">
        <v>110</v>
      </c>
      <c r="H224" s="18" t="s">
        <v>107</v>
      </c>
      <c r="I224" s="18" t="s">
        <v>125</v>
      </c>
      <c r="J224" s="50" t="n">
        <v>19500</v>
      </c>
      <c r="K224" s="51" t="n">
        <v>0.36</v>
      </c>
      <c r="L224" s="51" t="n">
        <v>0.04</v>
      </c>
      <c r="M224" s="51" t="n">
        <v>1</v>
      </c>
      <c r="N224" s="52" t="n">
        <f aca="false">J224*K224*L224*M224</f>
        <v>280.8</v>
      </c>
      <c r="O224" s="50" t="n">
        <v>1.17</v>
      </c>
      <c r="P224" s="52" t="n">
        <f aca="false">N224*O224</f>
        <v>328.536</v>
      </c>
      <c r="Q224" s="50" t="n">
        <v>0.92718</v>
      </c>
      <c r="R224" s="52" t="n">
        <f aca="false">P224*Q224</f>
        <v>304.61200848</v>
      </c>
      <c r="S224" s="50" t="n">
        <v>0.09</v>
      </c>
      <c r="T224" s="52" t="n">
        <f aca="false">N224*S224</f>
        <v>25.272</v>
      </c>
      <c r="U224" s="52" t="n">
        <v>0.014</v>
      </c>
      <c r="V224" s="52" t="n">
        <f aca="false">P224*U224</f>
        <v>4.599504</v>
      </c>
      <c r="W224" s="53" t="s">
        <v>195</v>
      </c>
      <c r="X224" s="50" t="n">
        <v>6.9345</v>
      </c>
      <c r="Y224" s="53" t="s">
        <v>196</v>
      </c>
      <c r="Z224" s="50" t="n">
        <v>0.108675</v>
      </c>
      <c r="AA224" s="50" t="n">
        <v>7.9</v>
      </c>
      <c r="AB224" s="50" t="n">
        <v>9.1</v>
      </c>
      <c r="AC224" s="52" t="n">
        <f aca="false">IF(W224="EUR",AA224,IF(W224="GBP",AB224,1))</f>
        <v>7.9</v>
      </c>
      <c r="AD224" s="52" t="n">
        <f aca="false">R224*X224</f>
        <v>2112.33197280456</v>
      </c>
      <c r="AE224" s="52" t="n">
        <f aca="false">IF(Y224="PERCENTAGE_OF_BASE_FREIGHT",AD224*Z224,IF(Y224="PER_CHARGEABLE_KG",R224*Z224,P224*Z224))</f>
        <v>229.557677144536</v>
      </c>
      <c r="AF224" s="52" t="n">
        <f aca="false">AD224*AC224</f>
        <v>16687.422585156</v>
      </c>
      <c r="AG224" s="52" t="n">
        <f aca="false">AE224*AC224</f>
        <v>1813.50564944183</v>
      </c>
      <c r="AH224" s="52" t="s">
        <v>195</v>
      </c>
      <c r="AI224" s="52" t="n">
        <v>1.08675</v>
      </c>
      <c r="AJ224" s="52" t="n">
        <f aca="false">IF(AH224="EUR",AA224,IF(AH224="GBP",AB224,1))</f>
        <v>7.9</v>
      </c>
      <c r="AK224" s="52" t="n">
        <f aca="false">N224*AI224</f>
        <v>305.1594</v>
      </c>
      <c r="AL224" s="52" t="n">
        <f aca="false">AK224*AJ224</f>
        <v>2410.75926</v>
      </c>
      <c r="AM224" s="52" t="s">
        <v>195</v>
      </c>
      <c r="AN224" s="52" t="n">
        <v>0.3933</v>
      </c>
      <c r="AO224" s="52" t="n">
        <f aca="false">IF(AM224="EUR",AA224,IF(AM224="GBP",AB224,1))</f>
        <v>7.9</v>
      </c>
      <c r="AP224" s="52" t="n">
        <f aca="false">P224*AN224</f>
        <v>129.2132088</v>
      </c>
      <c r="AQ224" s="52" t="n">
        <f aca="false">AP224*AO224</f>
        <v>1020.78434952</v>
      </c>
      <c r="AR224" s="52" t="s">
        <v>195</v>
      </c>
      <c r="AS224" s="52" t="n">
        <v>5.382</v>
      </c>
      <c r="AT224" s="52" t="n">
        <f aca="false">IF(AR224="EUR",AA224,IF(AR224="GBP",AB224,1))</f>
        <v>7.9</v>
      </c>
      <c r="AU224" s="52" t="n">
        <f aca="false">T224*AS224</f>
        <v>136.013904</v>
      </c>
      <c r="AV224" s="52" t="n">
        <f aca="false">AU224*AT224</f>
        <v>1074.5098416</v>
      </c>
      <c r="AW224" s="52" t="s">
        <v>195</v>
      </c>
      <c r="AX224" s="52" t="n">
        <v>2.898</v>
      </c>
      <c r="AY224" s="52" t="n">
        <f aca="false">IF(AW224="EUR",AA224,IF(AW224="GBP",AB224,1))</f>
        <v>7.9</v>
      </c>
      <c r="AZ224" s="52" t="n">
        <f aca="false">V224*AX224</f>
        <v>13.329362592</v>
      </c>
      <c r="BA224" s="52" t="n">
        <f aca="false">AZ224*AY224</f>
        <v>105.3019644768</v>
      </c>
      <c r="BB224" s="52" t="n">
        <f aca="false">AF224+AG224+AL224+AQ224+AV224+BA224</f>
        <v>23112.2836501947</v>
      </c>
      <c r="BC224" s="54" t="n">
        <v>0.971</v>
      </c>
      <c r="BD224" s="32"/>
      <c r="BE224" s="30" t="s">
        <v>205</v>
      </c>
      <c r="BF224" s="32"/>
      <c r="BG224" s="32" t="s">
        <v>197</v>
      </c>
    </row>
    <row r="225" customFormat="false" ht="26.5" hidden="false" customHeight="false" outlineLevel="0" collapsed="false">
      <c r="A225" s="18" t="s">
        <v>203</v>
      </c>
      <c r="B225" s="18" t="s">
        <v>204</v>
      </c>
      <c r="C225" s="18"/>
      <c r="D225" s="49" t="n">
        <v>46327</v>
      </c>
      <c r="E225" s="18" t="s">
        <v>98</v>
      </c>
      <c r="F225" s="18" t="s">
        <v>99</v>
      </c>
      <c r="G225" s="18" t="s">
        <v>100</v>
      </c>
      <c r="H225" s="18" t="s">
        <v>101</v>
      </c>
      <c r="I225" s="18" t="s">
        <v>102</v>
      </c>
      <c r="J225" s="50" t="n">
        <v>24800</v>
      </c>
      <c r="K225" s="51" t="n">
        <v>0.32</v>
      </c>
      <c r="L225" s="51" t="n">
        <v>0.97</v>
      </c>
      <c r="M225" s="51" t="n">
        <v>0.6</v>
      </c>
      <c r="N225" s="52" t="n">
        <f aca="false">J225*K225*L225*M225</f>
        <v>4618.752</v>
      </c>
      <c r="O225" s="50" t="n">
        <v>1.05</v>
      </c>
      <c r="P225" s="52" t="n">
        <f aca="false">N225*O225</f>
        <v>4849.6896</v>
      </c>
      <c r="Q225" s="50" t="n">
        <v>0.7878</v>
      </c>
      <c r="R225" s="52" t="n">
        <f aca="false">P225*Q225</f>
        <v>3820.58546688</v>
      </c>
      <c r="S225" s="50" t="n">
        <v>0.05</v>
      </c>
      <c r="T225" s="52" t="n">
        <f aca="false">N225*S225</f>
        <v>230.9376</v>
      </c>
      <c r="U225" s="52" t="n">
        <v>0.016</v>
      </c>
      <c r="V225" s="52" t="n">
        <f aca="false">P225*U225</f>
        <v>77.5950336</v>
      </c>
      <c r="W225" s="53" t="s">
        <v>195</v>
      </c>
      <c r="X225" s="50" t="n">
        <v>2.277</v>
      </c>
      <c r="Y225" s="53" t="s">
        <v>196</v>
      </c>
      <c r="Z225" s="50" t="n">
        <v>0.098325</v>
      </c>
      <c r="AA225" s="50" t="n">
        <v>7.88</v>
      </c>
      <c r="AB225" s="50" t="n">
        <v>9.05</v>
      </c>
      <c r="AC225" s="52" t="n">
        <f aca="false">IF(W225="EUR",AA225,IF(W225="GBP",AB225,1))</f>
        <v>7.88</v>
      </c>
      <c r="AD225" s="52" t="n">
        <f aca="false">R225*X225</f>
        <v>8699.47310808576</v>
      </c>
      <c r="AE225" s="52" t="n">
        <f aca="false">IF(Y225="PERCENTAGE_OF_BASE_FREIGHT",AD225*Z225,IF(Y225="PER_CHARGEABLE_KG",R225*Z225,P225*Z225))</f>
        <v>855.375693352532</v>
      </c>
      <c r="AF225" s="52" t="n">
        <f aca="false">AD225*AC225</f>
        <v>68551.8480917158</v>
      </c>
      <c r="AG225" s="52" t="n">
        <f aca="false">AE225*AC225</f>
        <v>6740.36046361795</v>
      </c>
      <c r="AH225" s="52" t="s">
        <v>195</v>
      </c>
      <c r="AI225" s="52" t="n">
        <v>1.2684058185107</v>
      </c>
      <c r="AJ225" s="52" t="n">
        <f aca="false">IF(AH225="EUR",AA225,IF(AH225="GBP",AB225,1))</f>
        <v>7.88</v>
      </c>
      <c r="AK225" s="52" t="n">
        <f aca="false">N225*AI225</f>
        <v>5858.45191105794</v>
      </c>
      <c r="AL225" s="52" t="n">
        <f aca="false">AK225*AJ225</f>
        <v>46164.6010591366</v>
      </c>
      <c r="AM225" s="52" t="s">
        <v>195</v>
      </c>
      <c r="AN225" s="52" t="n">
        <v>0.4347</v>
      </c>
      <c r="AO225" s="52" t="n">
        <f aca="false">IF(AM225="EUR",AA225,IF(AM225="GBP",AB225,1))</f>
        <v>7.88</v>
      </c>
      <c r="AP225" s="52" t="n">
        <f aca="false">P225*AN225</f>
        <v>2108.16006912</v>
      </c>
      <c r="AQ225" s="52" t="n">
        <f aca="false">AP225*AO225</f>
        <v>16612.3013446656</v>
      </c>
      <c r="AR225" s="52" t="s">
        <v>195</v>
      </c>
      <c r="AS225" s="52" t="n">
        <v>3.312</v>
      </c>
      <c r="AT225" s="52" t="n">
        <f aca="false">IF(AR225="EUR",AA225,IF(AR225="GBP",AB225,1))</f>
        <v>7.88</v>
      </c>
      <c r="AU225" s="52" t="n">
        <f aca="false">T225*AS225</f>
        <v>764.8653312</v>
      </c>
      <c r="AV225" s="52" t="n">
        <f aca="false">AU225*AT225</f>
        <v>6027.138809856</v>
      </c>
      <c r="AW225" s="52" t="s">
        <v>195</v>
      </c>
      <c r="AX225" s="52" t="n">
        <v>2.3805</v>
      </c>
      <c r="AY225" s="52" t="n">
        <f aca="false">IF(AW225="EUR",AA225,IF(AW225="GBP",AB225,1))</f>
        <v>7.88</v>
      </c>
      <c r="AZ225" s="52" t="n">
        <f aca="false">V225*AX225</f>
        <v>184.7149774848</v>
      </c>
      <c r="BA225" s="52" t="n">
        <f aca="false">AZ225*AY225</f>
        <v>1455.55402258022</v>
      </c>
      <c r="BB225" s="52" t="n">
        <f aca="false">AF225+AG225+AL225+AQ225+AV225+BA225</f>
        <v>145551.803791572</v>
      </c>
      <c r="BC225" s="54" t="n">
        <v>0.965</v>
      </c>
      <c r="BD225" s="32"/>
      <c r="BE225" s="30" t="s">
        <v>205</v>
      </c>
      <c r="BF225" s="32"/>
      <c r="BG225" s="32" t="s">
        <v>197</v>
      </c>
    </row>
    <row r="226" customFormat="false" ht="26.5" hidden="false" customHeight="false" outlineLevel="0" collapsed="false">
      <c r="A226" s="18" t="s">
        <v>203</v>
      </c>
      <c r="B226" s="18" t="s">
        <v>204</v>
      </c>
      <c r="C226" s="18"/>
      <c r="D226" s="49" t="n">
        <v>46327</v>
      </c>
      <c r="E226" s="18" t="s">
        <v>106</v>
      </c>
      <c r="F226" s="18" t="s">
        <v>99</v>
      </c>
      <c r="G226" s="18" t="s">
        <v>100</v>
      </c>
      <c r="H226" s="18" t="s">
        <v>107</v>
      </c>
      <c r="I226" s="18" t="s">
        <v>102</v>
      </c>
      <c r="J226" s="50" t="n">
        <v>24800</v>
      </c>
      <c r="K226" s="51" t="n">
        <v>0.32</v>
      </c>
      <c r="L226" s="51" t="n">
        <v>0.97</v>
      </c>
      <c r="M226" s="51" t="n">
        <v>0.4</v>
      </c>
      <c r="N226" s="52" t="n">
        <f aca="false">J226*K226*L226*M226</f>
        <v>3079.168</v>
      </c>
      <c r="O226" s="50" t="n">
        <v>1.05</v>
      </c>
      <c r="P226" s="52" t="n">
        <f aca="false">N226*O226</f>
        <v>3233.1264</v>
      </c>
      <c r="Q226" s="50" t="n">
        <v>0.808</v>
      </c>
      <c r="R226" s="52" t="n">
        <f aca="false">P226*Q226</f>
        <v>2612.3661312</v>
      </c>
      <c r="S226" s="50" t="n">
        <v>0.05</v>
      </c>
      <c r="T226" s="52" t="n">
        <f aca="false">N226*S226</f>
        <v>153.9584</v>
      </c>
      <c r="U226" s="52" t="n">
        <v>0.013</v>
      </c>
      <c r="V226" s="52" t="n">
        <f aca="false">P226*U226</f>
        <v>42.0306432</v>
      </c>
      <c r="W226" s="53" t="s">
        <v>195</v>
      </c>
      <c r="X226" s="50" t="n">
        <v>2.84625</v>
      </c>
      <c r="Y226" s="53" t="s">
        <v>198</v>
      </c>
      <c r="Z226" s="50" t="n">
        <v>0.21735</v>
      </c>
      <c r="AA226" s="50" t="n">
        <v>7.88</v>
      </c>
      <c r="AB226" s="50" t="n">
        <v>9.05</v>
      </c>
      <c r="AC226" s="52" t="n">
        <f aca="false">IF(W226="EUR",AA226,IF(W226="GBP",AB226,1))</f>
        <v>7.88</v>
      </c>
      <c r="AD226" s="52" t="n">
        <f aca="false">R226*X226</f>
        <v>7435.447100928</v>
      </c>
      <c r="AE226" s="52" t="n">
        <f aca="false">IF(Y226="PERCENTAGE_OF_BASE_FREIGHT",AD226*Z226,IF(Y226="PER_CHARGEABLE_KG",R226*Z226,P226*Z226))</f>
        <v>567.79777861632</v>
      </c>
      <c r="AF226" s="52" t="n">
        <f aca="false">AD226*AC226</f>
        <v>58591.3231553126</v>
      </c>
      <c r="AG226" s="52" t="n">
        <f aca="false">AE226*AC226</f>
        <v>4474.2464954966</v>
      </c>
      <c r="AH226" s="52" t="s">
        <v>195</v>
      </c>
      <c r="AI226" s="52" t="n">
        <v>1.2684058185107</v>
      </c>
      <c r="AJ226" s="52" t="n">
        <f aca="false">IF(AH226="EUR",AA226,IF(AH226="GBP",AB226,1))</f>
        <v>7.88</v>
      </c>
      <c r="AK226" s="52" t="n">
        <f aca="false">N226*AI226</f>
        <v>3905.63460737196</v>
      </c>
      <c r="AL226" s="52" t="n">
        <f aca="false">AK226*AJ226</f>
        <v>30776.4007060911</v>
      </c>
      <c r="AM226" s="52" t="s">
        <v>195</v>
      </c>
      <c r="AN226" s="52" t="n">
        <v>0.4347</v>
      </c>
      <c r="AO226" s="52" t="n">
        <f aca="false">IF(AM226="EUR",AA226,IF(AM226="GBP",AB226,1))</f>
        <v>7.88</v>
      </c>
      <c r="AP226" s="52" t="n">
        <f aca="false">P226*AN226</f>
        <v>1405.44004608</v>
      </c>
      <c r="AQ226" s="52" t="n">
        <f aca="false">AP226*AO226</f>
        <v>11074.8675631104</v>
      </c>
      <c r="AR226" s="52" t="s">
        <v>195</v>
      </c>
      <c r="AS226" s="52" t="n">
        <v>3.312</v>
      </c>
      <c r="AT226" s="52" t="n">
        <f aca="false">IF(AR226="EUR",AA226,IF(AR226="GBP",AB226,1))</f>
        <v>7.88</v>
      </c>
      <c r="AU226" s="52" t="n">
        <f aca="false">T226*AS226</f>
        <v>509.9102208</v>
      </c>
      <c r="AV226" s="52" t="n">
        <f aca="false">AU226*AT226</f>
        <v>4018.092539904</v>
      </c>
      <c r="AW226" s="52" t="s">
        <v>195</v>
      </c>
      <c r="AX226" s="52" t="n">
        <v>2.3805</v>
      </c>
      <c r="AY226" s="52" t="n">
        <f aca="false">IF(AW226="EUR",AA226,IF(AW226="GBP",AB226,1))</f>
        <v>7.88</v>
      </c>
      <c r="AZ226" s="52" t="n">
        <f aca="false">V226*AX226</f>
        <v>100.0539461376</v>
      </c>
      <c r="BA226" s="52" t="n">
        <f aca="false">AZ226*AY226</f>
        <v>788.425095564288</v>
      </c>
      <c r="BB226" s="52" t="n">
        <f aca="false">AF226+AG226+AL226+AQ226+AV226+BA226</f>
        <v>109723.355555479</v>
      </c>
      <c r="BC226" s="54" t="n">
        <v>0.976</v>
      </c>
      <c r="BD226" s="32"/>
      <c r="BE226" s="30" t="s">
        <v>205</v>
      </c>
      <c r="BF226" s="32"/>
      <c r="BG226" s="32" t="s">
        <v>197</v>
      </c>
    </row>
    <row r="227" customFormat="false" ht="26.5" hidden="false" customHeight="false" outlineLevel="0" collapsed="false">
      <c r="A227" s="18" t="s">
        <v>203</v>
      </c>
      <c r="B227" s="18" t="s">
        <v>204</v>
      </c>
      <c r="C227" s="18"/>
      <c r="D227" s="49" t="n">
        <v>46327</v>
      </c>
      <c r="E227" s="18" t="s">
        <v>109</v>
      </c>
      <c r="F227" s="18" t="s">
        <v>99</v>
      </c>
      <c r="G227" s="18" t="s">
        <v>110</v>
      </c>
      <c r="H227" s="18" t="s">
        <v>107</v>
      </c>
      <c r="I227" s="18" t="s">
        <v>102</v>
      </c>
      <c r="J227" s="50" t="n">
        <v>24800</v>
      </c>
      <c r="K227" s="51" t="n">
        <v>0.32</v>
      </c>
      <c r="L227" s="51" t="n">
        <v>0.03</v>
      </c>
      <c r="M227" s="51" t="n">
        <v>1</v>
      </c>
      <c r="N227" s="52" t="n">
        <f aca="false">J227*K227*L227*M227</f>
        <v>238.08</v>
      </c>
      <c r="O227" s="50" t="n">
        <v>1.08</v>
      </c>
      <c r="P227" s="52" t="n">
        <f aca="false">N227*O227</f>
        <v>257.1264</v>
      </c>
      <c r="Q227" s="50" t="n">
        <v>0.8686</v>
      </c>
      <c r="R227" s="52" t="n">
        <f aca="false">P227*Q227</f>
        <v>223.33999104</v>
      </c>
      <c r="S227" s="50" t="n">
        <v>0.05</v>
      </c>
      <c r="T227" s="52" t="n">
        <f aca="false">N227*S227</f>
        <v>11.904</v>
      </c>
      <c r="U227" s="52" t="n">
        <v>0.014</v>
      </c>
      <c r="V227" s="52" t="n">
        <f aca="false">P227*U227</f>
        <v>3.5997696</v>
      </c>
      <c r="W227" s="53" t="s">
        <v>195</v>
      </c>
      <c r="X227" s="50" t="n">
        <v>3.4155</v>
      </c>
      <c r="Y227" s="53" t="s">
        <v>198</v>
      </c>
      <c r="Z227" s="50" t="n">
        <v>0.2484</v>
      </c>
      <c r="AA227" s="50" t="n">
        <v>7.88</v>
      </c>
      <c r="AB227" s="50" t="n">
        <v>9.05</v>
      </c>
      <c r="AC227" s="52" t="n">
        <f aca="false">IF(W227="EUR",AA227,IF(W227="GBP",AB227,1))</f>
        <v>7.88</v>
      </c>
      <c r="AD227" s="52" t="n">
        <f aca="false">R227*X227</f>
        <v>762.81773939712</v>
      </c>
      <c r="AE227" s="52" t="n">
        <f aca="false">IF(Y227="PERCENTAGE_OF_BASE_FREIGHT",AD227*Z227,IF(Y227="PER_CHARGEABLE_KG",R227*Z227,P227*Z227))</f>
        <v>55.477653774336</v>
      </c>
      <c r="AF227" s="52" t="n">
        <f aca="false">AD227*AC227</f>
        <v>6011.00378644931</v>
      </c>
      <c r="AG227" s="52" t="n">
        <f aca="false">AE227*AC227</f>
        <v>437.163911741768</v>
      </c>
      <c r="AH227" s="52" t="s">
        <v>195</v>
      </c>
      <c r="AI227" s="52" t="n">
        <v>1.08675</v>
      </c>
      <c r="AJ227" s="52" t="n">
        <f aca="false">IF(AH227="EUR",AA227,IF(AH227="GBP",AB227,1))</f>
        <v>7.88</v>
      </c>
      <c r="AK227" s="52" t="n">
        <f aca="false">N227*AI227</f>
        <v>258.73344</v>
      </c>
      <c r="AL227" s="52" t="n">
        <f aca="false">AK227*AJ227</f>
        <v>2038.8195072</v>
      </c>
      <c r="AM227" s="52" t="s">
        <v>195</v>
      </c>
      <c r="AN227" s="52" t="n">
        <v>0.3933</v>
      </c>
      <c r="AO227" s="52" t="n">
        <f aca="false">IF(AM227="EUR",AA227,IF(AM227="GBP",AB227,1))</f>
        <v>7.88</v>
      </c>
      <c r="AP227" s="52" t="n">
        <f aca="false">P227*AN227</f>
        <v>101.12781312</v>
      </c>
      <c r="AQ227" s="52" t="n">
        <f aca="false">AP227*AO227</f>
        <v>796.8871673856</v>
      </c>
      <c r="AR227" s="52" t="s">
        <v>195</v>
      </c>
      <c r="AS227" s="52" t="n">
        <v>3.933</v>
      </c>
      <c r="AT227" s="52" t="n">
        <f aca="false">IF(AR227="EUR",AA227,IF(AR227="GBP",AB227,1))</f>
        <v>7.88</v>
      </c>
      <c r="AU227" s="52" t="n">
        <f aca="false">T227*AS227</f>
        <v>46.818432</v>
      </c>
      <c r="AV227" s="52" t="n">
        <f aca="false">AU227*AT227</f>
        <v>368.92924416</v>
      </c>
      <c r="AW227" s="52" t="s">
        <v>195</v>
      </c>
      <c r="AX227" s="52" t="n">
        <v>2.3805</v>
      </c>
      <c r="AY227" s="52" t="n">
        <f aca="false">IF(AW227="EUR",AA227,IF(AW227="GBP",AB227,1))</f>
        <v>7.88</v>
      </c>
      <c r="AZ227" s="52" t="n">
        <f aca="false">V227*AX227</f>
        <v>8.5692515328</v>
      </c>
      <c r="BA227" s="52" t="n">
        <f aca="false">AZ227*AY227</f>
        <v>67.525702078464</v>
      </c>
      <c r="BB227" s="52" t="n">
        <f aca="false">AF227+AG227+AL227+AQ227+AV227+BA227</f>
        <v>9720.32931901514</v>
      </c>
      <c r="BC227" s="54" t="n">
        <v>0.968</v>
      </c>
      <c r="BD227" s="32"/>
      <c r="BE227" s="30" t="s">
        <v>205</v>
      </c>
      <c r="BF227" s="32"/>
      <c r="BG227" s="32" t="s">
        <v>197</v>
      </c>
    </row>
    <row r="228" customFormat="false" ht="26.5" hidden="false" customHeight="false" outlineLevel="0" collapsed="false">
      <c r="A228" s="18" t="s">
        <v>203</v>
      </c>
      <c r="B228" s="18" t="s">
        <v>204</v>
      </c>
      <c r="C228" s="18"/>
      <c r="D228" s="49" t="n">
        <v>46327</v>
      </c>
      <c r="E228" s="18" t="s">
        <v>112</v>
      </c>
      <c r="F228" s="18" t="s">
        <v>113</v>
      </c>
      <c r="G228" s="18" t="s">
        <v>110</v>
      </c>
      <c r="H228" s="18" t="s">
        <v>101</v>
      </c>
      <c r="I228" s="18" t="s">
        <v>102</v>
      </c>
      <c r="J228" s="50" t="n">
        <v>24800</v>
      </c>
      <c r="K228" s="51" t="n">
        <v>0.29</v>
      </c>
      <c r="L228" s="51" t="n">
        <v>1</v>
      </c>
      <c r="M228" s="51" t="n">
        <v>0.35</v>
      </c>
      <c r="N228" s="52" t="n">
        <f aca="false">J228*K228*L228*M228</f>
        <v>2517.2</v>
      </c>
      <c r="O228" s="50" t="n">
        <v>1.06</v>
      </c>
      <c r="P228" s="52" t="n">
        <f aca="false">N228*O228</f>
        <v>2668.232</v>
      </c>
      <c r="Q228" s="50" t="n">
        <v>0.7676</v>
      </c>
      <c r="R228" s="52" t="n">
        <f aca="false">P228*Q228</f>
        <v>2048.1348832</v>
      </c>
      <c r="S228" s="50" t="n">
        <v>0.06</v>
      </c>
      <c r="T228" s="52" t="n">
        <f aca="false">N228*S228</f>
        <v>151.032</v>
      </c>
      <c r="U228" s="52" t="n">
        <v>0.017</v>
      </c>
      <c r="V228" s="52" t="n">
        <f aca="false">P228*U228</f>
        <v>45.359944</v>
      </c>
      <c r="W228" s="53" t="s">
        <v>195</v>
      </c>
      <c r="X228" s="50" t="n">
        <v>2.1735</v>
      </c>
      <c r="Y228" s="53" t="s">
        <v>196</v>
      </c>
      <c r="Z228" s="50" t="n">
        <v>0.09315</v>
      </c>
      <c r="AA228" s="50" t="n">
        <v>7.88</v>
      </c>
      <c r="AB228" s="50" t="n">
        <v>9.05</v>
      </c>
      <c r="AC228" s="52" t="n">
        <f aca="false">IF(W228="EUR",AA228,IF(W228="GBP",AB228,1))</f>
        <v>7.88</v>
      </c>
      <c r="AD228" s="52" t="n">
        <f aca="false">R228*X228</f>
        <v>4451.6211686352</v>
      </c>
      <c r="AE228" s="52" t="n">
        <f aca="false">IF(Y228="PERCENTAGE_OF_BASE_FREIGHT",AD228*Z228,IF(Y228="PER_CHARGEABLE_KG",R228*Z228,P228*Z228))</f>
        <v>414.668511858369</v>
      </c>
      <c r="AF228" s="52" t="n">
        <f aca="false">AD228*AC228</f>
        <v>35078.7748088454</v>
      </c>
      <c r="AG228" s="52" t="n">
        <f aca="false">AE228*AC228</f>
        <v>3267.58787344395</v>
      </c>
      <c r="AH228" s="52" t="s">
        <v>195</v>
      </c>
      <c r="AI228" s="52" t="n">
        <v>1.08675</v>
      </c>
      <c r="AJ228" s="52" t="n">
        <f aca="false">IF(AH228="EUR",AA228,IF(AH228="GBP",AB228,1))</f>
        <v>7.88</v>
      </c>
      <c r="AK228" s="52" t="n">
        <f aca="false">N228*AI228</f>
        <v>2735.5671</v>
      </c>
      <c r="AL228" s="52" t="n">
        <f aca="false">AK228*AJ228</f>
        <v>21556.268748</v>
      </c>
      <c r="AM228" s="52" t="s">
        <v>195</v>
      </c>
      <c r="AN228" s="52" t="n">
        <v>0.3933</v>
      </c>
      <c r="AO228" s="52" t="n">
        <f aca="false">IF(AM228="EUR",AA228,IF(AM228="GBP",AB228,1))</f>
        <v>7.88</v>
      </c>
      <c r="AP228" s="52" t="n">
        <f aca="false">P228*AN228</f>
        <v>1049.4156456</v>
      </c>
      <c r="AQ228" s="52" t="n">
        <f aca="false">AP228*AO228</f>
        <v>8269.395287328</v>
      </c>
      <c r="AR228" s="52" t="s">
        <v>195</v>
      </c>
      <c r="AS228" s="52" t="n">
        <v>3.105</v>
      </c>
      <c r="AT228" s="52" t="n">
        <f aca="false">IF(AR228="EUR",AA228,IF(AR228="GBP",AB228,1))</f>
        <v>7.88</v>
      </c>
      <c r="AU228" s="52" t="n">
        <f aca="false">T228*AS228</f>
        <v>468.95436</v>
      </c>
      <c r="AV228" s="52" t="n">
        <f aca="false">AU228*AT228</f>
        <v>3695.3603568</v>
      </c>
      <c r="AW228" s="52" t="s">
        <v>195</v>
      </c>
      <c r="AX228" s="52" t="n">
        <v>2.3805</v>
      </c>
      <c r="AY228" s="52" t="n">
        <f aca="false">IF(AW228="EUR",AA228,IF(AW228="GBP",AB228,1))</f>
        <v>7.88</v>
      </c>
      <c r="AZ228" s="52" t="n">
        <f aca="false">V228*AX228</f>
        <v>107.979346692</v>
      </c>
      <c r="BA228" s="52" t="n">
        <f aca="false">AZ228*AY228</f>
        <v>850.87725193296</v>
      </c>
      <c r="BB228" s="52" t="n">
        <f aca="false">AF228+AG228+AL228+AQ228+AV228+BA228</f>
        <v>72718.2643263503</v>
      </c>
      <c r="BC228" s="54" t="n">
        <v>0.961</v>
      </c>
      <c r="BD228" s="32"/>
      <c r="BE228" s="30" t="s">
        <v>205</v>
      </c>
      <c r="BF228" s="32"/>
      <c r="BG228" s="32" t="s">
        <v>197</v>
      </c>
    </row>
    <row r="229" customFormat="false" ht="26.5" hidden="false" customHeight="false" outlineLevel="0" collapsed="false">
      <c r="A229" s="18" t="s">
        <v>203</v>
      </c>
      <c r="B229" s="18" t="s">
        <v>204</v>
      </c>
      <c r="C229" s="18"/>
      <c r="D229" s="49" t="n">
        <v>46327</v>
      </c>
      <c r="E229" s="18" t="s">
        <v>116</v>
      </c>
      <c r="F229" s="18" t="s">
        <v>113</v>
      </c>
      <c r="G229" s="18" t="s">
        <v>110</v>
      </c>
      <c r="H229" s="18" t="s">
        <v>107</v>
      </c>
      <c r="I229" s="18" t="s">
        <v>102</v>
      </c>
      <c r="J229" s="50" t="n">
        <v>24800</v>
      </c>
      <c r="K229" s="51" t="n">
        <v>0.29</v>
      </c>
      <c r="L229" s="51" t="n">
        <v>1</v>
      </c>
      <c r="M229" s="51" t="n">
        <v>0.65</v>
      </c>
      <c r="N229" s="52" t="n">
        <f aca="false">J229*K229*L229*M229</f>
        <v>4674.8</v>
      </c>
      <c r="O229" s="50" t="n">
        <v>1.06</v>
      </c>
      <c r="P229" s="52" t="n">
        <f aca="false">N229*O229</f>
        <v>4955.288</v>
      </c>
      <c r="Q229" s="50" t="n">
        <v>0.7979</v>
      </c>
      <c r="R229" s="52" t="n">
        <f aca="false">P229*Q229</f>
        <v>3953.8242952</v>
      </c>
      <c r="S229" s="50" t="n">
        <v>0.06</v>
      </c>
      <c r="T229" s="52" t="n">
        <f aca="false">N229*S229</f>
        <v>280.488</v>
      </c>
      <c r="U229" s="52" t="n">
        <v>0.014</v>
      </c>
      <c r="V229" s="52" t="n">
        <f aca="false">P229*U229</f>
        <v>69.374032</v>
      </c>
      <c r="W229" s="53" t="s">
        <v>195</v>
      </c>
      <c r="X229" s="50" t="n">
        <v>2.691</v>
      </c>
      <c r="Y229" s="53" t="s">
        <v>198</v>
      </c>
      <c r="Z229" s="50" t="n">
        <v>0.207</v>
      </c>
      <c r="AA229" s="50" t="n">
        <v>7.88</v>
      </c>
      <c r="AB229" s="50" t="n">
        <v>9.05</v>
      </c>
      <c r="AC229" s="52" t="n">
        <f aca="false">IF(W229="EUR",AA229,IF(W229="GBP",AB229,1))</f>
        <v>7.88</v>
      </c>
      <c r="AD229" s="52" t="n">
        <f aca="false">R229*X229</f>
        <v>10639.7411783832</v>
      </c>
      <c r="AE229" s="52" t="n">
        <f aca="false">IF(Y229="PERCENTAGE_OF_BASE_FREIGHT",AD229*Z229,IF(Y229="PER_CHARGEABLE_KG",R229*Z229,P229*Z229))</f>
        <v>818.4416291064</v>
      </c>
      <c r="AF229" s="52" t="n">
        <f aca="false">AD229*AC229</f>
        <v>83841.1604856596</v>
      </c>
      <c r="AG229" s="52" t="n">
        <f aca="false">AE229*AC229</f>
        <v>6449.32003735843</v>
      </c>
      <c r="AH229" s="52" t="s">
        <v>195</v>
      </c>
      <c r="AI229" s="52" t="n">
        <v>1.08675</v>
      </c>
      <c r="AJ229" s="52" t="n">
        <f aca="false">IF(AH229="EUR",AA229,IF(AH229="GBP",AB229,1))</f>
        <v>7.88</v>
      </c>
      <c r="AK229" s="52" t="n">
        <f aca="false">N229*AI229</f>
        <v>5080.3389</v>
      </c>
      <c r="AL229" s="52" t="n">
        <f aca="false">AK229*AJ229</f>
        <v>40033.070532</v>
      </c>
      <c r="AM229" s="52" t="s">
        <v>195</v>
      </c>
      <c r="AN229" s="52" t="n">
        <v>0.3933</v>
      </c>
      <c r="AO229" s="52" t="n">
        <f aca="false">IF(AM229="EUR",AA229,IF(AM229="GBP",AB229,1))</f>
        <v>7.88</v>
      </c>
      <c r="AP229" s="52" t="n">
        <f aca="false">P229*AN229</f>
        <v>1948.9147704</v>
      </c>
      <c r="AQ229" s="52" t="n">
        <f aca="false">AP229*AO229</f>
        <v>15357.448390752</v>
      </c>
      <c r="AR229" s="52" t="s">
        <v>195</v>
      </c>
      <c r="AS229" s="52" t="n">
        <v>3.105</v>
      </c>
      <c r="AT229" s="52" t="n">
        <f aca="false">IF(AR229="EUR",AA229,IF(AR229="GBP",AB229,1))</f>
        <v>7.88</v>
      </c>
      <c r="AU229" s="52" t="n">
        <f aca="false">T229*AS229</f>
        <v>870.91524</v>
      </c>
      <c r="AV229" s="52" t="n">
        <f aca="false">AU229*AT229</f>
        <v>6862.8120912</v>
      </c>
      <c r="AW229" s="52" t="s">
        <v>195</v>
      </c>
      <c r="AX229" s="52" t="n">
        <v>2.3805</v>
      </c>
      <c r="AY229" s="52" t="n">
        <f aca="false">IF(AW229="EUR",AA229,IF(AW229="GBP",AB229,1))</f>
        <v>7.88</v>
      </c>
      <c r="AZ229" s="52" t="n">
        <f aca="false">V229*AX229</f>
        <v>165.144883176</v>
      </c>
      <c r="BA229" s="52" t="n">
        <f aca="false">AZ229*AY229</f>
        <v>1301.34167942688</v>
      </c>
      <c r="BB229" s="52" t="n">
        <f aca="false">AF229+AG229+AL229+AQ229+AV229+BA229</f>
        <v>153845.153216397</v>
      </c>
      <c r="BC229" s="54" t="n">
        <v>0.973</v>
      </c>
      <c r="BD229" s="32"/>
      <c r="BE229" s="30" t="s">
        <v>205</v>
      </c>
      <c r="BF229" s="32"/>
      <c r="BG229" s="32" t="s">
        <v>197</v>
      </c>
    </row>
    <row r="230" customFormat="false" ht="26.5" hidden="false" customHeight="false" outlineLevel="0" collapsed="false">
      <c r="A230" s="18" t="s">
        <v>203</v>
      </c>
      <c r="B230" s="18" t="s">
        <v>204</v>
      </c>
      <c r="C230" s="18"/>
      <c r="D230" s="49" t="n">
        <v>46327</v>
      </c>
      <c r="E230" s="18" t="s">
        <v>118</v>
      </c>
      <c r="F230" s="18" t="s">
        <v>119</v>
      </c>
      <c r="G230" s="18" t="s">
        <v>100</v>
      </c>
      <c r="H230" s="18" t="s">
        <v>101</v>
      </c>
      <c r="I230" s="18" t="s">
        <v>102</v>
      </c>
      <c r="J230" s="50" t="n">
        <v>24800</v>
      </c>
      <c r="K230" s="51" t="n">
        <v>0.39</v>
      </c>
      <c r="L230" s="51" t="n">
        <v>0.96</v>
      </c>
      <c r="M230" s="51" t="n">
        <v>0.42</v>
      </c>
      <c r="N230" s="52" t="n">
        <f aca="false">J230*K230*L230*M230</f>
        <v>3899.7504</v>
      </c>
      <c r="O230" s="50" t="n">
        <v>1.17</v>
      </c>
      <c r="P230" s="52" t="n">
        <f aca="false">N230*O230</f>
        <v>4562.707968</v>
      </c>
      <c r="Q230" s="50" t="n">
        <v>1.050804</v>
      </c>
      <c r="R230" s="52" t="n">
        <f aca="false">P230*Q230</f>
        <v>4794.51178360627</v>
      </c>
      <c r="S230" s="50" t="n">
        <v>0.09</v>
      </c>
      <c r="T230" s="52" t="n">
        <f aca="false">N230*S230</f>
        <v>350.977536</v>
      </c>
      <c r="U230" s="52" t="n">
        <v>0.027</v>
      </c>
      <c r="V230" s="52" t="n">
        <f aca="false">P230*U230</f>
        <v>123.193115136</v>
      </c>
      <c r="W230" s="53" t="s">
        <v>199</v>
      </c>
      <c r="X230" s="50" t="n">
        <v>4.14</v>
      </c>
      <c r="Y230" s="53" t="s">
        <v>196</v>
      </c>
      <c r="Z230" s="50" t="n">
        <v>0.1035</v>
      </c>
      <c r="AA230" s="50" t="n">
        <v>7.88</v>
      </c>
      <c r="AB230" s="50" t="n">
        <v>9.05</v>
      </c>
      <c r="AC230" s="52" t="n">
        <f aca="false">IF(W230="EUR",AA230,IF(W230="GBP",AB230,1))</f>
        <v>9.05</v>
      </c>
      <c r="AD230" s="52" t="n">
        <f aca="false">R230*X230</f>
        <v>19849.27878413</v>
      </c>
      <c r="AE230" s="52" t="n">
        <f aca="false">IF(Y230="PERCENTAGE_OF_BASE_FREIGHT",AD230*Z230,IF(Y230="PER_CHARGEABLE_KG",R230*Z230,P230*Z230))</f>
        <v>2054.40035415745</v>
      </c>
      <c r="AF230" s="52" t="n">
        <f aca="false">AD230*AC230</f>
        <v>179635.972996376</v>
      </c>
      <c r="AG230" s="52" t="n">
        <f aca="false">AE230*AC230</f>
        <v>18592.3232051249</v>
      </c>
      <c r="AH230" s="52" t="s">
        <v>195</v>
      </c>
      <c r="AI230" s="52" t="n">
        <v>1.2684058185107</v>
      </c>
      <c r="AJ230" s="52" t="n">
        <f aca="false">IF(AH230="EUR",AA230,IF(AH230="GBP",AB230,1))</f>
        <v>7.88</v>
      </c>
      <c r="AK230" s="52" t="n">
        <f aca="false">N230*AI230</f>
        <v>4946.46609809944</v>
      </c>
      <c r="AL230" s="52" t="n">
        <f aca="false">AK230*AJ230</f>
        <v>38978.1528530236</v>
      </c>
      <c r="AM230" s="52" t="s">
        <v>195</v>
      </c>
      <c r="AN230" s="52" t="n">
        <v>0.4347</v>
      </c>
      <c r="AO230" s="52" t="n">
        <f aca="false">IF(AM230="EUR",AA230,IF(AM230="GBP",AB230,1))</f>
        <v>7.88</v>
      </c>
      <c r="AP230" s="52" t="n">
        <f aca="false">P230*AN230</f>
        <v>1983.4091536896</v>
      </c>
      <c r="AQ230" s="52" t="n">
        <f aca="false">AP230*AO230</f>
        <v>15629.264131074</v>
      </c>
      <c r="AR230" s="52" t="s">
        <v>199</v>
      </c>
      <c r="AS230" s="52" t="n">
        <v>4.968</v>
      </c>
      <c r="AT230" s="52" t="n">
        <f aca="false">IF(AR230="EUR",AA230,IF(AR230="GBP",AB230,1))</f>
        <v>9.05</v>
      </c>
      <c r="AU230" s="52" t="n">
        <f aca="false">T230*AS230</f>
        <v>1743.656398848</v>
      </c>
      <c r="AV230" s="52" t="n">
        <f aca="false">AU230*AT230</f>
        <v>15780.0904095744</v>
      </c>
      <c r="AW230" s="52" t="s">
        <v>199</v>
      </c>
      <c r="AX230" s="52" t="n">
        <v>2.3805</v>
      </c>
      <c r="AY230" s="52" t="n">
        <f aca="false">IF(AW230="EUR",AA230,IF(AW230="GBP",AB230,1))</f>
        <v>9.05</v>
      </c>
      <c r="AZ230" s="52" t="n">
        <f aca="false">V230*AX230</f>
        <v>293.261210581248</v>
      </c>
      <c r="BA230" s="52" t="n">
        <f aca="false">AZ230*AY230</f>
        <v>2654.01395576029</v>
      </c>
      <c r="BB230" s="52" t="n">
        <f aca="false">AF230+AG230+AL230+AQ230+AV230+BA230</f>
        <v>271269.817550933</v>
      </c>
      <c r="BC230" s="54" t="n">
        <v>0.93</v>
      </c>
      <c r="BD230" s="32"/>
      <c r="BE230" s="30" t="s">
        <v>205</v>
      </c>
      <c r="BF230" s="32"/>
      <c r="BG230" s="32" t="s">
        <v>197</v>
      </c>
    </row>
    <row r="231" customFormat="false" ht="26.5" hidden="false" customHeight="false" outlineLevel="0" collapsed="false">
      <c r="A231" s="18" t="s">
        <v>203</v>
      </c>
      <c r="B231" s="18" t="s">
        <v>204</v>
      </c>
      <c r="C231" s="18"/>
      <c r="D231" s="49" t="n">
        <v>46327</v>
      </c>
      <c r="E231" s="18" t="s">
        <v>122</v>
      </c>
      <c r="F231" s="18" t="s">
        <v>119</v>
      </c>
      <c r="G231" s="18" t="s">
        <v>100</v>
      </c>
      <c r="H231" s="18" t="s">
        <v>107</v>
      </c>
      <c r="I231" s="18" t="s">
        <v>102</v>
      </c>
      <c r="J231" s="50" t="n">
        <v>24800</v>
      </c>
      <c r="K231" s="51" t="n">
        <v>0.39</v>
      </c>
      <c r="L231" s="51" t="n">
        <v>0.96</v>
      </c>
      <c r="M231" s="51" t="n">
        <v>0.23</v>
      </c>
      <c r="N231" s="52" t="n">
        <f aca="false">J231*K231*L231*M231</f>
        <v>2135.5776</v>
      </c>
      <c r="O231" s="50" t="n">
        <v>1.17</v>
      </c>
      <c r="P231" s="52" t="n">
        <f aca="false">N231*O231</f>
        <v>2498.625792</v>
      </c>
      <c r="Q231" s="50" t="n">
        <v>1.0302</v>
      </c>
      <c r="R231" s="52" t="n">
        <f aca="false">P231*Q231</f>
        <v>2574.0842909184</v>
      </c>
      <c r="S231" s="50" t="n">
        <v>0.09</v>
      </c>
      <c r="T231" s="52" t="n">
        <f aca="false">N231*S231</f>
        <v>192.201984</v>
      </c>
      <c r="U231" s="52" t="n">
        <v>0.02</v>
      </c>
      <c r="V231" s="52" t="n">
        <f aca="false">P231*U231</f>
        <v>49.97251584</v>
      </c>
      <c r="W231" s="53" t="s">
        <v>199</v>
      </c>
      <c r="X231" s="50" t="n">
        <v>4.8645</v>
      </c>
      <c r="Y231" s="53" t="s">
        <v>198</v>
      </c>
      <c r="Z231" s="50" t="n">
        <v>0.34155</v>
      </c>
      <c r="AA231" s="50" t="n">
        <v>7.88</v>
      </c>
      <c r="AB231" s="50" t="n">
        <v>9.05</v>
      </c>
      <c r="AC231" s="52" t="n">
        <f aca="false">IF(W231="EUR",AA231,IF(W231="GBP",AB231,1))</f>
        <v>9.05</v>
      </c>
      <c r="AD231" s="52" t="n">
        <f aca="false">R231*X231</f>
        <v>12521.6330331726</v>
      </c>
      <c r="AE231" s="52" t="n">
        <f aca="false">IF(Y231="PERCENTAGE_OF_BASE_FREIGHT",AD231*Z231,IF(Y231="PER_CHARGEABLE_KG",R231*Z231,P231*Z231))</f>
        <v>879.17848956318</v>
      </c>
      <c r="AF231" s="52" t="n">
        <f aca="false">AD231*AC231</f>
        <v>113320.778950212</v>
      </c>
      <c r="AG231" s="52" t="n">
        <f aca="false">AE231*AC231</f>
        <v>7956.56533054678</v>
      </c>
      <c r="AH231" s="52" t="s">
        <v>195</v>
      </c>
      <c r="AI231" s="52" t="n">
        <v>1.2684058185107</v>
      </c>
      <c r="AJ231" s="52" t="n">
        <f aca="false">IF(AH231="EUR",AA231,IF(AH231="GBP",AB231,1))</f>
        <v>7.88</v>
      </c>
      <c r="AK231" s="52" t="n">
        <f aca="false">N231*AI231</f>
        <v>2708.77905372112</v>
      </c>
      <c r="AL231" s="52" t="n">
        <f aca="false">AK231*AJ231</f>
        <v>21345.1789433224</v>
      </c>
      <c r="AM231" s="52" t="s">
        <v>195</v>
      </c>
      <c r="AN231" s="52" t="n">
        <v>0.4347</v>
      </c>
      <c r="AO231" s="52" t="n">
        <f aca="false">IF(AM231="EUR",AA231,IF(AM231="GBP",AB231,1))</f>
        <v>7.88</v>
      </c>
      <c r="AP231" s="52" t="n">
        <f aca="false">P231*AN231</f>
        <v>1086.1526317824</v>
      </c>
      <c r="AQ231" s="52" t="n">
        <f aca="false">AP231*AO231</f>
        <v>8558.88273844531</v>
      </c>
      <c r="AR231" s="52" t="s">
        <v>199</v>
      </c>
      <c r="AS231" s="52" t="n">
        <v>4.968</v>
      </c>
      <c r="AT231" s="52" t="n">
        <f aca="false">IF(AR231="EUR",AA231,IF(AR231="GBP",AB231,1))</f>
        <v>9.05</v>
      </c>
      <c r="AU231" s="52" t="n">
        <f aca="false">T231*AS231</f>
        <v>954.859456512</v>
      </c>
      <c r="AV231" s="52" t="n">
        <f aca="false">AU231*AT231</f>
        <v>8641.4780814336</v>
      </c>
      <c r="AW231" s="52" t="s">
        <v>199</v>
      </c>
      <c r="AX231" s="52" t="n">
        <v>2.3805</v>
      </c>
      <c r="AY231" s="52" t="n">
        <f aca="false">IF(AW231="EUR",AA231,IF(AW231="GBP",AB231,1))</f>
        <v>9.05</v>
      </c>
      <c r="AZ231" s="52" t="n">
        <f aca="false">V231*AX231</f>
        <v>118.95957395712</v>
      </c>
      <c r="BA231" s="52" t="n">
        <f aca="false">AZ231*AY231</f>
        <v>1076.58414431194</v>
      </c>
      <c r="BB231" s="52" t="n">
        <f aca="false">AF231+AG231+AL231+AQ231+AV231+BA231</f>
        <v>160899.468188272</v>
      </c>
      <c r="BC231" s="54" t="n">
        <v>0.95</v>
      </c>
      <c r="BD231" s="32"/>
      <c r="BE231" s="30" t="s">
        <v>205</v>
      </c>
      <c r="BF231" s="32"/>
      <c r="BG231" s="32" t="s">
        <v>197</v>
      </c>
    </row>
    <row r="232" customFormat="false" ht="26.5" hidden="false" customHeight="false" outlineLevel="0" collapsed="false">
      <c r="A232" s="18" t="s">
        <v>203</v>
      </c>
      <c r="B232" s="18" t="s">
        <v>204</v>
      </c>
      <c r="C232" s="18"/>
      <c r="D232" s="49" t="n">
        <v>46327</v>
      </c>
      <c r="E232" s="18" t="s">
        <v>124</v>
      </c>
      <c r="F232" s="18" t="s">
        <v>119</v>
      </c>
      <c r="G232" s="18" t="s">
        <v>100</v>
      </c>
      <c r="H232" s="18" t="s">
        <v>107</v>
      </c>
      <c r="I232" s="18" t="s">
        <v>125</v>
      </c>
      <c r="J232" s="50" t="n">
        <v>24800</v>
      </c>
      <c r="K232" s="51" t="n">
        <v>0.39</v>
      </c>
      <c r="L232" s="51" t="n">
        <v>0.96</v>
      </c>
      <c r="M232" s="51" t="n">
        <v>0.22</v>
      </c>
      <c r="N232" s="52" t="n">
        <f aca="false">J232*K232*L232*M232</f>
        <v>2042.7264</v>
      </c>
      <c r="O232" s="50" t="n">
        <v>1.17</v>
      </c>
      <c r="P232" s="52" t="n">
        <f aca="false">N232*O232</f>
        <v>2389.989888</v>
      </c>
      <c r="Q232" s="50" t="n">
        <v>0.968388</v>
      </c>
      <c r="R232" s="52" t="n">
        <f aca="false">P232*Q232</f>
        <v>2314.43752766054</v>
      </c>
      <c r="S232" s="50" t="n">
        <v>0.09</v>
      </c>
      <c r="T232" s="52" t="n">
        <f aca="false">N232*S232</f>
        <v>183.845376</v>
      </c>
      <c r="U232" s="52" t="n">
        <v>0.016</v>
      </c>
      <c r="V232" s="52" t="n">
        <f aca="false">P232*U232</f>
        <v>38.239838208</v>
      </c>
      <c r="W232" s="53" t="s">
        <v>199</v>
      </c>
      <c r="X232" s="50" t="n">
        <v>6.67368</v>
      </c>
      <c r="Y232" s="53" t="s">
        <v>196</v>
      </c>
      <c r="Z232" s="50" t="n">
        <v>0.123786</v>
      </c>
      <c r="AA232" s="50" t="n">
        <v>7.88</v>
      </c>
      <c r="AB232" s="50" t="n">
        <v>9.05</v>
      </c>
      <c r="AC232" s="52" t="n">
        <f aca="false">IF(W232="EUR",AA232,IF(W232="GBP",AB232,1))</f>
        <v>9.05</v>
      </c>
      <c r="AD232" s="52" t="n">
        <f aca="false">R232*X232</f>
        <v>15445.8154395976</v>
      </c>
      <c r="AE232" s="52" t="n">
        <f aca="false">IF(Y232="PERCENTAGE_OF_BASE_FREIGHT",AD232*Z232,IF(Y232="PER_CHARGEABLE_KG",R232*Z232,P232*Z232))</f>
        <v>1911.97571000603</v>
      </c>
      <c r="AF232" s="52" t="n">
        <f aca="false">AD232*AC232</f>
        <v>139784.629728358</v>
      </c>
      <c r="AG232" s="52" t="n">
        <f aca="false">AE232*AC232</f>
        <v>17303.3801755546</v>
      </c>
      <c r="AH232" s="52" t="s">
        <v>195</v>
      </c>
      <c r="AI232" s="52" t="n">
        <v>1.2684058185107</v>
      </c>
      <c r="AJ232" s="52" t="n">
        <f aca="false">IF(AH232="EUR",AA232,IF(AH232="GBP",AB232,1))</f>
        <v>7.88</v>
      </c>
      <c r="AK232" s="52" t="n">
        <f aca="false">N232*AI232</f>
        <v>2591.00605138542</v>
      </c>
      <c r="AL232" s="52" t="n">
        <f aca="false">AK232*AJ232</f>
        <v>20417.1276849171</v>
      </c>
      <c r="AM232" s="52" t="s">
        <v>195</v>
      </c>
      <c r="AN232" s="52" t="n">
        <v>0.4347</v>
      </c>
      <c r="AO232" s="52" t="n">
        <f aca="false">IF(AM232="EUR",AA232,IF(AM232="GBP",AB232,1))</f>
        <v>7.88</v>
      </c>
      <c r="AP232" s="52" t="n">
        <f aca="false">P232*AN232</f>
        <v>1038.9286043136</v>
      </c>
      <c r="AQ232" s="52" t="n">
        <f aca="false">AP232*AO232</f>
        <v>8186.75740199117</v>
      </c>
      <c r="AR232" s="52" t="s">
        <v>199</v>
      </c>
      <c r="AS232" s="52" t="n">
        <v>4.968</v>
      </c>
      <c r="AT232" s="52" t="n">
        <f aca="false">IF(AR232="EUR",AA232,IF(AR232="GBP",AB232,1))</f>
        <v>9.05</v>
      </c>
      <c r="AU232" s="52" t="n">
        <f aca="false">T232*AS232</f>
        <v>913.343827968</v>
      </c>
      <c r="AV232" s="52" t="n">
        <f aca="false">AU232*AT232</f>
        <v>8265.7616431104</v>
      </c>
      <c r="AW232" s="52" t="s">
        <v>199</v>
      </c>
      <c r="AX232" s="52" t="n">
        <v>2.898</v>
      </c>
      <c r="AY232" s="52" t="n">
        <f aca="false">IF(AW232="EUR",AA232,IF(AW232="GBP",AB232,1))</f>
        <v>9.05</v>
      </c>
      <c r="AZ232" s="52" t="n">
        <f aca="false">V232*AX232</f>
        <v>110.819051126784</v>
      </c>
      <c r="BA232" s="52" t="n">
        <f aca="false">AZ232*AY232</f>
        <v>1002.9124126974</v>
      </c>
      <c r="BB232" s="52" t="n">
        <f aca="false">AF232+AG232+AL232+AQ232+AV232+BA232</f>
        <v>194960.569046629</v>
      </c>
      <c r="BC232" s="54" t="n">
        <v>0.974</v>
      </c>
      <c r="BD232" s="32"/>
      <c r="BE232" s="30" t="s">
        <v>205</v>
      </c>
      <c r="BF232" s="32"/>
      <c r="BG232" s="32" t="s">
        <v>197</v>
      </c>
    </row>
    <row r="233" customFormat="false" ht="26.5" hidden="false" customHeight="false" outlineLevel="0" collapsed="false">
      <c r="A233" s="18" t="s">
        <v>203</v>
      </c>
      <c r="B233" s="18" t="s">
        <v>204</v>
      </c>
      <c r="C233" s="18"/>
      <c r="D233" s="49" t="n">
        <v>46327</v>
      </c>
      <c r="E233" s="18" t="s">
        <v>127</v>
      </c>
      <c r="F233" s="18" t="s">
        <v>119</v>
      </c>
      <c r="G233" s="18" t="s">
        <v>100</v>
      </c>
      <c r="H233" s="18" t="s">
        <v>128</v>
      </c>
      <c r="I233" s="18" t="s">
        <v>125</v>
      </c>
      <c r="J233" s="50" t="n">
        <v>24800</v>
      </c>
      <c r="K233" s="51" t="n">
        <v>0.39</v>
      </c>
      <c r="L233" s="51" t="n">
        <v>0.96</v>
      </c>
      <c r="M233" s="51" t="n">
        <v>0.13</v>
      </c>
      <c r="N233" s="52" t="n">
        <f aca="false">J233*K233*L233*M233</f>
        <v>1207.0656</v>
      </c>
      <c r="O233" s="50" t="n">
        <v>1.17</v>
      </c>
      <c r="P233" s="52" t="n">
        <f aca="false">N233*O233</f>
        <v>1412.266752</v>
      </c>
      <c r="Q233" s="50" t="n">
        <v>0.947784</v>
      </c>
      <c r="R233" s="52" t="n">
        <f aca="false">P233*Q233</f>
        <v>1338.52383127757</v>
      </c>
      <c r="S233" s="50" t="n">
        <v>0.09</v>
      </c>
      <c r="T233" s="52" t="n">
        <f aca="false">N233*S233</f>
        <v>108.635904</v>
      </c>
      <c r="U233" s="52" t="n">
        <v>0.011</v>
      </c>
      <c r="V233" s="52" t="n">
        <f aca="false">P233*U233</f>
        <v>15.534934272</v>
      </c>
      <c r="W233" s="53" t="s">
        <v>199</v>
      </c>
      <c r="X233" s="50" t="n">
        <v>8.22825</v>
      </c>
      <c r="Y233" s="53" t="s">
        <v>198</v>
      </c>
      <c r="Z233" s="50" t="n">
        <v>0.636318</v>
      </c>
      <c r="AA233" s="50" t="n">
        <v>7.88</v>
      </c>
      <c r="AB233" s="50" t="n">
        <v>9.05</v>
      </c>
      <c r="AC233" s="52" t="n">
        <f aca="false">IF(W233="EUR",AA233,IF(W233="GBP",AB233,1))</f>
        <v>9.05</v>
      </c>
      <c r="AD233" s="52" t="n">
        <f aca="false">R233*X233</f>
        <v>11013.7087147096</v>
      </c>
      <c r="AE233" s="52" t="n">
        <f aca="false">IF(Y233="PERCENTAGE_OF_BASE_FREIGHT",AD233*Z233,IF(Y233="PER_CHARGEABLE_KG",R233*Z233,P233*Z233))</f>
        <v>851.72680727088</v>
      </c>
      <c r="AF233" s="52" t="n">
        <f aca="false">AD233*AC233</f>
        <v>99674.0638681223</v>
      </c>
      <c r="AG233" s="52" t="n">
        <f aca="false">AE233*AC233</f>
        <v>7708.12760580146</v>
      </c>
      <c r="AH233" s="52" t="s">
        <v>195</v>
      </c>
      <c r="AI233" s="52" t="n">
        <v>1.2684058185107</v>
      </c>
      <c r="AJ233" s="52" t="n">
        <f aca="false">IF(AH233="EUR",AA233,IF(AH233="GBP",AB233,1))</f>
        <v>7.88</v>
      </c>
      <c r="AK233" s="52" t="n">
        <f aca="false">N233*AI233</f>
        <v>1531.04903036411</v>
      </c>
      <c r="AL233" s="52" t="n">
        <f aca="false">AK233*AJ233</f>
        <v>12064.6663592692</v>
      </c>
      <c r="AM233" s="52" t="s">
        <v>195</v>
      </c>
      <c r="AN233" s="52" t="n">
        <v>0.4347</v>
      </c>
      <c r="AO233" s="52" t="n">
        <f aca="false">IF(AM233="EUR",AA233,IF(AM233="GBP",AB233,1))</f>
        <v>7.88</v>
      </c>
      <c r="AP233" s="52" t="n">
        <f aca="false">P233*AN233</f>
        <v>613.9123570944</v>
      </c>
      <c r="AQ233" s="52" t="n">
        <f aca="false">AP233*AO233</f>
        <v>4837.62937390387</v>
      </c>
      <c r="AR233" s="52" t="s">
        <v>199</v>
      </c>
      <c r="AS233" s="52" t="n">
        <v>4.968</v>
      </c>
      <c r="AT233" s="52" t="n">
        <f aca="false">IF(AR233="EUR",AA233,IF(AR233="GBP",AB233,1))</f>
        <v>9.05</v>
      </c>
      <c r="AU233" s="52" t="n">
        <f aca="false">T233*AS233</f>
        <v>539.703171072</v>
      </c>
      <c r="AV233" s="52" t="n">
        <f aca="false">AU233*AT233</f>
        <v>4884.3136982016</v>
      </c>
      <c r="AW233" s="52" t="s">
        <v>199</v>
      </c>
      <c r="AX233" s="52" t="n">
        <v>3.726</v>
      </c>
      <c r="AY233" s="52" t="n">
        <f aca="false">IF(AW233="EUR",AA233,IF(AW233="GBP",AB233,1))</f>
        <v>9.05</v>
      </c>
      <c r="AZ233" s="52" t="n">
        <f aca="false">V233*AX233</f>
        <v>57.883165097472</v>
      </c>
      <c r="BA233" s="52" t="n">
        <f aca="false">AZ233*AY233</f>
        <v>523.842644132122</v>
      </c>
      <c r="BB233" s="52" t="n">
        <f aca="false">AF233+AG233+AL233+AQ233+AV233+BA233</f>
        <v>129692.643549431</v>
      </c>
      <c r="BC233" s="54" t="n">
        <v>0.988</v>
      </c>
      <c r="BD233" s="32"/>
      <c r="BE233" s="30" t="s">
        <v>205</v>
      </c>
      <c r="BF233" s="32"/>
      <c r="BG233" s="32" t="s">
        <v>197</v>
      </c>
    </row>
    <row r="234" customFormat="false" ht="26.5" hidden="false" customHeight="false" outlineLevel="0" collapsed="false">
      <c r="A234" s="18" t="s">
        <v>203</v>
      </c>
      <c r="B234" s="18" t="s">
        <v>204</v>
      </c>
      <c r="C234" s="18"/>
      <c r="D234" s="49" t="n">
        <v>46327</v>
      </c>
      <c r="E234" s="18" t="s">
        <v>130</v>
      </c>
      <c r="F234" s="18" t="s">
        <v>119</v>
      </c>
      <c r="G234" s="18" t="s">
        <v>110</v>
      </c>
      <c r="H234" s="18" t="s">
        <v>107</v>
      </c>
      <c r="I234" s="18" t="s">
        <v>125</v>
      </c>
      <c r="J234" s="50" t="n">
        <v>24800</v>
      </c>
      <c r="K234" s="51" t="n">
        <v>0.39</v>
      </c>
      <c r="L234" s="51" t="n">
        <v>0.04</v>
      </c>
      <c r="M234" s="51" t="n">
        <v>1</v>
      </c>
      <c r="N234" s="52" t="n">
        <f aca="false">J234*K234*L234*M234</f>
        <v>386.88</v>
      </c>
      <c r="O234" s="50" t="n">
        <v>1.17</v>
      </c>
      <c r="P234" s="52" t="n">
        <f aca="false">N234*O234</f>
        <v>452.6496</v>
      </c>
      <c r="Q234" s="50" t="n">
        <v>0.92718</v>
      </c>
      <c r="R234" s="52" t="n">
        <f aca="false">P234*Q234</f>
        <v>419.687656128</v>
      </c>
      <c r="S234" s="50" t="n">
        <v>0.09</v>
      </c>
      <c r="T234" s="52" t="n">
        <f aca="false">N234*S234</f>
        <v>34.8192</v>
      </c>
      <c r="U234" s="52" t="n">
        <v>0.014</v>
      </c>
      <c r="V234" s="52" t="n">
        <f aca="false">P234*U234</f>
        <v>6.3370944</v>
      </c>
      <c r="W234" s="53" t="s">
        <v>195</v>
      </c>
      <c r="X234" s="50" t="n">
        <v>6.9345</v>
      </c>
      <c r="Y234" s="53" t="s">
        <v>196</v>
      </c>
      <c r="Z234" s="50" t="n">
        <v>0.108675</v>
      </c>
      <c r="AA234" s="50" t="n">
        <v>7.88</v>
      </c>
      <c r="AB234" s="50" t="n">
        <v>9.05</v>
      </c>
      <c r="AC234" s="52" t="n">
        <f aca="false">IF(W234="EUR",AA234,IF(W234="GBP",AB234,1))</f>
        <v>7.88</v>
      </c>
      <c r="AD234" s="52" t="n">
        <f aca="false">R234*X234</f>
        <v>2910.32405141962</v>
      </c>
      <c r="AE234" s="52" t="n">
        <f aca="false">IF(Y234="PERCENTAGE_OF_BASE_FREIGHT",AD234*Z234,IF(Y234="PER_CHARGEABLE_KG",R234*Z234,P234*Z234))</f>
        <v>316.279466288027</v>
      </c>
      <c r="AF234" s="52" t="n">
        <f aca="false">AD234*AC234</f>
        <v>22933.3535251866</v>
      </c>
      <c r="AG234" s="52" t="n">
        <f aca="false">AE234*AC234</f>
        <v>2492.28219434965</v>
      </c>
      <c r="AH234" s="52" t="s">
        <v>195</v>
      </c>
      <c r="AI234" s="52" t="n">
        <v>1.08675</v>
      </c>
      <c r="AJ234" s="52" t="n">
        <f aca="false">IF(AH234="EUR",AA234,IF(AH234="GBP",AB234,1))</f>
        <v>7.88</v>
      </c>
      <c r="AK234" s="52" t="n">
        <f aca="false">N234*AI234</f>
        <v>420.44184</v>
      </c>
      <c r="AL234" s="52" t="n">
        <f aca="false">AK234*AJ234</f>
        <v>3313.0816992</v>
      </c>
      <c r="AM234" s="52" t="s">
        <v>195</v>
      </c>
      <c r="AN234" s="52" t="n">
        <v>0.3933</v>
      </c>
      <c r="AO234" s="52" t="n">
        <f aca="false">IF(AM234="EUR",AA234,IF(AM234="GBP",AB234,1))</f>
        <v>7.88</v>
      </c>
      <c r="AP234" s="52" t="n">
        <f aca="false">P234*AN234</f>
        <v>178.02708768</v>
      </c>
      <c r="AQ234" s="52" t="n">
        <f aca="false">AP234*AO234</f>
        <v>1402.8534509184</v>
      </c>
      <c r="AR234" s="52" t="s">
        <v>195</v>
      </c>
      <c r="AS234" s="52" t="n">
        <v>5.382</v>
      </c>
      <c r="AT234" s="52" t="n">
        <f aca="false">IF(AR234="EUR",AA234,IF(AR234="GBP",AB234,1))</f>
        <v>7.88</v>
      </c>
      <c r="AU234" s="52" t="n">
        <f aca="false">T234*AS234</f>
        <v>187.3969344</v>
      </c>
      <c r="AV234" s="52" t="n">
        <f aca="false">AU234*AT234</f>
        <v>1476.687843072</v>
      </c>
      <c r="AW234" s="52" t="s">
        <v>195</v>
      </c>
      <c r="AX234" s="52" t="n">
        <v>2.898</v>
      </c>
      <c r="AY234" s="52" t="n">
        <f aca="false">IF(AW234="EUR",AA234,IF(AW234="GBP",AB234,1))</f>
        <v>7.88</v>
      </c>
      <c r="AZ234" s="52" t="n">
        <f aca="false">V234*AX234</f>
        <v>18.3648995712</v>
      </c>
      <c r="BA234" s="52" t="n">
        <f aca="false">AZ234*AY234</f>
        <v>144.715408621056</v>
      </c>
      <c r="BB234" s="52" t="n">
        <f aca="false">AF234+AG234+AL234+AQ234+AV234+BA234</f>
        <v>31762.9741213477</v>
      </c>
      <c r="BC234" s="54" t="n">
        <v>0.971</v>
      </c>
      <c r="BD234" s="32"/>
      <c r="BE234" s="30" t="s">
        <v>205</v>
      </c>
      <c r="BF234" s="32"/>
      <c r="BG234" s="32" t="s">
        <v>197</v>
      </c>
    </row>
    <row r="235" customFormat="false" ht="26.5" hidden="false" customHeight="false" outlineLevel="0" collapsed="false">
      <c r="A235" s="18" t="s">
        <v>203</v>
      </c>
      <c r="B235" s="18" t="s">
        <v>204</v>
      </c>
      <c r="C235" s="18"/>
      <c r="D235" s="49" t="n">
        <v>46357</v>
      </c>
      <c r="E235" s="18" t="s">
        <v>98</v>
      </c>
      <c r="F235" s="18" t="s">
        <v>99</v>
      </c>
      <c r="G235" s="18" t="s">
        <v>100</v>
      </c>
      <c r="H235" s="18" t="s">
        <v>101</v>
      </c>
      <c r="I235" s="18" t="s">
        <v>102</v>
      </c>
      <c r="J235" s="50" t="n">
        <v>28600</v>
      </c>
      <c r="K235" s="51" t="n">
        <v>0.32</v>
      </c>
      <c r="L235" s="51" t="n">
        <v>0.97</v>
      </c>
      <c r="M235" s="51" t="n">
        <v>0.6</v>
      </c>
      <c r="N235" s="52" t="n">
        <f aca="false">J235*K235*L235*M235</f>
        <v>5326.464</v>
      </c>
      <c r="O235" s="50" t="n">
        <v>1.05</v>
      </c>
      <c r="P235" s="52" t="n">
        <f aca="false">N235*O235</f>
        <v>5592.7872</v>
      </c>
      <c r="Q235" s="50" t="n">
        <v>0.7878</v>
      </c>
      <c r="R235" s="52" t="n">
        <f aca="false">P235*Q235</f>
        <v>4405.99775616</v>
      </c>
      <c r="S235" s="50" t="n">
        <v>0.05</v>
      </c>
      <c r="T235" s="52" t="n">
        <f aca="false">N235*S235</f>
        <v>266.3232</v>
      </c>
      <c r="U235" s="52" t="n">
        <v>0.016</v>
      </c>
      <c r="V235" s="52" t="n">
        <f aca="false">P235*U235</f>
        <v>89.4845952</v>
      </c>
      <c r="W235" s="53" t="s">
        <v>195</v>
      </c>
      <c r="X235" s="50" t="n">
        <v>2.277</v>
      </c>
      <c r="Y235" s="53" t="s">
        <v>196</v>
      </c>
      <c r="Z235" s="50" t="n">
        <v>0.098325</v>
      </c>
      <c r="AA235" s="50" t="n">
        <v>7.86</v>
      </c>
      <c r="AB235" s="50" t="n">
        <v>9</v>
      </c>
      <c r="AC235" s="52" t="n">
        <f aca="false">IF(W235="EUR",AA235,IF(W235="GBP",AB235,1))</f>
        <v>7.86</v>
      </c>
      <c r="AD235" s="52" t="n">
        <f aca="false">R235*X235</f>
        <v>10032.4568907763</v>
      </c>
      <c r="AE235" s="52" t="n">
        <f aca="false">IF(Y235="PERCENTAGE_OF_BASE_FREIGHT",AD235*Z235,IF(Y235="PER_CHARGEABLE_KG",R235*Z235,P235*Z235))</f>
        <v>986.441323785582</v>
      </c>
      <c r="AF235" s="52" t="n">
        <f aca="false">AD235*AC235</f>
        <v>78855.1111615019</v>
      </c>
      <c r="AG235" s="52" t="n">
        <f aca="false">AE235*AC235</f>
        <v>7753.42880495467</v>
      </c>
      <c r="AH235" s="52" t="s">
        <v>195</v>
      </c>
      <c r="AI235" s="52" t="n">
        <v>1.26158229834681</v>
      </c>
      <c r="AJ235" s="52" t="n">
        <f aca="false">IF(AH235="EUR",AA235,IF(AH235="GBP",AB235,1))</f>
        <v>7.86</v>
      </c>
      <c r="AK235" s="52" t="n">
        <f aca="false">N235*AI235</f>
        <v>6719.77269518157</v>
      </c>
      <c r="AL235" s="52" t="n">
        <f aca="false">AK235*AJ235</f>
        <v>52817.4133841271</v>
      </c>
      <c r="AM235" s="52" t="s">
        <v>195</v>
      </c>
      <c r="AN235" s="52" t="n">
        <v>0.4347</v>
      </c>
      <c r="AO235" s="52" t="n">
        <f aca="false">IF(AM235="EUR",AA235,IF(AM235="GBP",AB235,1))</f>
        <v>7.86</v>
      </c>
      <c r="AP235" s="52" t="n">
        <f aca="false">P235*AN235</f>
        <v>2431.18459584</v>
      </c>
      <c r="AQ235" s="52" t="n">
        <f aca="false">AP235*AO235</f>
        <v>19109.1109233024</v>
      </c>
      <c r="AR235" s="52" t="s">
        <v>195</v>
      </c>
      <c r="AS235" s="52" t="n">
        <v>3.312</v>
      </c>
      <c r="AT235" s="52" t="n">
        <f aca="false">IF(AR235="EUR",AA235,IF(AR235="GBP",AB235,1))</f>
        <v>7.86</v>
      </c>
      <c r="AU235" s="52" t="n">
        <f aca="false">T235*AS235</f>
        <v>882.0624384</v>
      </c>
      <c r="AV235" s="52" t="n">
        <f aca="false">AU235*AT235</f>
        <v>6933.010765824</v>
      </c>
      <c r="AW235" s="52" t="s">
        <v>195</v>
      </c>
      <c r="AX235" s="52" t="n">
        <v>2.3805</v>
      </c>
      <c r="AY235" s="52" t="n">
        <f aca="false">IF(AW235="EUR",AA235,IF(AW235="GBP",AB235,1))</f>
        <v>7.86</v>
      </c>
      <c r="AZ235" s="52" t="n">
        <f aca="false">V235*AX235</f>
        <v>213.0180788736</v>
      </c>
      <c r="BA235" s="52" t="n">
        <f aca="false">AZ235*AY235</f>
        <v>1674.3220999465</v>
      </c>
      <c r="BB235" s="52" t="n">
        <f aca="false">AF235+AG235+AL235+AQ235+AV235+BA235</f>
        <v>167142.397139657</v>
      </c>
      <c r="BC235" s="54" t="n">
        <v>0.965</v>
      </c>
      <c r="BD235" s="32"/>
      <c r="BE235" s="30" t="s">
        <v>205</v>
      </c>
      <c r="BF235" s="32"/>
      <c r="BG235" s="32" t="s">
        <v>197</v>
      </c>
    </row>
    <row r="236" customFormat="false" ht="26.5" hidden="false" customHeight="false" outlineLevel="0" collapsed="false">
      <c r="A236" s="18" t="s">
        <v>203</v>
      </c>
      <c r="B236" s="18" t="s">
        <v>204</v>
      </c>
      <c r="C236" s="18"/>
      <c r="D236" s="49" t="n">
        <v>46357</v>
      </c>
      <c r="E236" s="18" t="s">
        <v>106</v>
      </c>
      <c r="F236" s="18" t="s">
        <v>99</v>
      </c>
      <c r="G236" s="18" t="s">
        <v>100</v>
      </c>
      <c r="H236" s="18" t="s">
        <v>107</v>
      </c>
      <c r="I236" s="18" t="s">
        <v>102</v>
      </c>
      <c r="J236" s="50" t="n">
        <v>28600</v>
      </c>
      <c r="K236" s="51" t="n">
        <v>0.32</v>
      </c>
      <c r="L236" s="51" t="n">
        <v>0.97</v>
      </c>
      <c r="M236" s="51" t="n">
        <v>0.4</v>
      </c>
      <c r="N236" s="52" t="n">
        <f aca="false">J236*K236*L236*M236</f>
        <v>3550.976</v>
      </c>
      <c r="O236" s="50" t="n">
        <v>1.05</v>
      </c>
      <c r="P236" s="52" t="n">
        <f aca="false">N236*O236</f>
        <v>3728.5248</v>
      </c>
      <c r="Q236" s="50" t="n">
        <v>0.808</v>
      </c>
      <c r="R236" s="52" t="n">
        <f aca="false">P236*Q236</f>
        <v>3012.6480384</v>
      </c>
      <c r="S236" s="50" t="n">
        <v>0.05</v>
      </c>
      <c r="T236" s="52" t="n">
        <f aca="false">N236*S236</f>
        <v>177.5488</v>
      </c>
      <c r="U236" s="52" t="n">
        <v>0.013</v>
      </c>
      <c r="V236" s="52" t="n">
        <f aca="false">P236*U236</f>
        <v>48.4708224</v>
      </c>
      <c r="W236" s="53" t="s">
        <v>195</v>
      </c>
      <c r="X236" s="50" t="n">
        <v>2.84625</v>
      </c>
      <c r="Y236" s="53" t="s">
        <v>198</v>
      </c>
      <c r="Z236" s="50" t="n">
        <v>0.21735</v>
      </c>
      <c r="AA236" s="50" t="n">
        <v>7.86</v>
      </c>
      <c r="AB236" s="50" t="n">
        <v>9</v>
      </c>
      <c r="AC236" s="52" t="n">
        <f aca="false">IF(W236="EUR",AA236,IF(W236="GBP",AB236,1))</f>
        <v>7.86</v>
      </c>
      <c r="AD236" s="52" t="n">
        <f aca="false">R236*X236</f>
        <v>8574.749479296</v>
      </c>
      <c r="AE236" s="52" t="n">
        <f aca="false">IF(Y236="PERCENTAGE_OF_BASE_FREIGHT",AD236*Z236,IF(Y236="PER_CHARGEABLE_KG",R236*Z236,P236*Z236))</f>
        <v>654.79905114624</v>
      </c>
      <c r="AF236" s="52" t="n">
        <f aca="false">AD236*AC236</f>
        <v>67397.5309072666</v>
      </c>
      <c r="AG236" s="52" t="n">
        <f aca="false">AE236*AC236</f>
        <v>5146.72054200945</v>
      </c>
      <c r="AH236" s="52" t="s">
        <v>195</v>
      </c>
      <c r="AI236" s="52" t="n">
        <v>1.26158229834681</v>
      </c>
      <c r="AJ236" s="52" t="n">
        <f aca="false">IF(AH236="EUR",AA236,IF(AH236="GBP",AB236,1))</f>
        <v>7.86</v>
      </c>
      <c r="AK236" s="52" t="n">
        <f aca="false">N236*AI236</f>
        <v>4479.84846345438</v>
      </c>
      <c r="AL236" s="52" t="n">
        <f aca="false">AK236*AJ236</f>
        <v>35211.6089227514</v>
      </c>
      <c r="AM236" s="52" t="s">
        <v>195</v>
      </c>
      <c r="AN236" s="52" t="n">
        <v>0.4347</v>
      </c>
      <c r="AO236" s="52" t="n">
        <f aca="false">IF(AM236="EUR",AA236,IF(AM236="GBP",AB236,1))</f>
        <v>7.86</v>
      </c>
      <c r="AP236" s="52" t="n">
        <f aca="false">P236*AN236</f>
        <v>1620.78973056</v>
      </c>
      <c r="AQ236" s="52" t="n">
        <f aca="false">AP236*AO236</f>
        <v>12739.4072822016</v>
      </c>
      <c r="AR236" s="52" t="s">
        <v>195</v>
      </c>
      <c r="AS236" s="52" t="n">
        <v>3.312</v>
      </c>
      <c r="AT236" s="52" t="n">
        <f aca="false">IF(AR236="EUR",AA236,IF(AR236="GBP",AB236,1))</f>
        <v>7.86</v>
      </c>
      <c r="AU236" s="52" t="n">
        <f aca="false">T236*AS236</f>
        <v>588.0416256</v>
      </c>
      <c r="AV236" s="52" t="n">
        <f aca="false">AU236*AT236</f>
        <v>4622.007177216</v>
      </c>
      <c r="AW236" s="52" t="s">
        <v>195</v>
      </c>
      <c r="AX236" s="52" t="n">
        <v>2.3805</v>
      </c>
      <c r="AY236" s="52" t="n">
        <f aca="false">IF(AW236="EUR",AA236,IF(AW236="GBP",AB236,1))</f>
        <v>7.86</v>
      </c>
      <c r="AZ236" s="52" t="n">
        <f aca="false">V236*AX236</f>
        <v>115.3847927232</v>
      </c>
      <c r="BA236" s="52" t="n">
        <f aca="false">AZ236*AY236</f>
        <v>906.924470804352</v>
      </c>
      <c r="BB236" s="52" t="n">
        <f aca="false">AF236+AG236+AL236+AQ236+AV236+BA236</f>
        <v>126024.199302249</v>
      </c>
      <c r="BC236" s="54" t="n">
        <v>0.976</v>
      </c>
      <c r="BD236" s="32"/>
      <c r="BE236" s="30" t="s">
        <v>205</v>
      </c>
      <c r="BF236" s="32"/>
      <c r="BG236" s="32" t="s">
        <v>197</v>
      </c>
    </row>
    <row r="237" customFormat="false" ht="26.5" hidden="false" customHeight="false" outlineLevel="0" collapsed="false">
      <c r="A237" s="18" t="s">
        <v>203</v>
      </c>
      <c r="B237" s="18" t="s">
        <v>204</v>
      </c>
      <c r="C237" s="18"/>
      <c r="D237" s="49" t="n">
        <v>46357</v>
      </c>
      <c r="E237" s="18" t="s">
        <v>109</v>
      </c>
      <c r="F237" s="18" t="s">
        <v>99</v>
      </c>
      <c r="G237" s="18" t="s">
        <v>110</v>
      </c>
      <c r="H237" s="18" t="s">
        <v>107</v>
      </c>
      <c r="I237" s="18" t="s">
        <v>102</v>
      </c>
      <c r="J237" s="50" t="n">
        <v>28600</v>
      </c>
      <c r="K237" s="51" t="n">
        <v>0.32</v>
      </c>
      <c r="L237" s="51" t="n">
        <v>0.03</v>
      </c>
      <c r="M237" s="51" t="n">
        <v>1</v>
      </c>
      <c r="N237" s="52" t="n">
        <f aca="false">J237*K237*L237*M237</f>
        <v>274.56</v>
      </c>
      <c r="O237" s="50" t="n">
        <v>1.08</v>
      </c>
      <c r="P237" s="52" t="n">
        <f aca="false">N237*O237</f>
        <v>296.5248</v>
      </c>
      <c r="Q237" s="50" t="n">
        <v>0.8686</v>
      </c>
      <c r="R237" s="52" t="n">
        <f aca="false">P237*Q237</f>
        <v>257.56144128</v>
      </c>
      <c r="S237" s="50" t="n">
        <v>0.05</v>
      </c>
      <c r="T237" s="52" t="n">
        <f aca="false">N237*S237</f>
        <v>13.728</v>
      </c>
      <c r="U237" s="52" t="n">
        <v>0.014</v>
      </c>
      <c r="V237" s="52" t="n">
        <f aca="false">P237*U237</f>
        <v>4.1513472</v>
      </c>
      <c r="W237" s="53" t="s">
        <v>195</v>
      </c>
      <c r="X237" s="50" t="n">
        <v>3.4155</v>
      </c>
      <c r="Y237" s="53" t="s">
        <v>198</v>
      </c>
      <c r="Z237" s="50" t="n">
        <v>0.2484</v>
      </c>
      <c r="AA237" s="50" t="n">
        <v>7.86</v>
      </c>
      <c r="AB237" s="50" t="n">
        <v>9</v>
      </c>
      <c r="AC237" s="52" t="n">
        <f aca="false">IF(W237="EUR",AA237,IF(W237="GBP",AB237,1))</f>
        <v>7.86</v>
      </c>
      <c r="AD237" s="52" t="n">
        <f aca="false">R237*X237</f>
        <v>879.70110269184</v>
      </c>
      <c r="AE237" s="52" t="n">
        <f aca="false">IF(Y237="PERCENTAGE_OF_BASE_FREIGHT",AD237*Z237,IF(Y237="PER_CHARGEABLE_KG",R237*Z237,P237*Z237))</f>
        <v>63.978262013952</v>
      </c>
      <c r="AF237" s="52" t="n">
        <f aca="false">AD237*AC237</f>
        <v>6914.45066715787</v>
      </c>
      <c r="AG237" s="52" t="n">
        <f aca="false">AE237*AC237</f>
        <v>502.869139429663</v>
      </c>
      <c r="AH237" s="52" t="s">
        <v>195</v>
      </c>
      <c r="AI237" s="52" t="n">
        <v>1.08675</v>
      </c>
      <c r="AJ237" s="52" t="n">
        <f aca="false">IF(AH237="EUR",AA237,IF(AH237="GBP",AB237,1))</f>
        <v>7.86</v>
      </c>
      <c r="AK237" s="52" t="n">
        <f aca="false">N237*AI237</f>
        <v>298.37808</v>
      </c>
      <c r="AL237" s="52" t="n">
        <f aca="false">AK237*AJ237</f>
        <v>2345.2517088</v>
      </c>
      <c r="AM237" s="52" t="s">
        <v>195</v>
      </c>
      <c r="AN237" s="52" t="n">
        <v>0.3933</v>
      </c>
      <c r="AO237" s="52" t="n">
        <f aca="false">IF(AM237="EUR",AA237,IF(AM237="GBP",AB237,1))</f>
        <v>7.86</v>
      </c>
      <c r="AP237" s="52" t="n">
        <f aca="false">P237*AN237</f>
        <v>116.62320384</v>
      </c>
      <c r="AQ237" s="52" t="n">
        <f aca="false">AP237*AO237</f>
        <v>916.6583821824</v>
      </c>
      <c r="AR237" s="52" t="s">
        <v>195</v>
      </c>
      <c r="AS237" s="52" t="n">
        <v>3.933</v>
      </c>
      <c r="AT237" s="52" t="n">
        <f aca="false">IF(AR237="EUR",AA237,IF(AR237="GBP",AB237,1))</f>
        <v>7.86</v>
      </c>
      <c r="AU237" s="52" t="n">
        <f aca="false">T237*AS237</f>
        <v>53.992224</v>
      </c>
      <c r="AV237" s="52" t="n">
        <f aca="false">AU237*AT237</f>
        <v>424.37888064</v>
      </c>
      <c r="AW237" s="52" t="s">
        <v>195</v>
      </c>
      <c r="AX237" s="52" t="n">
        <v>2.3805</v>
      </c>
      <c r="AY237" s="52" t="n">
        <f aca="false">IF(AW237="EUR",AA237,IF(AW237="GBP",AB237,1))</f>
        <v>7.86</v>
      </c>
      <c r="AZ237" s="52" t="n">
        <f aca="false">V237*AX237</f>
        <v>9.8822820096</v>
      </c>
      <c r="BA237" s="52" t="n">
        <f aca="false">AZ237*AY237</f>
        <v>77.674736595456</v>
      </c>
      <c r="BB237" s="52" t="n">
        <f aca="false">AF237+AG237+AL237+AQ237+AV237+BA237</f>
        <v>11181.2835148054</v>
      </c>
      <c r="BC237" s="54" t="n">
        <v>0.968</v>
      </c>
      <c r="BD237" s="32"/>
      <c r="BE237" s="30" t="s">
        <v>205</v>
      </c>
      <c r="BF237" s="32"/>
      <c r="BG237" s="32" t="s">
        <v>197</v>
      </c>
    </row>
    <row r="238" customFormat="false" ht="26.5" hidden="false" customHeight="false" outlineLevel="0" collapsed="false">
      <c r="A238" s="18" t="s">
        <v>203</v>
      </c>
      <c r="B238" s="18" t="s">
        <v>204</v>
      </c>
      <c r="C238" s="18"/>
      <c r="D238" s="49" t="n">
        <v>46357</v>
      </c>
      <c r="E238" s="18" t="s">
        <v>112</v>
      </c>
      <c r="F238" s="18" t="s">
        <v>113</v>
      </c>
      <c r="G238" s="18" t="s">
        <v>110</v>
      </c>
      <c r="H238" s="18" t="s">
        <v>101</v>
      </c>
      <c r="I238" s="18" t="s">
        <v>102</v>
      </c>
      <c r="J238" s="50" t="n">
        <v>28600</v>
      </c>
      <c r="K238" s="51" t="n">
        <v>0.28</v>
      </c>
      <c r="L238" s="51" t="n">
        <v>1</v>
      </c>
      <c r="M238" s="51" t="n">
        <v>0.35</v>
      </c>
      <c r="N238" s="52" t="n">
        <f aca="false">J238*K238*L238*M238</f>
        <v>2802.8</v>
      </c>
      <c r="O238" s="50" t="n">
        <v>1.06</v>
      </c>
      <c r="P238" s="52" t="n">
        <f aca="false">N238*O238</f>
        <v>2970.968</v>
      </c>
      <c r="Q238" s="50" t="n">
        <v>0.7676</v>
      </c>
      <c r="R238" s="52" t="n">
        <f aca="false">P238*Q238</f>
        <v>2280.5150368</v>
      </c>
      <c r="S238" s="50" t="n">
        <v>0.06</v>
      </c>
      <c r="T238" s="52" t="n">
        <f aca="false">N238*S238</f>
        <v>168.168</v>
      </c>
      <c r="U238" s="52" t="n">
        <v>0.017</v>
      </c>
      <c r="V238" s="52" t="n">
        <f aca="false">P238*U238</f>
        <v>50.506456</v>
      </c>
      <c r="W238" s="53" t="s">
        <v>195</v>
      </c>
      <c r="X238" s="50" t="n">
        <v>2.1735</v>
      </c>
      <c r="Y238" s="53" t="s">
        <v>196</v>
      </c>
      <c r="Z238" s="50" t="n">
        <v>0.09315</v>
      </c>
      <c r="AA238" s="50" t="n">
        <v>7.86</v>
      </c>
      <c r="AB238" s="50" t="n">
        <v>9</v>
      </c>
      <c r="AC238" s="52" t="n">
        <f aca="false">IF(W238="EUR",AA238,IF(W238="GBP",AB238,1))</f>
        <v>7.86</v>
      </c>
      <c r="AD238" s="52" t="n">
        <f aca="false">R238*X238</f>
        <v>4956.6994324848</v>
      </c>
      <c r="AE238" s="52" t="n">
        <f aca="false">IF(Y238="PERCENTAGE_OF_BASE_FREIGHT",AD238*Z238,IF(Y238="PER_CHARGEABLE_KG",R238*Z238,P238*Z238))</f>
        <v>461.716552135959</v>
      </c>
      <c r="AF238" s="52" t="n">
        <f aca="false">AD238*AC238</f>
        <v>38959.6575393305</v>
      </c>
      <c r="AG238" s="52" t="n">
        <f aca="false">AE238*AC238</f>
        <v>3629.09209978864</v>
      </c>
      <c r="AH238" s="52" t="s">
        <v>195</v>
      </c>
      <c r="AI238" s="52" t="n">
        <v>1.08675</v>
      </c>
      <c r="AJ238" s="52" t="n">
        <f aca="false">IF(AH238="EUR",AA238,IF(AH238="GBP",AB238,1))</f>
        <v>7.86</v>
      </c>
      <c r="AK238" s="52" t="n">
        <f aca="false">N238*AI238</f>
        <v>3045.9429</v>
      </c>
      <c r="AL238" s="52" t="n">
        <f aca="false">AK238*AJ238</f>
        <v>23941.111194</v>
      </c>
      <c r="AM238" s="52" t="s">
        <v>195</v>
      </c>
      <c r="AN238" s="52" t="n">
        <v>0.3933</v>
      </c>
      <c r="AO238" s="52" t="n">
        <f aca="false">IF(AM238="EUR",AA238,IF(AM238="GBP",AB238,1))</f>
        <v>7.86</v>
      </c>
      <c r="AP238" s="52" t="n">
        <f aca="false">P238*AN238</f>
        <v>1168.4817144</v>
      </c>
      <c r="AQ238" s="52" t="n">
        <f aca="false">AP238*AO238</f>
        <v>9184.266275184</v>
      </c>
      <c r="AR238" s="52" t="s">
        <v>195</v>
      </c>
      <c r="AS238" s="52" t="n">
        <v>3.105</v>
      </c>
      <c r="AT238" s="52" t="n">
        <f aca="false">IF(AR238="EUR",AA238,IF(AR238="GBP",AB238,1))</f>
        <v>7.86</v>
      </c>
      <c r="AU238" s="52" t="n">
        <f aca="false">T238*AS238</f>
        <v>522.16164</v>
      </c>
      <c r="AV238" s="52" t="n">
        <f aca="false">AU238*AT238</f>
        <v>4104.1904904</v>
      </c>
      <c r="AW238" s="52" t="s">
        <v>195</v>
      </c>
      <c r="AX238" s="52" t="n">
        <v>2.3805</v>
      </c>
      <c r="AY238" s="52" t="n">
        <f aca="false">IF(AW238="EUR",AA238,IF(AW238="GBP",AB238,1))</f>
        <v>7.86</v>
      </c>
      <c r="AZ238" s="52" t="n">
        <f aca="false">V238*AX238</f>
        <v>120.230618508</v>
      </c>
      <c r="BA238" s="52" t="n">
        <f aca="false">AZ238*AY238</f>
        <v>945.01266147288</v>
      </c>
      <c r="BB238" s="52" t="n">
        <f aca="false">AF238+AG238+AL238+AQ238+AV238+BA238</f>
        <v>80763.330260176</v>
      </c>
      <c r="BC238" s="54" t="n">
        <v>0.961</v>
      </c>
      <c r="BD238" s="32"/>
      <c r="BE238" s="30" t="s">
        <v>205</v>
      </c>
      <c r="BF238" s="32"/>
      <c r="BG238" s="32" t="s">
        <v>197</v>
      </c>
    </row>
    <row r="239" customFormat="false" ht="26.5" hidden="false" customHeight="false" outlineLevel="0" collapsed="false">
      <c r="A239" s="18" t="s">
        <v>203</v>
      </c>
      <c r="B239" s="18" t="s">
        <v>204</v>
      </c>
      <c r="C239" s="18"/>
      <c r="D239" s="49" t="n">
        <v>46357</v>
      </c>
      <c r="E239" s="18" t="s">
        <v>116</v>
      </c>
      <c r="F239" s="18" t="s">
        <v>113</v>
      </c>
      <c r="G239" s="18" t="s">
        <v>110</v>
      </c>
      <c r="H239" s="18" t="s">
        <v>107</v>
      </c>
      <c r="I239" s="18" t="s">
        <v>102</v>
      </c>
      <c r="J239" s="50" t="n">
        <v>28600</v>
      </c>
      <c r="K239" s="51" t="n">
        <v>0.28</v>
      </c>
      <c r="L239" s="51" t="n">
        <v>1</v>
      </c>
      <c r="M239" s="51" t="n">
        <v>0.65</v>
      </c>
      <c r="N239" s="52" t="n">
        <f aca="false">J239*K239*L239*M239</f>
        <v>5205.2</v>
      </c>
      <c r="O239" s="50" t="n">
        <v>1.06</v>
      </c>
      <c r="P239" s="52" t="n">
        <f aca="false">N239*O239</f>
        <v>5517.512</v>
      </c>
      <c r="Q239" s="50" t="n">
        <v>0.7979</v>
      </c>
      <c r="R239" s="52" t="n">
        <f aca="false">P239*Q239</f>
        <v>4402.4228248</v>
      </c>
      <c r="S239" s="50" t="n">
        <v>0.06</v>
      </c>
      <c r="T239" s="52" t="n">
        <f aca="false">N239*S239</f>
        <v>312.312</v>
      </c>
      <c r="U239" s="52" t="n">
        <v>0.014</v>
      </c>
      <c r="V239" s="52" t="n">
        <f aca="false">P239*U239</f>
        <v>77.245168</v>
      </c>
      <c r="W239" s="53" t="s">
        <v>195</v>
      </c>
      <c r="X239" s="50" t="n">
        <v>2.691</v>
      </c>
      <c r="Y239" s="53" t="s">
        <v>198</v>
      </c>
      <c r="Z239" s="50" t="n">
        <v>0.207</v>
      </c>
      <c r="AA239" s="50" t="n">
        <v>7.86</v>
      </c>
      <c r="AB239" s="50" t="n">
        <v>9</v>
      </c>
      <c r="AC239" s="52" t="n">
        <f aca="false">IF(W239="EUR",AA239,IF(W239="GBP",AB239,1))</f>
        <v>7.86</v>
      </c>
      <c r="AD239" s="52" t="n">
        <f aca="false">R239*X239</f>
        <v>11846.9198215368</v>
      </c>
      <c r="AE239" s="52" t="n">
        <f aca="false">IF(Y239="PERCENTAGE_OF_BASE_FREIGHT",AD239*Z239,IF(Y239="PER_CHARGEABLE_KG",R239*Z239,P239*Z239))</f>
        <v>911.3015247336</v>
      </c>
      <c r="AF239" s="52" t="n">
        <f aca="false">AD239*AC239</f>
        <v>93116.7897972793</v>
      </c>
      <c r="AG239" s="52" t="n">
        <f aca="false">AE239*AC239</f>
        <v>7162.8299844061</v>
      </c>
      <c r="AH239" s="52" t="s">
        <v>195</v>
      </c>
      <c r="AI239" s="52" t="n">
        <v>1.08675</v>
      </c>
      <c r="AJ239" s="52" t="n">
        <f aca="false">IF(AH239="EUR",AA239,IF(AH239="GBP",AB239,1))</f>
        <v>7.86</v>
      </c>
      <c r="AK239" s="52" t="n">
        <f aca="false">N239*AI239</f>
        <v>5656.7511</v>
      </c>
      <c r="AL239" s="52" t="n">
        <f aca="false">AK239*AJ239</f>
        <v>44462.063646</v>
      </c>
      <c r="AM239" s="52" t="s">
        <v>195</v>
      </c>
      <c r="AN239" s="52" t="n">
        <v>0.3933</v>
      </c>
      <c r="AO239" s="52" t="n">
        <f aca="false">IF(AM239="EUR",AA239,IF(AM239="GBP",AB239,1))</f>
        <v>7.86</v>
      </c>
      <c r="AP239" s="52" t="n">
        <f aca="false">P239*AN239</f>
        <v>2170.0374696</v>
      </c>
      <c r="AQ239" s="52" t="n">
        <f aca="false">AP239*AO239</f>
        <v>17056.494511056</v>
      </c>
      <c r="AR239" s="52" t="s">
        <v>195</v>
      </c>
      <c r="AS239" s="52" t="n">
        <v>3.105</v>
      </c>
      <c r="AT239" s="52" t="n">
        <f aca="false">IF(AR239="EUR",AA239,IF(AR239="GBP",AB239,1))</f>
        <v>7.86</v>
      </c>
      <c r="AU239" s="52" t="n">
        <f aca="false">T239*AS239</f>
        <v>969.72876</v>
      </c>
      <c r="AV239" s="52" t="n">
        <f aca="false">AU239*AT239</f>
        <v>7622.0680536</v>
      </c>
      <c r="AW239" s="52" t="s">
        <v>195</v>
      </c>
      <c r="AX239" s="52" t="n">
        <v>2.3805</v>
      </c>
      <c r="AY239" s="52" t="n">
        <f aca="false">IF(AW239="EUR",AA239,IF(AW239="GBP",AB239,1))</f>
        <v>7.86</v>
      </c>
      <c r="AZ239" s="52" t="n">
        <f aca="false">V239*AX239</f>
        <v>183.882122424</v>
      </c>
      <c r="BA239" s="52" t="n">
        <f aca="false">AZ239*AY239</f>
        <v>1445.31348225264</v>
      </c>
      <c r="BB239" s="52" t="n">
        <f aca="false">AF239+AG239+AL239+AQ239+AV239+BA239</f>
        <v>170865.559474594</v>
      </c>
      <c r="BC239" s="54" t="n">
        <v>0.973</v>
      </c>
      <c r="BD239" s="32"/>
      <c r="BE239" s="30" t="s">
        <v>205</v>
      </c>
      <c r="BF239" s="32"/>
      <c r="BG239" s="32" t="s">
        <v>197</v>
      </c>
    </row>
    <row r="240" customFormat="false" ht="26.5" hidden="false" customHeight="false" outlineLevel="0" collapsed="false">
      <c r="A240" s="18" t="s">
        <v>203</v>
      </c>
      <c r="B240" s="18" t="s">
        <v>204</v>
      </c>
      <c r="C240" s="18"/>
      <c r="D240" s="49" t="n">
        <v>46357</v>
      </c>
      <c r="E240" s="18" t="s">
        <v>118</v>
      </c>
      <c r="F240" s="18" t="s">
        <v>119</v>
      </c>
      <c r="G240" s="18" t="s">
        <v>100</v>
      </c>
      <c r="H240" s="18" t="s">
        <v>101</v>
      </c>
      <c r="I240" s="18" t="s">
        <v>102</v>
      </c>
      <c r="J240" s="50" t="n">
        <v>28600</v>
      </c>
      <c r="K240" s="51" t="n">
        <v>0.4</v>
      </c>
      <c r="L240" s="51" t="n">
        <v>0.96</v>
      </c>
      <c r="M240" s="51" t="n">
        <v>0.48</v>
      </c>
      <c r="N240" s="52" t="n">
        <f aca="false">J240*K240*L240*M240</f>
        <v>5271.552</v>
      </c>
      <c r="O240" s="50" t="n">
        <v>1.17</v>
      </c>
      <c r="P240" s="52" t="n">
        <f aca="false">N240*O240</f>
        <v>6167.71584</v>
      </c>
      <c r="Q240" s="50" t="n">
        <v>1.050804</v>
      </c>
      <c r="R240" s="52" t="n">
        <f aca="false">P240*Q240</f>
        <v>6481.06047553536</v>
      </c>
      <c r="S240" s="50" t="n">
        <v>0.09</v>
      </c>
      <c r="T240" s="52" t="n">
        <f aca="false">N240*S240</f>
        <v>474.43968</v>
      </c>
      <c r="U240" s="52" t="n">
        <v>0.027</v>
      </c>
      <c r="V240" s="52" t="n">
        <f aca="false">P240*U240</f>
        <v>166.52832768</v>
      </c>
      <c r="W240" s="53" t="s">
        <v>199</v>
      </c>
      <c r="X240" s="50" t="n">
        <v>4.14</v>
      </c>
      <c r="Y240" s="53" t="s">
        <v>196</v>
      </c>
      <c r="Z240" s="50" t="n">
        <v>0.1035</v>
      </c>
      <c r="AA240" s="50" t="n">
        <v>7.86</v>
      </c>
      <c r="AB240" s="50" t="n">
        <v>9</v>
      </c>
      <c r="AC240" s="52" t="n">
        <f aca="false">IF(W240="EUR",AA240,IF(W240="GBP",AB240,1))</f>
        <v>9</v>
      </c>
      <c r="AD240" s="52" t="n">
        <f aca="false">R240*X240</f>
        <v>26831.5903687164</v>
      </c>
      <c r="AE240" s="52" t="n">
        <f aca="false">IF(Y240="PERCENTAGE_OF_BASE_FREIGHT",AD240*Z240,IF(Y240="PER_CHARGEABLE_KG",R240*Z240,P240*Z240))</f>
        <v>2777.06960316215</v>
      </c>
      <c r="AF240" s="52" t="n">
        <f aca="false">AD240*AC240</f>
        <v>241484.313318448</v>
      </c>
      <c r="AG240" s="52" t="n">
        <f aca="false">AE240*AC240</f>
        <v>24993.6264284593</v>
      </c>
      <c r="AH240" s="52" t="s">
        <v>195</v>
      </c>
      <c r="AI240" s="52" t="n">
        <v>1.26158229834681</v>
      </c>
      <c r="AJ240" s="52" t="n">
        <f aca="false">IF(AH240="EUR",AA240,IF(AH240="GBP",AB240,1))</f>
        <v>7.86</v>
      </c>
      <c r="AK240" s="52" t="n">
        <f aca="false">N240*AI240</f>
        <v>6650.49668801475</v>
      </c>
      <c r="AL240" s="52" t="n">
        <f aca="false">AK240*AJ240</f>
        <v>52272.9039677959</v>
      </c>
      <c r="AM240" s="52" t="s">
        <v>195</v>
      </c>
      <c r="AN240" s="52" t="n">
        <v>0.4347</v>
      </c>
      <c r="AO240" s="52" t="n">
        <f aca="false">IF(AM240="EUR",AA240,IF(AM240="GBP",AB240,1))</f>
        <v>7.86</v>
      </c>
      <c r="AP240" s="52" t="n">
        <f aca="false">P240*AN240</f>
        <v>2681.106075648</v>
      </c>
      <c r="AQ240" s="52" t="n">
        <f aca="false">AP240*AO240</f>
        <v>21073.4937545933</v>
      </c>
      <c r="AR240" s="52" t="s">
        <v>199</v>
      </c>
      <c r="AS240" s="52" t="n">
        <v>4.968</v>
      </c>
      <c r="AT240" s="52" t="n">
        <f aca="false">IF(AR240="EUR",AA240,IF(AR240="GBP",AB240,1))</f>
        <v>9</v>
      </c>
      <c r="AU240" s="52" t="n">
        <f aca="false">T240*AS240</f>
        <v>2357.01633024</v>
      </c>
      <c r="AV240" s="52" t="n">
        <f aca="false">AU240*AT240</f>
        <v>21213.14697216</v>
      </c>
      <c r="AW240" s="52" t="s">
        <v>199</v>
      </c>
      <c r="AX240" s="52" t="n">
        <v>2.3805</v>
      </c>
      <c r="AY240" s="52" t="n">
        <f aca="false">IF(AW240="EUR",AA240,IF(AW240="GBP",AB240,1))</f>
        <v>9</v>
      </c>
      <c r="AZ240" s="52" t="n">
        <f aca="false">V240*AX240</f>
        <v>396.42068404224</v>
      </c>
      <c r="BA240" s="52" t="n">
        <f aca="false">AZ240*AY240</f>
        <v>3567.78615638016</v>
      </c>
      <c r="BB240" s="52" t="n">
        <f aca="false">AF240+AG240+AL240+AQ240+AV240+BA240</f>
        <v>364605.270597836</v>
      </c>
      <c r="BC240" s="54" t="n">
        <v>0.93</v>
      </c>
      <c r="BD240" s="32"/>
      <c r="BE240" s="30" t="s">
        <v>205</v>
      </c>
      <c r="BF240" s="32"/>
      <c r="BG240" s="32" t="s">
        <v>197</v>
      </c>
    </row>
    <row r="241" customFormat="false" ht="26.5" hidden="false" customHeight="false" outlineLevel="0" collapsed="false">
      <c r="A241" s="18" t="s">
        <v>203</v>
      </c>
      <c r="B241" s="18" t="s">
        <v>204</v>
      </c>
      <c r="C241" s="18"/>
      <c r="D241" s="49" t="n">
        <v>46357</v>
      </c>
      <c r="E241" s="18" t="s">
        <v>122</v>
      </c>
      <c r="F241" s="18" t="s">
        <v>119</v>
      </c>
      <c r="G241" s="18" t="s">
        <v>100</v>
      </c>
      <c r="H241" s="18" t="s">
        <v>107</v>
      </c>
      <c r="I241" s="18" t="s">
        <v>102</v>
      </c>
      <c r="J241" s="50" t="n">
        <v>28600</v>
      </c>
      <c r="K241" s="51" t="n">
        <v>0.4</v>
      </c>
      <c r="L241" s="51" t="n">
        <v>0.96</v>
      </c>
      <c r="M241" s="51" t="n">
        <v>0.25</v>
      </c>
      <c r="N241" s="52" t="n">
        <f aca="false">J241*K241*L241*M241</f>
        <v>2745.6</v>
      </c>
      <c r="O241" s="50" t="n">
        <v>1.17</v>
      </c>
      <c r="P241" s="52" t="n">
        <f aca="false">N241*O241</f>
        <v>3212.352</v>
      </c>
      <c r="Q241" s="50" t="n">
        <v>1.0302</v>
      </c>
      <c r="R241" s="52" t="n">
        <f aca="false">P241*Q241</f>
        <v>3309.3650304</v>
      </c>
      <c r="S241" s="50" t="n">
        <v>0.09</v>
      </c>
      <c r="T241" s="52" t="n">
        <f aca="false">N241*S241</f>
        <v>247.104</v>
      </c>
      <c r="U241" s="52" t="n">
        <v>0.02</v>
      </c>
      <c r="V241" s="52" t="n">
        <f aca="false">P241*U241</f>
        <v>64.24704</v>
      </c>
      <c r="W241" s="53" t="s">
        <v>199</v>
      </c>
      <c r="X241" s="50" t="n">
        <v>4.8645</v>
      </c>
      <c r="Y241" s="53" t="s">
        <v>198</v>
      </c>
      <c r="Z241" s="50" t="n">
        <v>0.34155</v>
      </c>
      <c r="AA241" s="50" t="n">
        <v>7.86</v>
      </c>
      <c r="AB241" s="50" t="n">
        <v>9</v>
      </c>
      <c r="AC241" s="52" t="n">
        <f aca="false">IF(W241="EUR",AA241,IF(W241="GBP",AB241,1))</f>
        <v>9</v>
      </c>
      <c r="AD241" s="52" t="n">
        <f aca="false">R241*X241</f>
        <v>16098.4061903808</v>
      </c>
      <c r="AE241" s="52" t="n">
        <f aca="false">IF(Y241="PERCENTAGE_OF_BASE_FREIGHT",AD241*Z241,IF(Y241="PER_CHARGEABLE_KG",R241*Z241,P241*Z241))</f>
        <v>1130.31362613312</v>
      </c>
      <c r="AF241" s="52" t="n">
        <f aca="false">AD241*AC241</f>
        <v>144885.655713427</v>
      </c>
      <c r="AG241" s="52" t="n">
        <f aca="false">AE241*AC241</f>
        <v>10172.8226351981</v>
      </c>
      <c r="AH241" s="52" t="s">
        <v>195</v>
      </c>
      <c r="AI241" s="52" t="n">
        <v>1.26158229834681</v>
      </c>
      <c r="AJ241" s="52" t="n">
        <f aca="false">IF(AH241="EUR",AA241,IF(AH241="GBP",AB241,1))</f>
        <v>7.86</v>
      </c>
      <c r="AK241" s="52" t="n">
        <f aca="false">N241*AI241</f>
        <v>3463.80035834101</v>
      </c>
      <c r="AL241" s="52" t="n">
        <f aca="false">AK241*AJ241</f>
        <v>27225.4708165604</v>
      </c>
      <c r="AM241" s="52" t="s">
        <v>195</v>
      </c>
      <c r="AN241" s="52" t="n">
        <v>0.4347</v>
      </c>
      <c r="AO241" s="52" t="n">
        <f aca="false">IF(AM241="EUR",AA241,IF(AM241="GBP",AB241,1))</f>
        <v>7.86</v>
      </c>
      <c r="AP241" s="52" t="n">
        <f aca="false">P241*AN241</f>
        <v>1396.4094144</v>
      </c>
      <c r="AQ241" s="52" t="n">
        <f aca="false">AP241*AO241</f>
        <v>10975.777997184</v>
      </c>
      <c r="AR241" s="52" t="s">
        <v>199</v>
      </c>
      <c r="AS241" s="52" t="n">
        <v>4.968</v>
      </c>
      <c r="AT241" s="52" t="n">
        <f aca="false">IF(AR241="EUR",AA241,IF(AR241="GBP",AB241,1))</f>
        <v>9</v>
      </c>
      <c r="AU241" s="52" t="n">
        <f aca="false">T241*AS241</f>
        <v>1227.612672</v>
      </c>
      <c r="AV241" s="52" t="n">
        <f aca="false">AU241*AT241</f>
        <v>11048.514048</v>
      </c>
      <c r="AW241" s="52" t="s">
        <v>199</v>
      </c>
      <c r="AX241" s="52" t="n">
        <v>2.3805</v>
      </c>
      <c r="AY241" s="52" t="n">
        <f aca="false">IF(AW241="EUR",AA241,IF(AW241="GBP",AB241,1))</f>
        <v>9</v>
      </c>
      <c r="AZ241" s="52" t="n">
        <f aca="false">V241*AX241</f>
        <v>152.94007872</v>
      </c>
      <c r="BA241" s="52" t="n">
        <f aca="false">AZ241*AY241</f>
        <v>1376.46070848</v>
      </c>
      <c r="BB241" s="52" t="n">
        <f aca="false">AF241+AG241+AL241+AQ241+AV241+BA241</f>
        <v>205684.70191885</v>
      </c>
      <c r="BC241" s="54" t="n">
        <v>0.95</v>
      </c>
      <c r="BD241" s="32"/>
      <c r="BE241" s="30" t="s">
        <v>205</v>
      </c>
      <c r="BF241" s="32"/>
      <c r="BG241" s="32" t="s">
        <v>197</v>
      </c>
    </row>
    <row r="242" customFormat="false" ht="26.5" hidden="false" customHeight="false" outlineLevel="0" collapsed="false">
      <c r="A242" s="18" t="s">
        <v>203</v>
      </c>
      <c r="B242" s="18" t="s">
        <v>204</v>
      </c>
      <c r="C242" s="18"/>
      <c r="D242" s="49" t="n">
        <v>46357</v>
      </c>
      <c r="E242" s="18" t="s">
        <v>124</v>
      </c>
      <c r="F242" s="18" t="s">
        <v>119</v>
      </c>
      <c r="G242" s="18" t="s">
        <v>100</v>
      </c>
      <c r="H242" s="18" t="s">
        <v>107</v>
      </c>
      <c r="I242" s="18" t="s">
        <v>125</v>
      </c>
      <c r="J242" s="50" t="n">
        <v>28600</v>
      </c>
      <c r="K242" s="51" t="n">
        <v>0.4</v>
      </c>
      <c r="L242" s="51" t="n">
        <v>0.96</v>
      </c>
      <c r="M242" s="51" t="n">
        <v>0.19</v>
      </c>
      <c r="N242" s="52" t="n">
        <f aca="false">J242*K242*L242*M242</f>
        <v>2086.656</v>
      </c>
      <c r="O242" s="50" t="n">
        <v>1.17</v>
      </c>
      <c r="P242" s="52" t="n">
        <f aca="false">N242*O242</f>
        <v>2441.38752</v>
      </c>
      <c r="Q242" s="50" t="n">
        <v>0.968388</v>
      </c>
      <c r="R242" s="52" t="n">
        <f aca="false">P242*Q242</f>
        <v>2364.21037771776</v>
      </c>
      <c r="S242" s="50" t="n">
        <v>0.09</v>
      </c>
      <c r="T242" s="52" t="n">
        <f aca="false">N242*S242</f>
        <v>187.79904</v>
      </c>
      <c r="U242" s="52" t="n">
        <v>0.016</v>
      </c>
      <c r="V242" s="52" t="n">
        <f aca="false">P242*U242</f>
        <v>39.06220032</v>
      </c>
      <c r="W242" s="53" t="s">
        <v>199</v>
      </c>
      <c r="X242" s="50" t="n">
        <v>6.67368</v>
      </c>
      <c r="Y242" s="53" t="s">
        <v>196</v>
      </c>
      <c r="Z242" s="50" t="n">
        <v>0.123786</v>
      </c>
      <c r="AA242" s="50" t="n">
        <v>7.86</v>
      </c>
      <c r="AB242" s="50" t="n">
        <v>9</v>
      </c>
      <c r="AC242" s="52" t="n">
        <f aca="false">IF(W242="EUR",AA242,IF(W242="GBP",AB242,1))</f>
        <v>9</v>
      </c>
      <c r="AD242" s="52" t="n">
        <f aca="false">R242*X242</f>
        <v>15777.9835135675</v>
      </c>
      <c r="AE242" s="52" t="n">
        <f aca="false">IF(Y242="PERCENTAGE_OF_BASE_FREIGHT",AD242*Z242,IF(Y242="PER_CHARGEABLE_KG",R242*Z242,P242*Z242))</f>
        <v>1953.09346721046</v>
      </c>
      <c r="AF242" s="52" t="n">
        <f aca="false">AD242*AC242</f>
        <v>142001.851622107</v>
      </c>
      <c r="AG242" s="52" t="n">
        <f aca="false">AE242*AC242</f>
        <v>17577.8412048942</v>
      </c>
      <c r="AH242" s="52" t="s">
        <v>195</v>
      </c>
      <c r="AI242" s="52" t="n">
        <v>1.26158229834681</v>
      </c>
      <c r="AJ242" s="52" t="n">
        <f aca="false">IF(AH242="EUR",AA242,IF(AH242="GBP",AB242,1))</f>
        <v>7.86</v>
      </c>
      <c r="AK242" s="52" t="n">
        <f aca="false">N242*AI242</f>
        <v>2632.48827233917</v>
      </c>
      <c r="AL242" s="52" t="n">
        <f aca="false">AK242*AJ242</f>
        <v>20691.3578205859</v>
      </c>
      <c r="AM242" s="52" t="s">
        <v>195</v>
      </c>
      <c r="AN242" s="52" t="n">
        <v>0.4347</v>
      </c>
      <c r="AO242" s="52" t="n">
        <f aca="false">IF(AM242="EUR",AA242,IF(AM242="GBP",AB242,1))</f>
        <v>7.86</v>
      </c>
      <c r="AP242" s="52" t="n">
        <f aca="false">P242*AN242</f>
        <v>1061.271154944</v>
      </c>
      <c r="AQ242" s="52" t="n">
        <f aca="false">AP242*AO242</f>
        <v>8341.59127785984</v>
      </c>
      <c r="AR242" s="52" t="s">
        <v>199</v>
      </c>
      <c r="AS242" s="52" t="n">
        <v>4.968</v>
      </c>
      <c r="AT242" s="52" t="n">
        <f aca="false">IF(AR242="EUR",AA242,IF(AR242="GBP",AB242,1))</f>
        <v>9</v>
      </c>
      <c r="AU242" s="52" t="n">
        <f aca="false">T242*AS242</f>
        <v>932.98563072</v>
      </c>
      <c r="AV242" s="52" t="n">
        <f aca="false">AU242*AT242</f>
        <v>8396.87067648</v>
      </c>
      <c r="AW242" s="52" t="s">
        <v>199</v>
      </c>
      <c r="AX242" s="52" t="n">
        <v>2.898</v>
      </c>
      <c r="AY242" s="52" t="n">
        <f aca="false">IF(AW242="EUR",AA242,IF(AW242="GBP",AB242,1))</f>
        <v>9</v>
      </c>
      <c r="AZ242" s="52" t="n">
        <f aca="false">V242*AX242</f>
        <v>113.20225652736</v>
      </c>
      <c r="BA242" s="52" t="n">
        <f aca="false">AZ242*AY242</f>
        <v>1018.82030874624</v>
      </c>
      <c r="BB242" s="52" t="n">
        <f aca="false">AF242+AG242+AL242+AQ242+AV242+BA242</f>
        <v>198028.332910673</v>
      </c>
      <c r="BC242" s="54" t="n">
        <v>0.974</v>
      </c>
      <c r="BD242" s="32"/>
      <c r="BE242" s="30" t="s">
        <v>205</v>
      </c>
      <c r="BF242" s="32"/>
      <c r="BG242" s="32" t="s">
        <v>197</v>
      </c>
    </row>
    <row r="243" customFormat="false" ht="26.5" hidden="false" customHeight="false" outlineLevel="0" collapsed="false">
      <c r="A243" s="18" t="s">
        <v>203</v>
      </c>
      <c r="B243" s="18" t="s">
        <v>204</v>
      </c>
      <c r="C243" s="18"/>
      <c r="D243" s="49" t="n">
        <v>46357</v>
      </c>
      <c r="E243" s="18" t="s">
        <v>127</v>
      </c>
      <c r="F243" s="18" t="s">
        <v>119</v>
      </c>
      <c r="G243" s="18" t="s">
        <v>100</v>
      </c>
      <c r="H243" s="18" t="s">
        <v>128</v>
      </c>
      <c r="I243" s="18" t="s">
        <v>125</v>
      </c>
      <c r="J243" s="50" t="n">
        <v>28600</v>
      </c>
      <c r="K243" s="51" t="n">
        <v>0.4</v>
      </c>
      <c r="L243" s="51" t="n">
        <v>0.96</v>
      </c>
      <c r="M243" s="51" t="n">
        <v>0.08</v>
      </c>
      <c r="N243" s="52" t="n">
        <f aca="false">J243*K243*L243*M243</f>
        <v>878.592</v>
      </c>
      <c r="O243" s="50" t="n">
        <v>1.17</v>
      </c>
      <c r="P243" s="52" t="n">
        <f aca="false">N243*O243</f>
        <v>1027.95264</v>
      </c>
      <c r="Q243" s="50" t="n">
        <v>0.947784</v>
      </c>
      <c r="R243" s="52" t="n">
        <f aca="false">P243*Q243</f>
        <v>974.27706494976</v>
      </c>
      <c r="S243" s="50" t="n">
        <v>0.09</v>
      </c>
      <c r="T243" s="52" t="n">
        <f aca="false">N243*S243</f>
        <v>79.07328</v>
      </c>
      <c r="U243" s="52" t="n">
        <v>0.011</v>
      </c>
      <c r="V243" s="52" t="n">
        <f aca="false">P243*U243</f>
        <v>11.30747904</v>
      </c>
      <c r="W243" s="53" t="s">
        <v>199</v>
      </c>
      <c r="X243" s="50" t="n">
        <v>8.22825</v>
      </c>
      <c r="Y243" s="53" t="s">
        <v>198</v>
      </c>
      <c r="Z243" s="50" t="n">
        <v>0.636318</v>
      </c>
      <c r="AA243" s="50" t="n">
        <v>7.86</v>
      </c>
      <c r="AB243" s="50" t="n">
        <v>9</v>
      </c>
      <c r="AC243" s="52" t="n">
        <f aca="false">IF(W243="EUR",AA243,IF(W243="GBP",AB243,1))</f>
        <v>9</v>
      </c>
      <c r="AD243" s="52" t="n">
        <f aca="false">R243*X243</f>
        <v>8016.59525967286</v>
      </c>
      <c r="AE243" s="52" t="n">
        <f aca="false">IF(Y243="PERCENTAGE_OF_BASE_FREIGHT",AD243*Z243,IF(Y243="PER_CHARGEABLE_KG",R243*Z243,P243*Z243))</f>
        <v>619.950033414701</v>
      </c>
      <c r="AF243" s="52" t="n">
        <f aca="false">AD243*AC243</f>
        <v>72149.3573370558</v>
      </c>
      <c r="AG243" s="52" t="n">
        <f aca="false">AE243*AC243</f>
        <v>5579.55030073231</v>
      </c>
      <c r="AH243" s="52" t="s">
        <v>195</v>
      </c>
      <c r="AI243" s="52" t="n">
        <v>1.26158229834681</v>
      </c>
      <c r="AJ243" s="52" t="n">
        <f aca="false">IF(AH243="EUR",AA243,IF(AH243="GBP",AB243,1))</f>
        <v>7.86</v>
      </c>
      <c r="AK243" s="52" t="n">
        <f aca="false">N243*AI243</f>
        <v>1108.41611466912</v>
      </c>
      <c r="AL243" s="52" t="n">
        <f aca="false">AK243*AJ243</f>
        <v>8712.15066129932</v>
      </c>
      <c r="AM243" s="52" t="s">
        <v>195</v>
      </c>
      <c r="AN243" s="52" t="n">
        <v>0.4347</v>
      </c>
      <c r="AO243" s="52" t="n">
        <f aca="false">IF(AM243="EUR",AA243,IF(AM243="GBP",AB243,1))</f>
        <v>7.86</v>
      </c>
      <c r="AP243" s="52" t="n">
        <f aca="false">P243*AN243</f>
        <v>446.851012608</v>
      </c>
      <c r="AQ243" s="52" t="n">
        <f aca="false">AP243*AO243</f>
        <v>3512.24895909888</v>
      </c>
      <c r="AR243" s="52" t="s">
        <v>199</v>
      </c>
      <c r="AS243" s="52" t="n">
        <v>4.968</v>
      </c>
      <c r="AT243" s="52" t="n">
        <f aca="false">IF(AR243="EUR",AA243,IF(AR243="GBP",AB243,1))</f>
        <v>9</v>
      </c>
      <c r="AU243" s="52" t="n">
        <f aca="false">T243*AS243</f>
        <v>392.83605504</v>
      </c>
      <c r="AV243" s="52" t="n">
        <f aca="false">AU243*AT243</f>
        <v>3535.52449536</v>
      </c>
      <c r="AW243" s="52" t="s">
        <v>199</v>
      </c>
      <c r="AX243" s="52" t="n">
        <v>3.726</v>
      </c>
      <c r="AY243" s="52" t="n">
        <f aca="false">IF(AW243="EUR",AA243,IF(AW243="GBP",AB243,1))</f>
        <v>9</v>
      </c>
      <c r="AZ243" s="52" t="n">
        <f aca="false">V243*AX243</f>
        <v>42.13166690304</v>
      </c>
      <c r="BA243" s="52" t="n">
        <f aca="false">AZ243*AY243</f>
        <v>379.18500212736</v>
      </c>
      <c r="BB243" s="52" t="n">
        <f aca="false">AF243+AG243+AL243+AQ243+AV243+BA243</f>
        <v>93868.0167556736</v>
      </c>
      <c r="BC243" s="54" t="n">
        <v>0.988</v>
      </c>
      <c r="BD243" s="32"/>
      <c r="BE243" s="30" t="s">
        <v>205</v>
      </c>
      <c r="BF243" s="32"/>
      <c r="BG243" s="32" t="s">
        <v>197</v>
      </c>
    </row>
    <row r="244" customFormat="false" ht="26.5" hidden="false" customHeight="false" outlineLevel="0" collapsed="false">
      <c r="A244" s="18" t="s">
        <v>203</v>
      </c>
      <c r="B244" s="18" t="s">
        <v>204</v>
      </c>
      <c r="C244" s="18"/>
      <c r="D244" s="49" t="n">
        <v>46357</v>
      </c>
      <c r="E244" s="18" t="s">
        <v>130</v>
      </c>
      <c r="F244" s="18" t="s">
        <v>119</v>
      </c>
      <c r="G244" s="18" t="s">
        <v>110</v>
      </c>
      <c r="H244" s="18" t="s">
        <v>107</v>
      </c>
      <c r="I244" s="18" t="s">
        <v>125</v>
      </c>
      <c r="J244" s="50" t="n">
        <v>28600</v>
      </c>
      <c r="K244" s="51" t="n">
        <v>0.4</v>
      </c>
      <c r="L244" s="51" t="n">
        <v>0.04</v>
      </c>
      <c r="M244" s="51" t="n">
        <v>1</v>
      </c>
      <c r="N244" s="52" t="n">
        <f aca="false">J244*K244*L244*M244</f>
        <v>457.6</v>
      </c>
      <c r="O244" s="50" t="n">
        <v>1.17</v>
      </c>
      <c r="P244" s="52" t="n">
        <f aca="false">N244*O244</f>
        <v>535.392</v>
      </c>
      <c r="Q244" s="50" t="n">
        <v>0.92718</v>
      </c>
      <c r="R244" s="52" t="n">
        <f aca="false">P244*Q244</f>
        <v>496.40475456</v>
      </c>
      <c r="S244" s="50" t="n">
        <v>0.09</v>
      </c>
      <c r="T244" s="52" t="n">
        <f aca="false">N244*S244</f>
        <v>41.184</v>
      </c>
      <c r="U244" s="52" t="n">
        <v>0.014</v>
      </c>
      <c r="V244" s="52" t="n">
        <f aca="false">P244*U244</f>
        <v>7.495488</v>
      </c>
      <c r="W244" s="53" t="s">
        <v>195</v>
      </c>
      <c r="X244" s="50" t="n">
        <v>6.9345</v>
      </c>
      <c r="Y244" s="53" t="s">
        <v>196</v>
      </c>
      <c r="Z244" s="50" t="n">
        <v>0.108675</v>
      </c>
      <c r="AA244" s="50" t="n">
        <v>7.86</v>
      </c>
      <c r="AB244" s="50" t="n">
        <v>9</v>
      </c>
      <c r="AC244" s="52" t="n">
        <f aca="false">IF(W244="EUR",AA244,IF(W244="GBP",AB244,1))</f>
        <v>7.86</v>
      </c>
      <c r="AD244" s="52" t="n">
        <f aca="false">R244*X244</f>
        <v>3442.31877049632</v>
      </c>
      <c r="AE244" s="52" t="n">
        <f aca="false">IF(Y244="PERCENTAGE_OF_BASE_FREIGHT",AD244*Z244,IF(Y244="PER_CHARGEABLE_KG",R244*Z244,P244*Z244))</f>
        <v>374.093992383688</v>
      </c>
      <c r="AF244" s="52" t="n">
        <f aca="false">AD244*AC244</f>
        <v>27056.6255361011</v>
      </c>
      <c r="AG244" s="52" t="n">
        <f aca="false">AE244*AC244</f>
        <v>2940.37878013578</v>
      </c>
      <c r="AH244" s="52" t="s">
        <v>195</v>
      </c>
      <c r="AI244" s="52" t="n">
        <v>1.08675</v>
      </c>
      <c r="AJ244" s="52" t="n">
        <f aca="false">IF(AH244="EUR",AA244,IF(AH244="GBP",AB244,1))</f>
        <v>7.86</v>
      </c>
      <c r="AK244" s="52" t="n">
        <f aca="false">N244*AI244</f>
        <v>497.2968</v>
      </c>
      <c r="AL244" s="52" t="n">
        <f aca="false">AK244*AJ244</f>
        <v>3908.752848</v>
      </c>
      <c r="AM244" s="52" t="s">
        <v>195</v>
      </c>
      <c r="AN244" s="52" t="n">
        <v>0.3933</v>
      </c>
      <c r="AO244" s="52" t="n">
        <f aca="false">IF(AM244="EUR",AA244,IF(AM244="GBP",AB244,1))</f>
        <v>7.86</v>
      </c>
      <c r="AP244" s="52" t="n">
        <f aca="false">P244*AN244</f>
        <v>210.5696736</v>
      </c>
      <c r="AQ244" s="52" t="n">
        <f aca="false">AP244*AO244</f>
        <v>1655.077634496</v>
      </c>
      <c r="AR244" s="52" t="s">
        <v>195</v>
      </c>
      <c r="AS244" s="52" t="n">
        <v>5.382</v>
      </c>
      <c r="AT244" s="52" t="n">
        <f aca="false">IF(AR244="EUR",AA244,IF(AR244="GBP",AB244,1))</f>
        <v>7.86</v>
      </c>
      <c r="AU244" s="52" t="n">
        <f aca="false">T244*AS244</f>
        <v>221.652288</v>
      </c>
      <c r="AV244" s="52" t="n">
        <f aca="false">AU244*AT244</f>
        <v>1742.18698368</v>
      </c>
      <c r="AW244" s="52" t="s">
        <v>195</v>
      </c>
      <c r="AX244" s="52" t="n">
        <v>2.898</v>
      </c>
      <c r="AY244" s="52" t="n">
        <f aca="false">IF(AW244="EUR",AA244,IF(AW244="GBP",AB244,1))</f>
        <v>7.86</v>
      </c>
      <c r="AZ244" s="52" t="n">
        <f aca="false">V244*AX244</f>
        <v>21.721924224</v>
      </c>
      <c r="BA244" s="52" t="n">
        <f aca="false">AZ244*AY244</f>
        <v>170.73432440064</v>
      </c>
      <c r="BB244" s="52" t="n">
        <f aca="false">AF244+AG244+AL244+AQ244+AV244+BA244</f>
        <v>37473.7561068135</v>
      </c>
      <c r="BC244" s="54" t="n">
        <v>0.971</v>
      </c>
      <c r="BD244" s="32"/>
      <c r="BE244" s="30" t="s">
        <v>205</v>
      </c>
      <c r="BF244" s="32"/>
      <c r="BG244" s="32" t="s">
        <v>197</v>
      </c>
    </row>
    <row r="245" customFormat="false" ht="26.5" hidden="false" customHeight="false" outlineLevel="0" collapsed="false">
      <c r="A245" s="18" t="s">
        <v>206</v>
      </c>
      <c r="B245" s="18" t="s">
        <v>207</v>
      </c>
      <c r="C245" s="18" t="s">
        <v>208</v>
      </c>
      <c r="D245" s="49" t="n">
        <v>46266</v>
      </c>
      <c r="E245" s="18" t="s">
        <v>98</v>
      </c>
      <c r="F245" s="18" t="s">
        <v>99</v>
      </c>
      <c r="G245" s="18" t="s">
        <v>100</v>
      </c>
      <c r="H245" s="18" t="s">
        <v>101</v>
      </c>
      <c r="I245" s="18" t="s">
        <v>102</v>
      </c>
      <c r="J245" s="50" t="n">
        <v>17200</v>
      </c>
      <c r="K245" s="51" t="n">
        <v>0.36</v>
      </c>
      <c r="L245" s="51" t="n">
        <v>0.97</v>
      </c>
      <c r="M245" s="51" t="n">
        <v>0.6</v>
      </c>
      <c r="N245" s="52" t="n">
        <f aca="false">J245*K245*L245*M245</f>
        <v>3603.744</v>
      </c>
      <c r="O245" s="50" t="n">
        <v>1.05</v>
      </c>
      <c r="P245" s="52" t="n">
        <f aca="false">N245*O245</f>
        <v>3783.9312</v>
      </c>
      <c r="Q245" s="50" t="n">
        <v>0.78</v>
      </c>
      <c r="R245" s="52" t="n">
        <f aca="false">P245*Q245</f>
        <v>2951.466336</v>
      </c>
      <c r="S245" s="50" t="n">
        <v>0.05</v>
      </c>
      <c r="T245" s="52" t="n">
        <f aca="false">N245*S245</f>
        <v>180.1872</v>
      </c>
      <c r="U245" s="52" t="n">
        <v>0.016</v>
      </c>
      <c r="V245" s="52" t="n">
        <f aca="false">P245*U245</f>
        <v>60.5428992</v>
      </c>
      <c r="W245" s="53" t="s">
        <v>195</v>
      </c>
      <c r="X245" s="50" t="n">
        <v>2.277</v>
      </c>
      <c r="Y245" s="53" t="s">
        <v>196</v>
      </c>
      <c r="Z245" s="50" t="n">
        <v>0.098325</v>
      </c>
      <c r="AA245" s="50" t="n">
        <v>7.92</v>
      </c>
      <c r="AB245" s="50" t="n">
        <v>9.15</v>
      </c>
      <c r="AC245" s="52" t="n">
        <f aca="false">IF(W245="EUR",AA245,IF(W245="GBP",AB245,1))</f>
        <v>7.92</v>
      </c>
      <c r="AD245" s="52" t="n">
        <f aca="false">R245*X245</f>
        <v>6720.488847072</v>
      </c>
      <c r="AE245" s="52" t="n">
        <f aca="false">IF(Y245="PERCENTAGE_OF_BASE_FREIGHT",AD245*Z245,IF(Y245="PER_CHARGEABLE_KG",R245*Z245,P245*Z245))</f>
        <v>660.792065888354</v>
      </c>
      <c r="AF245" s="52" t="n">
        <f aca="false">AD245*AC245</f>
        <v>53226.2716688102</v>
      </c>
      <c r="AG245" s="52" t="n">
        <f aca="false">AE245*AC245</f>
        <v>5233.47316183577</v>
      </c>
      <c r="AH245" s="52" t="s">
        <v>195</v>
      </c>
      <c r="AI245" s="52" t="n">
        <v>1.37620106985006</v>
      </c>
      <c r="AJ245" s="52" t="n">
        <f aca="false">IF(AH245="EUR",AA245,IF(AH245="GBP",AB245,1))</f>
        <v>7.92</v>
      </c>
      <c r="AK245" s="52" t="n">
        <f aca="false">N245*AI245</f>
        <v>4959.47634826572</v>
      </c>
      <c r="AL245" s="52" t="n">
        <f aca="false">AK245*AJ245</f>
        <v>39279.0526782645</v>
      </c>
      <c r="AM245" s="52" t="s">
        <v>195</v>
      </c>
      <c r="AN245" s="52" t="n">
        <v>0.4347</v>
      </c>
      <c r="AO245" s="52" t="n">
        <f aca="false">IF(AM245="EUR",AA245,IF(AM245="GBP",AB245,1))</f>
        <v>7.92</v>
      </c>
      <c r="AP245" s="52" t="n">
        <f aca="false">P245*AN245</f>
        <v>1644.87489264</v>
      </c>
      <c r="AQ245" s="52" t="n">
        <f aca="false">AP245*AO245</f>
        <v>13027.4091497088</v>
      </c>
      <c r="AR245" s="52" t="s">
        <v>195</v>
      </c>
      <c r="AS245" s="52" t="n">
        <v>3.312</v>
      </c>
      <c r="AT245" s="52" t="n">
        <f aca="false">IF(AR245="EUR",AA245,IF(AR245="GBP",AB245,1))</f>
        <v>7.92</v>
      </c>
      <c r="AU245" s="52" t="n">
        <f aca="false">T245*AS245</f>
        <v>596.7800064</v>
      </c>
      <c r="AV245" s="52" t="n">
        <f aca="false">AU245*AT245</f>
        <v>4726.497650688</v>
      </c>
      <c r="AW245" s="52" t="s">
        <v>195</v>
      </c>
      <c r="AX245" s="52" t="n">
        <v>2.3805</v>
      </c>
      <c r="AY245" s="52" t="n">
        <f aca="false">IF(AW245="EUR",AA245,IF(AW245="GBP",AB245,1))</f>
        <v>7.92</v>
      </c>
      <c r="AZ245" s="52" t="n">
        <f aca="false">V245*AX245</f>
        <v>144.1223715456</v>
      </c>
      <c r="BA245" s="52" t="n">
        <f aca="false">AZ245*AY245</f>
        <v>1141.44918264115</v>
      </c>
      <c r="BB245" s="52" t="n">
        <f aca="false">AF245+AG245+AL245+AQ245+AV245+BA245</f>
        <v>116634.153491948</v>
      </c>
      <c r="BC245" s="54" t="n">
        <v>0.965</v>
      </c>
      <c r="BD245" s="32"/>
      <c r="BE245" s="30" t="s">
        <v>205</v>
      </c>
      <c r="BF245" s="30" t="s">
        <v>209</v>
      </c>
      <c r="BG245" s="32" t="s">
        <v>197</v>
      </c>
    </row>
    <row r="246" customFormat="false" ht="26.5" hidden="false" customHeight="false" outlineLevel="0" collapsed="false">
      <c r="A246" s="18" t="s">
        <v>206</v>
      </c>
      <c r="B246" s="18" t="s">
        <v>207</v>
      </c>
      <c r="C246" s="18" t="s">
        <v>208</v>
      </c>
      <c r="D246" s="49" t="n">
        <v>46266</v>
      </c>
      <c r="E246" s="18" t="s">
        <v>106</v>
      </c>
      <c r="F246" s="18" t="s">
        <v>99</v>
      </c>
      <c r="G246" s="18" t="s">
        <v>100</v>
      </c>
      <c r="H246" s="18" t="s">
        <v>107</v>
      </c>
      <c r="I246" s="18" t="s">
        <v>102</v>
      </c>
      <c r="J246" s="50" t="n">
        <v>17200</v>
      </c>
      <c r="K246" s="51" t="n">
        <v>0.36</v>
      </c>
      <c r="L246" s="51" t="n">
        <v>0.97</v>
      </c>
      <c r="M246" s="51" t="n">
        <v>0.4</v>
      </c>
      <c r="N246" s="52" t="n">
        <f aca="false">J246*K246*L246*M246</f>
        <v>2402.496</v>
      </c>
      <c r="O246" s="50" t="n">
        <v>1.05</v>
      </c>
      <c r="P246" s="52" t="n">
        <f aca="false">N246*O246</f>
        <v>2522.6208</v>
      </c>
      <c r="Q246" s="50" t="n">
        <v>0.8</v>
      </c>
      <c r="R246" s="52" t="n">
        <f aca="false">P246*Q246</f>
        <v>2018.09664</v>
      </c>
      <c r="S246" s="50" t="n">
        <v>0.05</v>
      </c>
      <c r="T246" s="52" t="n">
        <f aca="false">N246*S246</f>
        <v>120.1248</v>
      </c>
      <c r="U246" s="52" t="n">
        <v>0.013</v>
      </c>
      <c r="V246" s="52" t="n">
        <f aca="false">P246*U246</f>
        <v>32.7940704</v>
      </c>
      <c r="W246" s="53" t="s">
        <v>195</v>
      </c>
      <c r="X246" s="50" t="n">
        <v>2.84625</v>
      </c>
      <c r="Y246" s="53" t="s">
        <v>198</v>
      </c>
      <c r="Z246" s="50" t="n">
        <v>0.21735</v>
      </c>
      <c r="AA246" s="50" t="n">
        <v>7.92</v>
      </c>
      <c r="AB246" s="50" t="n">
        <v>9.15</v>
      </c>
      <c r="AC246" s="52" t="n">
        <f aca="false">IF(W246="EUR",AA246,IF(W246="GBP",AB246,1))</f>
        <v>7.92</v>
      </c>
      <c r="AD246" s="52" t="n">
        <f aca="false">R246*X246</f>
        <v>5744.0075616</v>
      </c>
      <c r="AE246" s="52" t="n">
        <f aca="false">IF(Y246="PERCENTAGE_OF_BASE_FREIGHT",AD246*Z246,IF(Y246="PER_CHARGEABLE_KG",R246*Z246,P246*Z246))</f>
        <v>438.633304704</v>
      </c>
      <c r="AF246" s="52" t="n">
        <f aca="false">AD246*AC246</f>
        <v>45492.539887872</v>
      </c>
      <c r="AG246" s="52" t="n">
        <f aca="false">AE246*AC246</f>
        <v>3473.97577325568</v>
      </c>
      <c r="AH246" s="52" t="s">
        <v>195</v>
      </c>
      <c r="AI246" s="52" t="n">
        <v>1.37620106985006</v>
      </c>
      <c r="AJ246" s="52" t="n">
        <f aca="false">IF(AH246="EUR",AA246,IF(AH246="GBP",AB246,1))</f>
        <v>7.92</v>
      </c>
      <c r="AK246" s="52" t="n">
        <f aca="false">N246*AI246</f>
        <v>3306.31756551048</v>
      </c>
      <c r="AL246" s="52" t="n">
        <f aca="false">AK246*AJ246</f>
        <v>26186.035118843</v>
      </c>
      <c r="AM246" s="52" t="s">
        <v>195</v>
      </c>
      <c r="AN246" s="52" t="n">
        <v>0.4347</v>
      </c>
      <c r="AO246" s="52" t="n">
        <f aca="false">IF(AM246="EUR",AA246,IF(AM246="GBP",AB246,1))</f>
        <v>7.92</v>
      </c>
      <c r="AP246" s="52" t="n">
        <f aca="false">P246*AN246</f>
        <v>1096.58326176</v>
      </c>
      <c r="AQ246" s="52" t="n">
        <f aca="false">AP246*AO246</f>
        <v>8684.9394331392</v>
      </c>
      <c r="AR246" s="52" t="s">
        <v>195</v>
      </c>
      <c r="AS246" s="52" t="n">
        <v>3.312</v>
      </c>
      <c r="AT246" s="52" t="n">
        <f aca="false">IF(AR246="EUR",AA246,IF(AR246="GBP",AB246,1))</f>
        <v>7.92</v>
      </c>
      <c r="AU246" s="52" t="n">
        <f aca="false">T246*AS246</f>
        <v>397.8533376</v>
      </c>
      <c r="AV246" s="52" t="n">
        <f aca="false">AU246*AT246</f>
        <v>3150.998433792</v>
      </c>
      <c r="AW246" s="52" t="s">
        <v>195</v>
      </c>
      <c r="AX246" s="52" t="n">
        <v>2.3805</v>
      </c>
      <c r="AY246" s="52" t="n">
        <f aca="false">IF(AW246="EUR",AA246,IF(AW246="GBP",AB246,1))</f>
        <v>7.92</v>
      </c>
      <c r="AZ246" s="52" t="n">
        <f aca="false">V246*AX246</f>
        <v>78.0662845872</v>
      </c>
      <c r="BA246" s="52" t="n">
        <f aca="false">AZ246*AY246</f>
        <v>618.284973930624</v>
      </c>
      <c r="BB246" s="52" t="n">
        <f aca="false">AF246+AG246+AL246+AQ246+AV246+BA246</f>
        <v>87606.7736208325</v>
      </c>
      <c r="BC246" s="54" t="n">
        <v>0.976</v>
      </c>
      <c r="BD246" s="32"/>
      <c r="BE246" s="30" t="s">
        <v>205</v>
      </c>
      <c r="BF246" s="30" t="s">
        <v>209</v>
      </c>
      <c r="BG246" s="32" t="s">
        <v>197</v>
      </c>
    </row>
    <row r="247" customFormat="false" ht="26.5" hidden="false" customHeight="false" outlineLevel="0" collapsed="false">
      <c r="A247" s="18" t="s">
        <v>206</v>
      </c>
      <c r="B247" s="18" t="s">
        <v>207</v>
      </c>
      <c r="C247" s="18" t="s">
        <v>208</v>
      </c>
      <c r="D247" s="49" t="n">
        <v>46266</v>
      </c>
      <c r="E247" s="18" t="s">
        <v>109</v>
      </c>
      <c r="F247" s="18" t="s">
        <v>99</v>
      </c>
      <c r="G247" s="18" t="s">
        <v>110</v>
      </c>
      <c r="H247" s="18" t="s">
        <v>107</v>
      </c>
      <c r="I247" s="18" t="s">
        <v>102</v>
      </c>
      <c r="J247" s="50" t="n">
        <v>17200</v>
      </c>
      <c r="K247" s="51" t="n">
        <v>0.36</v>
      </c>
      <c r="L247" s="51" t="n">
        <v>0.03</v>
      </c>
      <c r="M247" s="51" t="n">
        <v>1</v>
      </c>
      <c r="N247" s="52" t="n">
        <f aca="false">J247*K247*L247*M247</f>
        <v>185.76</v>
      </c>
      <c r="O247" s="50" t="n">
        <v>1.08</v>
      </c>
      <c r="P247" s="52" t="n">
        <f aca="false">N247*O247</f>
        <v>200.6208</v>
      </c>
      <c r="Q247" s="50" t="n">
        <v>0.86</v>
      </c>
      <c r="R247" s="52" t="n">
        <f aca="false">P247*Q247</f>
        <v>172.533888</v>
      </c>
      <c r="S247" s="50" t="n">
        <v>0.05</v>
      </c>
      <c r="T247" s="52" t="n">
        <f aca="false">N247*S247</f>
        <v>9.288</v>
      </c>
      <c r="U247" s="52" t="n">
        <v>0.014</v>
      </c>
      <c r="V247" s="52" t="n">
        <f aca="false">P247*U247</f>
        <v>2.8086912</v>
      </c>
      <c r="W247" s="53" t="s">
        <v>195</v>
      </c>
      <c r="X247" s="50" t="n">
        <v>3.4155</v>
      </c>
      <c r="Y247" s="53" t="s">
        <v>198</v>
      </c>
      <c r="Z247" s="50" t="n">
        <v>0.2484</v>
      </c>
      <c r="AA247" s="50" t="n">
        <v>7.92</v>
      </c>
      <c r="AB247" s="50" t="n">
        <v>9.15</v>
      </c>
      <c r="AC247" s="52" t="n">
        <f aca="false">IF(W247="EUR",AA247,IF(W247="GBP",AB247,1))</f>
        <v>7.92</v>
      </c>
      <c r="AD247" s="52" t="n">
        <f aca="false">R247*X247</f>
        <v>589.289494464</v>
      </c>
      <c r="AE247" s="52" t="n">
        <f aca="false">IF(Y247="PERCENTAGE_OF_BASE_FREIGHT",AD247*Z247,IF(Y247="PER_CHARGEABLE_KG",R247*Z247,P247*Z247))</f>
        <v>42.8574177792</v>
      </c>
      <c r="AF247" s="52" t="n">
        <f aca="false">AD247*AC247</f>
        <v>4667.17279615488</v>
      </c>
      <c r="AG247" s="52" t="n">
        <f aca="false">AE247*AC247</f>
        <v>339.430748811264</v>
      </c>
      <c r="AH247" s="52" t="s">
        <v>195</v>
      </c>
      <c r="AI247" s="52" t="n">
        <v>1.08675</v>
      </c>
      <c r="AJ247" s="52" t="n">
        <f aca="false">IF(AH247="EUR",AA247,IF(AH247="GBP",AB247,1))</f>
        <v>7.92</v>
      </c>
      <c r="AK247" s="52" t="n">
        <f aca="false">N247*AI247</f>
        <v>201.87468</v>
      </c>
      <c r="AL247" s="52" t="n">
        <f aca="false">AK247*AJ247</f>
        <v>1598.8474656</v>
      </c>
      <c r="AM247" s="52" t="s">
        <v>195</v>
      </c>
      <c r="AN247" s="52" t="n">
        <v>0.3933</v>
      </c>
      <c r="AO247" s="52" t="n">
        <f aca="false">IF(AM247="EUR",AA247,IF(AM247="GBP",AB247,1))</f>
        <v>7.92</v>
      </c>
      <c r="AP247" s="52" t="n">
        <f aca="false">P247*AN247</f>
        <v>78.90416064</v>
      </c>
      <c r="AQ247" s="52" t="n">
        <f aca="false">AP247*AO247</f>
        <v>624.9209522688</v>
      </c>
      <c r="AR247" s="52" t="s">
        <v>195</v>
      </c>
      <c r="AS247" s="52" t="n">
        <v>3.933</v>
      </c>
      <c r="AT247" s="52" t="n">
        <f aca="false">IF(AR247="EUR",AA247,IF(AR247="GBP",AB247,1))</f>
        <v>7.92</v>
      </c>
      <c r="AU247" s="52" t="n">
        <f aca="false">T247*AS247</f>
        <v>36.529704</v>
      </c>
      <c r="AV247" s="52" t="n">
        <f aca="false">AU247*AT247</f>
        <v>289.31525568</v>
      </c>
      <c r="AW247" s="52" t="s">
        <v>195</v>
      </c>
      <c r="AX247" s="52" t="n">
        <v>2.3805</v>
      </c>
      <c r="AY247" s="52" t="n">
        <f aca="false">IF(AW247="EUR",AA247,IF(AW247="GBP",AB247,1))</f>
        <v>7.92</v>
      </c>
      <c r="AZ247" s="52" t="n">
        <f aca="false">V247*AX247</f>
        <v>6.6860894016</v>
      </c>
      <c r="BA247" s="52" t="n">
        <f aca="false">AZ247*AY247</f>
        <v>52.953828060672</v>
      </c>
      <c r="BB247" s="52" t="n">
        <f aca="false">AF247+AG247+AL247+AQ247+AV247+BA247</f>
        <v>7572.64104657561</v>
      </c>
      <c r="BC247" s="54" t="n">
        <v>0.968</v>
      </c>
      <c r="BD247" s="32"/>
      <c r="BE247" s="30" t="s">
        <v>205</v>
      </c>
      <c r="BF247" s="30" t="s">
        <v>209</v>
      </c>
      <c r="BG247" s="32" t="s">
        <v>197</v>
      </c>
    </row>
    <row r="248" customFormat="false" ht="26.5" hidden="false" customHeight="false" outlineLevel="0" collapsed="false">
      <c r="A248" s="18" t="s">
        <v>206</v>
      </c>
      <c r="B248" s="18" t="s">
        <v>207</v>
      </c>
      <c r="C248" s="18" t="s">
        <v>208</v>
      </c>
      <c r="D248" s="49" t="n">
        <v>46266</v>
      </c>
      <c r="E248" s="18" t="s">
        <v>112</v>
      </c>
      <c r="F248" s="18" t="s">
        <v>113</v>
      </c>
      <c r="G248" s="18" t="s">
        <v>110</v>
      </c>
      <c r="H248" s="18" t="s">
        <v>101</v>
      </c>
      <c r="I248" s="18" t="s">
        <v>102</v>
      </c>
      <c r="J248" s="50" t="n">
        <v>17200</v>
      </c>
      <c r="K248" s="51" t="n">
        <v>0.3</v>
      </c>
      <c r="L248" s="51" t="n">
        <v>1</v>
      </c>
      <c r="M248" s="51" t="n">
        <v>0.35</v>
      </c>
      <c r="N248" s="52" t="n">
        <f aca="false">J248*K248*L248*M248</f>
        <v>1806</v>
      </c>
      <c r="O248" s="50" t="n">
        <v>1.06</v>
      </c>
      <c r="P248" s="52" t="n">
        <f aca="false">N248*O248</f>
        <v>1914.36</v>
      </c>
      <c r="Q248" s="50" t="n">
        <v>0.76</v>
      </c>
      <c r="R248" s="52" t="n">
        <f aca="false">P248*Q248</f>
        <v>1454.9136</v>
      </c>
      <c r="S248" s="50" t="n">
        <v>0.06</v>
      </c>
      <c r="T248" s="52" t="n">
        <f aca="false">N248*S248</f>
        <v>108.36</v>
      </c>
      <c r="U248" s="52" t="n">
        <v>0.017</v>
      </c>
      <c r="V248" s="52" t="n">
        <f aca="false">P248*U248</f>
        <v>32.54412</v>
      </c>
      <c r="W248" s="53" t="s">
        <v>195</v>
      </c>
      <c r="X248" s="50" t="n">
        <v>2.1735</v>
      </c>
      <c r="Y248" s="53" t="s">
        <v>196</v>
      </c>
      <c r="Z248" s="50" t="n">
        <v>0.09315</v>
      </c>
      <c r="AA248" s="50" t="n">
        <v>7.92</v>
      </c>
      <c r="AB248" s="50" t="n">
        <v>9.15</v>
      </c>
      <c r="AC248" s="52" t="n">
        <f aca="false">IF(W248="EUR",AA248,IF(W248="GBP",AB248,1))</f>
        <v>7.92</v>
      </c>
      <c r="AD248" s="52" t="n">
        <f aca="false">R248*X248</f>
        <v>3162.2547096</v>
      </c>
      <c r="AE248" s="52" t="n">
        <f aca="false">IF(Y248="PERCENTAGE_OF_BASE_FREIGHT",AD248*Z248,IF(Y248="PER_CHARGEABLE_KG",R248*Z248,P248*Z248))</f>
        <v>294.56402619924</v>
      </c>
      <c r="AF248" s="52" t="n">
        <f aca="false">AD248*AC248</f>
        <v>25045.057300032</v>
      </c>
      <c r="AG248" s="52" t="n">
        <f aca="false">AE248*AC248</f>
        <v>2332.94708749798</v>
      </c>
      <c r="AH248" s="52" t="s">
        <v>195</v>
      </c>
      <c r="AI248" s="52" t="n">
        <v>1.08675</v>
      </c>
      <c r="AJ248" s="52" t="n">
        <f aca="false">IF(AH248="EUR",AA248,IF(AH248="GBP",AB248,1))</f>
        <v>7.92</v>
      </c>
      <c r="AK248" s="52" t="n">
        <f aca="false">N248*AI248</f>
        <v>1962.6705</v>
      </c>
      <c r="AL248" s="52" t="n">
        <f aca="false">AK248*AJ248</f>
        <v>15544.35036</v>
      </c>
      <c r="AM248" s="52" t="s">
        <v>195</v>
      </c>
      <c r="AN248" s="52" t="n">
        <v>0.3933</v>
      </c>
      <c r="AO248" s="52" t="n">
        <f aca="false">IF(AM248="EUR",AA248,IF(AM248="GBP",AB248,1))</f>
        <v>7.92</v>
      </c>
      <c r="AP248" s="52" t="n">
        <f aca="false">P248*AN248</f>
        <v>752.917788</v>
      </c>
      <c r="AQ248" s="52" t="n">
        <f aca="false">AP248*AO248</f>
        <v>5963.10888096</v>
      </c>
      <c r="AR248" s="52" t="s">
        <v>195</v>
      </c>
      <c r="AS248" s="52" t="n">
        <v>3.105</v>
      </c>
      <c r="AT248" s="52" t="n">
        <f aca="false">IF(AR248="EUR",AA248,IF(AR248="GBP",AB248,1))</f>
        <v>7.92</v>
      </c>
      <c r="AU248" s="52" t="n">
        <f aca="false">T248*AS248</f>
        <v>336.4578</v>
      </c>
      <c r="AV248" s="52" t="n">
        <f aca="false">AU248*AT248</f>
        <v>2664.745776</v>
      </c>
      <c r="AW248" s="52" t="s">
        <v>195</v>
      </c>
      <c r="AX248" s="52" t="n">
        <v>2.3805</v>
      </c>
      <c r="AY248" s="52" t="n">
        <f aca="false">IF(AW248="EUR",AA248,IF(AW248="GBP",AB248,1))</f>
        <v>7.92</v>
      </c>
      <c r="AZ248" s="52" t="n">
        <f aca="false">V248*AX248</f>
        <v>77.47127766</v>
      </c>
      <c r="BA248" s="52" t="n">
        <f aca="false">AZ248*AY248</f>
        <v>613.5725190672</v>
      </c>
      <c r="BB248" s="52" t="n">
        <f aca="false">AF248+AG248+AL248+AQ248+AV248+BA248</f>
        <v>52163.7819235572</v>
      </c>
      <c r="BC248" s="54" t="n">
        <v>0.961</v>
      </c>
      <c r="BD248" s="32"/>
      <c r="BE248" s="30" t="s">
        <v>205</v>
      </c>
      <c r="BF248" s="30" t="s">
        <v>209</v>
      </c>
      <c r="BG248" s="32" t="s">
        <v>197</v>
      </c>
    </row>
    <row r="249" customFormat="false" ht="26.5" hidden="false" customHeight="false" outlineLevel="0" collapsed="false">
      <c r="A249" s="18" t="s">
        <v>206</v>
      </c>
      <c r="B249" s="18" t="s">
        <v>207</v>
      </c>
      <c r="C249" s="18" t="s">
        <v>208</v>
      </c>
      <c r="D249" s="49" t="n">
        <v>46266</v>
      </c>
      <c r="E249" s="18" t="s">
        <v>116</v>
      </c>
      <c r="F249" s="18" t="s">
        <v>113</v>
      </c>
      <c r="G249" s="18" t="s">
        <v>110</v>
      </c>
      <c r="H249" s="18" t="s">
        <v>107</v>
      </c>
      <c r="I249" s="18" t="s">
        <v>102</v>
      </c>
      <c r="J249" s="50" t="n">
        <v>17200</v>
      </c>
      <c r="K249" s="51" t="n">
        <v>0.3</v>
      </c>
      <c r="L249" s="51" t="n">
        <v>1</v>
      </c>
      <c r="M249" s="51" t="n">
        <v>0.65</v>
      </c>
      <c r="N249" s="52" t="n">
        <f aca="false">J249*K249*L249*M249</f>
        <v>3354</v>
      </c>
      <c r="O249" s="50" t="n">
        <v>1.06</v>
      </c>
      <c r="P249" s="52" t="n">
        <f aca="false">N249*O249</f>
        <v>3555.24</v>
      </c>
      <c r="Q249" s="50" t="n">
        <v>0.79</v>
      </c>
      <c r="R249" s="52" t="n">
        <f aca="false">P249*Q249</f>
        <v>2808.6396</v>
      </c>
      <c r="S249" s="50" t="n">
        <v>0.06</v>
      </c>
      <c r="T249" s="52" t="n">
        <f aca="false">N249*S249</f>
        <v>201.24</v>
      </c>
      <c r="U249" s="52" t="n">
        <v>0.014</v>
      </c>
      <c r="V249" s="52" t="n">
        <f aca="false">P249*U249</f>
        <v>49.77336</v>
      </c>
      <c r="W249" s="53" t="s">
        <v>195</v>
      </c>
      <c r="X249" s="50" t="n">
        <v>2.691</v>
      </c>
      <c r="Y249" s="53" t="s">
        <v>198</v>
      </c>
      <c r="Z249" s="50" t="n">
        <v>0.207</v>
      </c>
      <c r="AA249" s="50" t="n">
        <v>7.92</v>
      </c>
      <c r="AB249" s="50" t="n">
        <v>9.15</v>
      </c>
      <c r="AC249" s="52" t="n">
        <f aca="false">IF(W249="EUR",AA249,IF(W249="GBP",AB249,1))</f>
        <v>7.92</v>
      </c>
      <c r="AD249" s="52" t="n">
        <f aca="false">R249*X249</f>
        <v>7558.0491636</v>
      </c>
      <c r="AE249" s="52" t="n">
        <f aca="false">IF(Y249="PERCENTAGE_OF_BASE_FREIGHT",AD249*Z249,IF(Y249="PER_CHARGEABLE_KG",R249*Z249,P249*Z249))</f>
        <v>581.3883972</v>
      </c>
      <c r="AF249" s="52" t="n">
        <f aca="false">AD249*AC249</f>
        <v>59859.749375712</v>
      </c>
      <c r="AG249" s="52" t="n">
        <f aca="false">AE249*AC249</f>
        <v>4604.596105824</v>
      </c>
      <c r="AH249" s="52" t="s">
        <v>195</v>
      </c>
      <c r="AI249" s="52" t="n">
        <v>1.08675</v>
      </c>
      <c r="AJ249" s="52" t="n">
        <f aca="false">IF(AH249="EUR",AA249,IF(AH249="GBP",AB249,1))</f>
        <v>7.92</v>
      </c>
      <c r="AK249" s="52" t="n">
        <f aca="false">N249*AI249</f>
        <v>3644.9595</v>
      </c>
      <c r="AL249" s="52" t="n">
        <f aca="false">AK249*AJ249</f>
        <v>28868.07924</v>
      </c>
      <c r="AM249" s="52" t="s">
        <v>195</v>
      </c>
      <c r="AN249" s="52" t="n">
        <v>0.3933</v>
      </c>
      <c r="AO249" s="52" t="n">
        <f aca="false">IF(AM249="EUR",AA249,IF(AM249="GBP",AB249,1))</f>
        <v>7.92</v>
      </c>
      <c r="AP249" s="52" t="n">
        <f aca="false">P249*AN249</f>
        <v>1398.275892</v>
      </c>
      <c r="AQ249" s="52" t="n">
        <f aca="false">AP249*AO249</f>
        <v>11074.34506464</v>
      </c>
      <c r="AR249" s="52" t="s">
        <v>195</v>
      </c>
      <c r="AS249" s="52" t="n">
        <v>3.105</v>
      </c>
      <c r="AT249" s="52" t="n">
        <f aca="false">IF(AR249="EUR",AA249,IF(AR249="GBP",AB249,1))</f>
        <v>7.92</v>
      </c>
      <c r="AU249" s="52" t="n">
        <f aca="false">T249*AS249</f>
        <v>624.8502</v>
      </c>
      <c r="AV249" s="52" t="n">
        <f aca="false">AU249*AT249</f>
        <v>4948.813584</v>
      </c>
      <c r="AW249" s="52" t="s">
        <v>195</v>
      </c>
      <c r="AX249" s="52" t="n">
        <v>2.3805</v>
      </c>
      <c r="AY249" s="52" t="n">
        <f aca="false">IF(AW249="EUR",AA249,IF(AW249="GBP",AB249,1))</f>
        <v>7.92</v>
      </c>
      <c r="AZ249" s="52" t="n">
        <f aca="false">V249*AX249</f>
        <v>118.48548348</v>
      </c>
      <c r="BA249" s="52" t="n">
        <f aca="false">AZ249*AY249</f>
        <v>938.4050291616</v>
      </c>
      <c r="BB249" s="52" t="n">
        <f aca="false">AF249+AG249+AL249+AQ249+AV249+BA249</f>
        <v>110293.988399338</v>
      </c>
      <c r="BC249" s="54" t="n">
        <v>0.973</v>
      </c>
      <c r="BD249" s="32"/>
      <c r="BE249" s="30" t="s">
        <v>205</v>
      </c>
      <c r="BF249" s="30" t="s">
        <v>209</v>
      </c>
      <c r="BG249" s="32" t="s">
        <v>197</v>
      </c>
    </row>
    <row r="250" customFormat="false" ht="26.5" hidden="false" customHeight="false" outlineLevel="0" collapsed="false">
      <c r="A250" s="18" t="s">
        <v>206</v>
      </c>
      <c r="B250" s="18" t="s">
        <v>207</v>
      </c>
      <c r="C250" s="18" t="s">
        <v>208</v>
      </c>
      <c r="D250" s="49" t="n">
        <v>46266</v>
      </c>
      <c r="E250" s="18" t="s">
        <v>118</v>
      </c>
      <c r="F250" s="18" t="s">
        <v>119</v>
      </c>
      <c r="G250" s="18" t="s">
        <v>100</v>
      </c>
      <c r="H250" s="18" t="s">
        <v>101</v>
      </c>
      <c r="I250" s="18" t="s">
        <v>102</v>
      </c>
      <c r="J250" s="50" t="n">
        <v>17200</v>
      </c>
      <c r="K250" s="51" t="n">
        <v>0.34</v>
      </c>
      <c r="L250" s="51" t="n">
        <v>0.96</v>
      </c>
      <c r="M250" s="51" t="n">
        <v>0.3</v>
      </c>
      <c r="N250" s="52" t="n">
        <f aca="false">J250*K250*L250*M250</f>
        <v>1684.224</v>
      </c>
      <c r="O250" s="50" t="n">
        <v>1.19</v>
      </c>
      <c r="P250" s="52" t="n">
        <f aca="false">N250*O250</f>
        <v>2004.22656</v>
      </c>
      <c r="Q250" s="50" t="n">
        <v>1.0404</v>
      </c>
      <c r="R250" s="52" t="n">
        <f aca="false">P250*Q250</f>
        <v>2085.197313024</v>
      </c>
      <c r="S250" s="50" t="n">
        <v>0.095</v>
      </c>
      <c r="T250" s="52" t="n">
        <f aca="false">N250*S250</f>
        <v>160.00128</v>
      </c>
      <c r="U250" s="52" t="n">
        <v>0.027</v>
      </c>
      <c r="V250" s="52" t="n">
        <f aca="false">P250*U250</f>
        <v>54.11411712</v>
      </c>
      <c r="W250" s="53" t="s">
        <v>199</v>
      </c>
      <c r="X250" s="50" t="n">
        <v>4.14</v>
      </c>
      <c r="Y250" s="53" t="s">
        <v>196</v>
      </c>
      <c r="Z250" s="50" t="n">
        <v>0.1035</v>
      </c>
      <c r="AA250" s="50" t="n">
        <v>7.92</v>
      </c>
      <c r="AB250" s="50" t="n">
        <v>9.15</v>
      </c>
      <c r="AC250" s="52" t="n">
        <f aca="false">IF(W250="EUR",AA250,IF(W250="GBP",AB250,1))</f>
        <v>9.15</v>
      </c>
      <c r="AD250" s="52" t="n">
        <f aca="false">R250*X250</f>
        <v>8632.71687591936</v>
      </c>
      <c r="AE250" s="52" t="n">
        <f aca="false">IF(Y250="PERCENTAGE_OF_BASE_FREIGHT",AD250*Z250,IF(Y250="PER_CHARGEABLE_KG",R250*Z250,P250*Z250))</f>
        <v>893.486196657654</v>
      </c>
      <c r="AF250" s="52" t="n">
        <f aca="false">AD250*AC250</f>
        <v>78989.3594146621</v>
      </c>
      <c r="AG250" s="52" t="n">
        <f aca="false">AE250*AC250</f>
        <v>8175.39869941753</v>
      </c>
      <c r="AH250" s="52" t="s">
        <v>195</v>
      </c>
      <c r="AI250" s="52" t="n">
        <v>1.37620106985006</v>
      </c>
      <c r="AJ250" s="52" t="n">
        <f aca="false">IF(AH250="EUR",AA250,IF(AH250="GBP",AB250,1))</f>
        <v>7.92</v>
      </c>
      <c r="AK250" s="52" t="n">
        <f aca="false">N250*AI250</f>
        <v>2317.83087066714</v>
      </c>
      <c r="AL250" s="52" t="n">
        <f aca="false">AK250*AJ250</f>
        <v>18357.2204956838</v>
      </c>
      <c r="AM250" s="52" t="s">
        <v>195</v>
      </c>
      <c r="AN250" s="52" t="n">
        <v>0.4347</v>
      </c>
      <c r="AO250" s="52" t="n">
        <f aca="false">IF(AM250="EUR",AA250,IF(AM250="GBP",AB250,1))</f>
        <v>7.92</v>
      </c>
      <c r="AP250" s="52" t="n">
        <f aca="false">P250*AN250</f>
        <v>871.237285632</v>
      </c>
      <c r="AQ250" s="52" t="n">
        <f aca="false">AP250*AO250</f>
        <v>6900.19930220544</v>
      </c>
      <c r="AR250" s="52" t="s">
        <v>199</v>
      </c>
      <c r="AS250" s="52" t="n">
        <v>4.968</v>
      </c>
      <c r="AT250" s="52" t="n">
        <f aca="false">IF(AR250="EUR",AA250,IF(AR250="GBP",AB250,1))</f>
        <v>9.15</v>
      </c>
      <c r="AU250" s="52" t="n">
        <f aca="false">T250*AS250</f>
        <v>794.88635904</v>
      </c>
      <c r="AV250" s="52" t="n">
        <f aca="false">AU250*AT250</f>
        <v>7273.210185216</v>
      </c>
      <c r="AW250" s="52" t="s">
        <v>199</v>
      </c>
      <c r="AX250" s="52" t="n">
        <v>2.3805</v>
      </c>
      <c r="AY250" s="52" t="n">
        <f aca="false">IF(AW250="EUR",AA250,IF(AW250="GBP",AB250,1))</f>
        <v>9.15</v>
      </c>
      <c r="AZ250" s="52" t="n">
        <f aca="false">V250*AX250</f>
        <v>128.81865580416</v>
      </c>
      <c r="BA250" s="52" t="n">
        <f aca="false">AZ250*AY250</f>
        <v>1178.69070060806</v>
      </c>
      <c r="BB250" s="52" t="n">
        <f aca="false">AF250+AG250+AL250+AQ250+AV250+BA250</f>
        <v>120874.078797793</v>
      </c>
      <c r="BC250" s="54" t="n">
        <v>0.93</v>
      </c>
      <c r="BD250" s="32"/>
      <c r="BE250" s="30" t="s">
        <v>205</v>
      </c>
      <c r="BF250" s="30" t="s">
        <v>209</v>
      </c>
      <c r="BG250" s="32" t="s">
        <v>197</v>
      </c>
    </row>
    <row r="251" customFormat="false" ht="26.5" hidden="false" customHeight="false" outlineLevel="0" collapsed="false">
      <c r="A251" s="18" t="s">
        <v>206</v>
      </c>
      <c r="B251" s="18" t="s">
        <v>207</v>
      </c>
      <c r="C251" s="18" t="s">
        <v>208</v>
      </c>
      <c r="D251" s="49" t="n">
        <v>46266</v>
      </c>
      <c r="E251" s="18" t="s">
        <v>122</v>
      </c>
      <c r="F251" s="18" t="s">
        <v>119</v>
      </c>
      <c r="G251" s="18" t="s">
        <v>100</v>
      </c>
      <c r="H251" s="18" t="s">
        <v>107</v>
      </c>
      <c r="I251" s="18" t="s">
        <v>102</v>
      </c>
      <c r="J251" s="50" t="n">
        <v>17200</v>
      </c>
      <c r="K251" s="51" t="n">
        <v>0.34</v>
      </c>
      <c r="L251" s="51" t="n">
        <v>0.96</v>
      </c>
      <c r="M251" s="51" t="n">
        <v>0.17</v>
      </c>
      <c r="N251" s="52" t="n">
        <f aca="false">J251*K251*L251*M251</f>
        <v>954.3936</v>
      </c>
      <c r="O251" s="50" t="n">
        <v>1.19</v>
      </c>
      <c r="P251" s="52" t="n">
        <f aca="false">N251*O251</f>
        <v>1135.728384</v>
      </c>
      <c r="Q251" s="50" t="n">
        <v>1.02</v>
      </c>
      <c r="R251" s="52" t="n">
        <f aca="false">P251*Q251</f>
        <v>1158.44295168</v>
      </c>
      <c r="S251" s="50" t="n">
        <v>0.095</v>
      </c>
      <c r="T251" s="52" t="n">
        <f aca="false">N251*S251</f>
        <v>90.667392</v>
      </c>
      <c r="U251" s="52" t="n">
        <v>0.02</v>
      </c>
      <c r="V251" s="52" t="n">
        <f aca="false">P251*U251</f>
        <v>22.71456768</v>
      </c>
      <c r="W251" s="53" t="s">
        <v>199</v>
      </c>
      <c r="X251" s="50" t="n">
        <v>4.8645</v>
      </c>
      <c r="Y251" s="53" t="s">
        <v>198</v>
      </c>
      <c r="Z251" s="50" t="n">
        <v>0.34155</v>
      </c>
      <c r="AA251" s="50" t="n">
        <v>7.92</v>
      </c>
      <c r="AB251" s="50" t="n">
        <v>9.15</v>
      </c>
      <c r="AC251" s="52" t="n">
        <f aca="false">IF(W251="EUR",AA251,IF(W251="GBP",AB251,1))</f>
        <v>9.15</v>
      </c>
      <c r="AD251" s="52" t="n">
        <f aca="false">R251*X251</f>
        <v>5635.24573844736</v>
      </c>
      <c r="AE251" s="52" t="n">
        <f aca="false">IF(Y251="PERCENTAGE_OF_BASE_FREIGHT",AD251*Z251,IF(Y251="PER_CHARGEABLE_KG",R251*Z251,P251*Z251))</f>
        <v>395.666190146304</v>
      </c>
      <c r="AF251" s="52" t="n">
        <f aca="false">AD251*AC251</f>
        <v>51562.4985067933</v>
      </c>
      <c r="AG251" s="52" t="n">
        <f aca="false">AE251*AC251</f>
        <v>3620.34563983868</v>
      </c>
      <c r="AH251" s="52" t="s">
        <v>195</v>
      </c>
      <c r="AI251" s="52" t="n">
        <v>1.37620106985006</v>
      </c>
      <c r="AJ251" s="52" t="n">
        <f aca="false">IF(AH251="EUR",AA251,IF(AH251="GBP",AB251,1))</f>
        <v>7.92</v>
      </c>
      <c r="AK251" s="52" t="n">
        <f aca="false">N251*AI251</f>
        <v>1313.43749337805</v>
      </c>
      <c r="AL251" s="52" t="n">
        <f aca="false">AK251*AJ251</f>
        <v>10402.4249475541</v>
      </c>
      <c r="AM251" s="52" t="s">
        <v>195</v>
      </c>
      <c r="AN251" s="52" t="n">
        <v>0.4347</v>
      </c>
      <c r="AO251" s="52" t="n">
        <f aca="false">IF(AM251="EUR",AA251,IF(AM251="GBP",AB251,1))</f>
        <v>7.92</v>
      </c>
      <c r="AP251" s="52" t="n">
        <f aca="false">P251*AN251</f>
        <v>493.7011285248</v>
      </c>
      <c r="AQ251" s="52" t="n">
        <f aca="false">AP251*AO251</f>
        <v>3910.11293791642</v>
      </c>
      <c r="AR251" s="52" t="s">
        <v>199</v>
      </c>
      <c r="AS251" s="52" t="n">
        <v>4.968</v>
      </c>
      <c r="AT251" s="52" t="n">
        <f aca="false">IF(AR251="EUR",AA251,IF(AR251="GBP",AB251,1))</f>
        <v>9.15</v>
      </c>
      <c r="AU251" s="52" t="n">
        <f aca="false">T251*AS251</f>
        <v>450.435603456</v>
      </c>
      <c r="AV251" s="52" t="n">
        <f aca="false">AU251*AT251</f>
        <v>4121.4857716224</v>
      </c>
      <c r="AW251" s="52" t="s">
        <v>199</v>
      </c>
      <c r="AX251" s="52" t="n">
        <v>2.3805</v>
      </c>
      <c r="AY251" s="52" t="n">
        <f aca="false">IF(AW251="EUR",AA251,IF(AW251="GBP",AB251,1))</f>
        <v>9.15</v>
      </c>
      <c r="AZ251" s="52" t="n">
        <f aca="false">V251*AX251</f>
        <v>54.07202836224</v>
      </c>
      <c r="BA251" s="52" t="n">
        <f aca="false">AZ251*AY251</f>
        <v>494.759059514496</v>
      </c>
      <c r="BB251" s="52" t="n">
        <f aca="false">AF251+AG251+AL251+AQ251+AV251+BA251</f>
        <v>74111.6268632395</v>
      </c>
      <c r="BC251" s="54" t="n">
        <v>0.95</v>
      </c>
      <c r="BD251" s="32"/>
      <c r="BE251" s="30" t="s">
        <v>205</v>
      </c>
      <c r="BF251" s="30" t="s">
        <v>209</v>
      </c>
      <c r="BG251" s="32" t="s">
        <v>197</v>
      </c>
    </row>
    <row r="252" customFormat="false" ht="26.5" hidden="false" customHeight="false" outlineLevel="0" collapsed="false">
      <c r="A252" s="18" t="s">
        <v>206</v>
      </c>
      <c r="B252" s="18" t="s">
        <v>207</v>
      </c>
      <c r="C252" s="18" t="s">
        <v>208</v>
      </c>
      <c r="D252" s="49" t="n">
        <v>46266</v>
      </c>
      <c r="E252" s="18" t="s">
        <v>124</v>
      </c>
      <c r="F252" s="18" t="s">
        <v>119</v>
      </c>
      <c r="G252" s="18" t="s">
        <v>100</v>
      </c>
      <c r="H252" s="18" t="s">
        <v>107</v>
      </c>
      <c r="I252" s="18" t="s">
        <v>125</v>
      </c>
      <c r="J252" s="50" t="n">
        <v>17200</v>
      </c>
      <c r="K252" s="51" t="n">
        <v>0.34</v>
      </c>
      <c r="L252" s="51" t="n">
        <v>0.96</v>
      </c>
      <c r="M252" s="51" t="n">
        <v>0.25</v>
      </c>
      <c r="N252" s="52" t="n">
        <f aca="false">J252*K252*L252*M252</f>
        <v>1403.52</v>
      </c>
      <c r="O252" s="50" t="n">
        <v>1.19</v>
      </c>
      <c r="P252" s="52" t="n">
        <f aca="false">N252*O252</f>
        <v>1670.1888</v>
      </c>
      <c r="Q252" s="50" t="n">
        <v>0.9588</v>
      </c>
      <c r="R252" s="52" t="n">
        <f aca="false">P252*Q252</f>
        <v>1601.37702144</v>
      </c>
      <c r="S252" s="50" t="n">
        <v>0.095</v>
      </c>
      <c r="T252" s="52" t="n">
        <f aca="false">N252*S252</f>
        <v>133.3344</v>
      </c>
      <c r="U252" s="52" t="n">
        <v>0.016</v>
      </c>
      <c r="V252" s="52" t="n">
        <f aca="false">P252*U252</f>
        <v>26.7230208</v>
      </c>
      <c r="W252" s="53" t="s">
        <v>199</v>
      </c>
      <c r="X252" s="50" t="n">
        <v>6.67368</v>
      </c>
      <c r="Y252" s="53" t="s">
        <v>196</v>
      </c>
      <c r="Z252" s="50" t="n">
        <v>0.123786</v>
      </c>
      <c r="AA252" s="50" t="n">
        <v>7.92</v>
      </c>
      <c r="AB252" s="50" t="n">
        <v>9.15</v>
      </c>
      <c r="AC252" s="52" t="n">
        <f aca="false">IF(W252="EUR",AA252,IF(W252="GBP",AB252,1))</f>
        <v>9.15</v>
      </c>
      <c r="AD252" s="52" t="n">
        <f aca="false">R252*X252</f>
        <v>10687.0778004437</v>
      </c>
      <c r="AE252" s="52" t="n">
        <f aca="false">IF(Y252="PERCENTAGE_OF_BASE_FREIGHT",AD252*Z252,IF(Y252="PER_CHARGEABLE_KG",R252*Z252,P252*Z252))</f>
        <v>1322.91061260572</v>
      </c>
      <c r="AF252" s="52" t="n">
        <f aca="false">AD252*AC252</f>
        <v>97786.7618740598</v>
      </c>
      <c r="AG252" s="52" t="n">
        <f aca="false">AE252*AC252</f>
        <v>12104.6321053424</v>
      </c>
      <c r="AH252" s="52" t="s">
        <v>195</v>
      </c>
      <c r="AI252" s="52" t="n">
        <v>1.37620106985006</v>
      </c>
      <c r="AJ252" s="52" t="n">
        <f aca="false">IF(AH252="EUR",AA252,IF(AH252="GBP",AB252,1))</f>
        <v>7.92</v>
      </c>
      <c r="AK252" s="52" t="n">
        <f aca="false">N252*AI252</f>
        <v>1931.52572555595</v>
      </c>
      <c r="AL252" s="52" t="n">
        <f aca="false">AK252*AJ252</f>
        <v>15297.6837464031</v>
      </c>
      <c r="AM252" s="52" t="s">
        <v>195</v>
      </c>
      <c r="AN252" s="52" t="n">
        <v>0.4347</v>
      </c>
      <c r="AO252" s="52" t="n">
        <f aca="false">IF(AM252="EUR",AA252,IF(AM252="GBP",AB252,1))</f>
        <v>7.92</v>
      </c>
      <c r="AP252" s="52" t="n">
        <f aca="false">P252*AN252</f>
        <v>726.03107136</v>
      </c>
      <c r="AQ252" s="52" t="n">
        <f aca="false">AP252*AO252</f>
        <v>5750.1660851712</v>
      </c>
      <c r="AR252" s="52" t="s">
        <v>199</v>
      </c>
      <c r="AS252" s="52" t="n">
        <v>4.968</v>
      </c>
      <c r="AT252" s="52" t="n">
        <f aca="false">IF(AR252="EUR",AA252,IF(AR252="GBP",AB252,1))</f>
        <v>9.15</v>
      </c>
      <c r="AU252" s="52" t="n">
        <f aca="false">T252*AS252</f>
        <v>662.4052992</v>
      </c>
      <c r="AV252" s="52" t="n">
        <f aca="false">AU252*AT252</f>
        <v>6061.00848768</v>
      </c>
      <c r="AW252" s="52" t="s">
        <v>199</v>
      </c>
      <c r="AX252" s="52" t="n">
        <v>2.898</v>
      </c>
      <c r="AY252" s="52" t="n">
        <f aca="false">IF(AW252="EUR",AA252,IF(AW252="GBP",AB252,1))</f>
        <v>9.15</v>
      </c>
      <c r="AZ252" s="52" t="n">
        <f aca="false">V252*AX252</f>
        <v>77.4433142784</v>
      </c>
      <c r="BA252" s="52" t="n">
        <f aca="false">AZ252*AY252</f>
        <v>708.60632564736</v>
      </c>
      <c r="BB252" s="52" t="n">
        <f aca="false">AF252+AG252+AL252+AQ252+AV252+BA252</f>
        <v>137708.858624304</v>
      </c>
      <c r="BC252" s="54" t="n">
        <v>0.974</v>
      </c>
      <c r="BD252" s="32"/>
      <c r="BE252" s="30" t="s">
        <v>205</v>
      </c>
      <c r="BF252" s="30" t="s">
        <v>209</v>
      </c>
      <c r="BG252" s="32" t="s">
        <v>197</v>
      </c>
    </row>
    <row r="253" customFormat="false" ht="26.5" hidden="false" customHeight="false" outlineLevel="0" collapsed="false">
      <c r="A253" s="18" t="s">
        <v>206</v>
      </c>
      <c r="B253" s="18" t="s">
        <v>207</v>
      </c>
      <c r="C253" s="18" t="s">
        <v>208</v>
      </c>
      <c r="D253" s="49" t="n">
        <v>46266</v>
      </c>
      <c r="E253" s="18" t="s">
        <v>127</v>
      </c>
      <c r="F253" s="18" t="s">
        <v>119</v>
      </c>
      <c r="G253" s="18" t="s">
        <v>100</v>
      </c>
      <c r="H253" s="18" t="s">
        <v>128</v>
      </c>
      <c r="I253" s="18" t="s">
        <v>125</v>
      </c>
      <c r="J253" s="50" t="n">
        <v>17200</v>
      </c>
      <c r="K253" s="51" t="n">
        <v>0.34</v>
      </c>
      <c r="L253" s="51" t="n">
        <v>0.96</v>
      </c>
      <c r="M253" s="51" t="n">
        <v>0.28</v>
      </c>
      <c r="N253" s="52" t="n">
        <f aca="false">J253*K253*L253*M253</f>
        <v>1571.9424</v>
      </c>
      <c r="O253" s="50" t="n">
        <v>1.19</v>
      </c>
      <c r="P253" s="52" t="n">
        <f aca="false">N253*O253</f>
        <v>1870.611456</v>
      </c>
      <c r="Q253" s="50" t="n">
        <v>0.9384</v>
      </c>
      <c r="R253" s="52" t="n">
        <f aca="false">P253*Q253</f>
        <v>1755.3817903104</v>
      </c>
      <c r="S253" s="50" t="n">
        <v>0.095</v>
      </c>
      <c r="T253" s="52" t="n">
        <f aca="false">N253*S253</f>
        <v>149.334528</v>
      </c>
      <c r="U253" s="52" t="n">
        <v>0.011</v>
      </c>
      <c r="V253" s="52" t="n">
        <f aca="false">P253*U253</f>
        <v>20.576726016</v>
      </c>
      <c r="W253" s="53" t="s">
        <v>199</v>
      </c>
      <c r="X253" s="50" t="n">
        <v>8.22825</v>
      </c>
      <c r="Y253" s="53" t="s">
        <v>198</v>
      </c>
      <c r="Z253" s="50" t="n">
        <v>0.636318</v>
      </c>
      <c r="AA253" s="50" t="n">
        <v>7.92</v>
      </c>
      <c r="AB253" s="50" t="n">
        <v>9.15</v>
      </c>
      <c r="AC253" s="52" t="n">
        <f aca="false">IF(W253="EUR",AA253,IF(W253="GBP",AB253,1))</f>
        <v>9.15</v>
      </c>
      <c r="AD253" s="52" t="n">
        <f aca="false">R253*X253</f>
        <v>14443.7202161215</v>
      </c>
      <c r="AE253" s="52" t="n">
        <f aca="false">IF(Y253="PERCENTAGE_OF_BASE_FREIGHT",AD253*Z253,IF(Y253="PER_CHARGEABLE_KG",R253*Z253,P253*Z253))</f>
        <v>1116.98103004673</v>
      </c>
      <c r="AF253" s="52" t="n">
        <f aca="false">AD253*AC253</f>
        <v>132160.039977512</v>
      </c>
      <c r="AG253" s="52" t="n">
        <f aca="false">AE253*AC253</f>
        <v>10220.3764249276</v>
      </c>
      <c r="AH253" s="52" t="s">
        <v>195</v>
      </c>
      <c r="AI253" s="52" t="n">
        <v>1.37620106985006</v>
      </c>
      <c r="AJ253" s="52" t="n">
        <f aca="false">IF(AH253="EUR",AA253,IF(AH253="GBP",AB253,1))</f>
        <v>7.92</v>
      </c>
      <c r="AK253" s="52" t="n">
        <f aca="false">N253*AI253</f>
        <v>2163.30881262266</v>
      </c>
      <c r="AL253" s="52" t="n">
        <f aca="false">AK253*AJ253</f>
        <v>17133.4057959715</v>
      </c>
      <c r="AM253" s="52" t="s">
        <v>195</v>
      </c>
      <c r="AN253" s="52" t="n">
        <v>0.4347</v>
      </c>
      <c r="AO253" s="52" t="n">
        <f aca="false">IF(AM253="EUR",AA253,IF(AM253="GBP",AB253,1))</f>
        <v>7.92</v>
      </c>
      <c r="AP253" s="52" t="n">
        <f aca="false">P253*AN253</f>
        <v>813.1547999232</v>
      </c>
      <c r="AQ253" s="52" t="n">
        <f aca="false">AP253*AO253</f>
        <v>6440.18601539174</v>
      </c>
      <c r="AR253" s="52" t="s">
        <v>199</v>
      </c>
      <c r="AS253" s="52" t="n">
        <v>4.968</v>
      </c>
      <c r="AT253" s="52" t="n">
        <f aca="false">IF(AR253="EUR",AA253,IF(AR253="GBP",AB253,1))</f>
        <v>9.15</v>
      </c>
      <c r="AU253" s="52" t="n">
        <f aca="false">T253*AS253</f>
        <v>741.893935104</v>
      </c>
      <c r="AV253" s="52" t="n">
        <f aca="false">AU253*AT253</f>
        <v>6788.3295062016</v>
      </c>
      <c r="AW253" s="52" t="s">
        <v>199</v>
      </c>
      <c r="AX253" s="52" t="n">
        <v>3.726</v>
      </c>
      <c r="AY253" s="52" t="n">
        <f aca="false">IF(AW253="EUR",AA253,IF(AW253="GBP",AB253,1))</f>
        <v>9.15</v>
      </c>
      <c r="AZ253" s="52" t="n">
        <f aca="false">V253*AX253</f>
        <v>76.668881135616</v>
      </c>
      <c r="BA253" s="52" t="n">
        <f aca="false">AZ253*AY253</f>
        <v>701.520262390886</v>
      </c>
      <c r="BB253" s="52" t="n">
        <f aca="false">AF253+AG253+AL253+AQ253+AV253+BA253</f>
        <v>173443.857982396</v>
      </c>
      <c r="BC253" s="54" t="n">
        <v>0.988</v>
      </c>
      <c r="BD253" s="32"/>
      <c r="BE253" s="30" t="s">
        <v>205</v>
      </c>
      <c r="BF253" s="30" t="s">
        <v>209</v>
      </c>
      <c r="BG253" s="32" t="s">
        <v>197</v>
      </c>
    </row>
    <row r="254" customFormat="false" ht="26.5" hidden="false" customHeight="false" outlineLevel="0" collapsed="false">
      <c r="A254" s="18" t="s">
        <v>206</v>
      </c>
      <c r="B254" s="18" t="s">
        <v>207</v>
      </c>
      <c r="C254" s="18" t="s">
        <v>208</v>
      </c>
      <c r="D254" s="49" t="n">
        <v>46266</v>
      </c>
      <c r="E254" s="18" t="s">
        <v>130</v>
      </c>
      <c r="F254" s="18" t="s">
        <v>119</v>
      </c>
      <c r="G254" s="18" t="s">
        <v>110</v>
      </c>
      <c r="H254" s="18" t="s">
        <v>107</v>
      </c>
      <c r="I254" s="18" t="s">
        <v>125</v>
      </c>
      <c r="J254" s="50" t="n">
        <v>17200</v>
      </c>
      <c r="K254" s="51" t="n">
        <v>0.34</v>
      </c>
      <c r="L254" s="51" t="n">
        <v>0.04</v>
      </c>
      <c r="M254" s="51" t="n">
        <v>1</v>
      </c>
      <c r="N254" s="52" t="n">
        <f aca="false">J254*K254*L254*M254</f>
        <v>233.92</v>
      </c>
      <c r="O254" s="50" t="n">
        <v>1.17</v>
      </c>
      <c r="P254" s="52" t="n">
        <f aca="false">N254*O254</f>
        <v>273.6864</v>
      </c>
      <c r="Q254" s="50" t="n">
        <v>0.918</v>
      </c>
      <c r="R254" s="52" t="n">
        <f aca="false">P254*Q254</f>
        <v>251.2441152</v>
      </c>
      <c r="S254" s="50" t="n">
        <v>0.095</v>
      </c>
      <c r="T254" s="52" t="n">
        <f aca="false">N254*S254</f>
        <v>22.2224</v>
      </c>
      <c r="U254" s="52" t="n">
        <v>0.014</v>
      </c>
      <c r="V254" s="52" t="n">
        <f aca="false">P254*U254</f>
        <v>3.8316096</v>
      </c>
      <c r="W254" s="53" t="s">
        <v>195</v>
      </c>
      <c r="X254" s="50" t="n">
        <v>6.9345</v>
      </c>
      <c r="Y254" s="53" t="s">
        <v>196</v>
      </c>
      <c r="Z254" s="50" t="n">
        <v>0.108675</v>
      </c>
      <c r="AA254" s="50" t="n">
        <v>7.92</v>
      </c>
      <c r="AB254" s="50" t="n">
        <v>9.15</v>
      </c>
      <c r="AC254" s="52" t="n">
        <f aca="false">IF(W254="EUR",AA254,IF(W254="GBP",AB254,1))</f>
        <v>7.92</v>
      </c>
      <c r="AD254" s="52" t="n">
        <f aca="false">R254*X254</f>
        <v>1742.2523168544</v>
      </c>
      <c r="AE254" s="52" t="n">
        <f aca="false">IF(Y254="PERCENTAGE_OF_BASE_FREIGHT",AD254*Z254,IF(Y254="PER_CHARGEABLE_KG",R254*Z254,P254*Z254))</f>
        <v>189.339270534152</v>
      </c>
      <c r="AF254" s="52" t="n">
        <f aca="false">AD254*AC254</f>
        <v>13798.6383494868</v>
      </c>
      <c r="AG254" s="52" t="n">
        <f aca="false">AE254*AC254</f>
        <v>1499.56702263048</v>
      </c>
      <c r="AH254" s="52" t="s">
        <v>195</v>
      </c>
      <c r="AI254" s="52" t="n">
        <v>1.08675</v>
      </c>
      <c r="AJ254" s="52" t="n">
        <f aca="false">IF(AH254="EUR",AA254,IF(AH254="GBP",AB254,1))</f>
        <v>7.92</v>
      </c>
      <c r="AK254" s="52" t="n">
        <f aca="false">N254*AI254</f>
        <v>254.21256</v>
      </c>
      <c r="AL254" s="52" t="n">
        <f aca="false">AK254*AJ254</f>
        <v>2013.3634752</v>
      </c>
      <c r="AM254" s="52" t="s">
        <v>195</v>
      </c>
      <c r="AN254" s="52" t="n">
        <v>0.3933</v>
      </c>
      <c r="AO254" s="52" t="n">
        <f aca="false">IF(AM254="EUR",AA254,IF(AM254="GBP",AB254,1))</f>
        <v>7.92</v>
      </c>
      <c r="AP254" s="52" t="n">
        <f aca="false">P254*AN254</f>
        <v>107.64086112</v>
      </c>
      <c r="AQ254" s="52" t="n">
        <f aca="false">AP254*AO254</f>
        <v>852.5156200704</v>
      </c>
      <c r="AR254" s="52" t="s">
        <v>195</v>
      </c>
      <c r="AS254" s="52" t="n">
        <v>5.382</v>
      </c>
      <c r="AT254" s="52" t="n">
        <f aca="false">IF(AR254="EUR",AA254,IF(AR254="GBP",AB254,1))</f>
        <v>7.92</v>
      </c>
      <c r="AU254" s="52" t="n">
        <f aca="false">T254*AS254</f>
        <v>119.6009568</v>
      </c>
      <c r="AV254" s="52" t="n">
        <f aca="false">AU254*AT254</f>
        <v>947.239577856</v>
      </c>
      <c r="AW254" s="52" t="s">
        <v>195</v>
      </c>
      <c r="AX254" s="52" t="n">
        <v>2.898</v>
      </c>
      <c r="AY254" s="52" t="n">
        <f aca="false">IF(AW254="EUR",AA254,IF(AW254="GBP",AB254,1))</f>
        <v>7.92</v>
      </c>
      <c r="AZ254" s="52" t="n">
        <f aca="false">V254*AX254</f>
        <v>11.1040046208</v>
      </c>
      <c r="BA254" s="52" t="n">
        <f aca="false">AZ254*AY254</f>
        <v>87.943716596736</v>
      </c>
      <c r="BB254" s="52" t="n">
        <f aca="false">AF254+AG254+AL254+AQ254+AV254+BA254</f>
        <v>19199.2677618405</v>
      </c>
      <c r="BC254" s="54" t="n">
        <v>0.971</v>
      </c>
      <c r="BD254" s="32"/>
      <c r="BE254" s="30" t="s">
        <v>205</v>
      </c>
      <c r="BF254" s="30" t="s">
        <v>209</v>
      </c>
      <c r="BG254" s="32" t="s">
        <v>197</v>
      </c>
    </row>
    <row r="255" customFormat="false" ht="26.5" hidden="false" customHeight="false" outlineLevel="0" collapsed="false">
      <c r="A255" s="18" t="s">
        <v>206</v>
      </c>
      <c r="B255" s="18" t="s">
        <v>207</v>
      </c>
      <c r="C255" s="18" t="s">
        <v>208</v>
      </c>
      <c r="D255" s="49" t="n">
        <v>46296</v>
      </c>
      <c r="E255" s="18" t="s">
        <v>98</v>
      </c>
      <c r="F255" s="18" t="s">
        <v>99</v>
      </c>
      <c r="G255" s="18" t="s">
        <v>100</v>
      </c>
      <c r="H255" s="18" t="s">
        <v>101</v>
      </c>
      <c r="I255" s="18" t="s">
        <v>102</v>
      </c>
      <c r="J255" s="50" t="n">
        <v>19500</v>
      </c>
      <c r="K255" s="51" t="n">
        <v>0.34</v>
      </c>
      <c r="L255" s="51" t="n">
        <v>0.97</v>
      </c>
      <c r="M255" s="51" t="n">
        <v>0.6</v>
      </c>
      <c r="N255" s="52" t="n">
        <f aca="false">J255*K255*L255*M255</f>
        <v>3858.66</v>
      </c>
      <c r="O255" s="50" t="n">
        <v>1.05</v>
      </c>
      <c r="P255" s="52" t="n">
        <f aca="false">N255*O255</f>
        <v>4051.593</v>
      </c>
      <c r="Q255" s="50" t="n">
        <v>0.7878</v>
      </c>
      <c r="R255" s="52" t="n">
        <f aca="false">P255*Q255</f>
        <v>3191.8449654</v>
      </c>
      <c r="S255" s="50" t="n">
        <v>0.05</v>
      </c>
      <c r="T255" s="52" t="n">
        <f aca="false">N255*S255</f>
        <v>192.933</v>
      </c>
      <c r="U255" s="52" t="n">
        <v>0.016</v>
      </c>
      <c r="V255" s="52" t="n">
        <f aca="false">P255*U255</f>
        <v>64.825488</v>
      </c>
      <c r="W255" s="53" t="s">
        <v>195</v>
      </c>
      <c r="X255" s="50" t="n">
        <v>2.277</v>
      </c>
      <c r="Y255" s="53" t="s">
        <v>196</v>
      </c>
      <c r="Z255" s="50" t="n">
        <v>0.098325</v>
      </c>
      <c r="AA255" s="50" t="n">
        <v>7.9</v>
      </c>
      <c r="AB255" s="50" t="n">
        <v>9.1</v>
      </c>
      <c r="AC255" s="52" t="n">
        <f aca="false">IF(W255="EUR",AA255,IF(W255="GBP",AB255,1))</f>
        <v>7.9</v>
      </c>
      <c r="AD255" s="52" t="n">
        <f aca="false">R255*X255</f>
        <v>7267.8309862158</v>
      </c>
      <c r="AE255" s="52" t="n">
        <f aca="false">IF(Y255="PERCENTAGE_OF_BASE_FREIGHT",AD255*Z255,IF(Y255="PER_CHARGEABLE_KG",R255*Z255,P255*Z255))</f>
        <v>714.609481719669</v>
      </c>
      <c r="AF255" s="52" t="n">
        <f aca="false">AD255*AC255</f>
        <v>57415.8647911048</v>
      </c>
      <c r="AG255" s="52" t="n">
        <f aca="false">AE255*AC255</f>
        <v>5645.41490558538</v>
      </c>
      <c r="AH255" s="52" t="s">
        <v>195</v>
      </c>
      <c r="AI255" s="52" t="n">
        <v>1.35797114644313</v>
      </c>
      <c r="AJ255" s="52" t="n">
        <f aca="false">IF(AH255="EUR",AA255,IF(AH255="GBP",AB255,1))</f>
        <v>7.9</v>
      </c>
      <c r="AK255" s="52" t="n">
        <f aca="false">N255*AI255</f>
        <v>5239.94894393426</v>
      </c>
      <c r="AL255" s="52" t="n">
        <f aca="false">AK255*AJ255</f>
        <v>41395.5966570807</v>
      </c>
      <c r="AM255" s="52" t="s">
        <v>195</v>
      </c>
      <c r="AN255" s="52" t="n">
        <v>0.4347</v>
      </c>
      <c r="AO255" s="52" t="n">
        <f aca="false">IF(AM255="EUR",AA255,IF(AM255="GBP",AB255,1))</f>
        <v>7.9</v>
      </c>
      <c r="AP255" s="52" t="n">
        <f aca="false">P255*AN255</f>
        <v>1761.2274771</v>
      </c>
      <c r="AQ255" s="52" t="n">
        <f aca="false">AP255*AO255</f>
        <v>13913.69706909</v>
      </c>
      <c r="AR255" s="52" t="s">
        <v>195</v>
      </c>
      <c r="AS255" s="52" t="n">
        <v>3.312</v>
      </c>
      <c r="AT255" s="52" t="n">
        <f aca="false">IF(AR255="EUR",AA255,IF(AR255="GBP",AB255,1))</f>
        <v>7.9</v>
      </c>
      <c r="AU255" s="52" t="n">
        <f aca="false">T255*AS255</f>
        <v>638.994096</v>
      </c>
      <c r="AV255" s="52" t="n">
        <f aca="false">AU255*AT255</f>
        <v>5048.0533584</v>
      </c>
      <c r="AW255" s="52" t="s">
        <v>195</v>
      </c>
      <c r="AX255" s="52" t="n">
        <v>2.3805</v>
      </c>
      <c r="AY255" s="52" t="n">
        <f aca="false">IF(AW255="EUR",AA255,IF(AW255="GBP",AB255,1))</f>
        <v>7.9</v>
      </c>
      <c r="AZ255" s="52" t="n">
        <f aca="false">V255*AX255</f>
        <v>154.317074184</v>
      </c>
      <c r="BA255" s="52" t="n">
        <f aca="false">AZ255*AY255</f>
        <v>1219.1048860536</v>
      </c>
      <c r="BB255" s="52" t="n">
        <f aca="false">AF255+AG255+AL255+AQ255+AV255+BA255</f>
        <v>124637.731667314</v>
      </c>
      <c r="BC255" s="54" t="n">
        <v>0.965</v>
      </c>
      <c r="BD255" s="32"/>
      <c r="BE255" s="30" t="s">
        <v>205</v>
      </c>
      <c r="BF255" s="30" t="s">
        <v>209</v>
      </c>
      <c r="BG255" s="32" t="s">
        <v>197</v>
      </c>
    </row>
    <row r="256" customFormat="false" ht="26.5" hidden="false" customHeight="false" outlineLevel="0" collapsed="false">
      <c r="A256" s="18" t="s">
        <v>206</v>
      </c>
      <c r="B256" s="18" t="s">
        <v>207</v>
      </c>
      <c r="C256" s="18" t="s">
        <v>208</v>
      </c>
      <c r="D256" s="49" t="n">
        <v>46296</v>
      </c>
      <c r="E256" s="18" t="s">
        <v>106</v>
      </c>
      <c r="F256" s="18" t="s">
        <v>99</v>
      </c>
      <c r="G256" s="18" t="s">
        <v>100</v>
      </c>
      <c r="H256" s="18" t="s">
        <v>107</v>
      </c>
      <c r="I256" s="18" t="s">
        <v>102</v>
      </c>
      <c r="J256" s="50" t="n">
        <v>19500</v>
      </c>
      <c r="K256" s="51" t="n">
        <v>0.34</v>
      </c>
      <c r="L256" s="51" t="n">
        <v>0.97</v>
      </c>
      <c r="M256" s="51" t="n">
        <v>0.4</v>
      </c>
      <c r="N256" s="52" t="n">
        <f aca="false">J256*K256*L256*M256</f>
        <v>2572.44</v>
      </c>
      <c r="O256" s="50" t="n">
        <v>1.05</v>
      </c>
      <c r="P256" s="52" t="n">
        <f aca="false">N256*O256</f>
        <v>2701.062</v>
      </c>
      <c r="Q256" s="50" t="n">
        <v>0.808</v>
      </c>
      <c r="R256" s="52" t="n">
        <f aca="false">P256*Q256</f>
        <v>2182.458096</v>
      </c>
      <c r="S256" s="50" t="n">
        <v>0.05</v>
      </c>
      <c r="T256" s="52" t="n">
        <f aca="false">N256*S256</f>
        <v>128.622</v>
      </c>
      <c r="U256" s="52" t="n">
        <v>0.013</v>
      </c>
      <c r="V256" s="52" t="n">
        <f aca="false">P256*U256</f>
        <v>35.113806</v>
      </c>
      <c r="W256" s="53" t="s">
        <v>195</v>
      </c>
      <c r="X256" s="50" t="n">
        <v>2.84625</v>
      </c>
      <c r="Y256" s="53" t="s">
        <v>198</v>
      </c>
      <c r="Z256" s="50" t="n">
        <v>0.21735</v>
      </c>
      <c r="AA256" s="50" t="n">
        <v>7.9</v>
      </c>
      <c r="AB256" s="50" t="n">
        <v>9.1</v>
      </c>
      <c r="AC256" s="52" t="n">
        <f aca="false">IF(W256="EUR",AA256,IF(W256="GBP",AB256,1))</f>
        <v>7.9</v>
      </c>
      <c r="AD256" s="52" t="n">
        <f aca="false">R256*X256</f>
        <v>6211.82135574</v>
      </c>
      <c r="AE256" s="52" t="n">
        <f aca="false">IF(Y256="PERCENTAGE_OF_BASE_FREIGHT",AD256*Z256,IF(Y256="PER_CHARGEABLE_KG",R256*Z256,P256*Z256))</f>
        <v>474.3572671656</v>
      </c>
      <c r="AF256" s="52" t="n">
        <f aca="false">AD256*AC256</f>
        <v>49073.388710346</v>
      </c>
      <c r="AG256" s="52" t="n">
        <f aca="false">AE256*AC256</f>
        <v>3747.42241060824</v>
      </c>
      <c r="AH256" s="52" t="s">
        <v>195</v>
      </c>
      <c r="AI256" s="52" t="n">
        <v>1.35797114644313</v>
      </c>
      <c r="AJ256" s="52" t="n">
        <f aca="false">IF(AH256="EUR",AA256,IF(AH256="GBP",AB256,1))</f>
        <v>7.9</v>
      </c>
      <c r="AK256" s="52" t="n">
        <f aca="false">N256*AI256</f>
        <v>3493.29929595618</v>
      </c>
      <c r="AL256" s="52" t="n">
        <f aca="false">AK256*AJ256</f>
        <v>27597.0644380538</v>
      </c>
      <c r="AM256" s="52" t="s">
        <v>195</v>
      </c>
      <c r="AN256" s="52" t="n">
        <v>0.4347</v>
      </c>
      <c r="AO256" s="52" t="n">
        <f aca="false">IF(AM256="EUR",AA256,IF(AM256="GBP",AB256,1))</f>
        <v>7.9</v>
      </c>
      <c r="AP256" s="52" t="n">
        <f aca="false">P256*AN256</f>
        <v>1174.1516514</v>
      </c>
      <c r="AQ256" s="52" t="n">
        <f aca="false">AP256*AO256</f>
        <v>9275.79804606</v>
      </c>
      <c r="AR256" s="52" t="s">
        <v>195</v>
      </c>
      <c r="AS256" s="52" t="n">
        <v>3.312</v>
      </c>
      <c r="AT256" s="52" t="n">
        <f aca="false">IF(AR256="EUR",AA256,IF(AR256="GBP",AB256,1))</f>
        <v>7.9</v>
      </c>
      <c r="AU256" s="52" t="n">
        <f aca="false">T256*AS256</f>
        <v>425.996064</v>
      </c>
      <c r="AV256" s="52" t="n">
        <f aca="false">AU256*AT256</f>
        <v>3365.3689056</v>
      </c>
      <c r="AW256" s="52" t="s">
        <v>195</v>
      </c>
      <c r="AX256" s="52" t="n">
        <v>2.3805</v>
      </c>
      <c r="AY256" s="52" t="n">
        <f aca="false">IF(AW256="EUR",AA256,IF(AW256="GBP",AB256,1))</f>
        <v>7.9</v>
      </c>
      <c r="AZ256" s="52" t="n">
        <f aca="false">V256*AX256</f>
        <v>83.588415183</v>
      </c>
      <c r="BA256" s="52" t="n">
        <f aca="false">AZ256*AY256</f>
        <v>660.3484799457</v>
      </c>
      <c r="BB256" s="52" t="n">
        <f aca="false">AF256+AG256+AL256+AQ256+AV256+BA256</f>
        <v>93719.3909906138</v>
      </c>
      <c r="BC256" s="54" t="n">
        <v>0.976</v>
      </c>
      <c r="BD256" s="32"/>
      <c r="BE256" s="30" t="s">
        <v>205</v>
      </c>
      <c r="BF256" s="30" t="s">
        <v>209</v>
      </c>
      <c r="BG256" s="32" t="s">
        <v>197</v>
      </c>
    </row>
    <row r="257" customFormat="false" ht="26.5" hidden="false" customHeight="false" outlineLevel="0" collapsed="false">
      <c r="A257" s="18" t="s">
        <v>206</v>
      </c>
      <c r="B257" s="18" t="s">
        <v>207</v>
      </c>
      <c r="C257" s="18" t="s">
        <v>208</v>
      </c>
      <c r="D257" s="49" t="n">
        <v>46296</v>
      </c>
      <c r="E257" s="18" t="s">
        <v>109</v>
      </c>
      <c r="F257" s="18" t="s">
        <v>99</v>
      </c>
      <c r="G257" s="18" t="s">
        <v>110</v>
      </c>
      <c r="H257" s="18" t="s">
        <v>107</v>
      </c>
      <c r="I257" s="18" t="s">
        <v>102</v>
      </c>
      <c r="J257" s="50" t="n">
        <v>19500</v>
      </c>
      <c r="K257" s="51" t="n">
        <v>0.34</v>
      </c>
      <c r="L257" s="51" t="n">
        <v>0.03</v>
      </c>
      <c r="M257" s="51" t="n">
        <v>1</v>
      </c>
      <c r="N257" s="52" t="n">
        <f aca="false">J257*K257*L257*M257</f>
        <v>198.9</v>
      </c>
      <c r="O257" s="50" t="n">
        <v>1.08</v>
      </c>
      <c r="P257" s="52" t="n">
        <f aca="false">N257*O257</f>
        <v>214.812</v>
      </c>
      <c r="Q257" s="50" t="n">
        <v>0.8686</v>
      </c>
      <c r="R257" s="52" t="n">
        <f aca="false">P257*Q257</f>
        <v>186.5857032</v>
      </c>
      <c r="S257" s="50" t="n">
        <v>0.05</v>
      </c>
      <c r="T257" s="52" t="n">
        <f aca="false">N257*S257</f>
        <v>9.945</v>
      </c>
      <c r="U257" s="52" t="n">
        <v>0.014</v>
      </c>
      <c r="V257" s="52" t="n">
        <f aca="false">P257*U257</f>
        <v>3.007368</v>
      </c>
      <c r="W257" s="53" t="s">
        <v>195</v>
      </c>
      <c r="X257" s="50" t="n">
        <v>3.4155</v>
      </c>
      <c r="Y257" s="53" t="s">
        <v>198</v>
      </c>
      <c r="Z257" s="50" t="n">
        <v>0.2484</v>
      </c>
      <c r="AA257" s="50" t="n">
        <v>7.9</v>
      </c>
      <c r="AB257" s="50" t="n">
        <v>9.1</v>
      </c>
      <c r="AC257" s="52" t="n">
        <f aca="false">IF(W257="EUR",AA257,IF(W257="GBP",AB257,1))</f>
        <v>7.9</v>
      </c>
      <c r="AD257" s="52" t="n">
        <f aca="false">R257*X257</f>
        <v>637.2834692796</v>
      </c>
      <c r="AE257" s="52" t="n">
        <f aca="false">IF(Y257="PERCENTAGE_OF_BASE_FREIGHT",AD257*Z257,IF(Y257="PER_CHARGEABLE_KG",R257*Z257,P257*Z257))</f>
        <v>46.34788867488</v>
      </c>
      <c r="AF257" s="52" t="n">
        <f aca="false">AD257*AC257</f>
        <v>5034.53940730884</v>
      </c>
      <c r="AG257" s="52" t="n">
        <f aca="false">AE257*AC257</f>
        <v>366.148320531552</v>
      </c>
      <c r="AH257" s="52" t="s">
        <v>195</v>
      </c>
      <c r="AI257" s="52" t="n">
        <v>1.08675</v>
      </c>
      <c r="AJ257" s="52" t="n">
        <f aca="false">IF(AH257="EUR",AA257,IF(AH257="GBP",AB257,1))</f>
        <v>7.9</v>
      </c>
      <c r="AK257" s="52" t="n">
        <f aca="false">N257*AI257</f>
        <v>216.154575</v>
      </c>
      <c r="AL257" s="52" t="n">
        <f aca="false">AK257*AJ257</f>
        <v>1707.6211425</v>
      </c>
      <c r="AM257" s="52" t="s">
        <v>195</v>
      </c>
      <c r="AN257" s="52" t="n">
        <v>0.3933</v>
      </c>
      <c r="AO257" s="52" t="n">
        <f aca="false">IF(AM257="EUR",AA257,IF(AM257="GBP",AB257,1))</f>
        <v>7.9</v>
      </c>
      <c r="AP257" s="52" t="n">
        <f aca="false">P257*AN257</f>
        <v>84.4855596</v>
      </c>
      <c r="AQ257" s="52" t="n">
        <f aca="false">AP257*AO257</f>
        <v>667.43592084</v>
      </c>
      <c r="AR257" s="52" t="s">
        <v>195</v>
      </c>
      <c r="AS257" s="52" t="n">
        <v>3.933</v>
      </c>
      <c r="AT257" s="52" t="n">
        <f aca="false">IF(AR257="EUR",AA257,IF(AR257="GBP",AB257,1))</f>
        <v>7.9</v>
      </c>
      <c r="AU257" s="52" t="n">
        <f aca="false">T257*AS257</f>
        <v>39.113685</v>
      </c>
      <c r="AV257" s="52" t="n">
        <f aca="false">AU257*AT257</f>
        <v>308.9981115</v>
      </c>
      <c r="AW257" s="52" t="s">
        <v>195</v>
      </c>
      <c r="AX257" s="52" t="n">
        <v>2.3805</v>
      </c>
      <c r="AY257" s="52" t="n">
        <f aca="false">IF(AW257="EUR",AA257,IF(AW257="GBP",AB257,1))</f>
        <v>7.9</v>
      </c>
      <c r="AZ257" s="52" t="n">
        <f aca="false">V257*AX257</f>
        <v>7.159039524</v>
      </c>
      <c r="BA257" s="52" t="n">
        <f aca="false">AZ257*AY257</f>
        <v>56.5564122396</v>
      </c>
      <c r="BB257" s="52" t="n">
        <f aca="false">AF257+AG257+AL257+AQ257+AV257+BA257</f>
        <v>8141.29931491999</v>
      </c>
      <c r="BC257" s="54" t="n">
        <v>0.968</v>
      </c>
      <c r="BD257" s="32"/>
      <c r="BE257" s="30" t="s">
        <v>205</v>
      </c>
      <c r="BF257" s="30" t="s">
        <v>209</v>
      </c>
      <c r="BG257" s="32" t="s">
        <v>197</v>
      </c>
    </row>
    <row r="258" customFormat="false" ht="26.5" hidden="false" customHeight="false" outlineLevel="0" collapsed="false">
      <c r="A258" s="18" t="s">
        <v>206</v>
      </c>
      <c r="B258" s="18" t="s">
        <v>207</v>
      </c>
      <c r="C258" s="18" t="s">
        <v>208</v>
      </c>
      <c r="D258" s="49" t="n">
        <v>46296</v>
      </c>
      <c r="E258" s="18" t="s">
        <v>112</v>
      </c>
      <c r="F258" s="18" t="s">
        <v>113</v>
      </c>
      <c r="G258" s="18" t="s">
        <v>110</v>
      </c>
      <c r="H258" s="18" t="s">
        <v>101</v>
      </c>
      <c r="I258" s="18" t="s">
        <v>102</v>
      </c>
      <c r="J258" s="50" t="n">
        <v>19500</v>
      </c>
      <c r="K258" s="51" t="n">
        <v>0.3</v>
      </c>
      <c r="L258" s="51" t="n">
        <v>1</v>
      </c>
      <c r="M258" s="51" t="n">
        <v>0.35</v>
      </c>
      <c r="N258" s="52" t="n">
        <f aca="false">J258*K258*L258*M258</f>
        <v>2047.5</v>
      </c>
      <c r="O258" s="50" t="n">
        <v>1.06</v>
      </c>
      <c r="P258" s="52" t="n">
        <f aca="false">N258*O258</f>
        <v>2170.35</v>
      </c>
      <c r="Q258" s="50" t="n">
        <v>0.7676</v>
      </c>
      <c r="R258" s="52" t="n">
        <f aca="false">P258*Q258</f>
        <v>1665.96066</v>
      </c>
      <c r="S258" s="50" t="n">
        <v>0.06</v>
      </c>
      <c r="T258" s="52" t="n">
        <f aca="false">N258*S258</f>
        <v>122.85</v>
      </c>
      <c r="U258" s="52" t="n">
        <v>0.017</v>
      </c>
      <c r="V258" s="52" t="n">
        <f aca="false">P258*U258</f>
        <v>36.89595</v>
      </c>
      <c r="W258" s="53" t="s">
        <v>195</v>
      </c>
      <c r="X258" s="50" t="n">
        <v>2.1735</v>
      </c>
      <c r="Y258" s="53" t="s">
        <v>196</v>
      </c>
      <c r="Z258" s="50" t="n">
        <v>0.09315</v>
      </c>
      <c r="AA258" s="50" t="n">
        <v>7.9</v>
      </c>
      <c r="AB258" s="50" t="n">
        <v>9.1</v>
      </c>
      <c r="AC258" s="52" t="n">
        <f aca="false">IF(W258="EUR",AA258,IF(W258="GBP",AB258,1))</f>
        <v>7.9</v>
      </c>
      <c r="AD258" s="52" t="n">
        <f aca="false">R258*X258</f>
        <v>3620.96549451</v>
      </c>
      <c r="AE258" s="52" t="n">
        <f aca="false">IF(Y258="PERCENTAGE_OF_BASE_FREIGHT",AD258*Z258,IF(Y258="PER_CHARGEABLE_KG",R258*Z258,P258*Z258))</f>
        <v>337.292935813606</v>
      </c>
      <c r="AF258" s="52" t="n">
        <f aca="false">AD258*AC258</f>
        <v>28605.627406629</v>
      </c>
      <c r="AG258" s="52" t="n">
        <f aca="false">AE258*AC258</f>
        <v>2664.61419292749</v>
      </c>
      <c r="AH258" s="52" t="s">
        <v>195</v>
      </c>
      <c r="AI258" s="52" t="n">
        <v>1.08675</v>
      </c>
      <c r="AJ258" s="52" t="n">
        <f aca="false">IF(AH258="EUR",AA258,IF(AH258="GBP",AB258,1))</f>
        <v>7.9</v>
      </c>
      <c r="AK258" s="52" t="n">
        <f aca="false">N258*AI258</f>
        <v>2225.120625</v>
      </c>
      <c r="AL258" s="52" t="n">
        <f aca="false">AK258*AJ258</f>
        <v>17578.4529375</v>
      </c>
      <c r="AM258" s="52" t="s">
        <v>195</v>
      </c>
      <c r="AN258" s="52" t="n">
        <v>0.3933</v>
      </c>
      <c r="AO258" s="52" t="n">
        <f aca="false">IF(AM258="EUR",AA258,IF(AM258="GBP",AB258,1))</f>
        <v>7.9</v>
      </c>
      <c r="AP258" s="52" t="n">
        <f aca="false">P258*AN258</f>
        <v>853.598655</v>
      </c>
      <c r="AQ258" s="52" t="n">
        <f aca="false">AP258*AO258</f>
        <v>6743.4293745</v>
      </c>
      <c r="AR258" s="52" t="s">
        <v>195</v>
      </c>
      <c r="AS258" s="52" t="n">
        <v>3.105</v>
      </c>
      <c r="AT258" s="52" t="n">
        <f aca="false">IF(AR258="EUR",AA258,IF(AR258="GBP",AB258,1))</f>
        <v>7.9</v>
      </c>
      <c r="AU258" s="52" t="n">
        <f aca="false">T258*AS258</f>
        <v>381.44925</v>
      </c>
      <c r="AV258" s="52" t="n">
        <f aca="false">AU258*AT258</f>
        <v>3013.449075</v>
      </c>
      <c r="AW258" s="52" t="s">
        <v>195</v>
      </c>
      <c r="AX258" s="52" t="n">
        <v>2.3805</v>
      </c>
      <c r="AY258" s="52" t="n">
        <f aca="false">IF(AW258="EUR",AA258,IF(AW258="GBP",AB258,1))</f>
        <v>7.9</v>
      </c>
      <c r="AZ258" s="52" t="n">
        <f aca="false">V258*AX258</f>
        <v>87.830808975</v>
      </c>
      <c r="BA258" s="52" t="n">
        <f aca="false">AZ258*AY258</f>
        <v>693.8633909025</v>
      </c>
      <c r="BB258" s="52" t="n">
        <f aca="false">AF258+AG258+AL258+AQ258+AV258+BA258</f>
        <v>59299.436377459</v>
      </c>
      <c r="BC258" s="54" t="n">
        <v>0.961</v>
      </c>
      <c r="BD258" s="32"/>
      <c r="BE258" s="30" t="s">
        <v>205</v>
      </c>
      <c r="BF258" s="30" t="s">
        <v>209</v>
      </c>
      <c r="BG258" s="32" t="s">
        <v>197</v>
      </c>
    </row>
    <row r="259" customFormat="false" ht="26.5" hidden="false" customHeight="false" outlineLevel="0" collapsed="false">
      <c r="A259" s="18" t="s">
        <v>206</v>
      </c>
      <c r="B259" s="18" t="s">
        <v>207</v>
      </c>
      <c r="C259" s="18" t="s">
        <v>208</v>
      </c>
      <c r="D259" s="49" t="n">
        <v>46296</v>
      </c>
      <c r="E259" s="18" t="s">
        <v>116</v>
      </c>
      <c r="F259" s="18" t="s">
        <v>113</v>
      </c>
      <c r="G259" s="18" t="s">
        <v>110</v>
      </c>
      <c r="H259" s="18" t="s">
        <v>107</v>
      </c>
      <c r="I259" s="18" t="s">
        <v>102</v>
      </c>
      <c r="J259" s="50" t="n">
        <v>19500</v>
      </c>
      <c r="K259" s="51" t="n">
        <v>0.3</v>
      </c>
      <c r="L259" s="51" t="n">
        <v>1</v>
      </c>
      <c r="M259" s="51" t="n">
        <v>0.65</v>
      </c>
      <c r="N259" s="52" t="n">
        <f aca="false">J259*K259*L259*M259</f>
        <v>3802.5</v>
      </c>
      <c r="O259" s="50" t="n">
        <v>1.06</v>
      </c>
      <c r="P259" s="52" t="n">
        <f aca="false">N259*O259</f>
        <v>4030.65</v>
      </c>
      <c r="Q259" s="50" t="n">
        <v>0.7979</v>
      </c>
      <c r="R259" s="52" t="n">
        <f aca="false">P259*Q259</f>
        <v>3216.055635</v>
      </c>
      <c r="S259" s="50" t="n">
        <v>0.06</v>
      </c>
      <c r="T259" s="52" t="n">
        <f aca="false">N259*S259</f>
        <v>228.15</v>
      </c>
      <c r="U259" s="52" t="n">
        <v>0.014</v>
      </c>
      <c r="V259" s="52" t="n">
        <f aca="false">P259*U259</f>
        <v>56.4291</v>
      </c>
      <c r="W259" s="53" t="s">
        <v>195</v>
      </c>
      <c r="X259" s="50" t="n">
        <v>2.691</v>
      </c>
      <c r="Y259" s="53" t="s">
        <v>198</v>
      </c>
      <c r="Z259" s="50" t="n">
        <v>0.207</v>
      </c>
      <c r="AA259" s="50" t="n">
        <v>7.9</v>
      </c>
      <c r="AB259" s="50" t="n">
        <v>9.1</v>
      </c>
      <c r="AC259" s="52" t="n">
        <f aca="false">IF(W259="EUR",AA259,IF(W259="GBP",AB259,1))</f>
        <v>7.9</v>
      </c>
      <c r="AD259" s="52" t="n">
        <f aca="false">R259*X259</f>
        <v>8654.405713785</v>
      </c>
      <c r="AE259" s="52" t="n">
        <f aca="false">IF(Y259="PERCENTAGE_OF_BASE_FREIGHT",AD259*Z259,IF(Y259="PER_CHARGEABLE_KG",R259*Z259,P259*Z259))</f>
        <v>665.723516445</v>
      </c>
      <c r="AF259" s="52" t="n">
        <f aca="false">AD259*AC259</f>
        <v>68369.8051389015</v>
      </c>
      <c r="AG259" s="52" t="n">
        <f aca="false">AE259*AC259</f>
        <v>5259.2157799155</v>
      </c>
      <c r="AH259" s="52" t="s">
        <v>195</v>
      </c>
      <c r="AI259" s="52" t="n">
        <v>1.08675</v>
      </c>
      <c r="AJ259" s="52" t="n">
        <f aca="false">IF(AH259="EUR",AA259,IF(AH259="GBP",AB259,1))</f>
        <v>7.9</v>
      </c>
      <c r="AK259" s="52" t="n">
        <f aca="false">N259*AI259</f>
        <v>4132.366875</v>
      </c>
      <c r="AL259" s="52" t="n">
        <f aca="false">AK259*AJ259</f>
        <v>32645.6983125</v>
      </c>
      <c r="AM259" s="52" t="s">
        <v>195</v>
      </c>
      <c r="AN259" s="52" t="n">
        <v>0.3933</v>
      </c>
      <c r="AO259" s="52" t="n">
        <f aca="false">IF(AM259="EUR",AA259,IF(AM259="GBP",AB259,1))</f>
        <v>7.9</v>
      </c>
      <c r="AP259" s="52" t="n">
        <f aca="false">P259*AN259</f>
        <v>1585.254645</v>
      </c>
      <c r="AQ259" s="52" t="n">
        <f aca="false">AP259*AO259</f>
        <v>12523.5116955</v>
      </c>
      <c r="AR259" s="52" t="s">
        <v>195</v>
      </c>
      <c r="AS259" s="52" t="n">
        <v>3.105</v>
      </c>
      <c r="AT259" s="52" t="n">
        <f aca="false">IF(AR259="EUR",AA259,IF(AR259="GBP",AB259,1))</f>
        <v>7.9</v>
      </c>
      <c r="AU259" s="52" t="n">
        <f aca="false">T259*AS259</f>
        <v>708.40575</v>
      </c>
      <c r="AV259" s="52" t="n">
        <f aca="false">AU259*AT259</f>
        <v>5596.405425</v>
      </c>
      <c r="AW259" s="52" t="s">
        <v>195</v>
      </c>
      <c r="AX259" s="52" t="n">
        <v>2.3805</v>
      </c>
      <c r="AY259" s="52" t="n">
        <f aca="false">IF(AW259="EUR",AA259,IF(AW259="GBP",AB259,1))</f>
        <v>7.9</v>
      </c>
      <c r="AZ259" s="52" t="n">
        <f aca="false">V259*AX259</f>
        <v>134.32947255</v>
      </c>
      <c r="BA259" s="52" t="n">
        <f aca="false">AZ259*AY259</f>
        <v>1061.202833145</v>
      </c>
      <c r="BB259" s="52" t="n">
        <f aca="false">AF259+AG259+AL259+AQ259+AV259+BA259</f>
        <v>125455.839184962</v>
      </c>
      <c r="BC259" s="54" t="n">
        <v>0.973</v>
      </c>
      <c r="BD259" s="32"/>
      <c r="BE259" s="30" t="s">
        <v>205</v>
      </c>
      <c r="BF259" s="30" t="s">
        <v>209</v>
      </c>
      <c r="BG259" s="32" t="s">
        <v>197</v>
      </c>
    </row>
    <row r="260" customFormat="false" ht="26.5" hidden="false" customHeight="false" outlineLevel="0" collapsed="false">
      <c r="A260" s="18" t="s">
        <v>206</v>
      </c>
      <c r="B260" s="18" t="s">
        <v>207</v>
      </c>
      <c r="C260" s="18" t="s">
        <v>208</v>
      </c>
      <c r="D260" s="49" t="n">
        <v>46296</v>
      </c>
      <c r="E260" s="18" t="s">
        <v>118</v>
      </c>
      <c r="F260" s="18" t="s">
        <v>119</v>
      </c>
      <c r="G260" s="18" t="s">
        <v>100</v>
      </c>
      <c r="H260" s="18" t="s">
        <v>101</v>
      </c>
      <c r="I260" s="18" t="s">
        <v>102</v>
      </c>
      <c r="J260" s="50" t="n">
        <v>19500</v>
      </c>
      <c r="K260" s="51" t="n">
        <v>0.36</v>
      </c>
      <c r="L260" s="51" t="n">
        <v>0.96</v>
      </c>
      <c r="M260" s="51" t="n">
        <v>0.36</v>
      </c>
      <c r="N260" s="52" t="n">
        <f aca="false">J260*K260*L260*M260</f>
        <v>2426.112</v>
      </c>
      <c r="O260" s="50" t="n">
        <v>1.17</v>
      </c>
      <c r="P260" s="52" t="n">
        <f aca="false">N260*O260</f>
        <v>2838.55104</v>
      </c>
      <c r="Q260" s="50" t="n">
        <v>1.050804</v>
      </c>
      <c r="R260" s="52" t="n">
        <f aca="false">P260*Q260</f>
        <v>2982.76078703616</v>
      </c>
      <c r="S260" s="50" t="n">
        <v>0.09</v>
      </c>
      <c r="T260" s="52" t="n">
        <f aca="false">N260*S260</f>
        <v>218.35008</v>
      </c>
      <c r="U260" s="52" t="n">
        <v>0.027</v>
      </c>
      <c r="V260" s="52" t="n">
        <f aca="false">P260*U260</f>
        <v>76.64087808</v>
      </c>
      <c r="W260" s="53" t="s">
        <v>199</v>
      </c>
      <c r="X260" s="50" t="n">
        <v>4.14</v>
      </c>
      <c r="Y260" s="53" t="s">
        <v>196</v>
      </c>
      <c r="Z260" s="50" t="n">
        <v>0.1035</v>
      </c>
      <c r="AA260" s="50" t="n">
        <v>7.9</v>
      </c>
      <c r="AB260" s="50" t="n">
        <v>9.1</v>
      </c>
      <c r="AC260" s="52" t="n">
        <f aca="false">IF(W260="EUR",AA260,IF(W260="GBP",AB260,1))</f>
        <v>9.1</v>
      </c>
      <c r="AD260" s="52" t="n">
        <f aca="false">R260*X260</f>
        <v>12348.6296583297</v>
      </c>
      <c r="AE260" s="52" t="n">
        <f aca="false">IF(Y260="PERCENTAGE_OF_BASE_FREIGHT",AD260*Z260,IF(Y260="PER_CHARGEABLE_KG",R260*Z260,P260*Z260))</f>
        <v>1278.08316963712</v>
      </c>
      <c r="AF260" s="52" t="n">
        <f aca="false">AD260*AC260</f>
        <v>112372.5298908</v>
      </c>
      <c r="AG260" s="52" t="n">
        <f aca="false">AE260*AC260</f>
        <v>11630.5568436978</v>
      </c>
      <c r="AH260" s="52" t="s">
        <v>195</v>
      </c>
      <c r="AI260" s="52" t="n">
        <v>1.35797114644313</v>
      </c>
      <c r="AJ260" s="52" t="n">
        <f aca="false">IF(AH260="EUR",AA260,IF(AH260="GBP",AB260,1))</f>
        <v>7.9</v>
      </c>
      <c r="AK260" s="52" t="n">
        <f aca="false">N260*AI260</f>
        <v>3294.59009403944</v>
      </c>
      <c r="AL260" s="52" t="n">
        <f aca="false">AK260*AJ260</f>
        <v>26027.2617429116</v>
      </c>
      <c r="AM260" s="52" t="s">
        <v>195</v>
      </c>
      <c r="AN260" s="52" t="n">
        <v>0.4347</v>
      </c>
      <c r="AO260" s="52" t="n">
        <f aca="false">IF(AM260="EUR",AA260,IF(AM260="GBP",AB260,1))</f>
        <v>7.9</v>
      </c>
      <c r="AP260" s="52" t="n">
        <f aca="false">P260*AN260</f>
        <v>1233.918137088</v>
      </c>
      <c r="AQ260" s="52" t="n">
        <f aca="false">AP260*AO260</f>
        <v>9747.9532829952</v>
      </c>
      <c r="AR260" s="52" t="s">
        <v>199</v>
      </c>
      <c r="AS260" s="52" t="n">
        <v>4.968</v>
      </c>
      <c r="AT260" s="52" t="n">
        <f aca="false">IF(AR260="EUR",AA260,IF(AR260="GBP",AB260,1))</f>
        <v>9.1</v>
      </c>
      <c r="AU260" s="52" t="n">
        <f aca="false">T260*AS260</f>
        <v>1084.76319744</v>
      </c>
      <c r="AV260" s="52" t="n">
        <f aca="false">AU260*AT260</f>
        <v>9871.345096704</v>
      </c>
      <c r="AW260" s="52" t="s">
        <v>199</v>
      </c>
      <c r="AX260" s="52" t="n">
        <v>2.3805</v>
      </c>
      <c r="AY260" s="52" t="n">
        <f aca="false">IF(AW260="EUR",AA260,IF(AW260="GBP",AB260,1))</f>
        <v>9.1</v>
      </c>
      <c r="AZ260" s="52" t="n">
        <f aca="false">V260*AX260</f>
        <v>182.44361026944</v>
      </c>
      <c r="BA260" s="52" t="n">
        <f aca="false">AZ260*AY260</f>
        <v>1660.2368534519</v>
      </c>
      <c r="BB260" s="52" t="n">
        <f aca="false">AF260+AG260+AL260+AQ260+AV260+BA260</f>
        <v>171309.883710561</v>
      </c>
      <c r="BC260" s="54" t="n">
        <v>0.93</v>
      </c>
      <c r="BD260" s="32"/>
      <c r="BE260" s="30" t="s">
        <v>205</v>
      </c>
      <c r="BF260" s="30" t="s">
        <v>209</v>
      </c>
      <c r="BG260" s="32" t="s">
        <v>197</v>
      </c>
    </row>
    <row r="261" customFormat="false" ht="26.5" hidden="false" customHeight="false" outlineLevel="0" collapsed="false">
      <c r="A261" s="18" t="s">
        <v>206</v>
      </c>
      <c r="B261" s="18" t="s">
        <v>207</v>
      </c>
      <c r="C261" s="18" t="s">
        <v>208</v>
      </c>
      <c r="D261" s="49" t="n">
        <v>46296</v>
      </c>
      <c r="E261" s="18" t="s">
        <v>122</v>
      </c>
      <c r="F261" s="18" t="s">
        <v>119</v>
      </c>
      <c r="G261" s="18" t="s">
        <v>100</v>
      </c>
      <c r="H261" s="18" t="s">
        <v>107</v>
      </c>
      <c r="I261" s="18" t="s">
        <v>102</v>
      </c>
      <c r="J261" s="50" t="n">
        <v>19500</v>
      </c>
      <c r="K261" s="51" t="n">
        <v>0.36</v>
      </c>
      <c r="L261" s="51" t="n">
        <v>0.96</v>
      </c>
      <c r="M261" s="51" t="n">
        <v>0.2</v>
      </c>
      <c r="N261" s="52" t="n">
        <f aca="false">J261*K261*L261*M261</f>
        <v>1347.84</v>
      </c>
      <c r="O261" s="50" t="n">
        <v>1.17</v>
      </c>
      <c r="P261" s="52" t="n">
        <f aca="false">N261*O261</f>
        <v>1576.9728</v>
      </c>
      <c r="Q261" s="50" t="n">
        <v>1.0302</v>
      </c>
      <c r="R261" s="52" t="n">
        <f aca="false">P261*Q261</f>
        <v>1624.59737856</v>
      </c>
      <c r="S261" s="50" t="n">
        <v>0.09</v>
      </c>
      <c r="T261" s="52" t="n">
        <f aca="false">N261*S261</f>
        <v>121.3056</v>
      </c>
      <c r="U261" s="52" t="n">
        <v>0.02</v>
      </c>
      <c r="V261" s="52" t="n">
        <f aca="false">P261*U261</f>
        <v>31.539456</v>
      </c>
      <c r="W261" s="53" t="s">
        <v>199</v>
      </c>
      <c r="X261" s="50" t="n">
        <v>4.8645</v>
      </c>
      <c r="Y261" s="53" t="s">
        <v>198</v>
      </c>
      <c r="Z261" s="50" t="n">
        <v>0.34155</v>
      </c>
      <c r="AA261" s="50" t="n">
        <v>7.9</v>
      </c>
      <c r="AB261" s="50" t="n">
        <v>9.1</v>
      </c>
      <c r="AC261" s="52" t="n">
        <f aca="false">IF(W261="EUR",AA261,IF(W261="GBP",AB261,1))</f>
        <v>9.1</v>
      </c>
      <c r="AD261" s="52" t="n">
        <f aca="false">R261*X261</f>
        <v>7902.85394800512</v>
      </c>
      <c r="AE261" s="52" t="n">
        <f aca="false">IF(Y261="PERCENTAGE_OF_BASE_FREIGHT",AD261*Z261,IF(Y261="PER_CHARGEABLE_KG",R261*Z261,P261*Z261))</f>
        <v>554.881234647168</v>
      </c>
      <c r="AF261" s="52" t="n">
        <f aca="false">AD261*AC261</f>
        <v>71915.9709268466</v>
      </c>
      <c r="AG261" s="52" t="n">
        <f aca="false">AE261*AC261</f>
        <v>5049.41923528923</v>
      </c>
      <c r="AH261" s="52" t="s">
        <v>195</v>
      </c>
      <c r="AI261" s="52" t="n">
        <v>1.35797114644313</v>
      </c>
      <c r="AJ261" s="52" t="n">
        <f aca="false">IF(AH261="EUR",AA261,IF(AH261="GBP",AB261,1))</f>
        <v>7.9</v>
      </c>
      <c r="AK261" s="52" t="n">
        <f aca="false">N261*AI261</f>
        <v>1830.32783002191</v>
      </c>
      <c r="AL261" s="52" t="n">
        <f aca="false">AK261*AJ261</f>
        <v>14459.5898571731</v>
      </c>
      <c r="AM261" s="52" t="s">
        <v>195</v>
      </c>
      <c r="AN261" s="52" t="n">
        <v>0.4347</v>
      </c>
      <c r="AO261" s="52" t="n">
        <f aca="false">IF(AM261="EUR",AA261,IF(AM261="GBP",AB261,1))</f>
        <v>7.9</v>
      </c>
      <c r="AP261" s="52" t="n">
        <f aca="false">P261*AN261</f>
        <v>685.51007616</v>
      </c>
      <c r="AQ261" s="52" t="n">
        <f aca="false">AP261*AO261</f>
        <v>5415.529601664</v>
      </c>
      <c r="AR261" s="52" t="s">
        <v>199</v>
      </c>
      <c r="AS261" s="52" t="n">
        <v>4.968</v>
      </c>
      <c r="AT261" s="52" t="n">
        <f aca="false">IF(AR261="EUR",AA261,IF(AR261="GBP",AB261,1))</f>
        <v>9.1</v>
      </c>
      <c r="AU261" s="52" t="n">
        <f aca="false">T261*AS261</f>
        <v>602.6462208</v>
      </c>
      <c r="AV261" s="52" t="n">
        <f aca="false">AU261*AT261</f>
        <v>5484.08060928</v>
      </c>
      <c r="AW261" s="52" t="s">
        <v>199</v>
      </c>
      <c r="AX261" s="52" t="n">
        <v>2.3805</v>
      </c>
      <c r="AY261" s="52" t="n">
        <f aca="false">IF(AW261="EUR",AA261,IF(AW261="GBP",AB261,1))</f>
        <v>9.1</v>
      </c>
      <c r="AZ261" s="52" t="n">
        <f aca="false">V261*AX261</f>
        <v>75.079675008</v>
      </c>
      <c r="BA261" s="52" t="n">
        <f aca="false">AZ261*AY261</f>
        <v>683.2250425728</v>
      </c>
      <c r="BB261" s="52" t="n">
        <f aca="false">AF261+AG261+AL261+AQ261+AV261+BA261</f>
        <v>103007.815272826</v>
      </c>
      <c r="BC261" s="54" t="n">
        <v>0.95</v>
      </c>
      <c r="BD261" s="32"/>
      <c r="BE261" s="30" t="s">
        <v>205</v>
      </c>
      <c r="BF261" s="30" t="s">
        <v>209</v>
      </c>
      <c r="BG261" s="32" t="s">
        <v>197</v>
      </c>
    </row>
    <row r="262" customFormat="false" ht="26.5" hidden="false" customHeight="false" outlineLevel="0" collapsed="false">
      <c r="A262" s="18" t="s">
        <v>206</v>
      </c>
      <c r="B262" s="18" t="s">
        <v>207</v>
      </c>
      <c r="C262" s="18" t="s">
        <v>208</v>
      </c>
      <c r="D262" s="49" t="n">
        <v>46296</v>
      </c>
      <c r="E262" s="18" t="s">
        <v>124</v>
      </c>
      <c r="F262" s="18" t="s">
        <v>119</v>
      </c>
      <c r="G262" s="18" t="s">
        <v>100</v>
      </c>
      <c r="H262" s="18" t="s">
        <v>107</v>
      </c>
      <c r="I262" s="18" t="s">
        <v>125</v>
      </c>
      <c r="J262" s="50" t="n">
        <v>19500</v>
      </c>
      <c r="K262" s="51" t="n">
        <v>0.36</v>
      </c>
      <c r="L262" s="51" t="n">
        <v>0.96</v>
      </c>
      <c r="M262" s="51" t="n">
        <v>0.24</v>
      </c>
      <c r="N262" s="52" t="n">
        <f aca="false">J262*K262*L262*M262</f>
        <v>1617.408</v>
      </c>
      <c r="O262" s="50" t="n">
        <v>1.17</v>
      </c>
      <c r="P262" s="52" t="n">
        <f aca="false">N262*O262</f>
        <v>1892.36736</v>
      </c>
      <c r="Q262" s="50" t="n">
        <v>0.968388</v>
      </c>
      <c r="R262" s="52" t="n">
        <f aca="false">P262*Q262</f>
        <v>1832.54584301568</v>
      </c>
      <c r="S262" s="50" t="n">
        <v>0.09</v>
      </c>
      <c r="T262" s="52" t="n">
        <f aca="false">N262*S262</f>
        <v>145.56672</v>
      </c>
      <c r="U262" s="52" t="n">
        <v>0.016</v>
      </c>
      <c r="V262" s="52" t="n">
        <f aca="false">P262*U262</f>
        <v>30.27787776</v>
      </c>
      <c r="W262" s="53" t="s">
        <v>199</v>
      </c>
      <c r="X262" s="50" t="n">
        <v>6.67368</v>
      </c>
      <c r="Y262" s="53" t="s">
        <v>196</v>
      </c>
      <c r="Z262" s="50" t="n">
        <v>0.123786</v>
      </c>
      <c r="AA262" s="50" t="n">
        <v>7.9</v>
      </c>
      <c r="AB262" s="50" t="n">
        <v>9.1</v>
      </c>
      <c r="AC262" s="52" t="n">
        <f aca="false">IF(W262="EUR",AA262,IF(W262="GBP",AB262,1))</f>
        <v>9.1</v>
      </c>
      <c r="AD262" s="52" t="n">
        <f aca="false">R262*X262</f>
        <v>12229.8245416169</v>
      </c>
      <c r="AE262" s="52" t="n">
        <f aca="false">IF(Y262="PERCENTAGE_OF_BASE_FREIGHT",AD262*Z262,IF(Y262="PER_CHARGEABLE_KG",R262*Z262,P262*Z262))</f>
        <v>1513.88106070859</v>
      </c>
      <c r="AF262" s="52" t="n">
        <f aca="false">AD262*AC262</f>
        <v>111291.403328714</v>
      </c>
      <c r="AG262" s="52" t="n">
        <f aca="false">AE262*AC262</f>
        <v>13776.3176524481</v>
      </c>
      <c r="AH262" s="52" t="s">
        <v>195</v>
      </c>
      <c r="AI262" s="52" t="n">
        <v>1.35797114644313</v>
      </c>
      <c r="AJ262" s="52" t="n">
        <f aca="false">IF(AH262="EUR",AA262,IF(AH262="GBP",AB262,1))</f>
        <v>7.9</v>
      </c>
      <c r="AK262" s="52" t="n">
        <f aca="false">N262*AI262</f>
        <v>2196.3933960263</v>
      </c>
      <c r="AL262" s="52" t="n">
        <f aca="false">AK262*AJ262</f>
        <v>17351.5078286077</v>
      </c>
      <c r="AM262" s="52" t="s">
        <v>195</v>
      </c>
      <c r="AN262" s="52" t="n">
        <v>0.4347</v>
      </c>
      <c r="AO262" s="52" t="n">
        <f aca="false">IF(AM262="EUR",AA262,IF(AM262="GBP",AB262,1))</f>
        <v>7.9</v>
      </c>
      <c r="AP262" s="52" t="n">
        <f aca="false">P262*AN262</f>
        <v>822.612091392</v>
      </c>
      <c r="AQ262" s="52" t="n">
        <f aca="false">AP262*AO262</f>
        <v>6498.6355219968</v>
      </c>
      <c r="AR262" s="52" t="s">
        <v>199</v>
      </c>
      <c r="AS262" s="52" t="n">
        <v>4.968</v>
      </c>
      <c r="AT262" s="52" t="n">
        <f aca="false">IF(AR262="EUR",AA262,IF(AR262="GBP",AB262,1))</f>
        <v>9.1</v>
      </c>
      <c r="AU262" s="52" t="n">
        <f aca="false">T262*AS262</f>
        <v>723.17546496</v>
      </c>
      <c r="AV262" s="52" t="n">
        <f aca="false">AU262*AT262</f>
        <v>6580.896731136</v>
      </c>
      <c r="AW262" s="52" t="s">
        <v>199</v>
      </c>
      <c r="AX262" s="52" t="n">
        <v>2.898</v>
      </c>
      <c r="AY262" s="52" t="n">
        <f aca="false">IF(AW262="EUR",AA262,IF(AW262="GBP",AB262,1))</f>
        <v>9.1</v>
      </c>
      <c r="AZ262" s="52" t="n">
        <f aca="false">V262*AX262</f>
        <v>87.74528974848</v>
      </c>
      <c r="BA262" s="52" t="n">
        <f aca="false">AZ262*AY262</f>
        <v>798.482136711168</v>
      </c>
      <c r="BB262" s="52" t="n">
        <f aca="false">AF262+AG262+AL262+AQ262+AV262+BA262</f>
        <v>156297.243199613</v>
      </c>
      <c r="BC262" s="54" t="n">
        <v>0.974</v>
      </c>
      <c r="BD262" s="32"/>
      <c r="BE262" s="30" t="s">
        <v>205</v>
      </c>
      <c r="BF262" s="30" t="s">
        <v>209</v>
      </c>
      <c r="BG262" s="32" t="s">
        <v>197</v>
      </c>
    </row>
    <row r="263" customFormat="false" ht="26.5" hidden="false" customHeight="false" outlineLevel="0" collapsed="false">
      <c r="A263" s="18" t="s">
        <v>206</v>
      </c>
      <c r="B263" s="18" t="s">
        <v>207</v>
      </c>
      <c r="C263" s="18" t="s">
        <v>208</v>
      </c>
      <c r="D263" s="49" t="n">
        <v>46296</v>
      </c>
      <c r="E263" s="18" t="s">
        <v>127</v>
      </c>
      <c r="F263" s="18" t="s">
        <v>119</v>
      </c>
      <c r="G263" s="18" t="s">
        <v>100</v>
      </c>
      <c r="H263" s="18" t="s">
        <v>128</v>
      </c>
      <c r="I263" s="18" t="s">
        <v>125</v>
      </c>
      <c r="J263" s="50" t="n">
        <v>19500</v>
      </c>
      <c r="K263" s="51" t="n">
        <v>0.36</v>
      </c>
      <c r="L263" s="51" t="n">
        <v>0.96</v>
      </c>
      <c r="M263" s="51" t="n">
        <v>0.2</v>
      </c>
      <c r="N263" s="52" t="n">
        <f aca="false">J263*K263*L263*M263</f>
        <v>1347.84</v>
      </c>
      <c r="O263" s="50" t="n">
        <v>1.17</v>
      </c>
      <c r="P263" s="52" t="n">
        <f aca="false">N263*O263</f>
        <v>1576.9728</v>
      </c>
      <c r="Q263" s="50" t="n">
        <v>0.947784</v>
      </c>
      <c r="R263" s="52" t="n">
        <f aca="false">P263*Q263</f>
        <v>1494.6295882752</v>
      </c>
      <c r="S263" s="50" t="n">
        <v>0.09</v>
      </c>
      <c r="T263" s="52" t="n">
        <f aca="false">N263*S263</f>
        <v>121.3056</v>
      </c>
      <c r="U263" s="52" t="n">
        <v>0.011</v>
      </c>
      <c r="V263" s="52" t="n">
        <f aca="false">P263*U263</f>
        <v>17.3467008</v>
      </c>
      <c r="W263" s="53" t="s">
        <v>199</v>
      </c>
      <c r="X263" s="50" t="n">
        <v>8.22825</v>
      </c>
      <c r="Y263" s="53" t="s">
        <v>198</v>
      </c>
      <c r="Z263" s="50" t="n">
        <v>0.636318</v>
      </c>
      <c r="AA263" s="50" t="n">
        <v>7.9</v>
      </c>
      <c r="AB263" s="50" t="n">
        <v>9.1</v>
      </c>
      <c r="AC263" s="52" t="n">
        <f aca="false">IF(W263="EUR",AA263,IF(W263="GBP",AB263,1))</f>
        <v>9.1</v>
      </c>
      <c r="AD263" s="52" t="n">
        <f aca="false">R263*X263</f>
        <v>12298.1859097254</v>
      </c>
      <c r="AE263" s="52" t="n">
        <f aca="false">IF(Y263="PERCENTAGE_OF_BASE_FREIGHT",AD263*Z263,IF(Y263="PER_CHARGEABLE_KG",R263*Z263,P263*Z263))</f>
        <v>951.059710352099</v>
      </c>
      <c r="AF263" s="52" t="n">
        <f aca="false">AD263*AC263</f>
        <v>111913.491778501</v>
      </c>
      <c r="AG263" s="52" t="n">
        <f aca="false">AE263*AC263</f>
        <v>8654.6433642041</v>
      </c>
      <c r="AH263" s="52" t="s">
        <v>195</v>
      </c>
      <c r="AI263" s="52" t="n">
        <v>1.35797114644313</v>
      </c>
      <c r="AJ263" s="52" t="n">
        <f aca="false">IF(AH263="EUR",AA263,IF(AH263="GBP",AB263,1))</f>
        <v>7.9</v>
      </c>
      <c r="AK263" s="52" t="n">
        <f aca="false">N263*AI263</f>
        <v>1830.32783002191</v>
      </c>
      <c r="AL263" s="52" t="n">
        <f aca="false">AK263*AJ263</f>
        <v>14459.5898571731</v>
      </c>
      <c r="AM263" s="52" t="s">
        <v>195</v>
      </c>
      <c r="AN263" s="52" t="n">
        <v>0.4347</v>
      </c>
      <c r="AO263" s="52" t="n">
        <f aca="false">IF(AM263="EUR",AA263,IF(AM263="GBP",AB263,1))</f>
        <v>7.9</v>
      </c>
      <c r="AP263" s="52" t="n">
        <f aca="false">P263*AN263</f>
        <v>685.51007616</v>
      </c>
      <c r="AQ263" s="52" t="n">
        <f aca="false">AP263*AO263</f>
        <v>5415.529601664</v>
      </c>
      <c r="AR263" s="52" t="s">
        <v>199</v>
      </c>
      <c r="AS263" s="52" t="n">
        <v>4.968</v>
      </c>
      <c r="AT263" s="52" t="n">
        <f aca="false">IF(AR263="EUR",AA263,IF(AR263="GBP",AB263,1))</f>
        <v>9.1</v>
      </c>
      <c r="AU263" s="52" t="n">
        <f aca="false">T263*AS263</f>
        <v>602.6462208</v>
      </c>
      <c r="AV263" s="52" t="n">
        <f aca="false">AU263*AT263</f>
        <v>5484.08060928</v>
      </c>
      <c r="AW263" s="52" t="s">
        <v>199</v>
      </c>
      <c r="AX263" s="52" t="n">
        <v>3.726</v>
      </c>
      <c r="AY263" s="52" t="n">
        <f aca="false">IF(AW263="EUR",AA263,IF(AW263="GBP",AB263,1))</f>
        <v>9.1</v>
      </c>
      <c r="AZ263" s="52" t="n">
        <f aca="false">V263*AX263</f>
        <v>64.6338071808</v>
      </c>
      <c r="BA263" s="52" t="n">
        <f aca="false">AZ263*AY263</f>
        <v>588.16764534528</v>
      </c>
      <c r="BB263" s="52" t="n">
        <f aca="false">AF263+AG263+AL263+AQ263+AV263+BA263</f>
        <v>146515.502856168</v>
      </c>
      <c r="BC263" s="54" t="n">
        <v>0.988</v>
      </c>
      <c r="BD263" s="32"/>
      <c r="BE263" s="30" t="s">
        <v>205</v>
      </c>
      <c r="BF263" s="30" t="s">
        <v>209</v>
      </c>
      <c r="BG263" s="32" t="s">
        <v>197</v>
      </c>
    </row>
    <row r="264" customFormat="false" ht="26.5" hidden="false" customHeight="false" outlineLevel="0" collapsed="false">
      <c r="A264" s="18" t="s">
        <v>206</v>
      </c>
      <c r="B264" s="18" t="s">
        <v>207</v>
      </c>
      <c r="C264" s="18" t="s">
        <v>208</v>
      </c>
      <c r="D264" s="49" t="n">
        <v>46296</v>
      </c>
      <c r="E264" s="18" t="s">
        <v>130</v>
      </c>
      <c r="F264" s="18" t="s">
        <v>119</v>
      </c>
      <c r="G264" s="18" t="s">
        <v>110</v>
      </c>
      <c r="H264" s="18" t="s">
        <v>107</v>
      </c>
      <c r="I264" s="18" t="s">
        <v>125</v>
      </c>
      <c r="J264" s="50" t="n">
        <v>19500</v>
      </c>
      <c r="K264" s="51" t="n">
        <v>0.36</v>
      </c>
      <c r="L264" s="51" t="n">
        <v>0.04</v>
      </c>
      <c r="M264" s="51" t="n">
        <v>1</v>
      </c>
      <c r="N264" s="52" t="n">
        <f aca="false">J264*K264*L264*M264</f>
        <v>280.8</v>
      </c>
      <c r="O264" s="50" t="n">
        <v>1.17</v>
      </c>
      <c r="P264" s="52" t="n">
        <f aca="false">N264*O264</f>
        <v>328.536</v>
      </c>
      <c r="Q264" s="50" t="n">
        <v>0.92718</v>
      </c>
      <c r="R264" s="52" t="n">
        <f aca="false">P264*Q264</f>
        <v>304.61200848</v>
      </c>
      <c r="S264" s="50" t="n">
        <v>0.09</v>
      </c>
      <c r="T264" s="52" t="n">
        <f aca="false">N264*S264</f>
        <v>25.272</v>
      </c>
      <c r="U264" s="52" t="n">
        <v>0.014</v>
      </c>
      <c r="V264" s="52" t="n">
        <f aca="false">P264*U264</f>
        <v>4.599504</v>
      </c>
      <c r="W264" s="53" t="s">
        <v>195</v>
      </c>
      <c r="X264" s="50" t="n">
        <v>6.9345</v>
      </c>
      <c r="Y264" s="53" t="s">
        <v>196</v>
      </c>
      <c r="Z264" s="50" t="n">
        <v>0.108675</v>
      </c>
      <c r="AA264" s="50" t="n">
        <v>7.9</v>
      </c>
      <c r="AB264" s="50" t="n">
        <v>9.1</v>
      </c>
      <c r="AC264" s="52" t="n">
        <f aca="false">IF(W264="EUR",AA264,IF(W264="GBP",AB264,1))</f>
        <v>7.9</v>
      </c>
      <c r="AD264" s="52" t="n">
        <f aca="false">R264*X264</f>
        <v>2112.33197280456</v>
      </c>
      <c r="AE264" s="52" t="n">
        <f aca="false">IF(Y264="PERCENTAGE_OF_BASE_FREIGHT",AD264*Z264,IF(Y264="PER_CHARGEABLE_KG",R264*Z264,P264*Z264))</f>
        <v>229.557677144536</v>
      </c>
      <c r="AF264" s="52" t="n">
        <f aca="false">AD264*AC264</f>
        <v>16687.422585156</v>
      </c>
      <c r="AG264" s="52" t="n">
        <f aca="false">AE264*AC264</f>
        <v>1813.50564944183</v>
      </c>
      <c r="AH264" s="52" t="s">
        <v>195</v>
      </c>
      <c r="AI264" s="52" t="n">
        <v>1.08675</v>
      </c>
      <c r="AJ264" s="52" t="n">
        <f aca="false">IF(AH264="EUR",AA264,IF(AH264="GBP",AB264,1))</f>
        <v>7.9</v>
      </c>
      <c r="AK264" s="52" t="n">
        <f aca="false">N264*AI264</f>
        <v>305.1594</v>
      </c>
      <c r="AL264" s="52" t="n">
        <f aca="false">AK264*AJ264</f>
        <v>2410.75926</v>
      </c>
      <c r="AM264" s="52" t="s">
        <v>195</v>
      </c>
      <c r="AN264" s="52" t="n">
        <v>0.3933</v>
      </c>
      <c r="AO264" s="52" t="n">
        <f aca="false">IF(AM264="EUR",AA264,IF(AM264="GBP",AB264,1))</f>
        <v>7.9</v>
      </c>
      <c r="AP264" s="52" t="n">
        <f aca="false">P264*AN264</f>
        <v>129.2132088</v>
      </c>
      <c r="AQ264" s="52" t="n">
        <f aca="false">AP264*AO264</f>
        <v>1020.78434952</v>
      </c>
      <c r="AR264" s="52" t="s">
        <v>195</v>
      </c>
      <c r="AS264" s="52" t="n">
        <v>5.382</v>
      </c>
      <c r="AT264" s="52" t="n">
        <f aca="false">IF(AR264="EUR",AA264,IF(AR264="GBP",AB264,1))</f>
        <v>7.9</v>
      </c>
      <c r="AU264" s="52" t="n">
        <f aca="false">T264*AS264</f>
        <v>136.013904</v>
      </c>
      <c r="AV264" s="52" t="n">
        <f aca="false">AU264*AT264</f>
        <v>1074.5098416</v>
      </c>
      <c r="AW264" s="52" t="s">
        <v>195</v>
      </c>
      <c r="AX264" s="52" t="n">
        <v>2.898</v>
      </c>
      <c r="AY264" s="52" t="n">
        <f aca="false">IF(AW264="EUR",AA264,IF(AW264="GBP",AB264,1))</f>
        <v>7.9</v>
      </c>
      <c r="AZ264" s="52" t="n">
        <f aca="false">V264*AX264</f>
        <v>13.329362592</v>
      </c>
      <c r="BA264" s="52" t="n">
        <f aca="false">AZ264*AY264</f>
        <v>105.3019644768</v>
      </c>
      <c r="BB264" s="52" t="n">
        <f aca="false">AF264+AG264+AL264+AQ264+AV264+BA264</f>
        <v>23112.2836501947</v>
      </c>
      <c r="BC264" s="54" t="n">
        <v>0.971</v>
      </c>
      <c r="BD264" s="32"/>
      <c r="BE264" s="30" t="s">
        <v>205</v>
      </c>
      <c r="BF264" s="30" t="s">
        <v>209</v>
      </c>
      <c r="BG264" s="32" t="s">
        <v>197</v>
      </c>
    </row>
    <row r="265" customFormat="false" ht="26.5" hidden="false" customHeight="false" outlineLevel="0" collapsed="false">
      <c r="A265" s="18" t="s">
        <v>206</v>
      </c>
      <c r="B265" s="18" t="s">
        <v>207</v>
      </c>
      <c r="C265" s="18" t="s">
        <v>208</v>
      </c>
      <c r="D265" s="49" t="n">
        <v>46327</v>
      </c>
      <c r="E265" s="18" t="s">
        <v>98</v>
      </c>
      <c r="F265" s="18" t="s">
        <v>99</v>
      </c>
      <c r="G265" s="18" t="s">
        <v>100</v>
      </c>
      <c r="H265" s="18" t="s">
        <v>101</v>
      </c>
      <c r="I265" s="18" t="s">
        <v>102</v>
      </c>
      <c r="J265" s="50" t="n">
        <v>24800</v>
      </c>
      <c r="K265" s="51" t="n">
        <v>0.32</v>
      </c>
      <c r="L265" s="51" t="n">
        <v>0.97</v>
      </c>
      <c r="M265" s="51" t="n">
        <v>0.6</v>
      </c>
      <c r="N265" s="52" t="n">
        <f aca="false">J265*K265*L265*M265</f>
        <v>4618.752</v>
      </c>
      <c r="O265" s="50" t="n">
        <v>1.05</v>
      </c>
      <c r="P265" s="52" t="n">
        <f aca="false">N265*O265</f>
        <v>4849.6896</v>
      </c>
      <c r="Q265" s="50" t="n">
        <v>0.7878</v>
      </c>
      <c r="R265" s="52" t="n">
        <f aca="false">P265*Q265</f>
        <v>3820.58546688</v>
      </c>
      <c r="S265" s="50" t="n">
        <v>0.05</v>
      </c>
      <c r="T265" s="52" t="n">
        <f aca="false">N265*S265</f>
        <v>230.9376</v>
      </c>
      <c r="U265" s="52" t="n">
        <v>0.016</v>
      </c>
      <c r="V265" s="52" t="n">
        <f aca="false">P265*U265</f>
        <v>77.5950336</v>
      </c>
      <c r="W265" s="53" t="s">
        <v>195</v>
      </c>
      <c r="X265" s="50" t="n">
        <v>2.277</v>
      </c>
      <c r="Y265" s="53" t="s">
        <v>196</v>
      </c>
      <c r="Z265" s="50" t="n">
        <v>0.098325</v>
      </c>
      <c r="AA265" s="50" t="n">
        <v>7.88</v>
      </c>
      <c r="AB265" s="50" t="n">
        <v>9.05</v>
      </c>
      <c r="AC265" s="52" t="n">
        <f aca="false">IF(W265="EUR",AA265,IF(W265="GBP",AB265,1))</f>
        <v>7.88</v>
      </c>
      <c r="AD265" s="52" t="n">
        <f aca="false">R265*X265</f>
        <v>8699.47310808576</v>
      </c>
      <c r="AE265" s="52" t="n">
        <f aca="false">IF(Y265="PERCENTAGE_OF_BASE_FREIGHT",AD265*Z265,IF(Y265="PER_CHARGEABLE_KG",R265*Z265,P265*Z265))</f>
        <v>855.375693352532</v>
      </c>
      <c r="AF265" s="52" t="n">
        <f aca="false">AD265*AC265</f>
        <v>68551.8480917158</v>
      </c>
      <c r="AG265" s="52" t="n">
        <f aca="false">AE265*AC265</f>
        <v>6740.36046361795</v>
      </c>
      <c r="AH265" s="52" t="s">
        <v>195</v>
      </c>
      <c r="AI265" s="52" t="n">
        <v>1.2684058185107</v>
      </c>
      <c r="AJ265" s="52" t="n">
        <f aca="false">IF(AH265="EUR",AA265,IF(AH265="GBP",AB265,1))</f>
        <v>7.88</v>
      </c>
      <c r="AK265" s="52" t="n">
        <f aca="false">N265*AI265</f>
        <v>5858.45191105794</v>
      </c>
      <c r="AL265" s="52" t="n">
        <f aca="false">AK265*AJ265</f>
        <v>46164.6010591366</v>
      </c>
      <c r="AM265" s="52" t="s">
        <v>195</v>
      </c>
      <c r="AN265" s="52" t="n">
        <v>0.4347</v>
      </c>
      <c r="AO265" s="52" t="n">
        <f aca="false">IF(AM265="EUR",AA265,IF(AM265="GBP",AB265,1))</f>
        <v>7.88</v>
      </c>
      <c r="AP265" s="52" t="n">
        <f aca="false">P265*AN265</f>
        <v>2108.16006912</v>
      </c>
      <c r="AQ265" s="52" t="n">
        <f aca="false">AP265*AO265</f>
        <v>16612.3013446656</v>
      </c>
      <c r="AR265" s="52" t="s">
        <v>195</v>
      </c>
      <c r="AS265" s="52" t="n">
        <v>3.312</v>
      </c>
      <c r="AT265" s="52" t="n">
        <f aca="false">IF(AR265="EUR",AA265,IF(AR265="GBP",AB265,1))</f>
        <v>7.88</v>
      </c>
      <c r="AU265" s="52" t="n">
        <f aca="false">T265*AS265</f>
        <v>764.8653312</v>
      </c>
      <c r="AV265" s="52" t="n">
        <f aca="false">AU265*AT265</f>
        <v>6027.138809856</v>
      </c>
      <c r="AW265" s="52" t="s">
        <v>195</v>
      </c>
      <c r="AX265" s="52" t="n">
        <v>2.3805</v>
      </c>
      <c r="AY265" s="52" t="n">
        <f aca="false">IF(AW265="EUR",AA265,IF(AW265="GBP",AB265,1))</f>
        <v>7.88</v>
      </c>
      <c r="AZ265" s="52" t="n">
        <f aca="false">V265*AX265</f>
        <v>184.7149774848</v>
      </c>
      <c r="BA265" s="52" t="n">
        <f aca="false">AZ265*AY265</f>
        <v>1455.55402258022</v>
      </c>
      <c r="BB265" s="52" t="n">
        <f aca="false">AF265+AG265+AL265+AQ265+AV265+BA265</f>
        <v>145551.803791572</v>
      </c>
      <c r="BC265" s="54" t="n">
        <v>0.965</v>
      </c>
      <c r="BD265" s="32"/>
      <c r="BE265" s="30" t="s">
        <v>205</v>
      </c>
      <c r="BF265" s="30" t="s">
        <v>209</v>
      </c>
      <c r="BG265" s="32" t="s">
        <v>197</v>
      </c>
    </row>
    <row r="266" customFormat="false" ht="26.5" hidden="false" customHeight="false" outlineLevel="0" collapsed="false">
      <c r="A266" s="18" t="s">
        <v>206</v>
      </c>
      <c r="B266" s="18" t="s">
        <v>207</v>
      </c>
      <c r="C266" s="18" t="s">
        <v>208</v>
      </c>
      <c r="D266" s="49" t="n">
        <v>46327</v>
      </c>
      <c r="E266" s="18" t="s">
        <v>106</v>
      </c>
      <c r="F266" s="18" t="s">
        <v>99</v>
      </c>
      <c r="G266" s="18" t="s">
        <v>100</v>
      </c>
      <c r="H266" s="18" t="s">
        <v>107</v>
      </c>
      <c r="I266" s="18" t="s">
        <v>102</v>
      </c>
      <c r="J266" s="50" t="n">
        <v>24800</v>
      </c>
      <c r="K266" s="51" t="n">
        <v>0.32</v>
      </c>
      <c r="L266" s="51" t="n">
        <v>0.97</v>
      </c>
      <c r="M266" s="51" t="n">
        <v>0.4</v>
      </c>
      <c r="N266" s="52" t="n">
        <f aca="false">J266*K266*L266*M266</f>
        <v>3079.168</v>
      </c>
      <c r="O266" s="50" t="n">
        <v>1.05</v>
      </c>
      <c r="P266" s="52" t="n">
        <f aca="false">N266*O266</f>
        <v>3233.1264</v>
      </c>
      <c r="Q266" s="50" t="n">
        <v>0.808</v>
      </c>
      <c r="R266" s="52" t="n">
        <f aca="false">P266*Q266</f>
        <v>2612.3661312</v>
      </c>
      <c r="S266" s="50" t="n">
        <v>0.05</v>
      </c>
      <c r="T266" s="52" t="n">
        <f aca="false">N266*S266</f>
        <v>153.9584</v>
      </c>
      <c r="U266" s="52" t="n">
        <v>0.013</v>
      </c>
      <c r="V266" s="52" t="n">
        <f aca="false">P266*U266</f>
        <v>42.0306432</v>
      </c>
      <c r="W266" s="53" t="s">
        <v>195</v>
      </c>
      <c r="X266" s="50" t="n">
        <v>2.84625</v>
      </c>
      <c r="Y266" s="53" t="s">
        <v>198</v>
      </c>
      <c r="Z266" s="50" t="n">
        <v>0.21735</v>
      </c>
      <c r="AA266" s="50" t="n">
        <v>7.88</v>
      </c>
      <c r="AB266" s="50" t="n">
        <v>9.05</v>
      </c>
      <c r="AC266" s="52" t="n">
        <f aca="false">IF(W266="EUR",AA266,IF(W266="GBP",AB266,1))</f>
        <v>7.88</v>
      </c>
      <c r="AD266" s="52" t="n">
        <f aca="false">R266*X266</f>
        <v>7435.447100928</v>
      </c>
      <c r="AE266" s="52" t="n">
        <f aca="false">IF(Y266="PERCENTAGE_OF_BASE_FREIGHT",AD266*Z266,IF(Y266="PER_CHARGEABLE_KG",R266*Z266,P266*Z266))</f>
        <v>567.79777861632</v>
      </c>
      <c r="AF266" s="52" t="n">
        <f aca="false">AD266*AC266</f>
        <v>58591.3231553126</v>
      </c>
      <c r="AG266" s="52" t="n">
        <f aca="false">AE266*AC266</f>
        <v>4474.2464954966</v>
      </c>
      <c r="AH266" s="52" t="s">
        <v>195</v>
      </c>
      <c r="AI266" s="52" t="n">
        <v>1.2684058185107</v>
      </c>
      <c r="AJ266" s="52" t="n">
        <f aca="false">IF(AH266="EUR",AA266,IF(AH266="GBP",AB266,1))</f>
        <v>7.88</v>
      </c>
      <c r="AK266" s="52" t="n">
        <f aca="false">N266*AI266</f>
        <v>3905.63460737196</v>
      </c>
      <c r="AL266" s="52" t="n">
        <f aca="false">AK266*AJ266</f>
        <v>30776.4007060911</v>
      </c>
      <c r="AM266" s="52" t="s">
        <v>195</v>
      </c>
      <c r="AN266" s="52" t="n">
        <v>0.4347</v>
      </c>
      <c r="AO266" s="52" t="n">
        <f aca="false">IF(AM266="EUR",AA266,IF(AM266="GBP",AB266,1))</f>
        <v>7.88</v>
      </c>
      <c r="AP266" s="52" t="n">
        <f aca="false">P266*AN266</f>
        <v>1405.44004608</v>
      </c>
      <c r="AQ266" s="52" t="n">
        <f aca="false">AP266*AO266</f>
        <v>11074.8675631104</v>
      </c>
      <c r="AR266" s="52" t="s">
        <v>195</v>
      </c>
      <c r="AS266" s="52" t="n">
        <v>3.312</v>
      </c>
      <c r="AT266" s="52" t="n">
        <f aca="false">IF(AR266="EUR",AA266,IF(AR266="GBP",AB266,1))</f>
        <v>7.88</v>
      </c>
      <c r="AU266" s="52" t="n">
        <f aca="false">T266*AS266</f>
        <v>509.9102208</v>
      </c>
      <c r="AV266" s="52" t="n">
        <f aca="false">AU266*AT266</f>
        <v>4018.092539904</v>
      </c>
      <c r="AW266" s="52" t="s">
        <v>195</v>
      </c>
      <c r="AX266" s="52" t="n">
        <v>2.3805</v>
      </c>
      <c r="AY266" s="52" t="n">
        <f aca="false">IF(AW266="EUR",AA266,IF(AW266="GBP",AB266,1))</f>
        <v>7.88</v>
      </c>
      <c r="AZ266" s="52" t="n">
        <f aca="false">V266*AX266</f>
        <v>100.0539461376</v>
      </c>
      <c r="BA266" s="52" t="n">
        <f aca="false">AZ266*AY266</f>
        <v>788.425095564288</v>
      </c>
      <c r="BB266" s="52" t="n">
        <f aca="false">AF266+AG266+AL266+AQ266+AV266+BA266</f>
        <v>109723.355555479</v>
      </c>
      <c r="BC266" s="54" t="n">
        <v>0.976</v>
      </c>
      <c r="BD266" s="32"/>
      <c r="BE266" s="30" t="s">
        <v>205</v>
      </c>
      <c r="BF266" s="30" t="s">
        <v>209</v>
      </c>
      <c r="BG266" s="32" t="s">
        <v>197</v>
      </c>
    </row>
    <row r="267" customFormat="false" ht="26.5" hidden="false" customHeight="false" outlineLevel="0" collapsed="false">
      <c r="A267" s="18" t="s">
        <v>206</v>
      </c>
      <c r="B267" s="18" t="s">
        <v>207</v>
      </c>
      <c r="C267" s="18" t="s">
        <v>208</v>
      </c>
      <c r="D267" s="49" t="n">
        <v>46327</v>
      </c>
      <c r="E267" s="18" t="s">
        <v>109</v>
      </c>
      <c r="F267" s="18" t="s">
        <v>99</v>
      </c>
      <c r="G267" s="18" t="s">
        <v>110</v>
      </c>
      <c r="H267" s="18" t="s">
        <v>107</v>
      </c>
      <c r="I267" s="18" t="s">
        <v>102</v>
      </c>
      <c r="J267" s="50" t="n">
        <v>24800</v>
      </c>
      <c r="K267" s="51" t="n">
        <v>0.32</v>
      </c>
      <c r="L267" s="51" t="n">
        <v>0.03</v>
      </c>
      <c r="M267" s="51" t="n">
        <v>1</v>
      </c>
      <c r="N267" s="52" t="n">
        <f aca="false">J267*K267*L267*M267</f>
        <v>238.08</v>
      </c>
      <c r="O267" s="50" t="n">
        <v>1.08</v>
      </c>
      <c r="P267" s="52" t="n">
        <f aca="false">N267*O267</f>
        <v>257.1264</v>
      </c>
      <c r="Q267" s="50" t="n">
        <v>0.8686</v>
      </c>
      <c r="R267" s="52" t="n">
        <f aca="false">P267*Q267</f>
        <v>223.33999104</v>
      </c>
      <c r="S267" s="50" t="n">
        <v>0.05</v>
      </c>
      <c r="T267" s="52" t="n">
        <f aca="false">N267*S267</f>
        <v>11.904</v>
      </c>
      <c r="U267" s="52" t="n">
        <v>0.014</v>
      </c>
      <c r="V267" s="52" t="n">
        <f aca="false">P267*U267</f>
        <v>3.5997696</v>
      </c>
      <c r="W267" s="53" t="s">
        <v>195</v>
      </c>
      <c r="X267" s="50" t="n">
        <v>3.4155</v>
      </c>
      <c r="Y267" s="53" t="s">
        <v>198</v>
      </c>
      <c r="Z267" s="50" t="n">
        <v>0.2484</v>
      </c>
      <c r="AA267" s="50" t="n">
        <v>7.88</v>
      </c>
      <c r="AB267" s="50" t="n">
        <v>9.05</v>
      </c>
      <c r="AC267" s="52" t="n">
        <f aca="false">IF(W267="EUR",AA267,IF(W267="GBP",AB267,1))</f>
        <v>7.88</v>
      </c>
      <c r="AD267" s="52" t="n">
        <f aca="false">R267*X267</f>
        <v>762.81773939712</v>
      </c>
      <c r="AE267" s="52" t="n">
        <f aca="false">IF(Y267="PERCENTAGE_OF_BASE_FREIGHT",AD267*Z267,IF(Y267="PER_CHARGEABLE_KG",R267*Z267,P267*Z267))</f>
        <v>55.477653774336</v>
      </c>
      <c r="AF267" s="52" t="n">
        <f aca="false">AD267*AC267</f>
        <v>6011.00378644931</v>
      </c>
      <c r="AG267" s="52" t="n">
        <f aca="false">AE267*AC267</f>
        <v>437.163911741768</v>
      </c>
      <c r="AH267" s="52" t="s">
        <v>195</v>
      </c>
      <c r="AI267" s="52" t="n">
        <v>1.08675</v>
      </c>
      <c r="AJ267" s="52" t="n">
        <f aca="false">IF(AH267="EUR",AA267,IF(AH267="GBP",AB267,1))</f>
        <v>7.88</v>
      </c>
      <c r="AK267" s="52" t="n">
        <f aca="false">N267*AI267</f>
        <v>258.73344</v>
      </c>
      <c r="AL267" s="52" t="n">
        <f aca="false">AK267*AJ267</f>
        <v>2038.8195072</v>
      </c>
      <c r="AM267" s="52" t="s">
        <v>195</v>
      </c>
      <c r="AN267" s="52" t="n">
        <v>0.3933</v>
      </c>
      <c r="AO267" s="52" t="n">
        <f aca="false">IF(AM267="EUR",AA267,IF(AM267="GBP",AB267,1))</f>
        <v>7.88</v>
      </c>
      <c r="AP267" s="52" t="n">
        <f aca="false">P267*AN267</f>
        <v>101.12781312</v>
      </c>
      <c r="AQ267" s="52" t="n">
        <f aca="false">AP267*AO267</f>
        <v>796.8871673856</v>
      </c>
      <c r="AR267" s="52" t="s">
        <v>195</v>
      </c>
      <c r="AS267" s="52" t="n">
        <v>3.933</v>
      </c>
      <c r="AT267" s="52" t="n">
        <f aca="false">IF(AR267="EUR",AA267,IF(AR267="GBP",AB267,1))</f>
        <v>7.88</v>
      </c>
      <c r="AU267" s="52" t="n">
        <f aca="false">T267*AS267</f>
        <v>46.818432</v>
      </c>
      <c r="AV267" s="52" t="n">
        <f aca="false">AU267*AT267</f>
        <v>368.92924416</v>
      </c>
      <c r="AW267" s="52" t="s">
        <v>195</v>
      </c>
      <c r="AX267" s="52" t="n">
        <v>2.3805</v>
      </c>
      <c r="AY267" s="52" t="n">
        <f aca="false">IF(AW267="EUR",AA267,IF(AW267="GBP",AB267,1))</f>
        <v>7.88</v>
      </c>
      <c r="AZ267" s="52" t="n">
        <f aca="false">V267*AX267</f>
        <v>8.5692515328</v>
      </c>
      <c r="BA267" s="52" t="n">
        <f aca="false">AZ267*AY267</f>
        <v>67.525702078464</v>
      </c>
      <c r="BB267" s="52" t="n">
        <f aca="false">AF267+AG267+AL267+AQ267+AV267+BA267</f>
        <v>9720.32931901514</v>
      </c>
      <c r="BC267" s="54" t="n">
        <v>0.968</v>
      </c>
      <c r="BD267" s="32"/>
      <c r="BE267" s="30" t="s">
        <v>205</v>
      </c>
      <c r="BF267" s="30" t="s">
        <v>209</v>
      </c>
      <c r="BG267" s="32" t="s">
        <v>197</v>
      </c>
    </row>
    <row r="268" customFormat="false" ht="26.5" hidden="false" customHeight="false" outlineLevel="0" collapsed="false">
      <c r="A268" s="18" t="s">
        <v>206</v>
      </c>
      <c r="B268" s="18" t="s">
        <v>207</v>
      </c>
      <c r="C268" s="18" t="s">
        <v>208</v>
      </c>
      <c r="D268" s="49" t="n">
        <v>46327</v>
      </c>
      <c r="E268" s="18" t="s">
        <v>112</v>
      </c>
      <c r="F268" s="18" t="s">
        <v>113</v>
      </c>
      <c r="G268" s="18" t="s">
        <v>110</v>
      </c>
      <c r="H268" s="18" t="s">
        <v>101</v>
      </c>
      <c r="I268" s="18" t="s">
        <v>102</v>
      </c>
      <c r="J268" s="50" t="n">
        <v>24800</v>
      </c>
      <c r="K268" s="51" t="n">
        <v>0.29</v>
      </c>
      <c r="L268" s="51" t="n">
        <v>1</v>
      </c>
      <c r="M268" s="51" t="n">
        <v>0.35</v>
      </c>
      <c r="N268" s="52" t="n">
        <f aca="false">J268*K268*L268*M268</f>
        <v>2517.2</v>
      </c>
      <c r="O268" s="50" t="n">
        <v>1.06</v>
      </c>
      <c r="P268" s="52" t="n">
        <f aca="false">N268*O268</f>
        <v>2668.232</v>
      </c>
      <c r="Q268" s="50" t="n">
        <v>0.7676</v>
      </c>
      <c r="R268" s="52" t="n">
        <f aca="false">P268*Q268</f>
        <v>2048.1348832</v>
      </c>
      <c r="S268" s="50" t="n">
        <v>0.06</v>
      </c>
      <c r="T268" s="52" t="n">
        <f aca="false">N268*S268</f>
        <v>151.032</v>
      </c>
      <c r="U268" s="52" t="n">
        <v>0.017</v>
      </c>
      <c r="V268" s="52" t="n">
        <f aca="false">P268*U268</f>
        <v>45.359944</v>
      </c>
      <c r="W268" s="53" t="s">
        <v>195</v>
      </c>
      <c r="X268" s="50" t="n">
        <v>2.1735</v>
      </c>
      <c r="Y268" s="53" t="s">
        <v>196</v>
      </c>
      <c r="Z268" s="50" t="n">
        <v>0.09315</v>
      </c>
      <c r="AA268" s="50" t="n">
        <v>7.88</v>
      </c>
      <c r="AB268" s="50" t="n">
        <v>9.05</v>
      </c>
      <c r="AC268" s="52" t="n">
        <f aca="false">IF(W268="EUR",AA268,IF(W268="GBP",AB268,1))</f>
        <v>7.88</v>
      </c>
      <c r="AD268" s="52" t="n">
        <f aca="false">R268*X268</f>
        <v>4451.6211686352</v>
      </c>
      <c r="AE268" s="52" t="n">
        <f aca="false">IF(Y268="PERCENTAGE_OF_BASE_FREIGHT",AD268*Z268,IF(Y268="PER_CHARGEABLE_KG",R268*Z268,P268*Z268))</f>
        <v>414.668511858369</v>
      </c>
      <c r="AF268" s="52" t="n">
        <f aca="false">AD268*AC268</f>
        <v>35078.7748088454</v>
      </c>
      <c r="AG268" s="52" t="n">
        <f aca="false">AE268*AC268</f>
        <v>3267.58787344395</v>
      </c>
      <c r="AH268" s="52" t="s">
        <v>195</v>
      </c>
      <c r="AI268" s="52" t="n">
        <v>1.08675</v>
      </c>
      <c r="AJ268" s="52" t="n">
        <f aca="false">IF(AH268="EUR",AA268,IF(AH268="GBP",AB268,1))</f>
        <v>7.88</v>
      </c>
      <c r="AK268" s="52" t="n">
        <f aca="false">N268*AI268</f>
        <v>2735.5671</v>
      </c>
      <c r="AL268" s="52" t="n">
        <f aca="false">AK268*AJ268</f>
        <v>21556.268748</v>
      </c>
      <c r="AM268" s="52" t="s">
        <v>195</v>
      </c>
      <c r="AN268" s="52" t="n">
        <v>0.3933</v>
      </c>
      <c r="AO268" s="52" t="n">
        <f aca="false">IF(AM268="EUR",AA268,IF(AM268="GBP",AB268,1))</f>
        <v>7.88</v>
      </c>
      <c r="AP268" s="52" t="n">
        <f aca="false">P268*AN268</f>
        <v>1049.4156456</v>
      </c>
      <c r="AQ268" s="52" t="n">
        <f aca="false">AP268*AO268</f>
        <v>8269.395287328</v>
      </c>
      <c r="AR268" s="52" t="s">
        <v>195</v>
      </c>
      <c r="AS268" s="52" t="n">
        <v>3.105</v>
      </c>
      <c r="AT268" s="52" t="n">
        <f aca="false">IF(AR268="EUR",AA268,IF(AR268="GBP",AB268,1))</f>
        <v>7.88</v>
      </c>
      <c r="AU268" s="52" t="n">
        <f aca="false">T268*AS268</f>
        <v>468.95436</v>
      </c>
      <c r="AV268" s="52" t="n">
        <f aca="false">AU268*AT268</f>
        <v>3695.3603568</v>
      </c>
      <c r="AW268" s="52" t="s">
        <v>195</v>
      </c>
      <c r="AX268" s="52" t="n">
        <v>2.3805</v>
      </c>
      <c r="AY268" s="52" t="n">
        <f aca="false">IF(AW268="EUR",AA268,IF(AW268="GBP",AB268,1))</f>
        <v>7.88</v>
      </c>
      <c r="AZ268" s="52" t="n">
        <f aca="false">V268*AX268</f>
        <v>107.979346692</v>
      </c>
      <c r="BA268" s="52" t="n">
        <f aca="false">AZ268*AY268</f>
        <v>850.87725193296</v>
      </c>
      <c r="BB268" s="52" t="n">
        <f aca="false">AF268+AG268+AL268+AQ268+AV268+BA268</f>
        <v>72718.2643263503</v>
      </c>
      <c r="BC268" s="54" t="n">
        <v>0.961</v>
      </c>
      <c r="BD268" s="32"/>
      <c r="BE268" s="30" t="s">
        <v>205</v>
      </c>
      <c r="BF268" s="30" t="s">
        <v>209</v>
      </c>
      <c r="BG268" s="32" t="s">
        <v>197</v>
      </c>
    </row>
    <row r="269" customFormat="false" ht="26.5" hidden="false" customHeight="false" outlineLevel="0" collapsed="false">
      <c r="A269" s="18" t="s">
        <v>206</v>
      </c>
      <c r="B269" s="18" t="s">
        <v>207</v>
      </c>
      <c r="C269" s="18" t="s">
        <v>208</v>
      </c>
      <c r="D269" s="49" t="n">
        <v>46327</v>
      </c>
      <c r="E269" s="18" t="s">
        <v>116</v>
      </c>
      <c r="F269" s="18" t="s">
        <v>113</v>
      </c>
      <c r="G269" s="18" t="s">
        <v>110</v>
      </c>
      <c r="H269" s="18" t="s">
        <v>107</v>
      </c>
      <c r="I269" s="18" t="s">
        <v>102</v>
      </c>
      <c r="J269" s="50" t="n">
        <v>24800</v>
      </c>
      <c r="K269" s="51" t="n">
        <v>0.29</v>
      </c>
      <c r="L269" s="51" t="n">
        <v>1</v>
      </c>
      <c r="M269" s="51" t="n">
        <v>0.65</v>
      </c>
      <c r="N269" s="52" t="n">
        <f aca="false">J269*K269*L269*M269</f>
        <v>4674.8</v>
      </c>
      <c r="O269" s="50" t="n">
        <v>1.06</v>
      </c>
      <c r="P269" s="52" t="n">
        <f aca="false">N269*O269</f>
        <v>4955.288</v>
      </c>
      <c r="Q269" s="50" t="n">
        <v>0.7979</v>
      </c>
      <c r="R269" s="52" t="n">
        <f aca="false">P269*Q269</f>
        <v>3953.8242952</v>
      </c>
      <c r="S269" s="50" t="n">
        <v>0.06</v>
      </c>
      <c r="T269" s="52" t="n">
        <f aca="false">N269*S269</f>
        <v>280.488</v>
      </c>
      <c r="U269" s="52" t="n">
        <v>0.014</v>
      </c>
      <c r="V269" s="52" t="n">
        <f aca="false">P269*U269</f>
        <v>69.374032</v>
      </c>
      <c r="W269" s="53" t="s">
        <v>195</v>
      </c>
      <c r="X269" s="50" t="n">
        <v>2.691</v>
      </c>
      <c r="Y269" s="53" t="s">
        <v>198</v>
      </c>
      <c r="Z269" s="50" t="n">
        <v>0.207</v>
      </c>
      <c r="AA269" s="50" t="n">
        <v>7.88</v>
      </c>
      <c r="AB269" s="50" t="n">
        <v>9.05</v>
      </c>
      <c r="AC269" s="52" t="n">
        <f aca="false">IF(W269="EUR",AA269,IF(W269="GBP",AB269,1))</f>
        <v>7.88</v>
      </c>
      <c r="AD269" s="52" t="n">
        <f aca="false">R269*X269</f>
        <v>10639.7411783832</v>
      </c>
      <c r="AE269" s="52" t="n">
        <f aca="false">IF(Y269="PERCENTAGE_OF_BASE_FREIGHT",AD269*Z269,IF(Y269="PER_CHARGEABLE_KG",R269*Z269,P269*Z269))</f>
        <v>818.4416291064</v>
      </c>
      <c r="AF269" s="52" t="n">
        <f aca="false">AD269*AC269</f>
        <v>83841.1604856596</v>
      </c>
      <c r="AG269" s="52" t="n">
        <f aca="false">AE269*AC269</f>
        <v>6449.32003735843</v>
      </c>
      <c r="AH269" s="52" t="s">
        <v>195</v>
      </c>
      <c r="AI269" s="52" t="n">
        <v>1.08675</v>
      </c>
      <c r="AJ269" s="52" t="n">
        <f aca="false">IF(AH269="EUR",AA269,IF(AH269="GBP",AB269,1))</f>
        <v>7.88</v>
      </c>
      <c r="AK269" s="52" t="n">
        <f aca="false">N269*AI269</f>
        <v>5080.3389</v>
      </c>
      <c r="AL269" s="52" t="n">
        <f aca="false">AK269*AJ269</f>
        <v>40033.070532</v>
      </c>
      <c r="AM269" s="52" t="s">
        <v>195</v>
      </c>
      <c r="AN269" s="52" t="n">
        <v>0.3933</v>
      </c>
      <c r="AO269" s="52" t="n">
        <f aca="false">IF(AM269="EUR",AA269,IF(AM269="GBP",AB269,1))</f>
        <v>7.88</v>
      </c>
      <c r="AP269" s="52" t="n">
        <f aca="false">P269*AN269</f>
        <v>1948.9147704</v>
      </c>
      <c r="AQ269" s="52" t="n">
        <f aca="false">AP269*AO269</f>
        <v>15357.448390752</v>
      </c>
      <c r="AR269" s="52" t="s">
        <v>195</v>
      </c>
      <c r="AS269" s="52" t="n">
        <v>3.105</v>
      </c>
      <c r="AT269" s="52" t="n">
        <f aca="false">IF(AR269="EUR",AA269,IF(AR269="GBP",AB269,1))</f>
        <v>7.88</v>
      </c>
      <c r="AU269" s="52" t="n">
        <f aca="false">T269*AS269</f>
        <v>870.91524</v>
      </c>
      <c r="AV269" s="52" t="n">
        <f aca="false">AU269*AT269</f>
        <v>6862.8120912</v>
      </c>
      <c r="AW269" s="52" t="s">
        <v>195</v>
      </c>
      <c r="AX269" s="52" t="n">
        <v>2.3805</v>
      </c>
      <c r="AY269" s="52" t="n">
        <f aca="false">IF(AW269="EUR",AA269,IF(AW269="GBP",AB269,1))</f>
        <v>7.88</v>
      </c>
      <c r="AZ269" s="52" t="n">
        <f aca="false">V269*AX269</f>
        <v>165.144883176</v>
      </c>
      <c r="BA269" s="52" t="n">
        <f aca="false">AZ269*AY269</f>
        <v>1301.34167942688</v>
      </c>
      <c r="BB269" s="52" t="n">
        <f aca="false">AF269+AG269+AL269+AQ269+AV269+BA269</f>
        <v>153845.153216397</v>
      </c>
      <c r="BC269" s="54" t="n">
        <v>0.973</v>
      </c>
      <c r="BD269" s="32"/>
      <c r="BE269" s="30" t="s">
        <v>205</v>
      </c>
      <c r="BF269" s="30" t="s">
        <v>209</v>
      </c>
      <c r="BG269" s="32" t="s">
        <v>197</v>
      </c>
    </row>
    <row r="270" customFormat="false" ht="26.5" hidden="false" customHeight="false" outlineLevel="0" collapsed="false">
      <c r="A270" s="18" t="s">
        <v>206</v>
      </c>
      <c r="B270" s="18" t="s">
        <v>207</v>
      </c>
      <c r="C270" s="18" t="s">
        <v>208</v>
      </c>
      <c r="D270" s="49" t="n">
        <v>46327</v>
      </c>
      <c r="E270" s="18" t="s">
        <v>118</v>
      </c>
      <c r="F270" s="18" t="s">
        <v>119</v>
      </c>
      <c r="G270" s="18" t="s">
        <v>100</v>
      </c>
      <c r="H270" s="18" t="s">
        <v>101</v>
      </c>
      <c r="I270" s="18" t="s">
        <v>102</v>
      </c>
      <c r="J270" s="50" t="n">
        <v>24800</v>
      </c>
      <c r="K270" s="51" t="n">
        <v>0.39</v>
      </c>
      <c r="L270" s="51" t="n">
        <v>0.96</v>
      </c>
      <c r="M270" s="51" t="n">
        <v>0.42</v>
      </c>
      <c r="N270" s="52" t="n">
        <f aca="false">J270*K270*L270*M270</f>
        <v>3899.7504</v>
      </c>
      <c r="O270" s="50" t="n">
        <v>1.17</v>
      </c>
      <c r="P270" s="52" t="n">
        <f aca="false">N270*O270</f>
        <v>4562.707968</v>
      </c>
      <c r="Q270" s="50" t="n">
        <v>1.050804</v>
      </c>
      <c r="R270" s="52" t="n">
        <f aca="false">P270*Q270</f>
        <v>4794.51178360627</v>
      </c>
      <c r="S270" s="50" t="n">
        <v>0.09</v>
      </c>
      <c r="T270" s="52" t="n">
        <f aca="false">N270*S270</f>
        <v>350.977536</v>
      </c>
      <c r="U270" s="52" t="n">
        <v>0.027</v>
      </c>
      <c r="V270" s="52" t="n">
        <f aca="false">P270*U270</f>
        <v>123.193115136</v>
      </c>
      <c r="W270" s="53" t="s">
        <v>199</v>
      </c>
      <c r="X270" s="50" t="n">
        <v>4.14</v>
      </c>
      <c r="Y270" s="53" t="s">
        <v>196</v>
      </c>
      <c r="Z270" s="50" t="n">
        <v>0.1035</v>
      </c>
      <c r="AA270" s="50" t="n">
        <v>7.88</v>
      </c>
      <c r="AB270" s="50" t="n">
        <v>9.05</v>
      </c>
      <c r="AC270" s="52" t="n">
        <f aca="false">IF(W270="EUR",AA270,IF(W270="GBP",AB270,1))</f>
        <v>9.05</v>
      </c>
      <c r="AD270" s="52" t="n">
        <f aca="false">R270*X270</f>
        <v>19849.27878413</v>
      </c>
      <c r="AE270" s="52" t="n">
        <f aca="false">IF(Y270="PERCENTAGE_OF_BASE_FREIGHT",AD270*Z270,IF(Y270="PER_CHARGEABLE_KG",R270*Z270,P270*Z270))</f>
        <v>2054.40035415745</v>
      </c>
      <c r="AF270" s="52" t="n">
        <f aca="false">AD270*AC270</f>
        <v>179635.972996376</v>
      </c>
      <c r="AG270" s="52" t="n">
        <f aca="false">AE270*AC270</f>
        <v>18592.3232051249</v>
      </c>
      <c r="AH270" s="52" t="s">
        <v>195</v>
      </c>
      <c r="AI270" s="52" t="n">
        <v>1.2684058185107</v>
      </c>
      <c r="AJ270" s="52" t="n">
        <f aca="false">IF(AH270="EUR",AA270,IF(AH270="GBP",AB270,1))</f>
        <v>7.88</v>
      </c>
      <c r="AK270" s="52" t="n">
        <f aca="false">N270*AI270</f>
        <v>4946.46609809944</v>
      </c>
      <c r="AL270" s="52" t="n">
        <f aca="false">AK270*AJ270</f>
        <v>38978.1528530236</v>
      </c>
      <c r="AM270" s="52" t="s">
        <v>195</v>
      </c>
      <c r="AN270" s="52" t="n">
        <v>0.4347</v>
      </c>
      <c r="AO270" s="52" t="n">
        <f aca="false">IF(AM270="EUR",AA270,IF(AM270="GBP",AB270,1))</f>
        <v>7.88</v>
      </c>
      <c r="AP270" s="52" t="n">
        <f aca="false">P270*AN270</f>
        <v>1983.4091536896</v>
      </c>
      <c r="AQ270" s="52" t="n">
        <f aca="false">AP270*AO270</f>
        <v>15629.264131074</v>
      </c>
      <c r="AR270" s="52" t="s">
        <v>199</v>
      </c>
      <c r="AS270" s="52" t="n">
        <v>4.968</v>
      </c>
      <c r="AT270" s="52" t="n">
        <f aca="false">IF(AR270="EUR",AA270,IF(AR270="GBP",AB270,1))</f>
        <v>9.05</v>
      </c>
      <c r="AU270" s="52" t="n">
        <f aca="false">T270*AS270</f>
        <v>1743.656398848</v>
      </c>
      <c r="AV270" s="52" t="n">
        <f aca="false">AU270*AT270</f>
        <v>15780.0904095744</v>
      </c>
      <c r="AW270" s="52" t="s">
        <v>199</v>
      </c>
      <c r="AX270" s="52" t="n">
        <v>2.3805</v>
      </c>
      <c r="AY270" s="52" t="n">
        <f aca="false">IF(AW270="EUR",AA270,IF(AW270="GBP",AB270,1))</f>
        <v>9.05</v>
      </c>
      <c r="AZ270" s="52" t="n">
        <f aca="false">V270*AX270</f>
        <v>293.261210581248</v>
      </c>
      <c r="BA270" s="52" t="n">
        <f aca="false">AZ270*AY270</f>
        <v>2654.01395576029</v>
      </c>
      <c r="BB270" s="52" t="n">
        <f aca="false">AF270+AG270+AL270+AQ270+AV270+BA270</f>
        <v>271269.817550933</v>
      </c>
      <c r="BC270" s="54" t="n">
        <v>0.93</v>
      </c>
      <c r="BD270" s="32"/>
      <c r="BE270" s="30" t="s">
        <v>205</v>
      </c>
      <c r="BF270" s="30" t="s">
        <v>209</v>
      </c>
      <c r="BG270" s="32" t="s">
        <v>197</v>
      </c>
    </row>
    <row r="271" customFormat="false" ht="26.5" hidden="false" customHeight="false" outlineLevel="0" collapsed="false">
      <c r="A271" s="18" t="s">
        <v>206</v>
      </c>
      <c r="B271" s="18" t="s">
        <v>207</v>
      </c>
      <c r="C271" s="18" t="s">
        <v>208</v>
      </c>
      <c r="D271" s="49" t="n">
        <v>46327</v>
      </c>
      <c r="E271" s="18" t="s">
        <v>122</v>
      </c>
      <c r="F271" s="18" t="s">
        <v>119</v>
      </c>
      <c r="G271" s="18" t="s">
        <v>100</v>
      </c>
      <c r="H271" s="18" t="s">
        <v>107</v>
      </c>
      <c r="I271" s="18" t="s">
        <v>102</v>
      </c>
      <c r="J271" s="50" t="n">
        <v>24800</v>
      </c>
      <c r="K271" s="51" t="n">
        <v>0.39</v>
      </c>
      <c r="L271" s="51" t="n">
        <v>0.96</v>
      </c>
      <c r="M271" s="51" t="n">
        <v>0.23</v>
      </c>
      <c r="N271" s="52" t="n">
        <f aca="false">J271*K271*L271*M271</f>
        <v>2135.5776</v>
      </c>
      <c r="O271" s="50" t="n">
        <v>1.17</v>
      </c>
      <c r="P271" s="52" t="n">
        <f aca="false">N271*O271</f>
        <v>2498.625792</v>
      </c>
      <c r="Q271" s="50" t="n">
        <v>1.0302</v>
      </c>
      <c r="R271" s="52" t="n">
        <f aca="false">P271*Q271</f>
        <v>2574.0842909184</v>
      </c>
      <c r="S271" s="50" t="n">
        <v>0.09</v>
      </c>
      <c r="T271" s="52" t="n">
        <f aca="false">N271*S271</f>
        <v>192.201984</v>
      </c>
      <c r="U271" s="52" t="n">
        <v>0.02</v>
      </c>
      <c r="V271" s="52" t="n">
        <f aca="false">P271*U271</f>
        <v>49.97251584</v>
      </c>
      <c r="W271" s="53" t="s">
        <v>199</v>
      </c>
      <c r="X271" s="50" t="n">
        <v>4.8645</v>
      </c>
      <c r="Y271" s="53" t="s">
        <v>198</v>
      </c>
      <c r="Z271" s="50" t="n">
        <v>0.34155</v>
      </c>
      <c r="AA271" s="50" t="n">
        <v>7.88</v>
      </c>
      <c r="AB271" s="50" t="n">
        <v>9.05</v>
      </c>
      <c r="AC271" s="52" t="n">
        <f aca="false">IF(W271="EUR",AA271,IF(W271="GBP",AB271,1))</f>
        <v>9.05</v>
      </c>
      <c r="AD271" s="52" t="n">
        <f aca="false">R271*X271</f>
        <v>12521.6330331726</v>
      </c>
      <c r="AE271" s="52" t="n">
        <f aca="false">IF(Y271="PERCENTAGE_OF_BASE_FREIGHT",AD271*Z271,IF(Y271="PER_CHARGEABLE_KG",R271*Z271,P271*Z271))</f>
        <v>879.17848956318</v>
      </c>
      <c r="AF271" s="52" t="n">
        <f aca="false">AD271*AC271</f>
        <v>113320.778950212</v>
      </c>
      <c r="AG271" s="52" t="n">
        <f aca="false">AE271*AC271</f>
        <v>7956.56533054678</v>
      </c>
      <c r="AH271" s="52" t="s">
        <v>195</v>
      </c>
      <c r="AI271" s="52" t="n">
        <v>1.2684058185107</v>
      </c>
      <c r="AJ271" s="52" t="n">
        <f aca="false">IF(AH271="EUR",AA271,IF(AH271="GBP",AB271,1))</f>
        <v>7.88</v>
      </c>
      <c r="AK271" s="52" t="n">
        <f aca="false">N271*AI271</f>
        <v>2708.77905372112</v>
      </c>
      <c r="AL271" s="52" t="n">
        <f aca="false">AK271*AJ271</f>
        <v>21345.1789433224</v>
      </c>
      <c r="AM271" s="52" t="s">
        <v>195</v>
      </c>
      <c r="AN271" s="52" t="n">
        <v>0.4347</v>
      </c>
      <c r="AO271" s="52" t="n">
        <f aca="false">IF(AM271="EUR",AA271,IF(AM271="GBP",AB271,1))</f>
        <v>7.88</v>
      </c>
      <c r="AP271" s="52" t="n">
        <f aca="false">P271*AN271</f>
        <v>1086.1526317824</v>
      </c>
      <c r="AQ271" s="52" t="n">
        <f aca="false">AP271*AO271</f>
        <v>8558.88273844531</v>
      </c>
      <c r="AR271" s="52" t="s">
        <v>199</v>
      </c>
      <c r="AS271" s="52" t="n">
        <v>4.968</v>
      </c>
      <c r="AT271" s="52" t="n">
        <f aca="false">IF(AR271="EUR",AA271,IF(AR271="GBP",AB271,1))</f>
        <v>9.05</v>
      </c>
      <c r="AU271" s="52" t="n">
        <f aca="false">T271*AS271</f>
        <v>954.859456512</v>
      </c>
      <c r="AV271" s="52" t="n">
        <f aca="false">AU271*AT271</f>
        <v>8641.4780814336</v>
      </c>
      <c r="AW271" s="52" t="s">
        <v>199</v>
      </c>
      <c r="AX271" s="52" t="n">
        <v>2.3805</v>
      </c>
      <c r="AY271" s="52" t="n">
        <f aca="false">IF(AW271="EUR",AA271,IF(AW271="GBP",AB271,1))</f>
        <v>9.05</v>
      </c>
      <c r="AZ271" s="52" t="n">
        <f aca="false">V271*AX271</f>
        <v>118.95957395712</v>
      </c>
      <c r="BA271" s="52" t="n">
        <f aca="false">AZ271*AY271</f>
        <v>1076.58414431194</v>
      </c>
      <c r="BB271" s="52" t="n">
        <f aca="false">AF271+AG271+AL271+AQ271+AV271+BA271</f>
        <v>160899.468188272</v>
      </c>
      <c r="BC271" s="54" t="n">
        <v>0.95</v>
      </c>
      <c r="BD271" s="32"/>
      <c r="BE271" s="30" t="s">
        <v>205</v>
      </c>
      <c r="BF271" s="30" t="s">
        <v>209</v>
      </c>
      <c r="BG271" s="32" t="s">
        <v>197</v>
      </c>
    </row>
    <row r="272" customFormat="false" ht="26.5" hidden="false" customHeight="false" outlineLevel="0" collapsed="false">
      <c r="A272" s="18" t="s">
        <v>206</v>
      </c>
      <c r="B272" s="18" t="s">
        <v>207</v>
      </c>
      <c r="C272" s="18" t="s">
        <v>208</v>
      </c>
      <c r="D272" s="49" t="n">
        <v>46327</v>
      </c>
      <c r="E272" s="18" t="s">
        <v>124</v>
      </c>
      <c r="F272" s="18" t="s">
        <v>119</v>
      </c>
      <c r="G272" s="18" t="s">
        <v>100</v>
      </c>
      <c r="H272" s="18" t="s">
        <v>107</v>
      </c>
      <c r="I272" s="18" t="s">
        <v>125</v>
      </c>
      <c r="J272" s="50" t="n">
        <v>24800</v>
      </c>
      <c r="K272" s="51" t="n">
        <v>0.39</v>
      </c>
      <c r="L272" s="51" t="n">
        <v>0.96</v>
      </c>
      <c r="M272" s="51" t="n">
        <v>0.22</v>
      </c>
      <c r="N272" s="52" t="n">
        <f aca="false">J272*K272*L272*M272</f>
        <v>2042.7264</v>
      </c>
      <c r="O272" s="50" t="n">
        <v>1.17</v>
      </c>
      <c r="P272" s="52" t="n">
        <f aca="false">N272*O272</f>
        <v>2389.989888</v>
      </c>
      <c r="Q272" s="50" t="n">
        <v>0.968388</v>
      </c>
      <c r="R272" s="52" t="n">
        <f aca="false">P272*Q272</f>
        <v>2314.43752766054</v>
      </c>
      <c r="S272" s="50" t="n">
        <v>0.09</v>
      </c>
      <c r="T272" s="52" t="n">
        <f aca="false">N272*S272</f>
        <v>183.845376</v>
      </c>
      <c r="U272" s="52" t="n">
        <v>0.016</v>
      </c>
      <c r="V272" s="52" t="n">
        <f aca="false">P272*U272</f>
        <v>38.239838208</v>
      </c>
      <c r="W272" s="53" t="s">
        <v>199</v>
      </c>
      <c r="X272" s="50" t="n">
        <v>6.67368</v>
      </c>
      <c r="Y272" s="53" t="s">
        <v>196</v>
      </c>
      <c r="Z272" s="50" t="n">
        <v>0.123786</v>
      </c>
      <c r="AA272" s="50" t="n">
        <v>7.88</v>
      </c>
      <c r="AB272" s="50" t="n">
        <v>9.05</v>
      </c>
      <c r="AC272" s="52" t="n">
        <f aca="false">IF(W272="EUR",AA272,IF(W272="GBP",AB272,1))</f>
        <v>9.05</v>
      </c>
      <c r="AD272" s="52" t="n">
        <f aca="false">R272*X272</f>
        <v>15445.8154395976</v>
      </c>
      <c r="AE272" s="52" t="n">
        <f aca="false">IF(Y272="PERCENTAGE_OF_BASE_FREIGHT",AD272*Z272,IF(Y272="PER_CHARGEABLE_KG",R272*Z272,P272*Z272))</f>
        <v>1911.97571000603</v>
      </c>
      <c r="AF272" s="52" t="n">
        <f aca="false">AD272*AC272</f>
        <v>139784.629728358</v>
      </c>
      <c r="AG272" s="52" t="n">
        <f aca="false">AE272*AC272</f>
        <v>17303.3801755546</v>
      </c>
      <c r="AH272" s="52" t="s">
        <v>195</v>
      </c>
      <c r="AI272" s="52" t="n">
        <v>1.2684058185107</v>
      </c>
      <c r="AJ272" s="52" t="n">
        <f aca="false">IF(AH272="EUR",AA272,IF(AH272="GBP",AB272,1))</f>
        <v>7.88</v>
      </c>
      <c r="AK272" s="52" t="n">
        <f aca="false">N272*AI272</f>
        <v>2591.00605138542</v>
      </c>
      <c r="AL272" s="52" t="n">
        <f aca="false">AK272*AJ272</f>
        <v>20417.1276849171</v>
      </c>
      <c r="AM272" s="52" t="s">
        <v>195</v>
      </c>
      <c r="AN272" s="52" t="n">
        <v>0.4347</v>
      </c>
      <c r="AO272" s="52" t="n">
        <f aca="false">IF(AM272="EUR",AA272,IF(AM272="GBP",AB272,1))</f>
        <v>7.88</v>
      </c>
      <c r="AP272" s="52" t="n">
        <f aca="false">P272*AN272</f>
        <v>1038.9286043136</v>
      </c>
      <c r="AQ272" s="52" t="n">
        <f aca="false">AP272*AO272</f>
        <v>8186.75740199117</v>
      </c>
      <c r="AR272" s="52" t="s">
        <v>199</v>
      </c>
      <c r="AS272" s="52" t="n">
        <v>4.968</v>
      </c>
      <c r="AT272" s="52" t="n">
        <f aca="false">IF(AR272="EUR",AA272,IF(AR272="GBP",AB272,1))</f>
        <v>9.05</v>
      </c>
      <c r="AU272" s="52" t="n">
        <f aca="false">T272*AS272</f>
        <v>913.343827968</v>
      </c>
      <c r="AV272" s="52" t="n">
        <f aca="false">AU272*AT272</f>
        <v>8265.7616431104</v>
      </c>
      <c r="AW272" s="52" t="s">
        <v>199</v>
      </c>
      <c r="AX272" s="52" t="n">
        <v>2.898</v>
      </c>
      <c r="AY272" s="52" t="n">
        <f aca="false">IF(AW272="EUR",AA272,IF(AW272="GBP",AB272,1))</f>
        <v>9.05</v>
      </c>
      <c r="AZ272" s="52" t="n">
        <f aca="false">V272*AX272</f>
        <v>110.819051126784</v>
      </c>
      <c r="BA272" s="52" t="n">
        <f aca="false">AZ272*AY272</f>
        <v>1002.9124126974</v>
      </c>
      <c r="BB272" s="52" t="n">
        <f aca="false">AF272+AG272+AL272+AQ272+AV272+BA272</f>
        <v>194960.569046629</v>
      </c>
      <c r="BC272" s="54" t="n">
        <v>0.974</v>
      </c>
      <c r="BD272" s="32"/>
      <c r="BE272" s="30" t="s">
        <v>205</v>
      </c>
      <c r="BF272" s="30" t="s">
        <v>209</v>
      </c>
      <c r="BG272" s="32" t="s">
        <v>197</v>
      </c>
    </row>
    <row r="273" customFormat="false" ht="26.5" hidden="false" customHeight="false" outlineLevel="0" collapsed="false">
      <c r="A273" s="18" t="s">
        <v>206</v>
      </c>
      <c r="B273" s="18" t="s">
        <v>207</v>
      </c>
      <c r="C273" s="18" t="s">
        <v>208</v>
      </c>
      <c r="D273" s="49" t="n">
        <v>46327</v>
      </c>
      <c r="E273" s="18" t="s">
        <v>127</v>
      </c>
      <c r="F273" s="18" t="s">
        <v>119</v>
      </c>
      <c r="G273" s="18" t="s">
        <v>100</v>
      </c>
      <c r="H273" s="18" t="s">
        <v>128</v>
      </c>
      <c r="I273" s="18" t="s">
        <v>125</v>
      </c>
      <c r="J273" s="50" t="n">
        <v>24800</v>
      </c>
      <c r="K273" s="51" t="n">
        <v>0.39</v>
      </c>
      <c r="L273" s="51" t="n">
        <v>0.96</v>
      </c>
      <c r="M273" s="51" t="n">
        <v>0.13</v>
      </c>
      <c r="N273" s="52" t="n">
        <f aca="false">J273*K273*L273*M273</f>
        <v>1207.0656</v>
      </c>
      <c r="O273" s="50" t="n">
        <v>1.17</v>
      </c>
      <c r="P273" s="52" t="n">
        <f aca="false">N273*O273</f>
        <v>1412.266752</v>
      </c>
      <c r="Q273" s="50" t="n">
        <v>0.947784</v>
      </c>
      <c r="R273" s="52" t="n">
        <f aca="false">P273*Q273</f>
        <v>1338.52383127757</v>
      </c>
      <c r="S273" s="50" t="n">
        <v>0.09</v>
      </c>
      <c r="T273" s="52" t="n">
        <f aca="false">N273*S273</f>
        <v>108.635904</v>
      </c>
      <c r="U273" s="52" t="n">
        <v>0.011</v>
      </c>
      <c r="V273" s="52" t="n">
        <f aca="false">P273*U273</f>
        <v>15.534934272</v>
      </c>
      <c r="W273" s="53" t="s">
        <v>199</v>
      </c>
      <c r="X273" s="50" t="n">
        <v>8.22825</v>
      </c>
      <c r="Y273" s="53" t="s">
        <v>198</v>
      </c>
      <c r="Z273" s="50" t="n">
        <v>0.636318</v>
      </c>
      <c r="AA273" s="50" t="n">
        <v>7.88</v>
      </c>
      <c r="AB273" s="50" t="n">
        <v>9.05</v>
      </c>
      <c r="AC273" s="52" t="n">
        <f aca="false">IF(W273="EUR",AA273,IF(W273="GBP",AB273,1))</f>
        <v>9.05</v>
      </c>
      <c r="AD273" s="52" t="n">
        <f aca="false">R273*X273</f>
        <v>11013.7087147096</v>
      </c>
      <c r="AE273" s="52" t="n">
        <f aca="false">IF(Y273="PERCENTAGE_OF_BASE_FREIGHT",AD273*Z273,IF(Y273="PER_CHARGEABLE_KG",R273*Z273,P273*Z273))</f>
        <v>851.72680727088</v>
      </c>
      <c r="AF273" s="52" t="n">
        <f aca="false">AD273*AC273</f>
        <v>99674.0638681223</v>
      </c>
      <c r="AG273" s="52" t="n">
        <f aca="false">AE273*AC273</f>
        <v>7708.12760580146</v>
      </c>
      <c r="AH273" s="52" t="s">
        <v>195</v>
      </c>
      <c r="AI273" s="52" t="n">
        <v>1.2684058185107</v>
      </c>
      <c r="AJ273" s="52" t="n">
        <f aca="false">IF(AH273="EUR",AA273,IF(AH273="GBP",AB273,1))</f>
        <v>7.88</v>
      </c>
      <c r="AK273" s="52" t="n">
        <f aca="false">N273*AI273</f>
        <v>1531.04903036411</v>
      </c>
      <c r="AL273" s="52" t="n">
        <f aca="false">AK273*AJ273</f>
        <v>12064.6663592692</v>
      </c>
      <c r="AM273" s="52" t="s">
        <v>195</v>
      </c>
      <c r="AN273" s="52" t="n">
        <v>0.4347</v>
      </c>
      <c r="AO273" s="52" t="n">
        <f aca="false">IF(AM273="EUR",AA273,IF(AM273="GBP",AB273,1))</f>
        <v>7.88</v>
      </c>
      <c r="AP273" s="52" t="n">
        <f aca="false">P273*AN273</f>
        <v>613.9123570944</v>
      </c>
      <c r="AQ273" s="52" t="n">
        <f aca="false">AP273*AO273</f>
        <v>4837.62937390387</v>
      </c>
      <c r="AR273" s="52" t="s">
        <v>199</v>
      </c>
      <c r="AS273" s="52" t="n">
        <v>4.968</v>
      </c>
      <c r="AT273" s="52" t="n">
        <f aca="false">IF(AR273="EUR",AA273,IF(AR273="GBP",AB273,1))</f>
        <v>9.05</v>
      </c>
      <c r="AU273" s="52" t="n">
        <f aca="false">T273*AS273</f>
        <v>539.703171072</v>
      </c>
      <c r="AV273" s="52" t="n">
        <f aca="false">AU273*AT273</f>
        <v>4884.3136982016</v>
      </c>
      <c r="AW273" s="52" t="s">
        <v>199</v>
      </c>
      <c r="AX273" s="52" t="n">
        <v>3.726</v>
      </c>
      <c r="AY273" s="52" t="n">
        <f aca="false">IF(AW273="EUR",AA273,IF(AW273="GBP",AB273,1))</f>
        <v>9.05</v>
      </c>
      <c r="AZ273" s="52" t="n">
        <f aca="false">V273*AX273</f>
        <v>57.883165097472</v>
      </c>
      <c r="BA273" s="52" t="n">
        <f aca="false">AZ273*AY273</f>
        <v>523.842644132122</v>
      </c>
      <c r="BB273" s="52" t="n">
        <f aca="false">AF273+AG273+AL273+AQ273+AV273+BA273</f>
        <v>129692.643549431</v>
      </c>
      <c r="BC273" s="54" t="n">
        <v>0.988</v>
      </c>
      <c r="BD273" s="32"/>
      <c r="BE273" s="30" t="s">
        <v>205</v>
      </c>
      <c r="BF273" s="30" t="s">
        <v>209</v>
      </c>
      <c r="BG273" s="32" t="s">
        <v>197</v>
      </c>
    </row>
    <row r="274" customFormat="false" ht="26.5" hidden="false" customHeight="false" outlineLevel="0" collapsed="false">
      <c r="A274" s="18" t="s">
        <v>206</v>
      </c>
      <c r="B274" s="18" t="s">
        <v>207</v>
      </c>
      <c r="C274" s="18" t="s">
        <v>208</v>
      </c>
      <c r="D274" s="49" t="n">
        <v>46327</v>
      </c>
      <c r="E274" s="18" t="s">
        <v>130</v>
      </c>
      <c r="F274" s="18" t="s">
        <v>119</v>
      </c>
      <c r="G274" s="18" t="s">
        <v>110</v>
      </c>
      <c r="H274" s="18" t="s">
        <v>107</v>
      </c>
      <c r="I274" s="18" t="s">
        <v>125</v>
      </c>
      <c r="J274" s="50" t="n">
        <v>24800</v>
      </c>
      <c r="K274" s="51" t="n">
        <v>0.39</v>
      </c>
      <c r="L274" s="51" t="n">
        <v>0.04</v>
      </c>
      <c r="M274" s="51" t="n">
        <v>1</v>
      </c>
      <c r="N274" s="52" t="n">
        <f aca="false">J274*K274*L274*M274</f>
        <v>386.88</v>
      </c>
      <c r="O274" s="50" t="n">
        <v>1.17</v>
      </c>
      <c r="P274" s="52" t="n">
        <f aca="false">N274*O274</f>
        <v>452.6496</v>
      </c>
      <c r="Q274" s="50" t="n">
        <v>0.92718</v>
      </c>
      <c r="R274" s="52" t="n">
        <f aca="false">P274*Q274</f>
        <v>419.687656128</v>
      </c>
      <c r="S274" s="50" t="n">
        <v>0.09</v>
      </c>
      <c r="T274" s="52" t="n">
        <f aca="false">N274*S274</f>
        <v>34.8192</v>
      </c>
      <c r="U274" s="52" t="n">
        <v>0.014</v>
      </c>
      <c r="V274" s="52" t="n">
        <f aca="false">P274*U274</f>
        <v>6.3370944</v>
      </c>
      <c r="W274" s="53" t="s">
        <v>195</v>
      </c>
      <c r="X274" s="50" t="n">
        <v>6.9345</v>
      </c>
      <c r="Y274" s="53" t="s">
        <v>196</v>
      </c>
      <c r="Z274" s="50" t="n">
        <v>0.108675</v>
      </c>
      <c r="AA274" s="50" t="n">
        <v>7.88</v>
      </c>
      <c r="AB274" s="50" t="n">
        <v>9.05</v>
      </c>
      <c r="AC274" s="52" t="n">
        <f aca="false">IF(W274="EUR",AA274,IF(W274="GBP",AB274,1))</f>
        <v>7.88</v>
      </c>
      <c r="AD274" s="52" t="n">
        <f aca="false">R274*X274</f>
        <v>2910.32405141962</v>
      </c>
      <c r="AE274" s="52" t="n">
        <f aca="false">IF(Y274="PERCENTAGE_OF_BASE_FREIGHT",AD274*Z274,IF(Y274="PER_CHARGEABLE_KG",R274*Z274,P274*Z274))</f>
        <v>316.279466288027</v>
      </c>
      <c r="AF274" s="52" t="n">
        <f aca="false">AD274*AC274</f>
        <v>22933.3535251866</v>
      </c>
      <c r="AG274" s="52" t="n">
        <f aca="false">AE274*AC274</f>
        <v>2492.28219434965</v>
      </c>
      <c r="AH274" s="52" t="s">
        <v>195</v>
      </c>
      <c r="AI274" s="52" t="n">
        <v>1.08675</v>
      </c>
      <c r="AJ274" s="52" t="n">
        <f aca="false">IF(AH274="EUR",AA274,IF(AH274="GBP",AB274,1))</f>
        <v>7.88</v>
      </c>
      <c r="AK274" s="52" t="n">
        <f aca="false">N274*AI274</f>
        <v>420.44184</v>
      </c>
      <c r="AL274" s="52" t="n">
        <f aca="false">AK274*AJ274</f>
        <v>3313.0816992</v>
      </c>
      <c r="AM274" s="52" t="s">
        <v>195</v>
      </c>
      <c r="AN274" s="52" t="n">
        <v>0.3933</v>
      </c>
      <c r="AO274" s="52" t="n">
        <f aca="false">IF(AM274="EUR",AA274,IF(AM274="GBP",AB274,1))</f>
        <v>7.88</v>
      </c>
      <c r="AP274" s="52" t="n">
        <f aca="false">P274*AN274</f>
        <v>178.02708768</v>
      </c>
      <c r="AQ274" s="52" t="n">
        <f aca="false">AP274*AO274</f>
        <v>1402.8534509184</v>
      </c>
      <c r="AR274" s="52" t="s">
        <v>195</v>
      </c>
      <c r="AS274" s="52" t="n">
        <v>5.382</v>
      </c>
      <c r="AT274" s="52" t="n">
        <f aca="false">IF(AR274="EUR",AA274,IF(AR274="GBP",AB274,1))</f>
        <v>7.88</v>
      </c>
      <c r="AU274" s="52" t="n">
        <f aca="false">T274*AS274</f>
        <v>187.3969344</v>
      </c>
      <c r="AV274" s="52" t="n">
        <f aca="false">AU274*AT274</f>
        <v>1476.687843072</v>
      </c>
      <c r="AW274" s="52" t="s">
        <v>195</v>
      </c>
      <c r="AX274" s="52" t="n">
        <v>2.898</v>
      </c>
      <c r="AY274" s="52" t="n">
        <f aca="false">IF(AW274="EUR",AA274,IF(AW274="GBP",AB274,1))</f>
        <v>7.88</v>
      </c>
      <c r="AZ274" s="52" t="n">
        <f aca="false">V274*AX274</f>
        <v>18.3648995712</v>
      </c>
      <c r="BA274" s="52" t="n">
        <f aca="false">AZ274*AY274</f>
        <v>144.715408621056</v>
      </c>
      <c r="BB274" s="52" t="n">
        <f aca="false">AF274+AG274+AL274+AQ274+AV274+BA274</f>
        <v>31762.9741213477</v>
      </c>
      <c r="BC274" s="54" t="n">
        <v>0.971</v>
      </c>
      <c r="BD274" s="32"/>
      <c r="BE274" s="30" t="s">
        <v>205</v>
      </c>
      <c r="BF274" s="30" t="s">
        <v>209</v>
      </c>
      <c r="BG274" s="32" t="s">
        <v>197</v>
      </c>
    </row>
    <row r="275" customFormat="false" ht="26.5" hidden="false" customHeight="false" outlineLevel="0" collapsed="false">
      <c r="A275" s="18" t="s">
        <v>206</v>
      </c>
      <c r="B275" s="18" t="s">
        <v>207</v>
      </c>
      <c r="C275" s="18" t="s">
        <v>208</v>
      </c>
      <c r="D275" s="49" t="n">
        <v>46357</v>
      </c>
      <c r="E275" s="18" t="s">
        <v>98</v>
      </c>
      <c r="F275" s="18" t="s">
        <v>99</v>
      </c>
      <c r="G275" s="18" t="s">
        <v>100</v>
      </c>
      <c r="H275" s="18" t="s">
        <v>101</v>
      </c>
      <c r="I275" s="18" t="s">
        <v>102</v>
      </c>
      <c r="J275" s="50" t="n">
        <v>28600</v>
      </c>
      <c r="K275" s="51" t="n">
        <v>0.32</v>
      </c>
      <c r="L275" s="51" t="n">
        <v>0.97</v>
      </c>
      <c r="M275" s="51" t="n">
        <v>0.6</v>
      </c>
      <c r="N275" s="52" t="n">
        <f aca="false">J275*K275*L275*M275</f>
        <v>5326.464</v>
      </c>
      <c r="O275" s="50" t="n">
        <v>1.05</v>
      </c>
      <c r="P275" s="52" t="n">
        <f aca="false">N275*O275</f>
        <v>5592.7872</v>
      </c>
      <c r="Q275" s="50" t="n">
        <v>0.7878</v>
      </c>
      <c r="R275" s="52" t="n">
        <f aca="false">P275*Q275</f>
        <v>4405.99775616</v>
      </c>
      <c r="S275" s="50" t="n">
        <v>0.05</v>
      </c>
      <c r="T275" s="52" t="n">
        <f aca="false">N275*S275</f>
        <v>266.3232</v>
      </c>
      <c r="U275" s="52" t="n">
        <v>0.016</v>
      </c>
      <c r="V275" s="52" t="n">
        <f aca="false">P275*U275</f>
        <v>89.4845952</v>
      </c>
      <c r="W275" s="53" t="s">
        <v>195</v>
      </c>
      <c r="X275" s="50" t="n">
        <v>2.277</v>
      </c>
      <c r="Y275" s="53" t="s">
        <v>196</v>
      </c>
      <c r="Z275" s="50" t="n">
        <v>0.098325</v>
      </c>
      <c r="AA275" s="50" t="n">
        <v>7.86</v>
      </c>
      <c r="AB275" s="50" t="n">
        <v>9</v>
      </c>
      <c r="AC275" s="52" t="n">
        <f aca="false">IF(W275="EUR",AA275,IF(W275="GBP",AB275,1))</f>
        <v>7.86</v>
      </c>
      <c r="AD275" s="52" t="n">
        <f aca="false">R275*X275</f>
        <v>10032.4568907763</v>
      </c>
      <c r="AE275" s="52" t="n">
        <f aca="false">IF(Y275="PERCENTAGE_OF_BASE_FREIGHT",AD275*Z275,IF(Y275="PER_CHARGEABLE_KG",R275*Z275,P275*Z275))</f>
        <v>986.441323785582</v>
      </c>
      <c r="AF275" s="52" t="n">
        <f aca="false">AD275*AC275</f>
        <v>78855.1111615019</v>
      </c>
      <c r="AG275" s="52" t="n">
        <f aca="false">AE275*AC275</f>
        <v>7753.42880495467</v>
      </c>
      <c r="AH275" s="52" t="s">
        <v>195</v>
      </c>
      <c r="AI275" s="52" t="n">
        <v>1.26158229834681</v>
      </c>
      <c r="AJ275" s="52" t="n">
        <f aca="false">IF(AH275="EUR",AA275,IF(AH275="GBP",AB275,1))</f>
        <v>7.86</v>
      </c>
      <c r="AK275" s="52" t="n">
        <f aca="false">N275*AI275</f>
        <v>6719.77269518157</v>
      </c>
      <c r="AL275" s="52" t="n">
        <f aca="false">AK275*AJ275</f>
        <v>52817.4133841271</v>
      </c>
      <c r="AM275" s="52" t="s">
        <v>195</v>
      </c>
      <c r="AN275" s="52" t="n">
        <v>0.4347</v>
      </c>
      <c r="AO275" s="52" t="n">
        <f aca="false">IF(AM275="EUR",AA275,IF(AM275="GBP",AB275,1))</f>
        <v>7.86</v>
      </c>
      <c r="AP275" s="52" t="n">
        <f aca="false">P275*AN275</f>
        <v>2431.18459584</v>
      </c>
      <c r="AQ275" s="52" t="n">
        <f aca="false">AP275*AO275</f>
        <v>19109.1109233024</v>
      </c>
      <c r="AR275" s="52" t="s">
        <v>195</v>
      </c>
      <c r="AS275" s="52" t="n">
        <v>3.312</v>
      </c>
      <c r="AT275" s="52" t="n">
        <f aca="false">IF(AR275="EUR",AA275,IF(AR275="GBP",AB275,1))</f>
        <v>7.86</v>
      </c>
      <c r="AU275" s="52" t="n">
        <f aca="false">T275*AS275</f>
        <v>882.0624384</v>
      </c>
      <c r="AV275" s="52" t="n">
        <f aca="false">AU275*AT275</f>
        <v>6933.010765824</v>
      </c>
      <c r="AW275" s="52" t="s">
        <v>195</v>
      </c>
      <c r="AX275" s="52" t="n">
        <v>2.3805</v>
      </c>
      <c r="AY275" s="52" t="n">
        <f aca="false">IF(AW275="EUR",AA275,IF(AW275="GBP",AB275,1))</f>
        <v>7.86</v>
      </c>
      <c r="AZ275" s="52" t="n">
        <f aca="false">V275*AX275</f>
        <v>213.0180788736</v>
      </c>
      <c r="BA275" s="52" t="n">
        <f aca="false">AZ275*AY275</f>
        <v>1674.3220999465</v>
      </c>
      <c r="BB275" s="52" t="n">
        <f aca="false">AF275+AG275+AL275+AQ275+AV275+BA275</f>
        <v>167142.397139657</v>
      </c>
      <c r="BC275" s="54" t="n">
        <v>0.965</v>
      </c>
      <c r="BD275" s="32"/>
      <c r="BE275" s="30" t="s">
        <v>205</v>
      </c>
      <c r="BF275" s="30" t="s">
        <v>209</v>
      </c>
      <c r="BG275" s="32" t="s">
        <v>197</v>
      </c>
    </row>
    <row r="276" customFormat="false" ht="26.5" hidden="false" customHeight="false" outlineLevel="0" collapsed="false">
      <c r="A276" s="18" t="s">
        <v>206</v>
      </c>
      <c r="B276" s="18" t="s">
        <v>207</v>
      </c>
      <c r="C276" s="18" t="s">
        <v>208</v>
      </c>
      <c r="D276" s="49" t="n">
        <v>46357</v>
      </c>
      <c r="E276" s="18" t="s">
        <v>106</v>
      </c>
      <c r="F276" s="18" t="s">
        <v>99</v>
      </c>
      <c r="G276" s="18" t="s">
        <v>100</v>
      </c>
      <c r="H276" s="18" t="s">
        <v>107</v>
      </c>
      <c r="I276" s="18" t="s">
        <v>102</v>
      </c>
      <c r="J276" s="50" t="n">
        <v>28600</v>
      </c>
      <c r="K276" s="51" t="n">
        <v>0.32</v>
      </c>
      <c r="L276" s="51" t="n">
        <v>0.97</v>
      </c>
      <c r="M276" s="51" t="n">
        <v>0.4</v>
      </c>
      <c r="N276" s="52" t="n">
        <f aca="false">J276*K276*L276*M276</f>
        <v>3550.976</v>
      </c>
      <c r="O276" s="50" t="n">
        <v>1.05</v>
      </c>
      <c r="P276" s="52" t="n">
        <f aca="false">N276*O276</f>
        <v>3728.5248</v>
      </c>
      <c r="Q276" s="50" t="n">
        <v>0.808</v>
      </c>
      <c r="R276" s="52" t="n">
        <f aca="false">P276*Q276</f>
        <v>3012.6480384</v>
      </c>
      <c r="S276" s="50" t="n">
        <v>0.05</v>
      </c>
      <c r="T276" s="52" t="n">
        <f aca="false">N276*S276</f>
        <v>177.5488</v>
      </c>
      <c r="U276" s="52" t="n">
        <v>0.013</v>
      </c>
      <c r="V276" s="52" t="n">
        <f aca="false">P276*U276</f>
        <v>48.4708224</v>
      </c>
      <c r="W276" s="53" t="s">
        <v>195</v>
      </c>
      <c r="X276" s="50" t="n">
        <v>2.84625</v>
      </c>
      <c r="Y276" s="53" t="s">
        <v>198</v>
      </c>
      <c r="Z276" s="50" t="n">
        <v>0.21735</v>
      </c>
      <c r="AA276" s="50" t="n">
        <v>7.86</v>
      </c>
      <c r="AB276" s="50" t="n">
        <v>9</v>
      </c>
      <c r="AC276" s="52" t="n">
        <f aca="false">IF(W276="EUR",AA276,IF(W276="GBP",AB276,1))</f>
        <v>7.86</v>
      </c>
      <c r="AD276" s="52" t="n">
        <f aca="false">R276*X276</f>
        <v>8574.749479296</v>
      </c>
      <c r="AE276" s="52" t="n">
        <f aca="false">IF(Y276="PERCENTAGE_OF_BASE_FREIGHT",AD276*Z276,IF(Y276="PER_CHARGEABLE_KG",R276*Z276,P276*Z276))</f>
        <v>654.79905114624</v>
      </c>
      <c r="AF276" s="52" t="n">
        <f aca="false">AD276*AC276</f>
        <v>67397.5309072666</v>
      </c>
      <c r="AG276" s="52" t="n">
        <f aca="false">AE276*AC276</f>
        <v>5146.72054200945</v>
      </c>
      <c r="AH276" s="52" t="s">
        <v>195</v>
      </c>
      <c r="AI276" s="52" t="n">
        <v>1.26158229834681</v>
      </c>
      <c r="AJ276" s="52" t="n">
        <f aca="false">IF(AH276="EUR",AA276,IF(AH276="GBP",AB276,1))</f>
        <v>7.86</v>
      </c>
      <c r="AK276" s="52" t="n">
        <f aca="false">N276*AI276</f>
        <v>4479.84846345438</v>
      </c>
      <c r="AL276" s="52" t="n">
        <f aca="false">AK276*AJ276</f>
        <v>35211.6089227514</v>
      </c>
      <c r="AM276" s="52" t="s">
        <v>195</v>
      </c>
      <c r="AN276" s="52" t="n">
        <v>0.4347</v>
      </c>
      <c r="AO276" s="52" t="n">
        <f aca="false">IF(AM276="EUR",AA276,IF(AM276="GBP",AB276,1))</f>
        <v>7.86</v>
      </c>
      <c r="AP276" s="52" t="n">
        <f aca="false">P276*AN276</f>
        <v>1620.78973056</v>
      </c>
      <c r="AQ276" s="52" t="n">
        <f aca="false">AP276*AO276</f>
        <v>12739.4072822016</v>
      </c>
      <c r="AR276" s="52" t="s">
        <v>195</v>
      </c>
      <c r="AS276" s="52" t="n">
        <v>3.312</v>
      </c>
      <c r="AT276" s="52" t="n">
        <f aca="false">IF(AR276="EUR",AA276,IF(AR276="GBP",AB276,1))</f>
        <v>7.86</v>
      </c>
      <c r="AU276" s="52" t="n">
        <f aca="false">T276*AS276</f>
        <v>588.0416256</v>
      </c>
      <c r="AV276" s="52" t="n">
        <f aca="false">AU276*AT276</f>
        <v>4622.007177216</v>
      </c>
      <c r="AW276" s="52" t="s">
        <v>195</v>
      </c>
      <c r="AX276" s="52" t="n">
        <v>2.3805</v>
      </c>
      <c r="AY276" s="52" t="n">
        <f aca="false">IF(AW276="EUR",AA276,IF(AW276="GBP",AB276,1))</f>
        <v>7.86</v>
      </c>
      <c r="AZ276" s="52" t="n">
        <f aca="false">V276*AX276</f>
        <v>115.3847927232</v>
      </c>
      <c r="BA276" s="52" t="n">
        <f aca="false">AZ276*AY276</f>
        <v>906.924470804352</v>
      </c>
      <c r="BB276" s="52" t="n">
        <f aca="false">AF276+AG276+AL276+AQ276+AV276+BA276</f>
        <v>126024.199302249</v>
      </c>
      <c r="BC276" s="54" t="n">
        <v>0.976</v>
      </c>
      <c r="BD276" s="32"/>
      <c r="BE276" s="30" t="s">
        <v>205</v>
      </c>
      <c r="BF276" s="30" t="s">
        <v>209</v>
      </c>
      <c r="BG276" s="32" t="s">
        <v>197</v>
      </c>
    </row>
    <row r="277" customFormat="false" ht="26.5" hidden="false" customHeight="false" outlineLevel="0" collapsed="false">
      <c r="A277" s="18" t="s">
        <v>206</v>
      </c>
      <c r="B277" s="18" t="s">
        <v>207</v>
      </c>
      <c r="C277" s="18" t="s">
        <v>208</v>
      </c>
      <c r="D277" s="49" t="n">
        <v>46357</v>
      </c>
      <c r="E277" s="18" t="s">
        <v>109</v>
      </c>
      <c r="F277" s="18" t="s">
        <v>99</v>
      </c>
      <c r="G277" s="18" t="s">
        <v>110</v>
      </c>
      <c r="H277" s="18" t="s">
        <v>107</v>
      </c>
      <c r="I277" s="18" t="s">
        <v>102</v>
      </c>
      <c r="J277" s="50" t="n">
        <v>28600</v>
      </c>
      <c r="K277" s="51" t="n">
        <v>0.32</v>
      </c>
      <c r="L277" s="51" t="n">
        <v>0.03</v>
      </c>
      <c r="M277" s="51" t="n">
        <v>1</v>
      </c>
      <c r="N277" s="52" t="n">
        <f aca="false">J277*K277*L277*M277</f>
        <v>274.56</v>
      </c>
      <c r="O277" s="50" t="n">
        <v>1.08</v>
      </c>
      <c r="P277" s="52" t="n">
        <f aca="false">N277*O277</f>
        <v>296.5248</v>
      </c>
      <c r="Q277" s="50" t="n">
        <v>0.8686</v>
      </c>
      <c r="R277" s="52" t="n">
        <f aca="false">P277*Q277</f>
        <v>257.56144128</v>
      </c>
      <c r="S277" s="50" t="n">
        <v>0.05</v>
      </c>
      <c r="T277" s="52" t="n">
        <f aca="false">N277*S277</f>
        <v>13.728</v>
      </c>
      <c r="U277" s="52" t="n">
        <v>0.014</v>
      </c>
      <c r="V277" s="52" t="n">
        <f aca="false">P277*U277</f>
        <v>4.1513472</v>
      </c>
      <c r="W277" s="53" t="s">
        <v>195</v>
      </c>
      <c r="X277" s="50" t="n">
        <v>3.4155</v>
      </c>
      <c r="Y277" s="53" t="s">
        <v>198</v>
      </c>
      <c r="Z277" s="50" t="n">
        <v>0.2484</v>
      </c>
      <c r="AA277" s="50" t="n">
        <v>7.86</v>
      </c>
      <c r="AB277" s="50" t="n">
        <v>9</v>
      </c>
      <c r="AC277" s="52" t="n">
        <f aca="false">IF(W277="EUR",AA277,IF(W277="GBP",AB277,1))</f>
        <v>7.86</v>
      </c>
      <c r="AD277" s="52" t="n">
        <f aca="false">R277*X277</f>
        <v>879.70110269184</v>
      </c>
      <c r="AE277" s="52" t="n">
        <f aca="false">IF(Y277="PERCENTAGE_OF_BASE_FREIGHT",AD277*Z277,IF(Y277="PER_CHARGEABLE_KG",R277*Z277,P277*Z277))</f>
        <v>63.978262013952</v>
      </c>
      <c r="AF277" s="52" t="n">
        <f aca="false">AD277*AC277</f>
        <v>6914.45066715787</v>
      </c>
      <c r="AG277" s="52" t="n">
        <f aca="false">AE277*AC277</f>
        <v>502.869139429663</v>
      </c>
      <c r="AH277" s="52" t="s">
        <v>195</v>
      </c>
      <c r="AI277" s="52" t="n">
        <v>1.08675</v>
      </c>
      <c r="AJ277" s="52" t="n">
        <f aca="false">IF(AH277="EUR",AA277,IF(AH277="GBP",AB277,1))</f>
        <v>7.86</v>
      </c>
      <c r="AK277" s="52" t="n">
        <f aca="false">N277*AI277</f>
        <v>298.37808</v>
      </c>
      <c r="AL277" s="52" t="n">
        <f aca="false">AK277*AJ277</f>
        <v>2345.2517088</v>
      </c>
      <c r="AM277" s="52" t="s">
        <v>195</v>
      </c>
      <c r="AN277" s="52" t="n">
        <v>0.3933</v>
      </c>
      <c r="AO277" s="52" t="n">
        <f aca="false">IF(AM277="EUR",AA277,IF(AM277="GBP",AB277,1))</f>
        <v>7.86</v>
      </c>
      <c r="AP277" s="52" t="n">
        <f aca="false">P277*AN277</f>
        <v>116.62320384</v>
      </c>
      <c r="AQ277" s="52" t="n">
        <f aca="false">AP277*AO277</f>
        <v>916.6583821824</v>
      </c>
      <c r="AR277" s="52" t="s">
        <v>195</v>
      </c>
      <c r="AS277" s="52" t="n">
        <v>3.933</v>
      </c>
      <c r="AT277" s="52" t="n">
        <f aca="false">IF(AR277="EUR",AA277,IF(AR277="GBP",AB277,1))</f>
        <v>7.86</v>
      </c>
      <c r="AU277" s="52" t="n">
        <f aca="false">T277*AS277</f>
        <v>53.992224</v>
      </c>
      <c r="AV277" s="52" t="n">
        <f aca="false">AU277*AT277</f>
        <v>424.37888064</v>
      </c>
      <c r="AW277" s="52" t="s">
        <v>195</v>
      </c>
      <c r="AX277" s="52" t="n">
        <v>2.3805</v>
      </c>
      <c r="AY277" s="52" t="n">
        <f aca="false">IF(AW277="EUR",AA277,IF(AW277="GBP",AB277,1))</f>
        <v>7.86</v>
      </c>
      <c r="AZ277" s="52" t="n">
        <f aca="false">V277*AX277</f>
        <v>9.8822820096</v>
      </c>
      <c r="BA277" s="52" t="n">
        <f aca="false">AZ277*AY277</f>
        <v>77.674736595456</v>
      </c>
      <c r="BB277" s="52" t="n">
        <f aca="false">AF277+AG277+AL277+AQ277+AV277+BA277</f>
        <v>11181.2835148054</v>
      </c>
      <c r="BC277" s="54" t="n">
        <v>0.968</v>
      </c>
      <c r="BD277" s="32"/>
      <c r="BE277" s="30" t="s">
        <v>205</v>
      </c>
      <c r="BF277" s="30" t="s">
        <v>209</v>
      </c>
      <c r="BG277" s="32" t="s">
        <v>197</v>
      </c>
    </row>
    <row r="278" customFormat="false" ht="26.5" hidden="false" customHeight="false" outlineLevel="0" collapsed="false">
      <c r="A278" s="18" t="s">
        <v>206</v>
      </c>
      <c r="B278" s="18" t="s">
        <v>207</v>
      </c>
      <c r="C278" s="18" t="s">
        <v>208</v>
      </c>
      <c r="D278" s="49" t="n">
        <v>46357</v>
      </c>
      <c r="E278" s="18" t="s">
        <v>112</v>
      </c>
      <c r="F278" s="18" t="s">
        <v>113</v>
      </c>
      <c r="G278" s="18" t="s">
        <v>110</v>
      </c>
      <c r="H278" s="18" t="s">
        <v>101</v>
      </c>
      <c r="I278" s="18" t="s">
        <v>102</v>
      </c>
      <c r="J278" s="50" t="n">
        <v>28600</v>
      </c>
      <c r="K278" s="51" t="n">
        <v>0.28</v>
      </c>
      <c r="L278" s="51" t="n">
        <v>1</v>
      </c>
      <c r="M278" s="51" t="n">
        <v>0.35</v>
      </c>
      <c r="N278" s="52" t="n">
        <f aca="false">J278*K278*L278*M278</f>
        <v>2802.8</v>
      </c>
      <c r="O278" s="50" t="n">
        <v>1.06</v>
      </c>
      <c r="P278" s="52" t="n">
        <f aca="false">N278*O278</f>
        <v>2970.968</v>
      </c>
      <c r="Q278" s="50" t="n">
        <v>0.7676</v>
      </c>
      <c r="R278" s="52" t="n">
        <f aca="false">P278*Q278</f>
        <v>2280.5150368</v>
      </c>
      <c r="S278" s="50" t="n">
        <v>0.06</v>
      </c>
      <c r="T278" s="52" t="n">
        <f aca="false">N278*S278</f>
        <v>168.168</v>
      </c>
      <c r="U278" s="52" t="n">
        <v>0.017</v>
      </c>
      <c r="V278" s="52" t="n">
        <f aca="false">P278*U278</f>
        <v>50.506456</v>
      </c>
      <c r="W278" s="53" t="s">
        <v>195</v>
      </c>
      <c r="X278" s="50" t="n">
        <v>2.1735</v>
      </c>
      <c r="Y278" s="53" t="s">
        <v>196</v>
      </c>
      <c r="Z278" s="50" t="n">
        <v>0.09315</v>
      </c>
      <c r="AA278" s="50" t="n">
        <v>7.86</v>
      </c>
      <c r="AB278" s="50" t="n">
        <v>9</v>
      </c>
      <c r="AC278" s="52" t="n">
        <f aca="false">IF(W278="EUR",AA278,IF(W278="GBP",AB278,1))</f>
        <v>7.86</v>
      </c>
      <c r="AD278" s="52" t="n">
        <f aca="false">R278*X278</f>
        <v>4956.6994324848</v>
      </c>
      <c r="AE278" s="52" t="n">
        <f aca="false">IF(Y278="PERCENTAGE_OF_BASE_FREIGHT",AD278*Z278,IF(Y278="PER_CHARGEABLE_KG",R278*Z278,P278*Z278))</f>
        <v>461.716552135959</v>
      </c>
      <c r="AF278" s="52" t="n">
        <f aca="false">AD278*AC278</f>
        <v>38959.6575393305</v>
      </c>
      <c r="AG278" s="52" t="n">
        <f aca="false">AE278*AC278</f>
        <v>3629.09209978864</v>
      </c>
      <c r="AH278" s="52" t="s">
        <v>195</v>
      </c>
      <c r="AI278" s="52" t="n">
        <v>1.08675</v>
      </c>
      <c r="AJ278" s="52" t="n">
        <f aca="false">IF(AH278="EUR",AA278,IF(AH278="GBP",AB278,1))</f>
        <v>7.86</v>
      </c>
      <c r="AK278" s="52" t="n">
        <f aca="false">N278*AI278</f>
        <v>3045.9429</v>
      </c>
      <c r="AL278" s="52" t="n">
        <f aca="false">AK278*AJ278</f>
        <v>23941.111194</v>
      </c>
      <c r="AM278" s="52" t="s">
        <v>195</v>
      </c>
      <c r="AN278" s="52" t="n">
        <v>0.3933</v>
      </c>
      <c r="AO278" s="52" t="n">
        <f aca="false">IF(AM278="EUR",AA278,IF(AM278="GBP",AB278,1))</f>
        <v>7.86</v>
      </c>
      <c r="AP278" s="52" t="n">
        <f aca="false">P278*AN278</f>
        <v>1168.4817144</v>
      </c>
      <c r="AQ278" s="52" t="n">
        <f aca="false">AP278*AO278</f>
        <v>9184.266275184</v>
      </c>
      <c r="AR278" s="52" t="s">
        <v>195</v>
      </c>
      <c r="AS278" s="52" t="n">
        <v>3.105</v>
      </c>
      <c r="AT278" s="52" t="n">
        <f aca="false">IF(AR278="EUR",AA278,IF(AR278="GBP",AB278,1))</f>
        <v>7.86</v>
      </c>
      <c r="AU278" s="52" t="n">
        <f aca="false">T278*AS278</f>
        <v>522.16164</v>
      </c>
      <c r="AV278" s="52" t="n">
        <f aca="false">AU278*AT278</f>
        <v>4104.1904904</v>
      </c>
      <c r="AW278" s="52" t="s">
        <v>195</v>
      </c>
      <c r="AX278" s="52" t="n">
        <v>2.3805</v>
      </c>
      <c r="AY278" s="52" t="n">
        <f aca="false">IF(AW278="EUR",AA278,IF(AW278="GBP",AB278,1))</f>
        <v>7.86</v>
      </c>
      <c r="AZ278" s="52" t="n">
        <f aca="false">V278*AX278</f>
        <v>120.230618508</v>
      </c>
      <c r="BA278" s="52" t="n">
        <f aca="false">AZ278*AY278</f>
        <v>945.01266147288</v>
      </c>
      <c r="BB278" s="52" t="n">
        <f aca="false">AF278+AG278+AL278+AQ278+AV278+BA278</f>
        <v>80763.330260176</v>
      </c>
      <c r="BC278" s="54" t="n">
        <v>0.961</v>
      </c>
      <c r="BD278" s="32"/>
      <c r="BE278" s="30" t="s">
        <v>205</v>
      </c>
      <c r="BF278" s="30" t="s">
        <v>209</v>
      </c>
      <c r="BG278" s="32" t="s">
        <v>197</v>
      </c>
    </row>
    <row r="279" customFormat="false" ht="26.5" hidden="false" customHeight="false" outlineLevel="0" collapsed="false">
      <c r="A279" s="18" t="s">
        <v>206</v>
      </c>
      <c r="B279" s="18" t="s">
        <v>207</v>
      </c>
      <c r="C279" s="18" t="s">
        <v>208</v>
      </c>
      <c r="D279" s="49" t="n">
        <v>46357</v>
      </c>
      <c r="E279" s="18" t="s">
        <v>116</v>
      </c>
      <c r="F279" s="18" t="s">
        <v>113</v>
      </c>
      <c r="G279" s="18" t="s">
        <v>110</v>
      </c>
      <c r="H279" s="18" t="s">
        <v>107</v>
      </c>
      <c r="I279" s="18" t="s">
        <v>102</v>
      </c>
      <c r="J279" s="50" t="n">
        <v>28600</v>
      </c>
      <c r="K279" s="51" t="n">
        <v>0.28</v>
      </c>
      <c r="L279" s="51" t="n">
        <v>1</v>
      </c>
      <c r="M279" s="51" t="n">
        <v>0.65</v>
      </c>
      <c r="N279" s="52" t="n">
        <f aca="false">J279*K279*L279*M279</f>
        <v>5205.2</v>
      </c>
      <c r="O279" s="50" t="n">
        <v>1.06</v>
      </c>
      <c r="P279" s="52" t="n">
        <f aca="false">N279*O279</f>
        <v>5517.512</v>
      </c>
      <c r="Q279" s="50" t="n">
        <v>0.7979</v>
      </c>
      <c r="R279" s="52" t="n">
        <f aca="false">P279*Q279</f>
        <v>4402.4228248</v>
      </c>
      <c r="S279" s="50" t="n">
        <v>0.06</v>
      </c>
      <c r="T279" s="52" t="n">
        <f aca="false">N279*S279</f>
        <v>312.312</v>
      </c>
      <c r="U279" s="52" t="n">
        <v>0.014</v>
      </c>
      <c r="V279" s="52" t="n">
        <f aca="false">P279*U279</f>
        <v>77.245168</v>
      </c>
      <c r="W279" s="53" t="s">
        <v>195</v>
      </c>
      <c r="X279" s="50" t="n">
        <v>2.691</v>
      </c>
      <c r="Y279" s="53" t="s">
        <v>198</v>
      </c>
      <c r="Z279" s="50" t="n">
        <v>0.207</v>
      </c>
      <c r="AA279" s="50" t="n">
        <v>7.86</v>
      </c>
      <c r="AB279" s="50" t="n">
        <v>9</v>
      </c>
      <c r="AC279" s="52" t="n">
        <f aca="false">IF(W279="EUR",AA279,IF(W279="GBP",AB279,1))</f>
        <v>7.86</v>
      </c>
      <c r="AD279" s="52" t="n">
        <f aca="false">R279*X279</f>
        <v>11846.9198215368</v>
      </c>
      <c r="AE279" s="52" t="n">
        <f aca="false">IF(Y279="PERCENTAGE_OF_BASE_FREIGHT",AD279*Z279,IF(Y279="PER_CHARGEABLE_KG",R279*Z279,P279*Z279))</f>
        <v>911.3015247336</v>
      </c>
      <c r="AF279" s="52" t="n">
        <f aca="false">AD279*AC279</f>
        <v>93116.7897972793</v>
      </c>
      <c r="AG279" s="52" t="n">
        <f aca="false">AE279*AC279</f>
        <v>7162.8299844061</v>
      </c>
      <c r="AH279" s="52" t="s">
        <v>195</v>
      </c>
      <c r="AI279" s="52" t="n">
        <v>1.08675</v>
      </c>
      <c r="AJ279" s="52" t="n">
        <f aca="false">IF(AH279="EUR",AA279,IF(AH279="GBP",AB279,1))</f>
        <v>7.86</v>
      </c>
      <c r="AK279" s="52" t="n">
        <f aca="false">N279*AI279</f>
        <v>5656.7511</v>
      </c>
      <c r="AL279" s="52" t="n">
        <f aca="false">AK279*AJ279</f>
        <v>44462.063646</v>
      </c>
      <c r="AM279" s="52" t="s">
        <v>195</v>
      </c>
      <c r="AN279" s="52" t="n">
        <v>0.3933</v>
      </c>
      <c r="AO279" s="52" t="n">
        <f aca="false">IF(AM279="EUR",AA279,IF(AM279="GBP",AB279,1))</f>
        <v>7.86</v>
      </c>
      <c r="AP279" s="52" t="n">
        <f aca="false">P279*AN279</f>
        <v>2170.0374696</v>
      </c>
      <c r="AQ279" s="52" t="n">
        <f aca="false">AP279*AO279</f>
        <v>17056.494511056</v>
      </c>
      <c r="AR279" s="52" t="s">
        <v>195</v>
      </c>
      <c r="AS279" s="52" t="n">
        <v>3.105</v>
      </c>
      <c r="AT279" s="52" t="n">
        <f aca="false">IF(AR279="EUR",AA279,IF(AR279="GBP",AB279,1))</f>
        <v>7.86</v>
      </c>
      <c r="AU279" s="52" t="n">
        <f aca="false">T279*AS279</f>
        <v>969.72876</v>
      </c>
      <c r="AV279" s="52" t="n">
        <f aca="false">AU279*AT279</f>
        <v>7622.0680536</v>
      </c>
      <c r="AW279" s="52" t="s">
        <v>195</v>
      </c>
      <c r="AX279" s="52" t="n">
        <v>2.3805</v>
      </c>
      <c r="AY279" s="52" t="n">
        <f aca="false">IF(AW279="EUR",AA279,IF(AW279="GBP",AB279,1))</f>
        <v>7.86</v>
      </c>
      <c r="AZ279" s="52" t="n">
        <f aca="false">V279*AX279</f>
        <v>183.882122424</v>
      </c>
      <c r="BA279" s="52" t="n">
        <f aca="false">AZ279*AY279</f>
        <v>1445.31348225264</v>
      </c>
      <c r="BB279" s="52" t="n">
        <f aca="false">AF279+AG279+AL279+AQ279+AV279+BA279</f>
        <v>170865.559474594</v>
      </c>
      <c r="BC279" s="54" t="n">
        <v>0.973</v>
      </c>
      <c r="BD279" s="32"/>
      <c r="BE279" s="30" t="s">
        <v>205</v>
      </c>
      <c r="BF279" s="30" t="s">
        <v>209</v>
      </c>
      <c r="BG279" s="32" t="s">
        <v>197</v>
      </c>
    </row>
    <row r="280" customFormat="false" ht="26.5" hidden="false" customHeight="false" outlineLevel="0" collapsed="false">
      <c r="A280" s="18" t="s">
        <v>206</v>
      </c>
      <c r="B280" s="18" t="s">
        <v>207</v>
      </c>
      <c r="C280" s="18" t="s">
        <v>208</v>
      </c>
      <c r="D280" s="49" t="n">
        <v>46357</v>
      </c>
      <c r="E280" s="18" t="s">
        <v>118</v>
      </c>
      <c r="F280" s="18" t="s">
        <v>119</v>
      </c>
      <c r="G280" s="18" t="s">
        <v>100</v>
      </c>
      <c r="H280" s="18" t="s">
        <v>101</v>
      </c>
      <c r="I280" s="18" t="s">
        <v>102</v>
      </c>
      <c r="J280" s="50" t="n">
        <v>28600</v>
      </c>
      <c r="K280" s="51" t="n">
        <v>0.4</v>
      </c>
      <c r="L280" s="51" t="n">
        <v>0.96</v>
      </c>
      <c r="M280" s="51" t="n">
        <v>0.48</v>
      </c>
      <c r="N280" s="52" t="n">
        <f aca="false">J280*K280*L280*M280</f>
        <v>5271.552</v>
      </c>
      <c r="O280" s="50" t="n">
        <v>1.17</v>
      </c>
      <c r="P280" s="52" t="n">
        <f aca="false">N280*O280</f>
        <v>6167.71584</v>
      </c>
      <c r="Q280" s="50" t="n">
        <v>1.050804</v>
      </c>
      <c r="R280" s="52" t="n">
        <f aca="false">P280*Q280</f>
        <v>6481.06047553536</v>
      </c>
      <c r="S280" s="50" t="n">
        <v>0.09</v>
      </c>
      <c r="T280" s="52" t="n">
        <f aca="false">N280*S280</f>
        <v>474.43968</v>
      </c>
      <c r="U280" s="52" t="n">
        <v>0.027</v>
      </c>
      <c r="V280" s="52" t="n">
        <f aca="false">P280*U280</f>
        <v>166.52832768</v>
      </c>
      <c r="W280" s="53" t="s">
        <v>199</v>
      </c>
      <c r="X280" s="50" t="n">
        <v>4.14</v>
      </c>
      <c r="Y280" s="53" t="s">
        <v>196</v>
      </c>
      <c r="Z280" s="50" t="n">
        <v>0.1035</v>
      </c>
      <c r="AA280" s="50" t="n">
        <v>7.86</v>
      </c>
      <c r="AB280" s="50" t="n">
        <v>9</v>
      </c>
      <c r="AC280" s="52" t="n">
        <f aca="false">IF(W280="EUR",AA280,IF(W280="GBP",AB280,1))</f>
        <v>9</v>
      </c>
      <c r="AD280" s="52" t="n">
        <f aca="false">R280*X280</f>
        <v>26831.5903687164</v>
      </c>
      <c r="AE280" s="52" t="n">
        <f aca="false">IF(Y280="PERCENTAGE_OF_BASE_FREIGHT",AD280*Z280,IF(Y280="PER_CHARGEABLE_KG",R280*Z280,P280*Z280))</f>
        <v>2777.06960316215</v>
      </c>
      <c r="AF280" s="52" t="n">
        <f aca="false">AD280*AC280</f>
        <v>241484.313318448</v>
      </c>
      <c r="AG280" s="52" t="n">
        <f aca="false">AE280*AC280</f>
        <v>24993.6264284593</v>
      </c>
      <c r="AH280" s="52" t="s">
        <v>195</v>
      </c>
      <c r="AI280" s="52" t="n">
        <v>1.26158229834681</v>
      </c>
      <c r="AJ280" s="52" t="n">
        <f aca="false">IF(AH280="EUR",AA280,IF(AH280="GBP",AB280,1))</f>
        <v>7.86</v>
      </c>
      <c r="AK280" s="52" t="n">
        <f aca="false">N280*AI280</f>
        <v>6650.49668801475</v>
      </c>
      <c r="AL280" s="52" t="n">
        <f aca="false">AK280*AJ280</f>
        <v>52272.9039677959</v>
      </c>
      <c r="AM280" s="52" t="s">
        <v>195</v>
      </c>
      <c r="AN280" s="52" t="n">
        <v>0.4347</v>
      </c>
      <c r="AO280" s="52" t="n">
        <f aca="false">IF(AM280="EUR",AA280,IF(AM280="GBP",AB280,1))</f>
        <v>7.86</v>
      </c>
      <c r="AP280" s="52" t="n">
        <f aca="false">P280*AN280</f>
        <v>2681.106075648</v>
      </c>
      <c r="AQ280" s="52" t="n">
        <f aca="false">AP280*AO280</f>
        <v>21073.4937545933</v>
      </c>
      <c r="AR280" s="52" t="s">
        <v>199</v>
      </c>
      <c r="AS280" s="52" t="n">
        <v>4.968</v>
      </c>
      <c r="AT280" s="52" t="n">
        <f aca="false">IF(AR280="EUR",AA280,IF(AR280="GBP",AB280,1))</f>
        <v>9</v>
      </c>
      <c r="AU280" s="52" t="n">
        <f aca="false">T280*AS280</f>
        <v>2357.01633024</v>
      </c>
      <c r="AV280" s="52" t="n">
        <f aca="false">AU280*AT280</f>
        <v>21213.14697216</v>
      </c>
      <c r="AW280" s="52" t="s">
        <v>199</v>
      </c>
      <c r="AX280" s="52" t="n">
        <v>2.3805</v>
      </c>
      <c r="AY280" s="52" t="n">
        <f aca="false">IF(AW280="EUR",AA280,IF(AW280="GBP",AB280,1))</f>
        <v>9</v>
      </c>
      <c r="AZ280" s="52" t="n">
        <f aca="false">V280*AX280</f>
        <v>396.42068404224</v>
      </c>
      <c r="BA280" s="52" t="n">
        <f aca="false">AZ280*AY280</f>
        <v>3567.78615638016</v>
      </c>
      <c r="BB280" s="52" t="n">
        <f aca="false">AF280+AG280+AL280+AQ280+AV280+BA280</f>
        <v>364605.270597836</v>
      </c>
      <c r="BC280" s="54" t="n">
        <v>0.93</v>
      </c>
      <c r="BD280" s="32"/>
      <c r="BE280" s="30" t="s">
        <v>205</v>
      </c>
      <c r="BF280" s="30" t="s">
        <v>209</v>
      </c>
      <c r="BG280" s="32" t="s">
        <v>197</v>
      </c>
    </row>
    <row r="281" customFormat="false" ht="26.5" hidden="false" customHeight="false" outlineLevel="0" collapsed="false">
      <c r="A281" s="18" t="s">
        <v>206</v>
      </c>
      <c r="B281" s="18" t="s">
        <v>207</v>
      </c>
      <c r="C281" s="18" t="s">
        <v>208</v>
      </c>
      <c r="D281" s="49" t="n">
        <v>46357</v>
      </c>
      <c r="E281" s="18" t="s">
        <v>122</v>
      </c>
      <c r="F281" s="18" t="s">
        <v>119</v>
      </c>
      <c r="G281" s="18" t="s">
        <v>100</v>
      </c>
      <c r="H281" s="18" t="s">
        <v>107</v>
      </c>
      <c r="I281" s="18" t="s">
        <v>102</v>
      </c>
      <c r="J281" s="50" t="n">
        <v>28600</v>
      </c>
      <c r="K281" s="51" t="n">
        <v>0.4</v>
      </c>
      <c r="L281" s="51" t="n">
        <v>0.96</v>
      </c>
      <c r="M281" s="51" t="n">
        <v>0.25</v>
      </c>
      <c r="N281" s="52" t="n">
        <f aca="false">J281*K281*L281*M281</f>
        <v>2745.6</v>
      </c>
      <c r="O281" s="50" t="n">
        <v>1.17</v>
      </c>
      <c r="P281" s="52" t="n">
        <f aca="false">N281*O281</f>
        <v>3212.352</v>
      </c>
      <c r="Q281" s="50" t="n">
        <v>1.0302</v>
      </c>
      <c r="R281" s="52" t="n">
        <f aca="false">P281*Q281</f>
        <v>3309.3650304</v>
      </c>
      <c r="S281" s="50" t="n">
        <v>0.09</v>
      </c>
      <c r="T281" s="52" t="n">
        <f aca="false">N281*S281</f>
        <v>247.104</v>
      </c>
      <c r="U281" s="52" t="n">
        <v>0.02</v>
      </c>
      <c r="V281" s="52" t="n">
        <f aca="false">P281*U281</f>
        <v>64.24704</v>
      </c>
      <c r="W281" s="53" t="s">
        <v>199</v>
      </c>
      <c r="X281" s="50" t="n">
        <v>4.8645</v>
      </c>
      <c r="Y281" s="53" t="s">
        <v>198</v>
      </c>
      <c r="Z281" s="50" t="n">
        <v>0.34155</v>
      </c>
      <c r="AA281" s="50" t="n">
        <v>7.86</v>
      </c>
      <c r="AB281" s="50" t="n">
        <v>9</v>
      </c>
      <c r="AC281" s="52" t="n">
        <f aca="false">IF(W281="EUR",AA281,IF(W281="GBP",AB281,1))</f>
        <v>9</v>
      </c>
      <c r="AD281" s="52" t="n">
        <f aca="false">R281*X281</f>
        <v>16098.4061903808</v>
      </c>
      <c r="AE281" s="52" t="n">
        <f aca="false">IF(Y281="PERCENTAGE_OF_BASE_FREIGHT",AD281*Z281,IF(Y281="PER_CHARGEABLE_KG",R281*Z281,P281*Z281))</f>
        <v>1130.31362613312</v>
      </c>
      <c r="AF281" s="52" t="n">
        <f aca="false">AD281*AC281</f>
        <v>144885.655713427</v>
      </c>
      <c r="AG281" s="52" t="n">
        <f aca="false">AE281*AC281</f>
        <v>10172.8226351981</v>
      </c>
      <c r="AH281" s="52" t="s">
        <v>195</v>
      </c>
      <c r="AI281" s="52" t="n">
        <v>1.26158229834681</v>
      </c>
      <c r="AJ281" s="52" t="n">
        <f aca="false">IF(AH281="EUR",AA281,IF(AH281="GBP",AB281,1))</f>
        <v>7.86</v>
      </c>
      <c r="AK281" s="52" t="n">
        <f aca="false">N281*AI281</f>
        <v>3463.80035834101</v>
      </c>
      <c r="AL281" s="52" t="n">
        <f aca="false">AK281*AJ281</f>
        <v>27225.4708165604</v>
      </c>
      <c r="AM281" s="52" t="s">
        <v>195</v>
      </c>
      <c r="AN281" s="52" t="n">
        <v>0.4347</v>
      </c>
      <c r="AO281" s="52" t="n">
        <f aca="false">IF(AM281="EUR",AA281,IF(AM281="GBP",AB281,1))</f>
        <v>7.86</v>
      </c>
      <c r="AP281" s="52" t="n">
        <f aca="false">P281*AN281</f>
        <v>1396.4094144</v>
      </c>
      <c r="AQ281" s="52" t="n">
        <f aca="false">AP281*AO281</f>
        <v>10975.777997184</v>
      </c>
      <c r="AR281" s="52" t="s">
        <v>199</v>
      </c>
      <c r="AS281" s="52" t="n">
        <v>4.968</v>
      </c>
      <c r="AT281" s="52" t="n">
        <f aca="false">IF(AR281="EUR",AA281,IF(AR281="GBP",AB281,1))</f>
        <v>9</v>
      </c>
      <c r="AU281" s="52" t="n">
        <f aca="false">T281*AS281</f>
        <v>1227.612672</v>
      </c>
      <c r="AV281" s="52" t="n">
        <f aca="false">AU281*AT281</f>
        <v>11048.514048</v>
      </c>
      <c r="AW281" s="52" t="s">
        <v>199</v>
      </c>
      <c r="AX281" s="52" t="n">
        <v>2.3805</v>
      </c>
      <c r="AY281" s="52" t="n">
        <f aca="false">IF(AW281="EUR",AA281,IF(AW281="GBP",AB281,1))</f>
        <v>9</v>
      </c>
      <c r="AZ281" s="52" t="n">
        <f aca="false">V281*AX281</f>
        <v>152.94007872</v>
      </c>
      <c r="BA281" s="52" t="n">
        <f aca="false">AZ281*AY281</f>
        <v>1376.46070848</v>
      </c>
      <c r="BB281" s="52" t="n">
        <f aca="false">AF281+AG281+AL281+AQ281+AV281+BA281</f>
        <v>205684.70191885</v>
      </c>
      <c r="BC281" s="54" t="n">
        <v>0.95</v>
      </c>
      <c r="BD281" s="32"/>
      <c r="BE281" s="30" t="s">
        <v>205</v>
      </c>
      <c r="BF281" s="30" t="s">
        <v>209</v>
      </c>
      <c r="BG281" s="32" t="s">
        <v>197</v>
      </c>
    </row>
    <row r="282" customFormat="false" ht="26.5" hidden="false" customHeight="false" outlineLevel="0" collapsed="false">
      <c r="A282" s="18" t="s">
        <v>206</v>
      </c>
      <c r="B282" s="18" t="s">
        <v>207</v>
      </c>
      <c r="C282" s="18" t="s">
        <v>208</v>
      </c>
      <c r="D282" s="49" t="n">
        <v>46357</v>
      </c>
      <c r="E282" s="18" t="s">
        <v>124</v>
      </c>
      <c r="F282" s="18" t="s">
        <v>119</v>
      </c>
      <c r="G282" s="18" t="s">
        <v>100</v>
      </c>
      <c r="H282" s="18" t="s">
        <v>107</v>
      </c>
      <c r="I282" s="18" t="s">
        <v>125</v>
      </c>
      <c r="J282" s="50" t="n">
        <v>28600</v>
      </c>
      <c r="K282" s="51" t="n">
        <v>0.4</v>
      </c>
      <c r="L282" s="51" t="n">
        <v>0.96</v>
      </c>
      <c r="M282" s="51" t="n">
        <v>0.19</v>
      </c>
      <c r="N282" s="52" t="n">
        <f aca="false">J282*K282*L282*M282</f>
        <v>2086.656</v>
      </c>
      <c r="O282" s="50" t="n">
        <v>1.17</v>
      </c>
      <c r="P282" s="52" t="n">
        <f aca="false">N282*O282</f>
        <v>2441.38752</v>
      </c>
      <c r="Q282" s="50" t="n">
        <v>0.968388</v>
      </c>
      <c r="R282" s="52" t="n">
        <f aca="false">P282*Q282</f>
        <v>2364.21037771776</v>
      </c>
      <c r="S282" s="50" t="n">
        <v>0.09</v>
      </c>
      <c r="T282" s="52" t="n">
        <f aca="false">N282*S282</f>
        <v>187.79904</v>
      </c>
      <c r="U282" s="52" t="n">
        <v>0.016</v>
      </c>
      <c r="V282" s="52" t="n">
        <f aca="false">P282*U282</f>
        <v>39.06220032</v>
      </c>
      <c r="W282" s="53" t="s">
        <v>199</v>
      </c>
      <c r="X282" s="50" t="n">
        <v>6.67368</v>
      </c>
      <c r="Y282" s="53" t="s">
        <v>196</v>
      </c>
      <c r="Z282" s="50" t="n">
        <v>0.123786</v>
      </c>
      <c r="AA282" s="50" t="n">
        <v>7.86</v>
      </c>
      <c r="AB282" s="50" t="n">
        <v>9</v>
      </c>
      <c r="AC282" s="52" t="n">
        <f aca="false">IF(W282="EUR",AA282,IF(W282="GBP",AB282,1))</f>
        <v>9</v>
      </c>
      <c r="AD282" s="52" t="n">
        <f aca="false">R282*X282</f>
        <v>15777.9835135675</v>
      </c>
      <c r="AE282" s="52" t="n">
        <f aca="false">IF(Y282="PERCENTAGE_OF_BASE_FREIGHT",AD282*Z282,IF(Y282="PER_CHARGEABLE_KG",R282*Z282,P282*Z282))</f>
        <v>1953.09346721046</v>
      </c>
      <c r="AF282" s="52" t="n">
        <f aca="false">AD282*AC282</f>
        <v>142001.851622107</v>
      </c>
      <c r="AG282" s="52" t="n">
        <f aca="false">AE282*AC282</f>
        <v>17577.8412048942</v>
      </c>
      <c r="AH282" s="52" t="s">
        <v>195</v>
      </c>
      <c r="AI282" s="52" t="n">
        <v>1.26158229834681</v>
      </c>
      <c r="AJ282" s="52" t="n">
        <f aca="false">IF(AH282="EUR",AA282,IF(AH282="GBP",AB282,1))</f>
        <v>7.86</v>
      </c>
      <c r="AK282" s="52" t="n">
        <f aca="false">N282*AI282</f>
        <v>2632.48827233917</v>
      </c>
      <c r="AL282" s="52" t="n">
        <f aca="false">AK282*AJ282</f>
        <v>20691.3578205859</v>
      </c>
      <c r="AM282" s="52" t="s">
        <v>195</v>
      </c>
      <c r="AN282" s="52" t="n">
        <v>0.4347</v>
      </c>
      <c r="AO282" s="52" t="n">
        <f aca="false">IF(AM282="EUR",AA282,IF(AM282="GBP",AB282,1))</f>
        <v>7.86</v>
      </c>
      <c r="AP282" s="52" t="n">
        <f aca="false">P282*AN282</f>
        <v>1061.271154944</v>
      </c>
      <c r="AQ282" s="52" t="n">
        <f aca="false">AP282*AO282</f>
        <v>8341.59127785984</v>
      </c>
      <c r="AR282" s="52" t="s">
        <v>199</v>
      </c>
      <c r="AS282" s="52" t="n">
        <v>4.968</v>
      </c>
      <c r="AT282" s="52" t="n">
        <f aca="false">IF(AR282="EUR",AA282,IF(AR282="GBP",AB282,1))</f>
        <v>9</v>
      </c>
      <c r="AU282" s="52" t="n">
        <f aca="false">T282*AS282</f>
        <v>932.98563072</v>
      </c>
      <c r="AV282" s="52" t="n">
        <f aca="false">AU282*AT282</f>
        <v>8396.87067648</v>
      </c>
      <c r="AW282" s="52" t="s">
        <v>199</v>
      </c>
      <c r="AX282" s="52" t="n">
        <v>2.898</v>
      </c>
      <c r="AY282" s="52" t="n">
        <f aca="false">IF(AW282="EUR",AA282,IF(AW282="GBP",AB282,1))</f>
        <v>9</v>
      </c>
      <c r="AZ282" s="52" t="n">
        <f aca="false">V282*AX282</f>
        <v>113.20225652736</v>
      </c>
      <c r="BA282" s="52" t="n">
        <f aca="false">AZ282*AY282</f>
        <v>1018.82030874624</v>
      </c>
      <c r="BB282" s="52" t="n">
        <f aca="false">AF282+AG282+AL282+AQ282+AV282+BA282</f>
        <v>198028.332910673</v>
      </c>
      <c r="BC282" s="54" t="n">
        <v>0.974</v>
      </c>
      <c r="BD282" s="32"/>
      <c r="BE282" s="30" t="s">
        <v>205</v>
      </c>
      <c r="BF282" s="30" t="s">
        <v>209</v>
      </c>
      <c r="BG282" s="32" t="s">
        <v>197</v>
      </c>
    </row>
    <row r="283" customFormat="false" ht="26.5" hidden="false" customHeight="false" outlineLevel="0" collapsed="false">
      <c r="A283" s="18" t="s">
        <v>206</v>
      </c>
      <c r="B283" s="18" t="s">
        <v>207</v>
      </c>
      <c r="C283" s="18" t="s">
        <v>208</v>
      </c>
      <c r="D283" s="49" t="n">
        <v>46357</v>
      </c>
      <c r="E283" s="18" t="s">
        <v>127</v>
      </c>
      <c r="F283" s="18" t="s">
        <v>119</v>
      </c>
      <c r="G283" s="18" t="s">
        <v>100</v>
      </c>
      <c r="H283" s="18" t="s">
        <v>128</v>
      </c>
      <c r="I283" s="18" t="s">
        <v>125</v>
      </c>
      <c r="J283" s="50" t="n">
        <v>28600</v>
      </c>
      <c r="K283" s="51" t="n">
        <v>0.4</v>
      </c>
      <c r="L283" s="51" t="n">
        <v>0.96</v>
      </c>
      <c r="M283" s="51" t="n">
        <v>0.08</v>
      </c>
      <c r="N283" s="52" t="n">
        <f aca="false">J283*K283*L283*M283</f>
        <v>878.592</v>
      </c>
      <c r="O283" s="50" t="n">
        <v>1.17</v>
      </c>
      <c r="P283" s="52" t="n">
        <f aca="false">N283*O283</f>
        <v>1027.95264</v>
      </c>
      <c r="Q283" s="50" t="n">
        <v>0.947784</v>
      </c>
      <c r="R283" s="52" t="n">
        <f aca="false">P283*Q283</f>
        <v>974.27706494976</v>
      </c>
      <c r="S283" s="50" t="n">
        <v>0.09</v>
      </c>
      <c r="T283" s="52" t="n">
        <f aca="false">N283*S283</f>
        <v>79.07328</v>
      </c>
      <c r="U283" s="52" t="n">
        <v>0.011</v>
      </c>
      <c r="V283" s="52" t="n">
        <f aca="false">P283*U283</f>
        <v>11.30747904</v>
      </c>
      <c r="W283" s="53" t="s">
        <v>199</v>
      </c>
      <c r="X283" s="50" t="n">
        <v>8.22825</v>
      </c>
      <c r="Y283" s="53" t="s">
        <v>198</v>
      </c>
      <c r="Z283" s="50" t="n">
        <v>0.636318</v>
      </c>
      <c r="AA283" s="50" t="n">
        <v>7.86</v>
      </c>
      <c r="AB283" s="50" t="n">
        <v>9</v>
      </c>
      <c r="AC283" s="52" t="n">
        <f aca="false">IF(W283="EUR",AA283,IF(W283="GBP",AB283,1))</f>
        <v>9</v>
      </c>
      <c r="AD283" s="52" t="n">
        <f aca="false">R283*X283</f>
        <v>8016.59525967286</v>
      </c>
      <c r="AE283" s="52" t="n">
        <f aca="false">IF(Y283="PERCENTAGE_OF_BASE_FREIGHT",AD283*Z283,IF(Y283="PER_CHARGEABLE_KG",R283*Z283,P283*Z283))</f>
        <v>619.950033414701</v>
      </c>
      <c r="AF283" s="52" t="n">
        <f aca="false">AD283*AC283</f>
        <v>72149.3573370558</v>
      </c>
      <c r="AG283" s="52" t="n">
        <f aca="false">AE283*AC283</f>
        <v>5579.55030073231</v>
      </c>
      <c r="AH283" s="52" t="s">
        <v>195</v>
      </c>
      <c r="AI283" s="52" t="n">
        <v>1.26158229834681</v>
      </c>
      <c r="AJ283" s="52" t="n">
        <f aca="false">IF(AH283="EUR",AA283,IF(AH283="GBP",AB283,1))</f>
        <v>7.86</v>
      </c>
      <c r="AK283" s="52" t="n">
        <f aca="false">N283*AI283</f>
        <v>1108.41611466912</v>
      </c>
      <c r="AL283" s="52" t="n">
        <f aca="false">AK283*AJ283</f>
        <v>8712.15066129932</v>
      </c>
      <c r="AM283" s="52" t="s">
        <v>195</v>
      </c>
      <c r="AN283" s="52" t="n">
        <v>0.4347</v>
      </c>
      <c r="AO283" s="52" t="n">
        <f aca="false">IF(AM283="EUR",AA283,IF(AM283="GBP",AB283,1))</f>
        <v>7.86</v>
      </c>
      <c r="AP283" s="52" t="n">
        <f aca="false">P283*AN283</f>
        <v>446.851012608</v>
      </c>
      <c r="AQ283" s="52" t="n">
        <f aca="false">AP283*AO283</f>
        <v>3512.24895909888</v>
      </c>
      <c r="AR283" s="52" t="s">
        <v>199</v>
      </c>
      <c r="AS283" s="52" t="n">
        <v>4.968</v>
      </c>
      <c r="AT283" s="52" t="n">
        <f aca="false">IF(AR283="EUR",AA283,IF(AR283="GBP",AB283,1))</f>
        <v>9</v>
      </c>
      <c r="AU283" s="52" t="n">
        <f aca="false">T283*AS283</f>
        <v>392.83605504</v>
      </c>
      <c r="AV283" s="52" t="n">
        <f aca="false">AU283*AT283</f>
        <v>3535.52449536</v>
      </c>
      <c r="AW283" s="52" t="s">
        <v>199</v>
      </c>
      <c r="AX283" s="52" t="n">
        <v>3.726</v>
      </c>
      <c r="AY283" s="52" t="n">
        <f aca="false">IF(AW283="EUR",AA283,IF(AW283="GBP",AB283,1))</f>
        <v>9</v>
      </c>
      <c r="AZ283" s="52" t="n">
        <f aca="false">V283*AX283</f>
        <v>42.13166690304</v>
      </c>
      <c r="BA283" s="52" t="n">
        <f aca="false">AZ283*AY283</f>
        <v>379.18500212736</v>
      </c>
      <c r="BB283" s="52" t="n">
        <f aca="false">AF283+AG283+AL283+AQ283+AV283+BA283</f>
        <v>93868.0167556736</v>
      </c>
      <c r="BC283" s="54" t="n">
        <v>0.988</v>
      </c>
      <c r="BD283" s="32"/>
      <c r="BE283" s="30" t="s">
        <v>205</v>
      </c>
      <c r="BF283" s="30" t="s">
        <v>209</v>
      </c>
      <c r="BG283" s="32" t="s">
        <v>197</v>
      </c>
    </row>
    <row r="284" customFormat="false" ht="26.5" hidden="false" customHeight="false" outlineLevel="0" collapsed="false">
      <c r="A284" s="18" t="s">
        <v>206</v>
      </c>
      <c r="B284" s="18" t="s">
        <v>207</v>
      </c>
      <c r="C284" s="18" t="s">
        <v>208</v>
      </c>
      <c r="D284" s="49" t="n">
        <v>46357</v>
      </c>
      <c r="E284" s="18" t="s">
        <v>130</v>
      </c>
      <c r="F284" s="18" t="s">
        <v>119</v>
      </c>
      <c r="G284" s="18" t="s">
        <v>110</v>
      </c>
      <c r="H284" s="18" t="s">
        <v>107</v>
      </c>
      <c r="I284" s="18" t="s">
        <v>125</v>
      </c>
      <c r="J284" s="50" t="n">
        <v>28600</v>
      </c>
      <c r="K284" s="51" t="n">
        <v>0.4</v>
      </c>
      <c r="L284" s="51" t="n">
        <v>0.04</v>
      </c>
      <c r="M284" s="51" t="n">
        <v>1</v>
      </c>
      <c r="N284" s="52" t="n">
        <f aca="false">J284*K284*L284*M284</f>
        <v>457.6</v>
      </c>
      <c r="O284" s="50" t="n">
        <v>1.17</v>
      </c>
      <c r="P284" s="52" t="n">
        <f aca="false">N284*O284</f>
        <v>535.392</v>
      </c>
      <c r="Q284" s="50" t="n">
        <v>0.92718</v>
      </c>
      <c r="R284" s="52" t="n">
        <f aca="false">P284*Q284</f>
        <v>496.40475456</v>
      </c>
      <c r="S284" s="50" t="n">
        <v>0.09</v>
      </c>
      <c r="T284" s="52" t="n">
        <f aca="false">N284*S284</f>
        <v>41.184</v>
      </c>
      <c r="U284" s="52" t="n">
        <v>0.014</v>
      </c>
      <c r="V284" s="52" t="n">
        <f aca="false">P284*U284</f>
        <v>7.495488</v>
      </c>
      <c r="W284" s="53" t="s">
        <v>195</v>
      </c>
      <c r="X284" s="50" t="n">
        <v>6.9345</v>
      </c>
      <c r="Y284" s="53" t="s">
        <v>196</v>
      </c>
      <c r="Z284" s="50" t="n">
        <v>0.108675</v>
      </c>
      <c r="AA284" s="50" t="n">
        <v>7.86</v>
      </c>
      <c r="AB284" s="50" t="n">
        <v>9</v>
      </c>
      <c r="AC284" s="52" t="n">
        <f aca="false">IF(W284="EUR",AA284,IF(W284="GBP",AB284,1))</f>
        <v>7.86</v>
      </c>
      <c r="AD284" s="52" t="n">
        <f aca="false">R284*X284</f>
        <v>3442.31877049632</v>
      </c>
      <c r="AE284" s="52" t="n">
        <f aca="false">IF(Y284="PERCENTAGE_OF_BASE_FREIGHT",AD284*Z284,IF(Y284="PER_CHARGEABLE_KG",R284*Z284,P284*Z284))</f>
        <v>374.093992383688</v>
      </c>
      <c r="AF284" s="52" t="n">
        <f aca="false">AD284*AC284</f>
        <v>27056.6255361011</v>
      </c>
      <c r="AG284" s="52" t="n">
        <f aca="false">AE284*AC284</f>
        <v>2940.37878013578</v>
      </c>
      <c r="AH284" s="52" t="s">
        <v>195</v>
      </c>
      <c r="AI284" s="52" t="n">
        <v>1.08675</v>
      </c>
      <c r="AJ284" s="52" t="n">
        <f aca="false">IF(AH284="EUR",AA284,IF(AH284="GBP",AB284,1))</f>
        <v>7.86</v>
      </c>
      <c r="AK284" s="52" t="n">
        <f aca="false">N284*AI284</f>
        <v>497.2968</v>
      </c>
      <c r="AL284" s="52" t="n">
        <f aca="false">AK284*AJ284</f>
        <v>3908.752848</v>
      </c>
      <c r="AM284" s="52" t="s">
        <v>195</v>
      </c>
      <c r="AN284" s="52" t="n">
        <v>0.3933</v>
      </c>
      <c r="AO284" s="52" t="n">
        <f aca="false">IF(AM284="EUR",AA284,IF(AM284="GBP",AB284,1))</f>
        <v>7.86</v>
      </c>
      <c r="AP284" s="52" t="n">
        <f aca="false">P284*AN284</f>
        <v>210.5696736</v>
      </c>
      <c r="AQ284" s="52" t="n">
        <f aca="false">AP284*AO284</f>
        <v>1655.077634496</v>
      </c>
      <c r="AR284" s="52" t="s">
        <v>195</v>
      </c>
      <c r="AS284" s="52" t="n">
        <v>5.382</v>
      </c>
      <c r="AT284" s="52" t="n">
        <f aca="false">IF(AR284="EUR",AA284,IF(AR284="GBP",AB284,1))</f>
        <v>7.86</v>
      </c>
      <c r="AU284" s="52" t="n">
        <f aca="false">T284*AS284</f>
        <v>221.652288</v>
      </c>
      <c r="AV284" s="52" t="n">
        <f aca="false">AU284*AT284</f>
        <v>1742.18698368</v>
      </c>
      <c r="AW284" s="52" t="s">
        <v>195</v>
      </c>
      <c r="AX284" s="52" t="n">
        <v>2.898</v>
      </c>
      <c r="AY284" s="52" t="n">
        <f aca="false">IF(AW284="EUR",AA284,IF(AW284="GBP",AB284,1))</f>
        <v>7.86</v>
      </c>
      <c r="AZ284" s="52" t="n">
        <f aca="false">V284*AX284</f>
        <v>21.721924224</v>
      </c>
      <c r="BA284" s="52" t="n">
        <f aca="false">AZ284*AY284</f>
        <v>170.73432440064</v>
      </c>
      <c r="BB284" s="52" t="n">
        <f aca="false">AF284+AG284+AL284+AQ284+AV284+BA284</f>
        <v>37473.7561068135</v>
      </c>
      <c r="BC284" s="54" t="n">
        <v>0.971</v>
      </c>
      <c r="BD284" s="32"/>
      <c r="BE284" s="30" t="s">
        <v>205</v>
      </c>
      <c r="BF284" s="30" t="s">
        <v>209</v>
      </c>
      <c r="BG284" s="32" t="s">
        <v>197</v>
      </c>
    </row>
    <row r="285" customFormat="false" ht="26.5" hidden="false" customHeight="false" outlineLevel="0" collapsed="false">
      <c r="A285" s="18" t="s">
        <v>210</v>
      </c>
      <c r="B285" s="18" t="s">
        <v>207</v>
      </c>
      <c r="C285" s="18" t="s">
        <v>211</v>
      </c>
      <c r="D285" s="49" t="n">
        <v>46266</v>
      </c>
      <c r="E285" s="18" t="s">
        <v>98</v>
      </c>
      <c r="F285" s="18" t="s">
        <v>99</v>
      </c>
      <c r="G285" s="18" t="s">
        <v>100</v>
      </c>
      <c r="H285" s="18" t="s">
        <v>101</v>
      </c>
      <c r="I285" s="18" t="s">
        <v>102</v>
      </c>
      <c r="J285" s="50" t="n">
        <v>17784.8</v>
      </c>
      <c r="K285" s="51" t="n">
        <v>0.34816247582205</v>
      </c>
      <c r="L285" s="51" t="n">
        <v>0.97</v>
      </c>
      <c r="M285" s="51" t="n">
        <v>0.6</v>
      </c>
      <c r="N285" s="52" t="n">
        <f aca="false">J285*K285*L285*M285</f>
        <v>3603.744</v>
      </c>
      <c r="O285" s="50" t="n">
        <v>1.05</v>
      </c>
      <c r="P285" s="52" t="n">
        <f aca="false">N285*O285</f>
        <v>3783.9312</v>
      </c>
      <c r="Q285" s="50" t="n">
        <v>0.78</v>
      </c>
      <c r="R285" s="52" t="n">
        <f aca="false">P285*Q285</f>
        <v>2951.466336</v>
      </c>
      <c r="S285" s="50" t="n">
        <v>0.05</v>
      </c>
      <c r="T285" s="52" t="n">
        <f aca="false">N285*S285</f>
        <v>180.1872</v>
      </c>
      <c r="U285" s="52" t="n">
        <v>0.016</v>
      </c>
      <c r="V285" s="52" t="n">
        <f aca="false">P285*U285</f>
        <v>60.5428992</v>
      </c>
      <c r="W285" s="53" t="s">
        <v>195</v>
      </c>
      <c r="X285" s="50" t="n">
        <v>2.277</v>
      </c>
      <c r="Y285" s="53" t="s">
        <v>196</v>
      </c>
      <c r="Z285" s="50" t="n">
        <v>0.098325</v>
      </c>
      <c r="AA285" s="50" t="n">
        <v>7.92</v>
      </c>
      <c r="AB285" s="50" t="n">
        <v>9.15</v>
      </c>
      <c r="AC285" s="52" t="n">
        <f aca="false">IF(W285="EUR",AA285,IF(W285="GBP",AB285,1))</f>
        <v>7.92</v>
      </c>
      <c r="AD285" s="52" t="n">
        <f aca="false">R285*X285</f>
        <v>6720.488847072</v>
      </c>
      <c r="AE285" s="52" t="n">
        <f aca="false">IF(Y285="PERCENTAGE_OF_BASE_FREIGHT",AD285*Z285,IF(Y285="PER_CHARGEABLE_KG",R285*Z285,P285*Z285))</f>
        <v>660.792065888354</v>
      </c>
      <c r="AF285" s="52" t="n">
        <f aca="false">AD285*AC285</f>
        <v>53226.2716688102</v>
      </c>
      <c r="AG285" s="52" t="n">
        <f aca="false">AE285*AC285</f>
        <v>5233.47316183577</v>
      </c>
      <c r="AH285" s="52" t="s">
        <v>195</v>
      </c>
      <c r="AI285" s="52" t="n">
        <v>1.37620106985006</v>
      </c>
      <c r="AJ285" s="52" t="n">
        <f aca="false">IF(AH285="EUR",AA285,IF(AH285="GBP",AB285,1))</f>
        <v>7.92</v>
      </c>
      <c r="AK285" s="52" t="n">
        <f aca="false">N285*AI285</f>
        <v>4959.47634826572</v>
      </c>
      <c r="AL285" s="52" t="n">
        <f aca="false">AK285*AJ285</f>
        <v>39279.0526782645</v>
      </c>
      <c r="AM285" s="52" t="s">
        <v>195</v>
      </c>
      <c r="AN285" s="52" t="n">
        <v>0.4347</v>
      </c>
      <c r="AO285" s="52" t="n">
        <f aca="false">IF(AM285="EUR",AA285,IF(AM285="GBP",AB285,1))</f>
        <v>7.92</v>
      </c>
      <c r="AP285" s="52" t="n">
        <f aca="false">P285*AN285</f>
        <v>1644.87489264</v>
      </c>
      <c r="AQ285" s="52" t="n">
        <f aca="false">AP285*AO285</f>
        <v>13027.4091497088</v>
      </c>
      <c r="AR285" s="52" t="s">
        <v>195</v>
      </c>
      <c r="AS285" s="52" t="n">
        <v>3.312</v>
      </c>
      <c r="AT285" s="52" t="n">
        <f aca="false">IF(AR285="EUR",AA285,IF(AR285="GBP",AB285,1))</f>
        <v>7.92</v>
      </c>
      <c r="AU285" s="52" t="n">
        <f aca="false">T285*AS285</f>
        <v>596.7800064</v>
      </c>
      <c r="AV285" s="52" t="n">
        <f aca="false">AU285*AT285</f>
        <v>4726.497650688</v>
      </c>
      <c r="AW285" s="52" t="s">
        <v>195</v>
      </c>
      <c r="AX285" s="52" t="n">
        <v>2.3805</v>
      </c>
      <c r="AY285" s="52" t="n">
        <f aca="false">IF(AW285="EUR",AA285,IF(AW285="GBP",AB285,1))</f>
        <v>7.92</v>
      </c>
      <c r="AZ285" s="52" t="n">
        <f aca="false">V285*AX285</f>
        <v>144.1223715456</v>
      </c>
      <c r="BA285" s="52" t="n">
        <f aca="false">AZ285*AY285</f>
        <v>1141.44918264115</v>
      </c>
      <c r="BB285" s="52" t="n">
        <f aca="false">AF285+AG285+AL285+AQ285+AV285+BA285</f>
        <v>116634.153491948</v>
      </c>
      <c r="BC285" s="54" t="n">
        <v>0.965</v>
      </c>
      <c r="BD285" s="32"/>
      <c r="BE285" s="30" t="s">
        <v>205</v>
      </c>
      <c r="BF285" s="30" t="s">
        <v>212</v>
      </c>
      <c r="BG285" s="32" t="s">
        <v>197</v>
      </c>
    </row>
    <row r="286" customFormat="false" ht="26.5" hidden="false" customHeight="false" outlineLevel="0" collapsed="false">
      <c r="A286" s="18" t="s">
        <v>210</v>
      </c>
      <c r="B286" s="18" t="s">
        <v>207</v>
      </c>
      <c r="C286" s="18" t="s">
        <v>211</v>
      </c>
      <c r="D286" s="49" t="n">
        <v>46266</v>
      </c>
      <c r="E286" s="18" t="s">
        <v>106</v>
      </c>
      <c r="F286" s="18" t="s">
        <v>99</v>
      </c>
      <c r="G286" s="18" t="s">
        <v>100</v>
      </c>
      <c r="H286" s="18" t="s">
        <v>107</v>
      </c>
      <c r="I286" s="18" t="s">
        <v>102</v>
      </c>
      <c r="J286" s="50" t="n">
        <v>17784.8</v>
      </c>
      <c r="K286" s="51" t="n">
        <v>0.34816247582205</v>
      </c>
      <c r="L286" s="51" t="n">
        <v>0.97</v>
      </c>
      <c r="M286" s="51" t="n">
        <v>0.4</v>
      </c>
      <c r="N286" s="52" t="n">
        <f aca="false">J286*K286*L286*M286</f>
        <v>2402.496</v>
      </c>
      <c r="O286" s="50" t="n">
        <v>1.05</v>
      </c>
      <c r="P286" s="52" t="n">
        <f aca="false">N286*O286</f>
        <v>2522.6208</v>
      </c>
      <c r="Q286" s="50" t="n">
        <v>0.8</v>
      </c>
      <c r="R286" s="52" t="n">
        <f aca="false">P286*Q286</f>
        <v>2018.09664</v>
      </c>
      <c r="S286" s="50" t="n">
        <v>0.05</v>
      </c>
      <c r="T286" s="52" t="n">
        <f aca="false">N286*S286</f>
        <v>120.1248</v>
      </c>
      <c r="U286" s="52" t="n">
        <v>0.013</v>
      </c>
      <c r="V286" s="52" t="n">
        <f aca="false">P286*U286</f>
        <v>32.7940704</v>
      </c>
      <c r="W286" s="53" t="s">
        <v>195</v>
      </c>
      <c r="X286" s="50" t="n">
        <v>2.84625</v>
      </c>
      <c r="Y286" s="53" t="s">
        <v>198</v>
      </c>
      <c r="Z286" s="50" t="n">
        <v>0.21735</v>
      </c>
      <c r="AA286" s="50" t="n">
        <v>7.92</v>
      </c>
      <c r="AB286" s="50" t="n">
        <v>9.15</v>
      </c>
      <c r="AC286" s="52" t="n">
        <f aca="false">IF(W286="EUR",AA286,IF(W286="GBP",AB286,1))</f>
        <v>7.92</v>
      </c>
      <c r="AD286" s="52" t="n">
        <f aca="false">R286*X286</f>
        <v>5744.0075616</v>
      </c>
      <c r="AE286" s="52" t="n">
        <f aca="false">IF(Y286="PERCENTAGE_OF_BASE_FREIGHT",AD286*Z286,IF(Y286="PER_CHARGEABLE_KG",R286*Z286,P286*Z286))</f>
        <v>438.633304704</v>
      </c>
      <c r="AF286" s="52" t="n">
        <f aca="false">AD286*AC286</f>
        <v>45492.539887872</v>
      </c>
      <c r="AG286" s="52" t="n">
        <f aca="false">AE286*AC286</f>
        <v>3473.97577325568</v>
      </c>
      <c r="AH286" s="52" t="s">
        <v>195</v>
      </c>
      <c r="AI286" s="52" t="n">
        <v>1.37620106985006</v>
      </c>
      <c r="AJ286" s="52" t="n">
        <f aca="false">IF(AH286="EUR",AA286,IF(AH286="GBP",AB286,1))</f>
        <v>7.92</v>
      </c>
      <c r="AK286" s="52" t="n">
        <f aca="false">N286*AI286</f>
        <v>3306.31756551048</v>
      </c>
      <c r="AL286" s="52" t="n">
        <f aca="false">AK286*AJ286</f>
        <v>26186.035118843</v>
      </c>
      <c r="AM286" s="52" t="s">
        <v>195</v>
      </c>
      <c r="AN286" s="52" t="n">
        <v>0.4347</v>
      </c>
      <c r="AO286" s="52" t="n">
        <f aca="false">IF(AM286="EUR",AA286,IF(AM286="GBP",AB286,1))</f>
        <v>7.92</v>
      </c>
      <c r="AP286" s="52" t="n">
        <f aca="false">P286*AN286</f>
        <v>1096.58326176</v>
      </c>
      <c r="AQ286" s="52" t="n">
        <f aca="false">AP286*AO286</f>
        <v>8684.9394331392</v>
      </c>
      <c r="AR286" s="52" t="s">
        <v>195</v>
      </c>
      <c r="AS286" s="52" t="n">
        <v>3.312</v>
      </c>
      <c r="AT286" s="52" t="n">
        <f aca="false">IF(AR286="EUR",AA286,IF(AR286="GBP",AB286,1))</f>
        <v>7.92</v>
      </c>
      <c r="AU286" s="52" t="n">
        <f aca="false">T286*AS286</f>
        <v>397.8533376</v>
      </c>
      <c r="AV286" s="52" t="n">
        <f aca="false">AU286*AT286</f>
        <v>3150.998433792</v>
      </c>
      <c r="AW286" s="52" t="s">
        <v>195</v>
      </c>
      <c r="AX286" s="52" t="n">
        <v>2.3805</v>
      </c>
      <c r="AY286" s="52" t="n">
        <f aca="false">IF(AW286="EUR",AA286,IF(AW286="GBP",AB286,1))</f>
        <v>7.92</v>
      </c>
      <c r="AZ286" s="52" t="n">
        <f aca="false">V286*AX286</f>
        <v>78.0662845872</v>
      </c>
      <c r="BA286" s="52" t="n">
        <f aca="false">AZ286*AY286</f>
        <v>618.284973930624</v>
      </c>
      <c r="BB286" s="52" t="n">
        <f aca="false">AF286+AG286+AL286+AQ286+AV286+BA286</f>
        <v>87606.7736208325</v>
      </c>
      <c r="BC286" s="54" t="n">
        <v>0.976</v>
      </c>
      <c r="BD286" s="32"/>
      <c r="BE286" s="30" t="s">
        <v>205</v>
      </c>
      <c r="BF286" s="30" t="s">
        <v>212</v>
      </c>
      <c r="BG286" s="32" t="s">
        <v>197</v>
      </c>
    </row>
    <row r="287" customFormat="false" ht="26.5" hidden="false" customHeight="false" outlineLevel="0" collapsed="false">
      <c r="A287" s="18" t="s">
        <v>210</v>
      </c>
      <c r="B287" s="18" t="s">
        <v>207</v>
      </c>
      <c r="C287" s="18" t="s">
        <v>211</v>
      </c>
      <c r="D287" s="49" t="n">
        <v>46266</v>
      </c>
      <c r="E287" s="18" t="s">
        <v>109</v>
      </c>
      <c r="F287" s="18" t="s">
        <v>99</v>
      </c>
      <c r="G287" s="18" t="s">
        <v>110</v>
      </c>
      <c r="H287" s="18" t="s">
        <v>107</v>
      </c>
      <c r="I287" s="18" t="s">
        <v>102</v>
      </c>
      <c r="J287" s="50" t="n">
        <v>17784.8</v>
      </c>
      <c r="K287" s="51" t="n">
        <v>0.34816247582205</v>
      </c>
      <c r="L287" s="51" t="n">
        <v>0.03</v>
      </c>
      <c r="M287" s="51" t="n">
        <v>1</v>
      </c>
      <c r="N287" s="52" t="n">
        <f aca="false">J287*K287*L287*M287</f>
        <v>185.76</v>
      </c>
      <c r="O287" s="50" t="n">
        <v>1.08</v>
      </c>
      <c r="P287" s="52" t="n">
        <f aca="false">N287*O287</f>
        <v>200.6208</v>
      </c>
      <c r="Q287" s="50" t="n">
        <v>0.86</v>
      </c>
      <c r="R287" s="52" t="n">
        <f aca="false">P287*Q287</f>
        <v>172.533888</v>
      </c>
      <c r="S287" s="50" t="n">
        <v>0.05</v>
      </c>
      <c r="T287" s="52" t="n">
        <f aca="false">N287*S287</f>
        <v>9.288</v>
      </c>
      <c r="U287" s="52" t="n">
        <v>0.014</v>
      </c>
      <c r="V287" s="52" t="n">
        <f aca="false">P287*U287</f>
        <v>2.8086912</v>
      </c>
      <c r="W287" s="53" t="s">
        <v>195</v>
      </c>
      <c r="X287" s="50" t="n">
        <v>3.4155</v>
      </c>
      <c r="Y287" s="53" t="s">
        <v>198</v>
      </c>
      <c r="Z287" s="50" t="n">
        <v>0.2484</v>
      </c>
      <c r="AA287" s="50" t="n">
        <v>7.92</v>
      </c>
      <c r="AB287" s="50" t="n">
        <v>9.15</v>
      </c>
      <c r="AC287" s="52" t="n">
        <f aca="false">IF(W287="EUR",AA287,IF(W287="GBP",AB287,1))</f>
        <v>7.92</v>
      </c>
      <c r="AD287" s="52" t="n">
        <f aca="false">R287*X287</f>
        <v>589.289494464</v>
      </c>
      <c r="AE287" s="52" t="n">
        <f aca="false">IF(Y287="PERCENTAGE_OF_BASE_FREIGHT",AD287*Z287,IF(Y287="PER_CHARGEABLE_KG",R287*Z287,P287*Z287))</f>
        <v>42.8574177792</v>
      </c>
      <c r="AF287" s="52" t="n">
        <f aca="false">AD287*AC287</f>
        <v>4667.17279615488</v>
      </c>
      <c r="AG287" s="52" t="n">
        <f aca="false">AE287*AC287</f>
        <v>339.430748811264</v>
      </c>
      <c r="AH287" s="52" t="s">
        <v>195</v>
      </c>
      <c r="AI287" s="52" t="n">
        <v>1.08675</v>
      </c>
      <c r="AJ287" s="52" t="n">
        <f aca="false">IF(AH287="EUR",AA287,IF(AH287="GBP",AB287,1))</f>
        <v>7.92</v>
      </c>
      <c r="AK287" s="52" t="n">
        <f aca="false">N287*AI287</f>
        <v>201.87468</v>
      </c>
      <c r="AL287" s="52" t="n">
        <f aca="false">AK287*AJ287</f>
        <v>1598.8474656</v>
      </c>
      <c r="AM287" s="52" t="s">
        <v>195</v>
      </c>
      <c r="AN287" s="52" t="n">
        <v>0.3933</v>
      </c>
      <c r="AO287" s="52" t="n">
        <f aca="false">IF(AM287="EUR",AA287,IF(AM287="GBP",AB287,1))</f>
        <v>7.92</v>
      </c>
      <c r="AP287" s="52" t="n">
        <f aca="false">P287*AN287</f>
        <v>78.90416064</v>
      </c>
      <c r="AQ287" s="52" t="n">
        <f aca="false">AP287*AO287</f>
        <v>624.9209522688</v>
      </c>
      <c r="AR287" s="52" t="s">
        <v>195</v>
      </c>
      <c r="AS287" s="52" t="n">
        <v>3.933</v>
      </c>
      <c r="AT287" s="52" t="n">
        <f aca="false">IF(AR287="EUR",AA287,IF(AR287="GBP",AB287,1))</f>
        <v>7.92</v>
      </c>
      <c r="AU287" s="52" t="n">
        <f aca="false">T287*AS287</f>
        <v>36.529704</v>
      </c>
      <c r="AV287" s="52" t="n">
        <f aca="false">AU287*AT287</f>
        <v>289.31525568</v>
      </c>
      <c r="AW287" s="52" t="s">
        <v>195</v>
      </c>
      <c r="AX287" s="52" t="n">
        <v>2.3805</v>
      </c>
      <c r="AY287" s="52" t="n">
        <f aca="false">IF(AW287="EUR",AA287,IF(AW287="GBP",AB287,1))</f>
        <v>7.92</v>
      </c>
      <c r="AZ287" s="52" t="n">
        <f aca="false">V287*AX287</f>
        <v>6.6860894016</v>
      </c>
      <c r="BA287" s="52" t="n">
        <f aca="false">AZ287*AY287</f>
        <v>52.953828060672</v>
      </c>
      <c r="BB287" s="52" t="n">
        <f aca="false">AF287+AG287+AL287+AQ287+AV287+BA287</f>
        <v>7572.64104657561</v>
      </c>
      <c r="BC287" s="54" t="n">
        <v>0.968</v>
      </c>
      <c r="BD287" s="32"/>
      <c r="BE287" s="30" t="s">
        <v>205</v>
      </c>
      <c r="BF287" s="30" t="s">
        <v>212</v>
      </c>
      <c r="BG287" s="32" t="s">
        <v>197</v>
      </c>
    </row>
    <row r="288" customFormat="false" ht="26.5" hidden="false" customHeight="false" outlineLevel="0" collapsed="false">
      <c r="A288" s="18" t="s">
        <v>210</v>
      </c>
      <c r="B288" s="18" t="s">
        <v>207</v>
      </c>
      <c r="C288" s="18" t="s">
        <v>211</v>
      </c>
      <c r="D288" s="49" t="n">
        <v>46266</v>
      </c>
      <c r="E288" s="18" t="s">
        <v>112</v>
      </c>
      <c r="F288" s="18" t="s">
        <v>113</v>
      </c>
      <c r="G288" s="18" t="s">
        <v>110</v>
      </c>
      <c r="H288" s="18" t="s">
        <v>101</v>
      </c>
      <c r="I288" s="18" t="s">
        <v>102</v>
      </c>
      <c r="J288" s="50" t="n">
        <v>17784.8</v>
      </c>
      <c r="K288" s="51" t="n">
        <v>0.290135396518375</v>
      </c>
      <c r="L288" s="51" t="n">
        <v>1</v>
      </c>
      <c r="M288" s="51" t="n">
        <v>0.35</v>
      </c>
      <c r="N288" s="52" t="n">
        <f aca="false">J288*K288*L288*M288</f>
        <v>1806</v>
      </c>
      <c r="O288" s="50" t="n">
        <v>1.06</v>
      </c>
      <c r="P288" s="52" t="n">
        <f aca="false">N288*O288</f>
        <v>1914.36</v>
      </c>
      <c r="Q288" s="50" t="n">
        <v>0.76</v>
      </c>
      <c r="R288" s="52" t="n">
        <f aca="false">P288*Q288</f>
        <v>1454.9136</v>
      </c>
      <c r="S288" s="50" t="n">
        <v>0.06</v>
      </c>
      <c r="T288" s="52" t="n">
        <f aca="false">N288*S288</f>
        <v>108.36</v>
      </c>
      <c r="U288" s="52" t="n">
        <v>0.017</v>
      </c>
      <c r="V288" s="52" t="n">
        <f aca="false">P288*U288</f>
        <v>32.54412</v>
      </c>
      <c r="W288" s="53" t="s">
        <v>195</v>
      </c>
      <c r="X288" s="50" t="n">
        <v>2.1735</v>
      </c>
      <c r="Y288" s="53" t="s">
        <v>196</v>
      </c>
      <c r="Z288" s="50" t="n">
        <v>0.09315</v>
      </c>
      <c r="AA288" s="50" t="n">
        <v>7.92</v>
      </c>
      <c r="AB288" s="50" t="n">
        <v>9.15</v>
      </c>
      <c r="AC288" s="52" t="n">
        <f aca="false">IF(W288="EUR",AA288,IF(W288="GBP",AB288,1))</f>
        <v>7.92</v>
      </c>
      <c r="AD288" s="52" t="n">
        <f aca="false">R288*X288</f>
        <v>3162.2547096</v>
      </c>
      <c r="AE288" s="52" t="n">
        <f aca="false">IF(Y288="PERCENTAGE_OF_BASE_FREIGHT",AD288*Z288,IF(Y288="PER_CHARGEABLE_KG",R288*Z288,P288*Z288))</f>
        <v>294.56402619924</v>
      </c>
      <c r="AF288" s="52" t="n">
        <f aca="false">AD288*AC288</f>
        <v>25045.057300032</v>
      </c>
      <c r="AG288" s="52" t="n">
        <f aca="false">AE288*AC288</f>
        <v>2332.94708749798</v>
      </c>
      <c r="AH288" s="52" t="s">
        <v>195</v>
      </c>
      <c r="AI288" s="52" t="n">
        <v>1.08675</v>
      </c>
      <c r="AJ288" s="52" t="n">
        <f aca="false">IF(AH288="EUR",AA288,IF(AH288="GBP",AB288,1))</f>
        <v>7.92</v>
      </c>
      <c r="AK288" s="52" t="n">
        <f aca="false">N288*AI288</f>
        <v>1962.6705</v>
      </c>
      <c r="AL288" s="52" t="n">
        <f aca="false">AK288*AJ288</f>
        <v>15544.35036</v>
      </c>
      <c r="AM288" s="52" t="s">
        <v>195</v>
      </c>
      <c r="AN288" s="52" t="n">
        <v>0.3933</v>
      </c>
      <c r="AO288" s="52" t="n">
        <f aca="false">IF(AM288="EUR",AA288,IF(AM288="GBP",AB288,1))</f>
        <v>7.92</v>
      </c>
      <c r="AP288" s="52" t="n">
        <f aca="false">P288*AN288</f>
        <v>752.917788</v>
      </c>
      <c r="AQ288" s="52" t="n">
        <f aca="false">AP288*AO288</f>
        <v>5963.10888096</v>
      </c>
      <c r="AR288" s="52" t="s">
        <v>195</v>
      </c>
      <c r="AS288" s="52" t="n">
        <v>3.105</v>
      </c>
      <c r="AT288" s="52" t="n">
        <f aca="false">IF(AR288="EUR",AA288,IF(AR288="GBP",AB288,1))</f>
        <v>7.92</v>
      </c>
      <c r="AU288" s="52" t="n">
        <f aca="false">T288*AS288</f>
        <v>336.4578</v>
      </c>
      <c r="AV288" s="52" t="n">
        <f aca="false">AU288*AT288</f>
        <v>2664.745776</v>
      </c>
      <c r="AW288" s="52" t="s">
        <v>195</v>
      </c>
      <c r="AX288" s="52" t="n">
        <v>2.3805</v>
      </c>
      <c r="AY288" s="52" t="n">
        <f aca="false">IF(AW288="EUR",AA288,IF(AW288="GBP",AB288,1))</f>
        <v>7.92</v>
      </c>
      <c r="AZ288" s="52" t="n">
        <f aca="false">V288*AX288</f>
        <v>77.47127766</v>
      </c>
      <c r="BA288" s="52" t="n">
        <f aca="false">AZ288*AY288</f>
        <v>613.5725190672</v>
      </c>
      <c r="BB288" s="52" t="n">
        <f aca="false">AF288+AG288+AL288+AQ288+AV288+BA288</f>
        <v>52163.7819235572</v>
      </c>
      <c r="BC288" s="54" t="n">
        <v>0.961</v>
      </c>
      <c r="BD288" s="32"/>
      <c r="BE288" s="30" t="s">
        <v>205</v>
      </c>
      <c r="BF288" s="30" t="s">
        <v>212</v>
      </c>
      <c r="BG288" s="32" t="s">
        <v>197</v>
      </c>
    </row>
    <row r="289" customFormat="false" ht="26.5" hidden="false" customHeight="false" outlineLevel="0" collapsed="false">
      <c r="A289" s="18" t="s">
        <v>210</v>
      </c>
      <c r="B289" s="18" t="s">
        <v>207</v>
      </c>
      <c r="C289" s="18" t="s">
        <v>211</v>
      </c>
      <c r="D289" s="49" t="n">
        <v>46266</v>
      </c>
      <c r="E289" s="18" t="s">
        <v>116</v>
      </c>
      <c r="F289" s="18" t="s">
        <v>113</v>
      </c>
      <c r="G289" s="18" t="s">
        <v>110</v>
      </c>
      <c r="H289" s="18" t="s">
        <v>107</v>
      </c>
      <c r="I289" s="18" t="s">
        <v>102</v>
      </c>
      <c r="J289" s="50" t="n">
        <v>17784.8</v>
      </c>
      <c r="K289" s="51" t="n">
        <v>0.290135396518375</v>
      </c>
      <c r="L289" s="51" t="n">
        <v>1</v>
      </c>
      <c r="M289" s="51" t="n">
        <v>0.65</v>
      </c>
      <c r="N289" s="52" t="n">
        <f aca="false">J289*K289*L289*M289</f>
        <v>3354</v>
      </c>
      <c r="O289" s="50" t="n">
        <v>1.06</v>
      </c>
      <c r="P289" s="52" t="n">
        <f aca="false">N289*O289</f>
        <v>3555.24</v>
      </c>
      <c r="Q289" s="50" t="n">
        <v>0.79</v>
      </c>
      <c r="R289" s="52" t="n">
        <f aca="false">P289*Q289</f>
        <v>2808.6396</v>
      </c>
      <c r="S289" s="50" t="n">
        <v>0.06</v>
      </c>
      <c r="T289" s="52" t="n">
        <f aca="false">N289*S289</f>
        <v>201.24</v>
      </c>
      <c r="U289" s="52" t="n">
        <v>0.014</v>
      </c>
      <c r="V289" s="52" t="n">
        <f aca="false">P289*U289</f>
        <v>49.77336</v>
      </c>
      <c r="W289" s="53" t="s">
        <v>195</v>
      </c>
      <c r="X289" s="50" t="n">
        <v>2.691</v>
      </c>
      <c r="Y289" s="53" t="s">
        <v>198</v>
      </c>
      <c r="Z289" s="50" t="n">
        <v>0.207</v>
      </c>
      <c r="AA289" s="50" t="n">
        <v>7.92</v>
      </c>
      <c r="AB289" s="50" t="n">
        <v>9.15</v>
      </c>
      <c r="AC289" s="52" t="n">
        <f aca="false">IF(W289="EUR",AA289,IF(W289="GBP",AB289,1))</f>
        <v>7.92</v>
      </c>
      <c r="AD289" s="52" t="n">
        <f aca="false">R289*X289</f>
        <v>7558.0491636</v>
      </c>
      <c r="AE289" s="52" t="n">
        <f aca="false">IF(Y289="PERCENTAGE_OF_BASE_FREIGHT",AD289*Z289,IF(Y289="PER_CHARGEABLE_KG",R289*Z289,P289*Z289))</f>
        <v>581.3883972</v>
      </c>
      <c r="AF289" s="52" t="n">
        <f aca="false">AD289*AC289</f>
        <v>59859.749375712</v>
      </c>
      <c r="AG289" s="52" t="n">
        <f aca="false">AE289*AC289</f>
        <v>4604.596105824</v>
      </c>
      <c r="AH289" s="52" t="s">
        <v>195</v>
      </c>
      <c r="AI289" s="52" t="n">
        <v>1.08675</v>
      </c>
      <c r="AJ289" s="52" t="n">
        <f aca="false">IF(AH289="EUR",AA289,IF(AH289="GBP",AB289,1))</f>
        <v>7.92</v>
      </c>
      <c r="AK289" s="52" t="n">
        <f aca="false">N289*AI289</f>
        <v>3644.9595</v>
      </c>
      <c r="AL289" s="52" t="n">
        <f aca="false">AK289*AJ289</f>
        <v>28868.07924</v>
      </c>
      <c r="AM289" s="52" t="s">
        <v>195</v>
      </c>
      <c r="AN289" s="52" t="n">
        <v>0.3933</v>
      </c>
      <c r="AO289" s="52" t="n">
        <f aca="false">IF(AM289="EUR",AA289,IF(AM289="GBP",AB289,1))</f>
        <v>7.92</v>
      </c>
      <c r="AP289" s="52" t="n">
        <f aca="false">P289*AN289</f>
        <v>1398.275892</v>
      </c>
      <c r="AQ289" s="52" t="n">
        <f aca="false">AP289*AO289</f>
        <v>11074.34506464</v>
      </c>
      <c r="AR289" s="52" t="s">
        <v>195</v>
      </c>
      <c r="AS289" s="52" t="n">
        <v>3.105</v>
      </c>
      <c r="AT289" s="52" t="n">
        <f aca="false">IF(AR289="EUR",AA289,IF(AR289="GBP",AB289,1))</f>
        <v>7.92</v>
      </c>
      <c r="AU289" s="52" t="n">
        <f aca="false">T289*AS289</f>
        <v>624.8502</v>
      </c>
      <c r="AV289" s="52" t="n">
        <f aca="false">AU289*AT289</f>
        <v>4948.813584</v>
      </c>
      <c r="AW289" s="52" t="s">
        <v>195</v>
      </c>
      <c r="AX289" s="52" t="n">
        <v>2.3805</v>
      </c>
      <c r="AY289" s="52" t="n">
        <f aca="false">IF(AW289="EUR",AA289,IF(AW289="GBP",AB289,1))</f>
        <v>7.92</v>
      </c>
      <c r="AZ289" s="52" t="n">
        <f aca="false">V289*AX289</f>
        <v>118.48548348</v>
      </c>
      <c r="BA289" s="52" t="n">
        <f aca="false">AZ289*AY289</f>
        <v>938.4050291616</v>
      </c>
      <c r="BB289" s="52" t="n">
        <f aca="false">AF289+AG289+AL289+AQ289+AV289+BA289</f>
        <v>110293.988399338</v>
      </c>
      <c r="BC289" s="54" t="n">
        <v>0.973</v>
      </c>
      <c r="BD289" s="32"/>
      <c r="BE289" s="30" t="s">
        <v>205</v>
      </c>
      <c r="BF289" s="30" t="s">
        <v>212</v>
      </c>
      <c r="BG289" s="32" t="s">
        <v>197</v>
      </c>
    </row>
    <row r="290" customFormat="false" ht="26.5" hidden="false" customHeight="false" outlineLevel="0" collapsed="false">
      <c r="A290" s="18" t="s">
        <v>210</v>
      </c>
      <c r="B290" s="18" t="s">
        <v>207</v>
      </c>
      <c r="C290" s="18" t="s">
        <v>211</v>
      </c>
      <c r="D290" s="49" t="n">
        <v>46266</v>
      </c>
      <c r="E290" s="18" t="s">
        <v>118</v>
      </c>
      <c r="F290" s="18" t="s">
        <v>119</v>
      </c>
      <c r="G290" s="18" t="s">
        <v>100</v>
      </c>
      <c r="H290" s="18" t="s">
        <v>101</v>
      </c>
      <c r="I290" s="18" t="s">
        <v>102</v>
      </c>
      <c r="J290" s="50" t="n">
        <v>17784.8</v>
      </c>
      <c r="K290" s="51" t="n">
        <v>0.361702127659575</v>
      </c>
      <c r="L290" s="51" t="n">
        <v>0.96</v>
      </c>
      <c r="M290" s="51" t="n">
        <v>0.3</v>
      </c>
      <c r="N290" s="52" t="n">
        <f aca="false">J290*K290*L290*M290</f>
        <v>1852.6464</v>
      </c>
      <c r="O290" s="50" t="n">
        <v>1.19</v>
      </c>
      <c r="P290" s="52" t="n">
        <f aca="false">N290*O290</f>
        <v>2204.649216</v>
      </c>
      <c r="Q290" s="50" t="n">
        <v>1.0404</v>
      </c>
      <c r="R290" s="52" t="n">
        <f aca="false">P290*Q290</f>
        <v>2293.7170443264</v>
      </c>
      <c r="S290" s="50" t="n">
        <v>0.095</v>
      </c>
      <c r="T290" s="52" t="n">
        <f aca="false">N290*S290</f>
        <v>176.001408</v>
      </c>
      <c r="U290" s="52" t="n">
        <v>0.027</v>
      </c>
      <c r="V290" s="52" t="n">
        <f aca="false">P290*U290</f>
        <v>59.525528832</v>
      </c>
      <c r="W290" s="53" t="s">
        <v>199</v>
      </c>
      <c r="X290" s="50" t="n">
        <v>4.14</v>
      </c>
      <c r="Y290" s="53" t="s">
        <v>196</v>
      </c>
      <c r="Z290" s="50" t="n">
        <v>0.1035</v>
      </c>
      <c r="AA290" s="50" t="n">
        <v>7.92</v>
      </c>
      <c r="AB290" s="50" t="n">
        <v>9.15</v>
      </c>
      <c r="AC290" s="52" t="n">
        <f aca="false">IF(W290="EUR",AA290,IF(W290="GBP",AB290,1))</f>
        <v>9.15</v>
      </c>
      <c r="AD290" s="52" t="n">
        <f aca="false">R290*X290</f>
        <v>9495.9885635113</v>
      </c>
      <c r="AE290" s="52" t="n">
        <f aca="false">IF(Y290="PERCENTAGE_OF_BASE_FREIGHT",AD290*Z290,IF(Y290="PER_CHARGEABLE_KG",R290*Z290,P290*Z290))</f>
        <v>982.834816323419</v>
      </c>
      <c r="AF290" s="52" t="n">
        <f aca="false">AD290*AC290</f>
        <v>86888.2953561284</v>
      </c>
      <c r="AG290" s="52" t="n">
        <f aca="false">AE290*AC290</f>
        <v>8992.93856935929</v>
      </c>
      <c r="AH290" s="52" t="s">
        <v>195</v>
      </c>
      <c r="AI290" s="52" t="n">
        <v>1.37620106985006</v>
      </c>
      <c r="AJ290" s="52" t="n">
        <f aca="false">IF(AH290="EUR",AA290,IF(AH290="GBP",AB290,1))</f>
        <v>7.92</v>
      </c>
      <c r="AK290" s="52" t="n">
        <f aca="false">N290*AI290</f>
        <v>2549.61395773385</v>
      </c>
      <c r="AL290" s="52" t="n">
        <f aca="false">AK290*AJ290</f>
        <v>20192.9425452521</v>
      </c>
      <c r="AM290" s="52" t="s">
        <v>195</v>
      </c>
      <c r="AN290" s="52" t="n">
        <v>0.4347</v>
      </c>
      <c r="AO290" s="52" t="n">
        <f aca="false">IF(AM290="EUR",AA290,IF(AM290="GBP",AB290,1))</f>
        <v>7.92</v>
      </c>
      <c r="AP290" s="52" t="n">
        <f aca="false">P290*AN290</f>
        <v>958.3610141952</v>
      </c>
      <c r="AQ290" s="52" t="n">
        <f aca="false">AP290*AO290</f>
        <v>7590.21923242598</v>
      </c>
      <c r="AR290" s="52" t="s">
        <v>199</v>
      </c>
      <c r="AS290" s="52" t="n">
        <v>4.968</v>
      </c>
      <c r="AT290" s="52" t="n">
        <f aca="false">IF(AR290="EUR",AA290,IF(AR290="GBP",AB290,1))</f>
        <v>9.15</v>
      </c>
      <c r="AU290" s="52" t="n">
        <f aca="false">T290*AS290</f>
        <v>874.374994944</v>
      </c>
      <c r="AV290" s="52" t="n">
        <f aca="false">AU290*AT290</f>
        <v>8000.5312037376</v>
      </c>
      <c r="AW290" s="52" t="s">
        <v>199</v>
      </c>
      <c r="AX290" s="52" t="n">
        <v>2.3805</v>
      </c>
      <c r="AY290" s="52" t="n">
        <f aca="false">IF(AW290="EUR",AA290,IF(AW290="GBP",AB290,1))</f>
        <v>9.15</v>
      </c>
      <c r="AZ290" s="52" t="n">
        <f aca="false">V290*AX290</f>
        <v>141.700521384576</v>
      </c>
      <c r="BA290" s="52" t="n">
        <f aca="false">AZ290*AY290</f>
        <v>1296.55977066887</v>
      </c>
      <c r="BB290" s="52" t="n">
        <f aca="false">AF290+AG290+AL290+AQ290+AV290+BA290</f>
        <v>132961.486677572</v>
      </c>
      <c r="BC290" s="54" t="n">
        <v>0.93</v>
      </c>
      <c r="BD290" s="32"/>
      <c r="BE290" s="30" t="s">
        <v>205</v>
      </c>
      <c r="BF290" s="30" t="s">
        <v>212</v>
      </c>
      <c r="BG290" s="32" t="s">
        <v>197</v>
      </c>
    </row>
    <row r="291" customFormat="false" ht="26.5" hidden="false" customHeight="false" outlineLevel="0" collapsed="false">
      <c r="A291" s="18" t="s">
        <v>210</v>
      </c>
      <c r="B291" s="18" t="s">
        <v>207</v>
      </c>
      <c r="C291" s="18" t="s">
        <v>211</v>
      </c>
      <c r="D291" s="49" t="n">
        <v>46266</v>
      </c>
      <c r="E291" s="18" t="s">
        <v>122</v>
      </c>
      <c r="F291" s="18" t="s">
        <v>119</v>
      </c>
      <c r="G291" s="18" t="s">
        <v>100</v>
      </c>
      <c r="H291" s="18" t="s">
        <v>107</v>
      </c>
      <c r="I291" s="18" t="s">
        <v>102</v>
      </c>
      <c r="J291" s="50" t="n">
        <v>17784.8</v>
      </c>
      <c r="K291" s="51" t="n">
        <v>0.361702127659575</v>
      </c>
      <c r="L291" s="51" t="n">
        <v>0.96</v>
      </c>
      <c r="M291" s="51" t="n">
        <v>0.17</v>
      </c>
      <c r="N291" s="52" t="n">
        <f aca="false">J291*K291*L291*M291</f>
        <v>1049.83296</v>
      </c>
      <c r="O291" s="50" t="n">
        <v>1.19</v>
      </c>
      <c r="P291" s="52" t="n">
        <f aca="false">N291*O291</f>
        <v>1249.3012224</v>
      </c>
      <c r="Q291" s="50" t="n">
        <v>1.02</v>
      </c>
      <c r="R291" s="52" t="n">
        <f aca="false">P291*Q291</f>
        <v>1274.287246848</v>
      </c>
      <c r="S291" s="50" t="n">
        <v>0.095</v>
      </c>
      <c r="T291" s="52" t="n">
        <f aca="false">N291*S291</f>
        <v>99.7341312</v>
      </c>
      <c r="U291" s="52" t="n">
        <v>0.02</v>
      </c>
      <c r="V291" s="52" t="n">
        <f aca="false">P291*U291</f>
        <v>24.986024448</v>
      </c>
      <c r="W291" s="53" t="s">
        <v>199</v>
      </c>
      <c r="X291" s="50" t="n">
        <v>4.8645</v>
      </c>
      <c r="Y291" s="53" t="s">
        <v>198</v>
      </c>
      <c r="Z291" s="50" t="n">
        <v>0.34155</v>
      </c>
      <c r="AA291" s="50" t="n">
        <v>7.92</v>
      </c>
      <c r="AB291" s="50" t="n">
        <v>9.15</v>
      </c>
      <c r="AC291" s="52" t="n">
        <f aca="false">IF(W291="EUR",AA291,IF(W291="GBP",AB291,1))</f>
        <v>9.15</v>
      </c>
      <c r="AD291" s="52" t="n">
        <f aca="false">R291*X291</f>
        <v>6198.7703122921</v>
      </c>
      <c r="AE291" s="52" t="n">
        <f aca="false">IF(Y291="PERCENTAGE_OF_BASE_FREIGHT",AD291*Z291,IF(Y291="PER_CHARGEABLE_KG",R291*Z291,P291*Z291))</f>
        <v>435.232809160935</v>
      </c>
      <c r="AF291" s="52" t="n">
        <f aca="false">AD291*AC291</f>
        <v>56718.7483574727</v>
      </c>
      <c r="AG291" s="52" t="n">
        <f aca="false">AE291*AC291</f>
        <v>3982.38020382255</v>
      </c>
      <c r="AH291" s="52" t="s">
        <v>195</v>
      </c>
      <c r="AI291" s="52" t="n">
        <v>1.37620106985006</v>
      </c>
      <c r="AJ291" s="52" t="n">
        <f aca="false">IF(AH291="EUR",AA291,IF(AH291="GBP",AB291,1))</f>
        <v>7.92</v>
      </c>
      <c r="AK291" s="52" t="n">
        <f aca="false">N291*AI291</f>
        <v>1444.78124271585</v>
      </c>
      <c r="AL291" s="52" t="n">
        <f aca="false">AK291*AJ291</f>
        <v>11442.6674423095</v>
      </c>
      <c r="AM291" s="52" t="s">
        <v>195</v>
      </c>
      <c r="AN291" s="52" t="n">
        <v>0.4347</v>
      </c>
      <c r="AO291" s="52" t="n">
        <f aca="false">IF(AM291="EUR",AA291,IF(AM291="GBP",AB291,1))</f>
        <v>7.92</v>
      </c>
      <c r="AP291" s="52" t="n">
        <f aca="false">P291*AN291</f>
        <v>543.07124137728</v>
      </c>
      <c r="AQ291" s="52" t="n">
        <f aca="false">AP291*AO291</f>
        <v>4301.12423170806</v>
      </c>
      <c r="AR291" s="52" t="s">
        <v>199</v>
      </c>
      <c r="AS291" s="52" t="n">
        <v>4.968</v>
      </c>
      <c r="AT291" s="52" t="n">
        <f aca="false">IF(AR291="EUR",AA291,IF(AR291="GBP",AB291,1))</f>
        <v>9.15</v>
      </c>
      <c r="AU291" s="52" t="n">
        <f aca="false">T291*AS291</f>
        <v>495.4791638016</v>
      </c>
      <c r="AV291" s="52" t="n">
        <f aca="false">AU291*AT291</f>
        <v>4533.63434878464</v>
      </c>
      <c r="AW291" s="52" t="s">
        <v>199</v>
      </c>
      <c r="AX291" s="52" t="n">
        <v>2.3805</v>
      </c>
      <c r="AY291" s="52" t="n">
        <f aca="false">IF(AW291="EUR",AA291,IF(AW291="GBP",AB291,1))</f>
        <v>9.15</v>
      </c>
      <c r="AZ291" s="52" t="n">
        <f aca="false">V291*AX291</f>
        <v>59.479231198464</v>
      </c>
      <c r="BA291" s="52" t="n">
        <f aca="false">AZ291*AY291</f>
        <v>544.234965465946</v>
      </c>
      <c r="BB291" s="52" t="n">
        <f aca="false">AF291+AG291+AL291+AQ291+AV291+BA291</f>
        <v>81522.7895495634</v>
      </c>
      <c r="BC291" s="54" t="n">
        <v>0.95</v>
      </c>
      <c r="BD291" s="32"/>
      <c r="BE291" s="30" t="s">
        <v>205</v>
      </c>
      <c r="BF291" s="30" t="s">
        <v>212</v>
      </c>
      <c r="BG291" s="32" t="s">
        <v>197</v>
      </c>
    </row>
    <row r="292" customFormat="false" ht="26.5" hidden="false" customHeight="false" outlineLevel="0" collapsed="false">
      <c r="A292" s="18" t="s">
        <v>210</v>
      </c>
      <c r="B292" s="18" t="s">
        <v>207</v>
      </c>
      <c r="C292" s="18" t="s">
        <v>211</v>
      </c>
      <c r="D292" s="49" t="n">
        <v>46266</v>
      </c>
      <c r="E292" s="18" t="s">
        <v>124</v>
      </c>
      <c r="F292" s="18" t="s">
        <v>119</v>
      </c>
      <c r="G292" s="18" t="s">
        <v>100</v>
      </c>
      <c r="H292" s="18" t="s">
        <v>107</v>
      </c>
      <c r="I292" s="18" t="s">
        <v>125</v>
      </c>
      <c r="J292" s="50" t="n">
        <v>17784.8</v>
      </c>
      <c r="K292" s="51" t="n">
        <v>0.361702127659575</v>
      </c>
      <c r="L292" s="51" t="n">
        <v>0.96</v>
      </c>
      <c r="M292" s="51" t="n">
        <v>0.25</v>
      </c>
      <c r="N292" s="52" t="n">
        <f aca="false">J292*K292*L292*M292</f>
        <v>1543.872</v>
      </c>
      <c r="O292" s="50" t="n">
        <v>1.19</v>
      </c>
      <c r="P292" s="52" t="n">
        <f aca="false">N292*O292</f>
        <v>1837.20768</v>
      </c>
      <c r="Q292" s="50" t="n">
        <v>0.9588</v>
      </c>
      <c r="R292" s="52" t="n">
        <f aca="false">P292*Q292</f>
        <v>1761.514723584</v>
      </c>
      <c r="S292" s="50" t="n">
        <v>0.095</v>
      </c>
      <c r="T292" s="52" t="n">
        <f aca="false">N292*S292</f>
        <v>146.66784</v>
      </c>
      <c r="U292" s="52" t="n">
        <v>0.016</v>
      </c>
      <c r="V292" s="52" t="n">
        <f aca="false">P292*U292</f>
        <v>29.39532288</v>
      </c>
      <c r="W292" s="53" t="s">
        <v>199</v>
      </c>
      <c r="X292" s="50" t="n">
        <v>6.67368</v>
      </c>
      <c r="Y292" s="53" t="s">
        <v>196</v>
      </c>
      <c r="Z292" s="50" t="n">
        <v>0.123786</v>
      </c>
      <c r="AA292" s="50" t="n">
        <v>7.92</v>
      </c>
      <c r="AB292" s="50" t="n">
        <v>9.15</v>
      </c>
      <c r="AC292" s="52" t="n">
        <f aca="false">IF(W292="EUR",AA292,IF(W292="GBP",AB292,1))</f>
        <v>9.15</v>
      </c>
      <c r="AD292" s="52" t="n">
        <f aca="false">R292*X292</f>
        <v>11755.7855804881</v>
      </c>
      <c r="AE292" s="52" t="n">
        <f aca="false">IF(Y292="PERCENTAGE_OF_BASE_FREIGHT",AD292*Z292,IF(Y292="PER_CHARGEABLE_KG",R292*Z292,P292*Z292))</f>
        <v>1455.2016738663</v>
      </c>
      <c r="AF292" s="52" t="n">
        <f aca="false">AD292*AC292</f>
        <v>107565.438061466</v>
      </c>
      <c r="AG292" s="52" t="n">
        <f aca="false">AE292*AC292</f>
        <v>13315.0953158766</v>
      </c>
      <c r="AH292" s="52" t="s">
        <v>195</v>
      </c>
      <c r="AI292" s="52" t="n">
        <v>1.37620106985006</v>
      </c>
      <c r="AJ292" s="52" t="n">
        <f aca="false">IF(AH292="EUR",AA292,IF(AH292="GBP",AB292,1))</f>
        <v>7.92</v>
      </c>
      <c r="AK292" s="52" t="n">
        <f aca="false">N292*AI292</f>
        <v>2124.67829811155</v>
      </c>
      <c r="AL292" s="52" t="n">
        <f aca="false">AK292*AJ292</f>
        <v>16827.4521210434</v>
      </c>
      <c r="AM292" s="52" t="s">
        <v>195</v>
      </c>
      <c r="AN292" s="52" t="n">
        <v>0.4347</v>
      </c>
      <c r="AO292" s="52" t="n">
        <f aca="false">IF(AM292="EUR",AA292,IF(AM292="GBP",AB292,1))</f>
        <v>7.92</v>
      </c>
      <c r="AP292" s="52" t="n">
        <f aca="false">P292*AN292</f>
        <v>798.634178496</v>
      </c>
      <c r="AQ292" s="52" t="n">
        <f aca="false">AP292*AO292</f>
        <v>6325.18269368832</v>
      </c>
      <c r="AR292" s="52" t="s">
        <v>199</v>
      </c>
      <c r="AS292" s="52" t="n">
        <v>4.968</v>
      </c>
      <c r="AT292" s="52" t="n">
        <f aca="false">IF(AR292="EUR",AA292,IF(AR292="GBP",AB292,1))</f>
        <v>9.15</v>
      </c>
      <c r="AU292" s="52" t="n">
        <f aca="false">T292*AS292</f>
        <v>728.64582912</v>
      </c>
      <c r="AV292" s="52" t="n">
        <f aca="false">AU292*AT292</f>
        <v>6667.109336448</v>
      </c>
      <c r="AW292" s="52" t="s">
        <v>199</v>
      </c>
      <c r="AX292" s="52" t="n">
        <v>2.898</v>
      </c>
      <c r="AY292" s="52" t="n">
        <f aca="false">IF(AW292="EUR",AA292,IF(AW292="GBP",AB292,1))</f>
        <v>9.15</v>
      </c>
      <c r="AZ292" s="52" t="n">
        <f aca="false">V292*AX292</f>
        <v>85.18764570624</v>
      </c>
      <c r="BA292" s="52" t="n">
        <f aca="false">AZ292*AY292</f>
        <v>779.466958212096</v>
      </c>
      <c r="BB292" s="52" t="n">
        <f aca="false">AF292+AG292+AL292+AQ292+AV292+BA292</f>
        <v>151479.744486734</v>
      </c>
      <c r="BC292" s="54" t="n">
        <v>0.974</v>
      </c>
      <c r="BD292" s="32"/>
      <c r="BE292" s="30" t="s">
        <v>205</v>
      </c>
      <c r="BF292" s="30" t="s">
        <v>212</v>
      </c>
      <c r="BG292" s="32" t="s">
        <v>197</v>
      </c>
    </row>
    <row r="293" customFormat="false" ht="26.5" hidden="false" customHeight="false" outlineLevel="0" collapsed="false">
      <c r="A293" s="18" t="s">
        <v>210</v>
      </c>
      <c r="B293" s="18" t="s">
        <v>207</v>
      </c>
      <c r="C293" s="18" t="s">
        <v>211</v>
      </c>
      <c r="D293" s="49" t="n">
        <v>46266</v>
      </c>
      <c r="E293" s="18" t="s">
        <v>127</v>
      </c>
      <c r="F293" s="18" t="s">
        <v>119</v>
      </c>
      <c r="G293" s="18" t="s">
        <v>100</v>
      </c>
      <c r="H293" s="18" t="s">
        <v>128</v>
      </c>
      <c r="I293" s="18" t="s">
        <v>125</v>
      </c>
      <c r="J293" s="50" t="n">
        <v>17784.8</v>
      </c>
      <c r="K293" s="51" t="n">
        <v>0.361702127659575</v>
      </c>
      <c r="L293" s="51" t="n">
        <v>0.96</v>
      </c>
      <c r="M293" s="51" t="n">
        <v>0.28</v>
      </c>
      <c r="N293" s="52" t="n">
        <f aca="false">J293*K293*L293*M293</f>
        <v>1729.13664</v>
      </c>
      <c r="O293" s="50" t="n">
        <v>1.19</v>
      </c>
      <c r="P293" s="52" t="n">
        <f aca="false">N293*O293</f>
        <v>2057.6726016</v>
      </c>
      <c r="Q293" s="50" t="n">
        <v>0.9384</v>
      </c>
      <c r="R293" s="52" t="n">
        <f aca="false">P293*Q293</f>
        <v>1930.91996934144</v>
      </c>
      <c r="S293" s="50" t="n">
        <v>0.095</v>
      </c>
      <c r="T293" s="52" t="n">
        <f aca="false">N293*S293</f>
        <v>164.2679808</v>
      </c>
      <c r="U293" s="52" t="n">
        <v>0.011</v>
      </c>
      <c r="V293" s="52" t="n">
        <f aca="false">P293*U293</f>
        <v>22.6343986176</v>
      </c>
      <c r="W293" s="53" t="s">
        <v>199</v>
      </c>
      <c r="X293" s="50" t="n">
        <v>8.22825</v>
      </c>
      <c r="Y293" s="53" t="s">
        <v>198</v>
      </c>
      <c r="Z293" s="50" t="n">
        <v>0.636318</v>
      </c>
      <c r="AA293" s="50" t="n">
        <v>7.92</v>
      </c>
      <c r="AB293" s="50" t="n">
        <v>9.15</v>
      </c>
      <c r="AC293" s="52" t="n">
        <f aca="false">IF(W293="EUR",AA293,IF(W293="GBP",AB293,1))</f>
        <v>9.15</v>
      </c>
      <c r="AD293" s="52" t="n">
        <f aca="false">R293*X293</f>
        <v>15888.0922377337</v>
      </c>
      <c r="AE293" s="52" t="n">
        <f aca="false">IF(Y293="PERCENTAGE_OF_BASE_FREIGHT",AD293*Z293,IF(Y293="PER_CHARGEABLE_KG",R293*Z293,P293*Z293))</f>
        <v>1228.67913305141</v>
      </c>
      <c r="AF293" s="52" t="n">
        <f aca="false">AD293*AC293</f>
        <v>145376.043975263</v>
      </c>
      <c r="AG293" s="52" t="n">
        <f aca="false">AE293*AC293</f>
        <v>11242.4140674204</v>
      </c>
      <c r="AH293" s="52" t="s">
        <v>195</v>
      </c>
      <c r="AI293" s="52" t="n">
        <v>1.37620106985006</v>
      </c>
      <c r="AJ293" s="52" t="n">
        <f aca="false">IF(AH293="EUR",AA293,IF(AH293="GBP",AB293,1))</f>
        <v>7.92</v>
      </c>
      <c r="AK293" s="52" t="n">
        <f aca="false">N293*AI293</f>
        <v>2379.63969388493</v>
      </c>
      <c r="AL293" s="52" t="n">
        <f aca="false">AK293*AJ293</f>
        <v>18846.7463755687</v>
      </c>
      <c r="AM293" s="52" t="s">
        <v>195</v>
      </c>
      <c r="AN293" s="52" t="n">
        <v>0.4347</v>
      </c>
      <c r="AO293" s="52" t="n">
        <f aca="false">IF(AM293="EUR",AA293,IF(AM293="GBP",AB293,1))</f>
        <v>7.92</v>
      </c>
      <c r="AP293" s="52" t="n">
        <f aca="false">P293*AN293</f>
        <v>894.47027991552</v>
      </c>
      <c r="AQ293" s="52" t="n">
        <f aca="false">AP293*AO293</f>
        <v>7084.20461693092</v>
      </c>
      <c r="AR293" s="52" t="s">
        <v>199</v>
      </c>
      <c r="AS293" s="52" t="n">
        <v>4.968</v>
      </c>
      <c r="AT293" s="52" t="n">
        <f aca="false">IF(AR293="EUR",AA293,IF(AR293="GBP",AB293,1))</f>
        <v>9.15</v>
      </c>
      <c r="AU293" s="52" t="n">
        <f aca="false">T293*AS293</f>
        <v>816.0833286144</v>
      </c>
      <c r="AV293" s="52" t="n">
        <f aca="false">AU293*AT293</f>
        <v>7467.16245682176</v>
      </c>
      <c r="AW293" s="52" t="s">
        <v>199</v>
      </c>
      <c r="AX293" s="52" t="n">
        <v>3.726</v>
      </c>
      <c r="AY293" s="52" t="n">
        <f aca="false">IF(AW293="EUR",AA293,IF(AW293="GBP",AB293,1))</f>
        <v>9.15</v>
      </c>
      <c r="AZ293" s="52" t="n">
        <f aca="false">V293*AX293</f>
        <v>84.3357692491776</v>
      </c>
      <c r="BA293" s="52" t="n">
        <f aca="false">AZ293*AY293</f>
        <v>771.672288629975</v>
      </c>
      <c r="BB293" s="52" t="n">
        <f aca="false">AF293+AG293+AL293+AQ293+AV293+BA293</f>
        <v>190788.243780635</v>
      </c>
      <c r="BC293" s="54" t="n">
        <v>0.988</v>
      </c>
      <c r="BD293" s="32"/>
      <c r="BE293" s="30" t="s">
        <v>205</v>
      </c>
      <c r="BF293" s="30" t="s">
        <v>212</v>
      </c>
      <c r="BG293" s="32" t="s">
        <v>197</v>
      </c>
    </row>
    <row r="294" customFormat="false" ht="26.5" hidden="false" customHeight="false" outlineLevel="0" collapsed="false">
      <c r="A294" s="18" t="s">
        <v>210</v>
      </c>
      <c r="B294" s="18" t="s">
        <v>207</v>
      </c>
      <c r="C294" s="18" t="s">
        <v>211</v>
      </c>
      <c r="D294" s="49" t="n">
        <v>46266</v>
      </c>
      <c r="E294" s="18" t="s">
        <v>130</v>
      </c>
      <c r="F294" s="18" t="s">
        <v>119</v>
      </c>
      <c r="G294" s="18" t="s">
        <v>110</v>
      </c>
      <c r="H294" s="18" t="s">
        <v>107</v>
      </c>
      <c r="I294" s="18" t="s">
        <v>125</v>
      </c>
      <c r="J294" s="50" t="n">
        <v>17784.8</v>
      </c>
      <c r="K294" s="51" t="n">
        <v>0.361702127659575</v>
      </c>
      <c r="L294" s="51" t="n">
        <v>0.04</v>
      </c>
      <c r="M294" s="51" t="n">
        <v>1</v>
      </c>
      <c r="N294" s="52" t="n">
        <f aca="false">J294*K294*L294*M294</f>
        <v>257.312</v>
      </c>
      <c r="O294" s="50" t="n">
        <v>1.17</v>
      </c>
      <c r="P294" s="52" t="n">
        <f aca="false">N294*O294</f>
        <v>301.05504</v>
      </c>
      <c r="Q294" s="50" t="n">
        <v>0.918</v>
      </c>
      <c r="R294" s="52" t="n">
        <f aca="false">P294*Q294</f>
        <v>276.36852672</v>
      </c>
      <c r="S294" s="50" t="n">
        <v>0.095</v>
      </c>
      <c r="T294" s="52" t="n">
        <f aca="false">N294*S294</f>
        <v>24.44464</v>
      </c>
      <c r="U294" s="52" t="n">
        <v>0.014</v>
      </c>
      <c r="V294" s="52" t="n">
        <f aca="false">P294*U294</f>
        <v>4.21477056</v>
      </c>
      <c r="W294" s="53" t="s">
        <v>195</v>
      </c>
      <c r="X294" s="50" t="n">
        <v>6.9345</v>
      </c>
      <c r="Y294" s="53" t="s">
        <v>196</v>
      </c>
      <c r="Z294" s="50" t="n">
        <v>0.108675</v>
      </c>
      <c r="AA294" s="50" t="n">
        <v>7.92</v>
      </c>
      <c r="AB294" s="50" t="n">
        <v>9.15</v>
      </c>
      <c r="AC294" s="52" t="n">
        <f aca="false">IF(W294="EUR",AA294,IF(W294="GBP",AB294,1))</f>
        <v>7.92</v>
      </c>
      <c r="AD294" s="52" t="n">
        <f aca="false">R294*X294</f>
        <v>1916.47754853984</v>
      </c>
      <c r="AE294" s="52" t="n">
        <f aca="false">IF(Y294="PERCENTAGE_OF_BASE_FREIGHT",AD294*Z294,IF(Y294="PER_CHARGEABLE_KG",R294*Z294,P294*Z294))</f>
        <v>208.273197587567</v>
      </c>
      <c r="AF294" s="52" t="n">
        <f aca="false">AD294*AC294</f>
        <v>15178.5021844355</v>
      </c>
      <c r="AG294" s="52" t="n">
        <f aca="false">AE294*AC294</f>
        <v>1649.52372489353</v>
      </c>
      <c r="AH294" s="52" t="s">
        <v>195</v>
      </c>
      <c r="AI294" s="52" t="n">
        <v>1.08675</v>
      </c>
      <c r="AJ294" s="52" t="n">
        <f aca="false">IF(AH294="EUR",AA294,IF(AH294="GBP",AB294,1))</f>
        <v>7.92</v>
      </c>
      <c r="AK294" s="52" t="n">
        <f aca="false">N294*AI294</f>
        <v>279.633816</v>
      </c>
      <c r="AL294" s="52" t="n">
        <f aca="false">AK294*AJ294</f>
        <v>2214.69982272</v>
      </c>
      <c r="AM294" s="52" t="s">
        <v>195</v>
      </c>
      <c r="AN294" s="52" t="n">
        <v>0.3933</v>
      </c>
      <c r="AO294" s="52" t="n">
        <f aca="false">IF(AM294="EUR",AA294,IF(AM294="GBP",AB294,1))</f>
        <v>7.92</v>
      </c>
      <c r="AP294" s="52" t="n">
        <f aca="false">P294*AN294</f>
        <v>118.404947232</v>
      </c>
      <c r="AQ294" s="52" t="n">
        <f aca="false">AP294*AO294</f>
        <v>937.76718207744</v>
      </c>
      <c r="AR294" s="52" t="s">
        <v>195</v>
      </c>
      <c r="AS294" s="52" t="n">
        <v>5.382</v>
      </c>
      <c r="AT294" s="52" t="n">
        <f aca="false">IF(AR294="EUR",AA294,IF(AR294="GBP",AB294,1))</f>
        <v>7.92</v>
      </c>
      <c r="AU294" s="52" t="n">
        <f aca="false">T294*AS294</f>
        <v>131.56105248</v>
      </c>
      <c r="AV294" s="52" t="n">
        <f aca="false">AU294*AT294</f>
        <v>1041.9635356416</v>
      </c>
      <c r="AW294" s="52" t="s">
        <v>195</v>
      </c>
      <c r="AX294" s="52" t="n">
        <v>2.898</v>
      </c>
      <c r="AY294" s="52" t="n">
        <f aca="false">IF(AW294="EUR",AA294,IF(AW294="GBP",AB294,1))</f>
        <v>7.92</v>
      </c>
      <c r="AZ294" s="52" t="n">
        <f aca="false">V294*AX294</f>
        <v>12.21440508288</v>
      </c>
      <c r="BA294" s="52" t="n">
        <f aca="false">AZ294*AY294</f>
        <v>96.7380882564096</v>
      </c>
      <c r="BB294" s="52" t="n">
        <f aca="false">AF294+AG294+AL294+AQ294+AV294+BA294</f>
        <v>21119.1945380245</v>
      </c>
      <c r="BC294" s="54" t="n">
        <v>0.971</v>
      </c>
      <c r="BD294" s="32"/>
      <c r="BE294" s="30" t="s">
        <v>205</v>
      </c>
      <c r="BF294" s="30" t="s">
        <v>212</v>
      </c>
      <c r="BG294" s="32" t="s">
        <v>197</v>
      </c>
    </row>
    <row r="295" customFormat="false" ht="26.5" hidden="false" customHeight="false" outlineLevel="0" collapsed="false">
      <c r="A295" s="18" t="s">
        <v>210</v>
      </c>
      <c r="B295" s="18" t="s">
        <v>207</v>
      </c>
      <c r="C295" s="18" t="s">
        <v>211</v>
      </c>
      <c r="D295" s="49" t="n">
        <v>46296</v>
      </c>
      <c r="E295" s="18" t="s">
        <v>98</v>
      </c>
      <c r="F295" s="18" t="s">
        <v>99</v>
      </c>
      <c r="G295" s="18" t="s">
        <v>100</v>
      </c>
      <c r="H295" s="18" t="s">
        <v>101</v>
      </c>
      <c r="I295" s="18" t="s">
        <v>102</v>
      </c>
      <c r="J295" s="50" t="n">
        <v>20202</v>
      </c>
      <c r="K295" s="51" t="n">
        <v>0.328185328185328</v>
      </c>
      <c r="L295" s="51" t="n">
        <v>0.97</v>
      </c>
      <c r="M295" s="51" t="n">
        <v>0.6</v>
      </c>
      <c r="N295" s="52" t="n">
        <f aca="false">J295*K295*L295*M295</f>
        <v>3858.66</v>
      </c>
      <c r="O295" s="50" t="n">
        <v>1.05</v>
      </c>
      <c r="P295" s="52" t="n">
        <f aca="false">N295*O295</f>
        <v>4051.593</v>
      </c>
      <c r="Q295" s="50" t="n">
        <v>0.7878</v>
      </c>
      <c r="R295" s="52" t="n">
        <f aca="false">P295*Q295</f>
        <v>3191.8449654</v>
      </c>
      <c r="S295" s="50" t="n">
        <v>0.05</v>
      </c>
      <c r="T295" s="52" t="n">
        <f aca="false">N295*S295</f>
        <v>192.933</v>
      </c>
      <c r="U295" s="52" t="n">
        <v>0.016</v>
      </c>
      <c r="V295" s="52" t="n">
        <f aca="false">P295*U295</f>
        <v>64.825488</v>
      </c>
      <c r="W295" s="53" t="s">
        <v>195</v>
      </c>
      <c r="X295" s="50" t="n">
        <v>2.277</v>
      </c>
      <c r="Y295" s="53" t="s">
        <v>196</v>
      </c>
      <c r="Z295" s="50" t="n">
        <v>0.098325</v>
      </c>
      <c r="AA295" s="50" t="n">
        <v>7.9</v>
      </c>
      <c r="AB295" s="50" t="n">
        <v>9.1</v>
      </c>
      <c r="AC295" s="52" t="n">
        <f aca="false">IF(W295="EUR",AA295,IF(W295="GBP",AB295,1))</f>
        <v>7.9</v>
      </c>
      <c r="AD295" s="52" t="n">
        <f aca="false">R295*X295</f>
        <v>7267.8309862158</v>
      </c>
      <c r="AE295" s="52" t="n">
        <f aca="false">IF(Y295="PERCENTAGE_OF_BASE_FREIGHT",AD295*Z295,IF(Y295="PER_CHARGEABLE_KG",R295*Z295,P295*Z295))</f>
        <v>714.609481719668</v>
      </c>
      <c r="AF295" s="52" t="n">
        <f aca="false">AD295*AC295</f>
        <v>57415.8647911048</v>
      </c>
      <c r="AG295" s="52" t="n">
        <f aca="false">AE295*AC295</f>
        <v>5645.41490558538</v>
      </c>
      <c r="AH295" s="52" t="s">
        <v>195</v>
      </c>
      <c r="AI295" s="52" t="n">
        <v>1.35797114644313</v>
      </c>
      <c r="AJ295" s="52" t="n">
        <f aca="false">IF(AH295="EUR",AA295,IF(AH295="GBP",AB295,1))</f>
        <v>7.9</v>
      </c>
      <c r="AK295" s="52" t="n">
        <f aca="false">N295*AI295</f>
        <v>5239.94894393426</v>
      </c>
      <c r="AL295" s="52" t="n">
        <f aca="false">AK295*AJ295</f>
        <v>41395.5966570807</v>
      </c>
      <c r="AM295" s="52" t="s">
        <v>195</v>
      </c>
      <c r="AN295" s="52" t="n">
        <v>0.4347</v>
      </c>
      <c r="AO295" s="52" t="n">
        <f aca="false">IF(AM295="EUR",AA295,IF(AM295="GBP",AB295,1))</f>
        <v>7.9</v>
      </c>
      <c r="AP295" s="52" t="n">
        <f aca="false">P295*AN295</f>
        <v>1761.2274771</v>
      </c>
      <c r="AQ295" s="52" t="n">
        <f aca="false">AP295*AO295</f>
        <v>13913.69706909</v>
      </c>
      <c r="AR295" s="52" t="s">
        <v>195</v>
      </c>
      <c r="AS295" s="52" t="n">
        <v>3.312</v>
      </c>
      <c r="AT295" s="52" t="n">
        <f aca="false">IF(AR295="EUR",AA295,IF(AR295="GBP",AB295,1))</f>
        <v>7.9</v>
      </c>
      <c r="AU295" s="52" t="n">
        <f aca="false">T295*AS295</f>
        <v>638.994096</v>
      </c>
      <c r="AV295" s="52" t="n">
        <f aca="false">AU295*AT295</f>
        <v>5048.0533584</v>
      </c>
      <c r="AW295" s="52" t="s">
        <v>195</v>
      </c>
      <c r="AX295" s="52" t="n">
        <v>2.3805</v>
      </c>
      <c r="AY295" s="52" t="n">
        <f aca="false">IF(AW295="EUR",AA295,IF(AW295="GBP",AB295,1))</f>
        <v>7.9</v>
      </c>
      <c r="AZ295" s="52" t="n">
        <f aca="false">V295*AX295</f>
        <v>154.317074184</v>
      </c>
      <c r="BA295" s="52" t="n">
        <f aca="false">AZ295*AY295</f>
        <v>1219.1048860536</v>
      </c>
      <c r="BB295" s="52" t="n">
        <f aca="false">AF295+AG295+AL295+AQ295+AV295+BA295</f>
        <v>124637.731667314</v>
      </c>
      <c r="BC295" s="54" t="n">
        <v>0.965</v>
      </c>
      <c r="BD295" s="32"/>
      <c r="BE295" s="30" t="s">
        <v>205</v>
      </c>
      <c r="BF295" s="30" t="s">
        <v>212</v>
      </c>
      <c r="BG295" s="32" t="s">
        <v>197</v>
      </c>
    </row>
    <row r="296" customFormat="false" ht="26.5" hidden="false" customHeight="false" outlineLevel="0" collapsed="false">
      <c r="A296" s="18" t="s">
        <v>210</v>
      </c>
      <c r="B296" s="18" t="s">
        <v>207</v>
      </c>
      <c r="C296" s="18" t="s">
        <v>211</v>
      </c>
      <c r="D296" s="49" t="n">
        <v>46296</v>
      </c>
      <c r="E296" s="18" t="s">
        <v>106</v>
      </c>
      <c r="F296" s="18" t="s">
        <v>99</v>
      </c>
      <c r="G296" s="18" t="s">
        <v>100</v>
      </c>
      <c r="H296" s="18" t="s">
        <v>107</v>
      </c>
      <c r="I296" s="18" t="s">
        <v>102</v>
      </c>
      <c r="J296" s="50" t="n">
        <v>20202</v>
      </c>
      <c r="K296" s="51" t="n">
        <v>0.328185328185328</v>
      </c>
      <c r="L296" s="51" t="n">
        <v>0.97</v>
      </c>
      <c r="M296" s="51" t="n">
        <v>0.4</v>
      </c>
      <c r="N296" s="52" t="n">
        <f aca="false">J296*K296*L296*M296</f>
        <v>2572.44</v>
      </c>
      <c r="O296" s="50" t="n">
        <v>1.05</v>
      </c>
      <c r="P296" s="52" t="n">
        <f aca="false">N296*O296</f>
        <v>2701.062</v>
      </c>
      <c r="Q296" s="50" t="n">
        <v>0.808</v>
      </c>
      <c r="R296" s="52" t="n">
        <f aca="false">P296*Q296</f>
        <v>2182.458096</v>
      </c>
      <c r="S296" s="50" t="n">
        <v>0.05</v>
      </c>
      <c r="T296" s="52" t="n">
        <f aca="false">N296*S296</f>
        <v>128.622</v>
      </c>
      <c r="U296" s="52" t="n">
        <v>0.013</v>
      </c>
      <c r="V296" s="52" t="n">
        <f aca="false">P296*U296</f>
        <v>35.113806</v>
      </c>
      <c r="W296" s="53" t="s">
        <v>195</v>
      </c>
      <c r="X296" s="50" t="n">
        <v>2.84625</v>
      </c>
      <c r="Y296" s="53" t="s">
        <v>198</v>
      </c>
      <c r="Z296" s="50" t="n">
        <v>0.21735</v>
      </c>
      <c r="AA296" s="50" t="n">
        <v>7.9</v>
      </c>
      <c r="AB296" s="50" t="n">
        <v>9.1</v>
      </c>
      <c r="AC296" s="52" t="n">
        <f aca="false">IF(W296="EUR",AA296,IF(W296="GBP",AB296,1))</f>
        <v>7.9</v>
      </c>
      <c r="AD296" s="52" t="n">
        <f aca="false">R296*X296</f>
        <v>6211.82135574</v>
      </c>
      <c r="AE296" s="52" t="n">
        <f aca="false">IF(Y296="PERCENTAGE_OF_BASE_FREIGHT",AD296*Z296,IF(Y296="PER_CHARGEABLE_KG",R296*Z296,P296*Z296))</f>
        <v>474.3572671656</v>
      </c>
      <c r="AF296" s="52" t="n">
        <f aca="false">AD296*AC296</f>
        <v>49073.388710346</v>
      </c>
      <c r="AG296" s="52" t="n">
        <f aca="false">AE296*AC296</f>
        <v>3747.42241060824</v>
      </c>
      <c r="AH296" s="52" t="s">
        <v>195</v>
      </c>
      <c r="AI296" s="52" t="n">
        <v>1.35797114644313</v>
      </c>
      <c r="AJ296" s="52" t="n">
        <f aca="false">IF(AH296="EUR",AA296,IF(AH296="GBP",AB296,1))</f>
        <v>7.9</v>
      </c>
      <c r="AK296" s="52" t="n">
        <f aca="false">N296*AI296</f>
        <v>3493.29929595617</v>
      </c>
      <c r="AL296" s="52" t="n">
        <f aca="false">AK296*AJ296</f>
        <v>27597.0644380538</v>
      </c>
      <c r="AM296" s="52" t="s">
        <v>195</v>
      </c>
      <c r="AN296" s="52" t="n">
        <v>0.4347</v>
      </c>
      <c r="AO296" s="52" t="n">
        <f aca="false">IF(AM296="EUR",AA296,IF(AM296="GBP",AB296,1))</f>
        <v>7.9</v>
      </c>
      <c r="AP296" s="52" t="n">
        <f aca="false">P296*AN296</f>
        <v>1174.1516514</v>
      </c>
      <c r="AQ296" s="52" t="n">
        <f aca="false">AP296*AO296</f>
        <v>9275.79804606</v>
      </c>
      <c r="AR296" s="52" t="s">
        <v>195</v>
      </c>
      <c r="AS296" s="52" t="n">
        <v>3.312</v>
      </c>
      <c r="AT296" s="52" t="n">
        <f aca="false">IF(AR296="EUR",AA296,IF(AR296="GBP",AB296,1))</f>
        <v>7.9</v>
      </c>
      <c r="AU296" s="52" t="n">
        <f aca="false">T296*AS296</f>
        <v>425.996064</v>
      </c>
      <c r="AV296" s="52" t="n">
        <f aca="false">AU296*AT296</f>
        <v>3365.3689056</v>
      </c>
      <c r="AW296" s="52" t="s">
        <v>195</v>
      </c>
      <c r="AX296" s="52" t="n">
        <v>2.3805</v>
      </c>
      <c r="AY296" s="52" t="n">
        <f aca="false">IF(AW296="EUR",AA296,IF(AW296="GBP",AB296,1))</f>
        <v>7.9</v>
      </c>
      <c r="AZ296" s="52" t="n">
        <f aca="false">V296*AX296</f>
        <v>83.588415183</v>
      </c>
      <c r="BA296" s="52" t="n">
        <f aca="false">AZ296*AY296</f>
        <v>660.3484799457</v>
      </c>
      <c r="BB296" s="52" t="n">
        <f aca="false">AF296+AG296+AL296+AQ296+AV296+BA296</f>
        <v>93719.3909906137</v>
      </c>
      <c r="BC296" s="54" t="n">
        <v>0.976</v>
      </c>
      <c r="BD296" s="32"/>
      <c r="BE296" s="30" t="s">
        <v>205</v>
      </c>
      <c r="BF296" s="30" t="s">
        <v>212</v>
      </c>
      <c r="BG296" s="32" t="s">
        <v>197</v>
      </c>
    </row>
    <row r="297" customFormat="false" ht="26.5" hidden="false" customHeight="false" outlineLevel="0" collapsed="false">
      <c r="A297" s="18" t="s">
        <v>210</v>
      </c>
      <c r="B297" s="18" t="s">
        <v>207</v>
      </c>
      <c r="C297" s="18" t="s">
        <v>211</v>
      </c>
      <c r="D297" s="49" t="n">
        <v>46296</v>
      </c>
      <c r="E297" s="18" t="s">
        <v>109</v>
      </c>
      <c r="F297" s="18" t="s">
        <v>99</v>
      </c>
      <c r="G297" s="18" t="s">
        <v>110</v>
      </c>
      <c r="H297" s="18" t="s">
        <v>107</v>
      </c>
      <c r="I297" s="18" t="s">
        <v>102</v>
      </c>
      <c r="J297" s="50" t="n">
        <v>20202</v>
      </c>
      <c r="K297" s="51" t="n">
        <v>0.328185328185328</v>
      </c>
      <c r="L297" s="51" t="n">
        <v>0.03</v>
      </c>
      <c r="M297" s="51" t="n">
        <v>1</v>
      </c>
      <c r="N297" s="52" t="n">
        <f aca="false">J297*K297*L297*M297</f>
        <v>198.9</v>
      </c>
      <c r="O297" s="50" t="n">
        <v>1.08</v>
      </c>
      <c r="P297" s="52" t="n">
        <f aca="false">N297*O297</f>
        <v>214.812</v>
      </c>
      <c r="Q297" s="50" t="n">
        <v>0.8686</v>
      </c>
      <c r="R297" s="52" t="n">
        <f aca="false">P297*Q297</f>
        <v>186.5857032</v>
      </c>
      <c r="S297" s="50" t="n">
        <v>0.05</v>
      </c>
      <c r="T297" s="52" t="n">
        <f aca="false">N297*S297</f>
        <v>9.945</v>
      </c>
      <c r="U297" s="52" t="n">
        <v>0.014</v>
      </c>
      <c r="V297" s="52" t="n">
        <f aca="false">P297*U297</f>
        <v>3.007368</v>
      </c>
      <c r="W297" s="53" t="s">
        <v>195</v>
      </c>
      <c r="X297" s="50" t="n">
        <v>3.4155</v>
      </c>
      <c r="Y297" s="53" t="s">
        <v>198</v>
      </c>
      <c r="Z297" s="50" t="n">
        <v>0.2484</v>
      </c>
      <c r="AA297" s="50" t="n">
        <v>7.9</v>
      </c>
      <c r="AB297" s="50" t="n">
        <v>9.1</v>
      </c>
      <c r="AC297" s="52" t="n">
        <f aca="false">IF(W297="EUR",AA297,IF(W297="GBP",AB297,1))</f>
        <v>7.9</v>
      </c>
      <c r="AD297" s="52" t="n">
        <f aca="false">R297*X297</f>
        <v>637.2834692796</v>
      </c>
      <c r="AE297" s="52" t="n">
        <f aca="false">IF(Y297="PERCENTAGE_OF_BASE_FREIGHT",AD297*Z297,IF(Y297="PER_CHARGEABLE_KG",R297*Z297,P297*Z297))</f>
        <v>46.34788867488</v>
      </c>
      <c r="AF297" s="52" t="n">
        <f aca="false">AD297*AC297</f>
        <v>5034.53940730884</v>
      </c>
      <c r="AG297" s="52" t="n">
        <f aca="false">AE297*AC297</f>
        <v>366.148320531552</v>
      </c>
      <c r="AH297" s="52" t="s">
        <v>195</v>
      </c>
      <c r="AI297" s="52" t="n">
        <v>1.08675</v>
      </c>
      <c r="AJ297" s="52" t="n">
        <f aca="false">IF(AH297="EUR",AA297,IF(AH297="GBP",AB297,1))</f>
        <v>7.9</v>
      </c>
      <c r="AK297" s="52" t="n">
        <f aca="false">N297*AI297</f>
        <v>216.154575</v>
      </c>
      <c r="AL297" s="52" t="n">
        <f aca="false">AK297*AJ297</f>
        <v>1707.6211425</v>
      </c>
      <c r="AM297" s="52" t="s">
        <v>195</v>
      </c>
      <c r="AN297" s="52" t="n">
        <v>0.3933</v>
      </c>
      <c r="AO297" s="52" t="n">
        <f aca="false">IF(AM297="EUR",AA297,IF(AM297="GBP",AB297,1))</f>
        <v>7.9</v>
      </c>
      <c r="AP297" s="52" t="n">
        <f aca="false">P297*AN297</f>
        <v>84.4855596</v>
      </c>
      <c r="AQ297" s="52" t="n">
        <f aca="false">AP297*AO297</f>
        <v>667.43592084</v>
      </c>
      <c r="AR297" s="52" t="s">
        <v>195</v>
      </c>
      <c r="AS297" s="52" t="n">
        <v>3.933</v>
      </c>
      <c r="AT297" s="52" t="n">
        <f aca="false">IF(AR297="EUR",AA297,IF(AR297="GBP",AB297,1))</f>
        <v>7.9</v>
      </c>
      <c r="AU297" s="52" t="n">
        <f aca="false">T297*AS297</f>
        <v>39.113685</v>
      </c>
      <c r="AV297" s="52" t="n">
        <f aca="false">AU297*AT297</f>
        <v>308.9981115</v>
      </c>
      <c r="AW297" s="52" t="s">
        <v>195</v>
      </c>
      <c r="AX297" s="52" t="n">
        <v>2.3805</v>
      </c>
      <c r="AY297" s="52" t="n">
        <f aca="false">IF(AW297="EUR",AA297,IF(AW297="GBP",AB297,1))</f>
        <v>7.9</v>
      </c>
      <c r="AZ297" s="52" t="n">
        <f aca="false">V297*AX297</f>
        <v>7.159039524</v>
      </c>
      <c r="BA297" s="52" t="n">
        <f aca="false">AZ297*AY297</f>
        <v>56.5564122396</v>
      </c>
      <c r="BB297" s="52" t="n">
        <f aca="false">AF297+AG297+AL297+AQ297+AV297+BA297</f>
        <v>8141.29931491999</v>
      </c>
      <c r="BC297" s="54" t="n">
        <v>0.968</v>
      </c>
      <c r="BD297" s="32"/>
      <c r="BE297" s="30" t="s">
        <v>205</v>
      </c>
      <c r="BF297" s="30" t="s">
        <v>212</v>
      </c>
      <c r="BG297" s="32" t="s">
        <v>197</v>
      </c>
    </row>
    <row r="298" customFormat="false" ht="26.5" hidden="false" customHeight="false" outlineLevel="0" collapsed="false">
      <c r="A298" s="18" t="s">
        <v>210</v>
      </c>
      <c r="B298" s="18" t="s">
        <v>207</v>
      </c>
      <c r="C298" s="18" t="s">
        <v>211</v>
      </c>
      <c r="D298" s="49" t="n">
        <v>46296</v>
      </c>
      <c r="E298" s="18" t="s">
        <v>112</v>
      </c>
      <c r="F298" s="18" t="s">
        <v>113</v>
      </c>
      <c r="G298" s="18" t="s">
        <v>110</v>
      </c>
      <c r="H298" s="18" t="s">
        <v>101</v>
      </c>
      <c r="I298" s="18" t="s">
        <v>102</v>
      </c>
      <c r="J298" s="50" t="n">
        <v>20202</v>
      </c>
      <c r="K298" s="51" t="n">
        <v>0.28957528957529</v>
      </c>
      <c r="L298" s="51" t="n">
        <v>1</v>
      </c>
      <c r="M298" s="51" t="n">
        <v>0.35</v>
      </c>
      <c r="N298" s="52" t="n">
        <f aca="false">J298*K298*L298*M298</f>
        <v>2047.5</v>
      </c>
      <c r="O298" s="50" t="n">
        <v>1.06</v>
      </c>
      <c r="P298" s="52" t="n">
        <f aca="false">N298*O298</f>
        <v>2170.35</v>
      </c>
      <c r="Q298" s="50" t="n">
        <v>0.7676</v>
      </c>
      <c r="R298" s="52" t="n">
        <f aca="false">P298*Q298</f>
        <v>1665.96066</v>
      </c>
      <c r="S298" s="50" t="n">
        <v>0.06</v>
      </c>
      <c r="T298" s="52" t="n">
        <f aca="false">N298*S298</f>
        <v>122.85</v>
      </c>
      <c r="U298" s="52" t="n">
        <v>0.017</v>
      </c>
      <c r="V298" s="52" t="n">
        <f aca="false">P298*U298</f>
        <v>36.89595</v>
      </c>
      <c r="W298" s="53" t="s">
        <v>195</v>
      </c>
      <c r="X298" s="50" t="n">
        <v>2.1735</v>
      </c>
      <c r="Y298" s="53" t="s">
        <v>196</v>
      </c>
      <c r="Z298" s="50" t="n">
        <v>0.09315</v>
      </c>
      <c r="AA298" s="50" t="n">
        <v>7.9</v>
      </c>
      <c r="AB298" s="50" t="n">
        <v>9.1</v>
      </c>
      <c r="AC298" s="52" t="n">
        <f aca="false">IF(W298="EUR",AA298,IF(W298="GBP",AB298,1))</f>
        <v>7.9</v>
      </c>
      <c r="AD298" s="52" t="n">
        <f aca="false">R298*X298</f>
        <v>3620.96549451</v>
      </c>
      <c r="AE298" s="52" t="n">
        <f aca="false">IF(Y298="PERCENTAGE_OF_BASE_FREIGHT",AD298*Z298,IF(Y298="PER_CHARGEABLE_KG",R298*Z298,P298*Z298))</f>
        <v>337.292935813606</v>
      </c>
      <c r="AF298" s="52" t="n">
        <f aca="false">AD298*AC298</f>
        <v>28605.627406629</v>
      </c>
      <c r="AG298" s="52" t="n">
        <f aca="false">AE298*AC298</f>
        <v>2664.61419292749</v>
      </c>
      <c r="AH298" s="52" t="s">
        <v>195</v>
      </c>
      <c r="AI298" s="52" t="n">
        <v>1.08675</v>
      </c>
      <c r="AJ298" s="52" t="n">
        <f aca="false">IF(AH298="EUR",AA298,IF(AH298="GBP",AB298,1))</f>
        <v>7.9</v>
      </c>
      <c r="AK298" s="52" t="n">
        <f aca="false">N298*AI298</f>
        <v>2225.120625</v>
      </c>
      <c r="AL298" s="52" t="n">
        <f aca="false">AK298*AJ298</f>
        <v>17578.4529375</v>
      </c>
      <c r="AM298" s="52" t="s">
        <v>195</v>
      </c>
      <c r="AN298" s="52" t="n">
        <v>0.3933</v>
      </c>
      <c r="AO298" s="52" t="n">
        <f aca="false">IF(AM298="EUR",AA298,IF(AM298="GBP",AB298,1))</f>
        <v>7.9</v>
      </c>
      <c r="AP298" s="52" t="n">
        <f aca="false">P298*AN298</f>
        <v>853.598655</v>
      </c>
      <c r="AQ298" s="52" t="n">
        <f aca="false">AP298*AO298</f>
        <v>6743.4293745</v>
      </c>
      <c r="AR298" s="52" t="s">
        <v>195</v>
      </c>
      <c r="AS298" s="52" t="n">
        <v>3.105</v>
      </c>
      <c r="AT298" s="52" t="n">
        <f aca="false">IF(AR298="EUR",AA298,IF(AR298="GBP",AB298,1))</f>
        <v>7.9</v>
      </c>
      <c r="AU298" s="52" t="n">
        <f aca="false">T298*AS298</f>
        <v>381.44925</v>
      </c>
      <c r="AV298" s="52" t="n">
        <f aca="false">AU298*AT298</f>
        <v>3013.449075</v>
      </c>
      <c r="AW298" s="52" t="s">
        <v>195</v>
      </c>
      <c r="AX298" s="52" t="n">
        <v>2.3805</v>
      </c>
      <c r="AY298" s="52" t="n">
        <f aca="false">IF(AW298="EUR",AA298,IF(AW298="GBP",AB298,1))</f>
        <v>7.9</v>
      </c>
      <c r="AZ298" s="52" t="n">
        <f aca="false">V298*AX298</f>
        <v>87.830808975</v>
      </c>
      <c r="BA298" s="52" t="n">
        <f aca="false">AZ298*AY298</f>
        <v>693.8633909025</v>
      </c>
      <c r="BB298" s="52" t="n">
        <f aca="false">AF298+AG298+AL298+AQ298+AV298+BA298</f>
        <v>59299.436377459</v>
      </c>
      <c r="BC298" s="54" t="n">
        <v>0.961</v>
      </c>
      <c r="BD298" s="32"/>
      <c r="BE298" s="30" t="s">
        <v>205</v>
      </c>
      <c r="BF298" s="30" t="s">
        <v>212</v>
      </c>
      <c r="BG298" s="32" t="s">
        <v>197</v>
      </c>
    </row>
    <row r="299" customFormat="false" ht="26.5" hidden="false" customHeight="false" outlineLevel="0" collapsed="false">
      <c r="A299" s="18" t="s">
        <v>210</v>
      </c>
      <c r="B299" s="18" t="s">
        <v>207</v>
      </c>
      <c r="C299" s="18" t="s">
        <v>211</v>
      </c>
      <c r="D299" s="49" t="n">
        <v>46296</v>
      </c>
      <c r="E299" s="18" t="s">
        <v>116</v>
      </c>
      <c r="F299" s="18" t="s">
        <v>113</v>
      </c>
      <c r="G299" s="18" t="s">
        <v>110</v>
      </c>
      <c r="H299" s="18" t="s">
        <v>107</v>
      </c>
      <c r="I299" s="18" t="s">
        <v>102</v>
      </c>
      <c r="J299" s="50" t="n">
        <v>20202</v>
      </c>
      <c r="K299" s="51" t="n">
        <v>0.28957528957529</v>
      </c>
      <c r="L299" s="51" t="n">
        <v>1</v>
      </c>
      <c r="M299" s="51" t="n">
        <v>0.65</v>
      </c>
      <c r="N299" s="52" t="n">
        <f aca="false">J299*K299*L299*M299</f>
        <v>3802.5</v>
      </c>
      <c r="O299" s="50" t="n">
        <v>1.06</v>
      </c>
      <c r="P299" s="52" t="n">
        <f aca="false">N299*O299</f>
        <v>4030.65</v>
      </c>
      <c r="Q299" s="50" t="n">
        <v>0.7979</v>
      </c>
      <c r="R299" s="52" t="n">
        <f aca="false">P299*Q299</f>
        <v>3216.055635</v>
      </c>
      <c r="S299" s="50" t="n">
        <v>0.06</v>
      </c>
      <c r="T299" s="52" t="n">
        <f aca="false">N299*S299</f>
        <v>228.15</v>
      </c>
      <c r="U299" s="52" t="n">
        <v>0.014</v>
      </c>
      <c r="V299" s="52" t="n">
        <f aca="false">P299*U299</f>
        <v>56.4291</v>
      </c>
      <c r="W299" s="53" t="s">
        <v>195</v>
      </c>
      <c r="X299" s="50" t="n">
        <v>2.691</v>
      </c>
      <c r="Y299" s="53" t="s">
        <v>198</v>
      </c>
      <c r="Z299" s="50" t="n">
        <v>0.207</v>
      </c>
      <c r="AA299" s="50" t="n">
        <v>7.9</v>
      </c>
      <c r="AB299" s="50" t="n">
        <v>9.1</v>
      </c>
      <c r="AC299" s="52" t="n">
        <f aca="false">IF(W299="EUR",AA299,IF(W299="GBP",AB299,1))</f>
        <v>7.9</v>
      </c>
      <c r="AD299" s="52" t="n">
        <f aca="false">R299*X299</f>
        <v>8654.405713785</v>
      </c>
      <c r="AE299" s="52" t="n">
        <f aca="false">IF(Y299="PERCENTAGE_OF_BASE_FREIGHT",AD299*Z299,IF(Y299="PER_CHARGEABLE_KG",R299*Z299,P299*Z299))</f>
        <v>665.723516445</v>
      </c>
      <c r="AF299" s="52" t="n">
        <f aca="false">AD299*AC299</f>
        <v>68369.8051389015</v>
      </c>
      <c r="AG299" s="52" t="n">
        <f aca="false">AE299*AC299</f>
        <v>5259.2157799155</v>
      </c>
      <c r="AH299" s="52" t="s">
        <v>195</v>
      </c>
      <c r="AI299" s="52" t="n">
        <v>1.08675</v>
      </c>
      <c r="AJ299" s="52" t="n">
        <f aca="false">IF(AH299="EUR",AA299,IF(AH299="GBP",AB299,1))</f>
        <v>7.9</v>
      </c>
      <c r="AK299" s="52" t="n">
        <f aca="false">N299*AI299</f>
        <v>4132.366875</v>
      </c>
      <c r="AL299" s="52" t="n">
        <f aca="false">AK299*AJ299</f>
        <v>32645.6983125</v>
      </c>
      <c r="AM299" s="52" t="s">
        <v>195</v>
      </c>
      <c r="AN299" s="52" t="n">
        <v>0.3933</v>
      </c>
      <c r="AO299" s="52" t="n">
        <f aca="false">IF(AM299="EUR",AA299,IF(AM299="GBP",AB299,1))</f>
        <v>7.9</v>
      </c>
      <c r="AP299" s="52" t="n">
        <f aca="false">P299*AN299</f>
        <v>1585.254645</v>
      </c>
      <c r="AQ299" s="52" t="n">
        <f aca="false">AP299*AO299</f>
        <v>12523.5116955</v>
      </c>
      <c r="AR299" s="52" t="s">
        <v>195</v>
      </c>
      <c r="AS299" s="52" t="n">
        <v>3.105</v>
      </c>
      <c r="AT299" s="52" t="n">
        <f aca="false">IF(AR299="EUR",AA299,IF(AR299="GBP",AB299,1))</f>
        <v>7.9</v>
      </c>
      <c r="AU299" s="52" t="n">
        <f aca="false">T299*AS299</f>
        <v>708.40575</v>
      </c>
      <c r="AV299" s="52" t="n">
        <f aca="false">AU299*AT299</f>
        <v>5596.405425</v>
      </c>
      <c r="AW299" s="52" t="s">
        <v>195</v>
      </c>
      <c r="AX299" s="52" t="n">
        <v>2.3805</v>
      </c>
      <c r="AY299" s="52" t="n">
        <f aca="false">IF(AW299="EUR",AA299,IF(AW299="GBP",AB299,1))</f>
        <v>7.9</v>
      </c>
      <c r="AZ299" s="52" t="n">
        <f aca="false">V299*AX299</f>
        <v>134.32947255</v>
      </c>
      <c r="BA299" s="52" t="n">
        <f aca="false">AZ299*AY299</f>
        <v>1061.202833145</v>
      </c>
      <c r="BB299" s="52" t="n">
        <f aca="false">AF299+AG299+AL299+AQ299+AV299+BA299</f>
        <v>125455.839184962</v>
      </c>
      <c r="BC299" s="54" t="n">
        <v>0.973</v>
      </c>
      <c r="BD299" s="32"/>
      <c r="BE299" s="30" t="s">
        <v>205</v>
      </c>
      <c r="BF299" s="30" t="s">
        <v>212</v>
      </c>
      <c r="BG299" s="32" t="s">
        <v>197</v>
      </c>
    </row>
    <row r="300" customFormat="false" ht="26.5" hidden="false" customHeight="false" outlineLevel="0" collapsed="false">
      <c r="A300" s="18" t="s">
        <v>210</v>
      </c>
      <c r="B300" s="18" t="s">
        <v>207</v>
      </c>
      <c r="C300" s="18" t="s">
        <v>211</v>
      </c>
      <c r="D300" s="49" t="n">
        <v>46296</v>
      </c>
      <c r="E300" s="18" t="s">
        <v>118</v>
      </c>
      <c r="F300" s="18" t="s">
        <v>119</v>
      </c>
      <c r="G300" s="18" t="s">
        <v>100</v>
      </c>
      <c r="H300" s="18" t="s">
        <v>101</v>
      </c>
      <c r="I300" s="18" t="s">
        <v>102</v>
      </c>
      <c r="J300" s="50" t="n">
        <v>20202</v>
      </c>
      <c r="K300" s="51" t="n">
        <v>0.382239382239382</v>
      </c>
      <c r="L300" s="51" t="n">
        <v>0.96</v>
      </c>
      <c r="M300" s="51" t="n">
        <v>0.36</v>
      </c>
      <c r="N300" s="52" t="n">
        <f aca="false">J300*K300*L300*M300</f>
        <v>2668.7232</v>
      </c>
      <c r="O300" s="50" t="n">
        <v>1.17</v>
      </c>
      <c r="P300" s="52" t="n">
        <f aca="false">N300*O300</f>
        <v>3122.406144</v>
      </c>
      <c r="Q300" s="50" t="n">
        <v>1.050804</v>
      </c>
      <c r="R300" s="52" t="n">
        <f aca="false">P300*Q300</f>
        <v>3281.03686573978</v>
      </c>
      <c r="S300" s="50" t="n">
        <v>0.09</v>
      </c>
      <c r="T300" s="52" t="n">
        <f aca="false">N300*S300</f>
        <v>240.185088</v>
      </c>
      <c r="U300" s="52" t="n">
        <v>0.027</v>
      </c>
      <c r="V300" s="52" t="n">
        <f aca="false">P300*U300</f>
        <v>84.304965888</v>
      </c>
      <c r="W300" s="53" t="s">
        <v>199</v>
      </c>
      <c r="X300" s="50" t="n">
        <v>4.14</v>
      </c>
      <c r="Y300" s="53" t="s">
        <v>196</v>
      </c>
      <c r="Z300" s="50" t="n">
        <v>0.1035</v>
      </c>
      <c r="AA300" s="50" t="n">
        <v>7.9</v>
      </c>
      <c r="AB300" s="50" t="n">
        <v>9.1</v>
      </c>
      <c r="AC300" s="52" t="n">
        <f aca="false">IF(W300="EUR",AA300,IF(W300="GBP",AB300,1))</f>
        <v>9.1</v>
      </c>
      <c r="AD300" s="52" t="n">
        <f aca="false">R300*X300</f>
        <v>13583.4926241627</v>
      </c>
      <c r="AE300" s="52" t="n">
        <f aca="false">IF(Y300="PERCENTAGE_OF_BASE_FREIGHT",AD300*Z300,IF(Y300="PER_CHARGEABLE_KG",R300*Z300,P300*Z300))</f>
        <v>1405.89148660084</v>
      </c>
      <c r="AF300" s="52" t="n">
        <f aca="false">AD300*AC300</f>
        <v>123609.78287988</v>
      </c>
      <c r="AG300" s="52" t="n">
        <f aca="false">AE300*AC300</f>
        <v>12793.6125280676</v>
      </c>
      <c r="AH300" s="52" t="s">
        <v>195</v>
      </c>
      <c r="AI300" s="52" t="n">
        <v>1.35797114644313</v>
      </c>
      <c r="AJ300" s="52" t="n">
        <f aca="false">IF(AH300="EUR",AA300,IF(AH300="GBP",AB300,1))</f>
        <v>7.9</v>
      </c>
      <c r="AK300" s="52" t="n">
        <f aca="false">N300*AI300</f>
        <v>3624.04910344339</v>
      </c>
      <c r="AL300" s="52" t="n">
        <f aca="false">AK300*AJ300</f>
        <v>28629.9879172028</v>
      </c>
      <c r="AM300" s="52" t="s">
        <v>195</v>
      </c>
      <c r="AN300" s="52" t="n">
        <v>0.4347</v>
      </c>
      <c r="AO300" s="52" t="n">
        <f aca="false">IF(AM300="EUR",AA300,IF(AM300="GBP",AB300,1))</f>
        <v>7.9</v>
      </c>
      <c r="AP300" s="52" t="n">
        <f aca="false">P300*AN300</f>
        <v>1357.3099507968</v>
      </c>
      <c r="AQ300" s="52" t="n">
        <f aca="false">AP300*AO300</f>
        <v>10722.7486112947</v>
      </c>
      <c r="AR300" s="52" t="s">
        <v>199</v>
      </c>
      <c r="AS300" s="52" t="n">
        <v>4.968</v>
      </c>
      <c r="AT300" s="52" t="n">
        <f aca="false">IF(AR300="EUR",AA300,IF(AR300="GBP",AB300,1))</f>
        <v>9.1</v>
      </c>
      <c r="AU300" s="52" t="n">
        <f aca="false">T300*AS300</f>
        <v>1193.239517184</v>
      </c>
      <c r="AV300" s="52" t="n">
        <f aca="false">AU300*AT300</f>
        <v>10858.4796063744</v>
      </c>
      <c r="AW300" s="52" t="s">
        <v>199</v>
      </c>
      <c r="AX300" s="52" t="n">
        <v>2.3805</v>
      </c>
      <c r="AY300" s="52" t="n">
        <f aca="false">IF(AW300="EUR",AA300,IF(AW300="GBP",AB300,1))</f>
        <v>9.1</v>
      </c>
      <c r="AZ300" s="52" t="n">
        <f aca="false">V300*AX300</f>
        <v>200.687971296384</v>
      </c>
      <c r="BA300" s="52" t="n">
        <f aca="false">AZ300*AY300</f>
        <v>1826.26053879709</v>
      </c>
      <c r="BB300" s="52" t="n">
        <f aca="false">AF300+AG300+AL300+AQ300+AV300+BA300</f>
        <v>188440.872081617</v>
      </c>
      <c r="BC300" s="54" t="n">
        <v>0.93</v>
      </c>
      <c r="BD300" s="32"/>
      <c r="BE300" s="30" t="s">
        <v>205</v>
      </c>
      <c r="BF300" s="30" t="s">
        <v>212</v>
      </c>
      <c r="BG300" s="32" t="s">
        <v>197</v>
      </c>
    </row>
    <row r="301" customFormat="false" ht="26.5" hidden="false" customHeight="false" outlineLevel="0" collapsed="false">
      <c r="A301" s="18" t="s">
        <v>210</v>
      </c>
      <c r="B301" s="18" t="s">
        <v>207</v>
      </c>
      <c r="C301" s="18" t="s">
        <v>211</v>
      </c>
      <c r="D301" s="49" t="n">
        <v>46296</v>
      </c>
      <c r="E301" s="18" t="s">
        <v>122</v>
      </c>
      <c r="F301" s="18" t="s">
        <v>119</v>
      </c>
      <c r="G301" s="18" t="s">
        <v>100</v>
      </c>
      <c r="H301" s="18" t="s">
        <v>107</v>
      </c>
      <c r="I301" s="18" t="s">
        <v>102</v>
      </c>
      <c r="J301" s="50" t="n">
        <v>20202</v>
      </c>
      <c r="K301" s="51" t="n">
        <v>0.382239382239382</v>
      </c>
      <c r="L301" s="51" t="n">
        <v>0.96</v>
      </c>
      <c r="M301" s="51" t="n">
        <v>0.2</v>
      </c>
      <c r="N301" s="52" t="n">
        <f aca="false">J301*K301*L301*M301</f>
        <v>1482.624</v>
      </c>
      <c r="O301" s="50" t="n">
        <v>1.17</v>
      </c>
      <c r="P301" s="52" t="n">
        <f aca="false">N301*O301</f>
        <v>1734.67008</v>
      </c>
      <c r="Q301" s="50" t="n">
        <v>1.0302</v>
      </c>
      <c r="R301" s="52" t="n">
        <f aca="false">P301*Q301</f>
        <v>1787.057116416</v>
      </c>
      <c r="S301" s="50" t="n">
        <v>0.09</v>
      </c>
      <c r="T301" s="52" t="n">
        <f aca="false">N301*S301</f>
        <v>133.43616</v>
      </c>
      <c r="U301" s="52" t="n">
        <v>0.02</v>
      </c>
      <c r="V301" s="52" t="n">
        <f aca="false">P301*U301</f>
        <v>34.6934016</v>
      </c>
      <c r="W301" s="53" t="s">
        <v>199</v>
      </c>
      <c r="X301" s="50" t="n">
        <v>4.8645</v>
      </c>
      <c r="Y301" s="53" t="s">
        <v>198</v>
      </c>
      <c r="Z301" s="50" t="n">
        <v>0.34155</v>
      </c>
      <c r="AA301" s="50" t="n">
        <v>7.9</v>
      </c>
      <c r="AB301" s="50" t="n">
        <v>9.1</v>
      </c>
      <c r="AC301" s="52" t="n">
        <f aca="false">IF(W301="EUR",AA301,IF(W301="GBP",AB301,1))</f>
        <v>9.1</v>
      </c>
      <c r="AD301" s="52" t="n">
        <f aca="false">R301*X301</f>
        <v>8693.13934280563</v>
      </c>
      <c r="AE301" s="52" t="n">
        <f aca="false">IF(Y301="PERCENTAGE_OF_BASE_FREIGHT",AD301*Z301,IF(Y301="PER_CHARGEABLE_KG",R301*Z301,P301*Z301))</f>
        <v>610.369358111885</v>
      </c>
      <c r="AF301" s="52" t="n">
        <f aca="false">AD301*AC301</f>
        <v>79107.5680195312</v>
      </c>
      <c r="AG301" s="52" t="n">
        <f aca="false">AE301*AC301</f>
        <v>5554.36115881815</v>
      </c>
      <c r="AH301" s="52" t="s">
        <v>195</v>
      </c>
      <c r="AI301" s="52" t="n">
        <v>1.35797114644313</v>
      </c>
      <c r="AJ301" s="52" t="n">
        <f aca="false">IF(AH301="EUR",AA301,IF(AH301="GBP",AB301,1))</f>
        <v>7.9</v>
      </c>
      <c r="AK301" s="52" t="n">
        <f aca="false">N301*AI301</f>
        <v>2013.3606130241</v>
      </c>
      <c r="AL301" s="52" t="n">
        <f aca="false">AK301*AJ301</f>
        <v>15905.5488428904</v>
      </c>
      <c r="AM301" s="52" t="s">
        <v>195</v>
      </c>
      <c r="AN301" s="52" t="n">
        <v>0.4347</v>
      </c>
      <c r="AO301" s="52" t="n">
        <f aca="false">IF(AM301="EUR",AA301,IF(AM301="GBP",AB301,1))</f>
        <v>7.9</v>
      </c>
      <c r="AP301" s="52" t="n">
        <f aca="false">P301*AN301</f>
        <v>754.061083776</v>
      </c>
      <c r="AQ301" s="52" t="n">
        <f aca="false">AP301*AO301</f>
        <v>5957.0825618304</v>
      </c>
      <c r="AR301" s="52" t="s">
        <v>199</v>
      </c>
      <c r="AS301" s="52" t="n">
        <v>4.968</v>
      </c>
      <c r="AT301" s="52" t="n">
        <f aca="false">IF(AR301="EUR",AA301,IF(AR301="GBP",AB301,1))</f>
        <v>9.1</v>
      </c>
      <c r="AU301" s="52" t="n">
        <f aca="false">T301*AS301</f>
        <v>662.91084288</v>
      </c>
      <c r="AV301" s="52" t="n">
        <f aca="false">AU301*AT301</f>
        <v>6032.488670208</v>
      </c>
      <c r="AW301" s="52" t="s">
        <v>199</v>
      </c>
      <c r="AX301" s="52" t="n">
        <v>2.3805</v>
      </c>
      <c r="AY301" s="52" t="n">
        <f aca="false">IF(AW301="EUR",AA301,IF(AW301="GBP",AB301,1))</f>
        <v>9.1</v>
      </c>
      <c r="AZ301" s="52" t="n">
        <f aca="false">V301*AX301</f>
        <v>82.5876425088</v>
      </c>
      <c r="BA301" s="52" t="n">
        <f aca="false">AZ301*AY301</f>
        <v>751.54754683008</v>
      </c>
      <c r="BB301" s="52" t="n">
        <f aca="false">AF301+AG301+AL301+AQ301+AV301+BA301</f>
        <v>113308.596800108</v>
      </c>
      <c r="BC301" s="54" t="n">
        <v>0.95</v>
      </c>
      <c r="BD301" s="32"/>
      <c r="BE301" s="30" t="s">
        <v>205</v>
      </c>
      <c r="BF301" s="30" t="s">
        <v>212</v>
      </c>
      <c r="BG301" s="32" t="s">
        <v>197</v>
      </c>
    </row>
    <row r="302" customFormat="false" ht="26.5" hidden="false" customHeight="false" outlineLevel="0" collapsed="false">
      <c r="A302" s="18" t="s">
        <v>210</v>
      </c>
      <c r="B302" s="18" t="s">
        <v>207</v>
      </c>
      <c r="C302" s="18" t="s">
        <v>211</v>
      </c>
      <c r="D302" s="49" t="n">
        <v>46296</v>
      </c>
      <c r="E302" s="18" t="s">
        <v>124</v>
      </c>
      <c r="F302" s="18" t="s">
        <v>119</v>
      </c>
      <c r="G302" s="18" t="s">
        <v>100</v>
      </c>
      <c r="H302" s="18" t="s">
        <v>107</v>
      </c>
      <c r="I302" s="18" t="s">
        <v>125</v>
      </c>
      <c r="J302" s="50" t="n">
        <v>20202</v>
      </c>
      <c r="K302" s="51" t="n">
        <v>0.382239382239382</v>
      </c>
      <c r="L302" s="51" t="n">
        <v>0.96</v>
      </c>
      <c r="M302" s="51" t="n">
        <v>0.24</v>
      </c>
      <c r="N302" s="52" t="n">
        <f aca="false">J302*K302*L302*M302</f>
        <v>1779.1488</v>
      </c>
      <c r="O302" s="50" t="n">
        <v>1.17</v>
      </c>
      <c r="P302" s="52" t="n">
        <f aca="false">N302*O302</f>
        <v>2081.604096</v>
      </c>
      <c r="Q302" s="50" t="n">
        <v>0.968388</v>
      </c>
      <c r="R302" s="52" t="n">
        <f aca="false">P302*Q302</f>
        <v>2015.80042731725</v>
      </c>
      <c r="S302" s="50" t="n">
        <v>0.09</v>
      </c>
      <c r="T302" s="52" t="n">
        <f aca="false">N302*S302</f>
        <v>160.123392</v>
      </c>
      <c r="U302" s="52" t="n">
        <v>0.016</v>
      </c>
      <c r="V302" s="52" t="n">
        <f aca="false">P302*U302</f>
        <v>33.305665536</v>
      </c>
      <c r="W302" s="53" t="s">
        <v>199</v>
      </c>
      <c r="X302" s="50" t="n">
        <v>6.67368</v>
      </c>
      <c r="Y302" s="53" t="s">
        <v>196</v>
      </c>
      <c r="Z302" s="50" t="n">
        <v>0.123786</v>
      </c>
      <c r="AA302" s="50" t="n">
        <v>7.9</v>
      </c>
      <c r="AB302" s="50" t="n">
        <v>9.1</v>
      </c>
      <c r="AC302" s="52" t="n">
        <f aca="false">IF(W302="EUR",AA302,IF(W302="GBP",AB302,1))</f>
        <v>9.1</v>
      </c>
      <c r="AD302" s="52" t="n">
        <f aca="false">R302*X302</f>
        <v>13452.8069957786</v>
      </c>
      <c r="AE302" s="52" t="n">
        <f aca="false">IF(Y302="PERCENTAGE_OF_BASE_FREIGHT",AD302*Z302,IF(Y302="PER_CHARGEABLE_KG",R302*Z302,P302*Z302))</f>
        <v>1665.26916677945</v>
      </c>
      <c r="AF302" s="52" t="n">
        <f aca="false">AD302*AC302</f>
        <v>122420.543661585</v>
      </c>
      <c r="AG302" s="52" t="n">
        <f aca="false">AE302*AC302</f>
        <v>15153.949417693</v>
      </c>
      <c r="AH302" s="52" t="s">
        <v>195</v>
      </c>
      <c r="AI302" s="52" t="n">
        <v>1.35797114644313</v>
      </c>
      <c r="AJ302" s="52" t="n">
        <f aca="false">IF(AH302="EUR",AA302,IF(AH302="GBP",AB302,1))</f>
        <v>7.9</v>
      </c>
      <c r="AK302" s="52" t="n">
        <f aca="false">N302*AI302</f>
        <v>2416.03273562893</v>
      </c>
      <c r="AL302" s="52" t="n">
        <f aca="false">AK302*AJ302</f>
        <v>19086.6586114685</v>
      </c>
      <c r="AM302" s="52" t="s">
        <v>195</v>
      </c>
      <c r="AN302" s="52" t="n">
        <v>0.4347</v>
      </c>
      <c r="AO302" s="52" t="n">
        <f aca="false">IF(AM302="EUR",AA302,IF(AM302="GBP",AB302,1))</f>
        <v>7.9</v>
      </c>
      <c r="AP302" s="52" t="n">
        <f aca="false">P302*AN302</f>
        <v>904.8733005312</v>
      </c>
      <c r="AQ302" s="52" t="n">
        <f aca="false">AP302*AO302</f>
        <v>7148.49907419648</v>
      </c>
      <c r="AR302" s="52" t="s">
        <v>199</v>
      </c>
      <c r="AS302" s="52" t="n">
        <v>4.968</v>
      </c>
      <c r="AT302" s="52" t="n">
        <f aca="false">IF(AR302="EUR",AA302,IF(AR302="GBP",AB302,1))</f>
        <v>9.1</v>
      </c>
      <c r="AU302" s="52" t="n">
        <f aca="false">T302*AS302</f>
        <v>795.493011456</v>
      </c>
      <c r="AV302" s="52" t="n">
        <f aca="false">AU302*AT302</f>
        <v>7238.9864042496</v>
      </c>
      <c r="AW302" s="52" t="s">
        <v>199</v>
      </c>
      <c r="AX302" s="52" t="n">
        <v>2.898</v>
      </c>
      <c r="AY302" s="52" t="n">
        <f aca="false">IF(AW302="EUR",AA302,IF(AW302="GBP",AB302,1))</f>
        <v>9.1</v>
      </c>
      <c r="AZ302" s="52" t="n">
        <f aca="false">V302*AX302</f>
        <v>96.519818723328</v>
      </c>
      <c r="BA302" s="52" t="n">
        <f aca="false">AZ302*AY302</f>
        <v>878.330350382285</v>
      </c>
      <c r="BB302" s="52" t="n">
        <f aca="false">AF302+AG302+AL302+AQ302+AV302+BA302</f>
        <v>171926.967519575</v>
      </c>
      <c r="BC302" s="54" t="n">
        <v>0.974</v>
      </c>
      <c r="BD302" s="32"/>
      <c r="BE302" s="30" t="s">
        <v>205</v>
      </c>
      <c r="BF302" s="30" t="s">
        <v>212</v>
      </c>
      <c r="BG302" s="32" t="s">
        <v>197</v>
      </c>
    </row>
    <row r="303" customFormat="false" ht="26.5" hidden="false" customHeight="false" outlineLevel="0" collapsed="false">
      <c r="A303" s="18" t="s">
        <v>210</v>
      </c>
      <c r="B303" s="18" t="s">
        <v>207</v>
      </c>
      <c r="C303" s="18" t="s">
        <v>211</v>
      </c>
      <c r="D303" s="49" t="n">
        <v>46296</v>
      </c>
      <c r="E303" s="18" t="s">
        <v>127</v>
      </c>
      <c r="F303" s="18" t="s">
        <v>119</v>
      </c>
      <c r="G303" s="18" t="s">
        <v>100</v>
      </c>
      <c r="H303" s="18" t="s">
        <v>128</v>
      </c>
      <c r="I303" s="18" t="s">
        <v>125</v>
      </c>
      <c r="J303" s="50" t="n">
        <v>20202</v>
      </c>
      <c r="K303" s="51" t="n">
        <v>0.382239382239382</v>
      </c>
      <c r="L303" s="51" t="n">
        <v>0.96</v>
      </c>
      <c r="M303" s="51" t="n">
        <v>0.2</v>
      </c>
      <c r="N303" s="52" t="n">
        <f aca="false">J303*K303*L303*M303</f>
        <v>1482.624</v>
      </c>
      <c r="O303" s="50" t="n">
        <v>1.17</v>
      </c>
      <c r="P303" s="52" t="n">
        <f aca="false">N303*O303</f>
        <v>1734.67008</v>
      </c>
      <c r="Q303" s="50" t="n">
        <v>0.947784</v>
      </c>
      <c r="R303" s="52" t="n">
        <f aca="false">P303*Q303</f>
        <v>1644.09254710272</v>
      </c>
      <c r="S303" s="50" t="n">
        <v>0.09</v>
      </c>
      <c r="T303" s="52" t="n">
        <f aca="false">N303*S303</f>
        <v>133.43616</v>
      </c>
      <c r="U303" s="52" t="n">
        <v>0.011</v>
      </c>
      <c r="V303" s="52" t="n">
        <f aca="false">P303*U303</f>
        <v>19.08137088</v>
      </c>
      <c r="W303" s="53" t="s">
        <v>199</v>
      </c>
      <c r="X303" s="50" t="n">
        <v>8.22825</v>
      </c>
      <c r="Y303" s="53" t="s">
        <v>198</v>
      </c>
      <c r="Z303" s="50" t="n">
        <v>0.636318</v>
      </c>
      <c r="AA303" s="50" t="n">
        <v>7.9</v>
      </c>
      <c r="AB303" s="50" t="n">
        <v>9.1</v>
      </c>
      <c r="AC303" s="52" t="n">
        <f aca="false">IF(W303="EUR",AA303,IF(W303="GBP",AB303,1))</f>
        <v>9.1</v>
      </c>
      <c r="AD303" s="52" t="n">
        <f aca="false">R303*X303</f>
        <v>13528.004500698</v>
      </c>
      <c r="AE303" s="52" t="n">
        <f aca="false">IF(Y303="PERCENTAGE_OF_BASE_FREIGHT",AD303*Z303,IF(Y303="PER_CHARGEABLE_KG",R303*Z303,P303*Z303))</f>
        <v>1046.16568138731</v>
      </c>
      <c r="AF303" s="52" t="n">
        <f aca="false">AD303*AC303</f>
        <v>123104.840956351</v>
      </c>
      <c r="AG303" s="52" t="n">
        <f aca="false">AE303*AC303</f>
        <v>9520.10770062451</v>
      </c>
      <c r="AH303" s="52" t="s">
        <v>195</v>
      </c>
      <c r="AI303" s="52" t="n">
        <v>1.35797114644313</v>
      </c>
      <c r="AJ303" s="52" t="n">
        <f aca="false">IF(AH303="EUR",AA303,IF(AH303="GBP",AB303,1))</f>
        <v>7.9</v>
      </c>
      <c r="AK303" s="52" t="n">
        <f aca="false">N303*AI303</f>
        <v>2013.3606130241</v>
      </c>
      <c r="AL303" s="52" t="n">
        <f aca="false">AK303*AJ303</f>
        <v>15905.5488428904</v>
      </c>
      <c r="AM303" s="52" t="s">
        <v>195</v>
      </c>
      <c r="AN303" s="52" t="n">
        <v>0.4347</v>
      </c>
      <c r="AO303" s="52" t="n">
        <f aca="false">IF(AM303="EUR",AA303,IF(AM303="GBP",AB303,1))</f>
        <v>7.9</v>
      </c>
      <c r="AP303" s="52" t="n">
        <f aca="false">P303*AN303</f>
        <v>754.061083776</v>
      </c>
      <c r="AQ303" s="52" t="n">
        <f aca="false">AP303*AO303</f>
        <v>5957.0825618304</v>
      </c>
      <c r="AR303" s="52" t="s">
        <v>199</v>
      </c>
      <c r="AS303" s="52" t="n">
        <v>4.968</v>
      </c>
      <c r="AT303" s="52" t="n">
        <f aca="false">IF(AR303="EUR",AA303,IF(AR303="GBP",AB303,1))</f>
        <v>9.1</v>
      </c>
      <c r="AU303" s="52" t="n">
        <f aca="false">T303*AS303</f>
        <v>662.91084288</v>
      </c>
      <c r="AV303" s="52" t="n">
        <f aca="false">AU303*AT303</f>
        <v>6032.488670208</v>
      </c>
      <c r="AW303" s="52" t="s">
        <v>199</v>
      </c>
      <c r="AX303" s="52" t="n">
        <v>3.726</v>
      </c>
      <c r="AY303" s="52" t="n">
        <f aca="false">IF(AW303="EUR",AA303,IF(AW303="GBP",AB303,1))</f>
        <v>9.1</v>
      </c>
      <c r="AZ303" s="52" t="n">
        <f aca="false">V303*AX303</f>
        <v>71.09718789888</v>
      </c>
      <c r="BA303" s="52" t="n">
        <f aca="false">AZ303*AY303</f>
        <v>646.984409879808</v>
      </c>
      <c r="BB303" s="52" t="n">
        <f aca="false">AF303+AG303+AL303+AQ303+AV303+BA303</f>
        <v>161167.053141785</v>
      </c>
      <c r="BC303" s="54" t="n">
        <v>0.988</v>
      </c>
      <c r="BD303" s="32"/>
      <c r="BE303" s="30" t="s">
        <v>205</v>
      </c>
      <c r="BF303" s="30" t="s">
        <v>212</v>
      </c>
      <c r="BG303" s="32" t="s">
        <v>197</v>
      </c>
    </row>
    <row r="304" customFormat="false" ht="26.5" hidden="false" customHeight="false" outlineLevel="0" collapsed="false">
      <c r="A304" s="18" t="s">
        <v>210</v>
      </c>
      <c r="B304" s="18" t="s">
        <v>207</v>
      </c>
      <c r="C304" s="18" t="s">
        <v>211</v>
      </c>
      <c r="D304" s="49" t="n">
        <v>46296</v>
      </c>
      <c r="E304" s="18" t="s">
        <v>130</v>
      </c>
      <c r="F304" s="18" t="s">
        <v>119</v>
      </c>
      <c r="G304" s="18" t="s">
        <v>110</v>
      </c>
      <c r="H304" s="18" t="s">
        <v>107</v>
      </c>
      <c r="I304" s="18" t="s">
        <v>125</v>
      </c>
      <c r="J304" s="50" t="n">
        <v>20202</v>
      </c>
      <c r="K304" s="51" t="n">
        <v>0.382239382239382</v>
      </c>
      <c r="L304" s="51" t="n">
        <v>0.04</v>
      </c>
      <c r="M304" s="51" t="n">
        <v>1</v>
      </c>
      <c r="N304" s="52" t="n">
        <f aca="false">J304*K304*L304*M304</f>
        <v>308.88</v>
      </c>
      <c r="O304" s="50" t="n">
        <v>1.17</v>
      </c>
      <c r="P304" s="52" t="n">
        <f aca="false">N304*O304</f>
        <v>361.3896</v>
      </c>
      <c r="Q304" s="50" t="n">
        <v>0.92718</v>
      </c>
      <c r="R304" s="52" t="n">
        <f aca="false">P304*Q304</f>
        <v>335.073209328</v>
      </c>
      <c r="S304" s="50" t="n">
        <v>0.09</v>
      </c>
      <c r="T304" s="52" t="n">
        <f aca="false">N304*S304</f>
        <v>27.7992</v>
      </c>
      <c r="U304" s="52" t="n">
        <v>0.014</v>
      </c>
      <c r="V304" s="52" t="n">
        <f aca="false">P304*U304</f>
        <v>5.0594544</v>
      </c>
      <c r="W304" s="53" t="s">
        <v>195</v>
      </c>
      <c r="X304" s="50" t="n">
        <v>6.9345</v>
      </c>
      <c r="Y304" s="53" t="s">
        <v>196</v>
      </c>
      <c r="Z304" s="50" t="n">
        <v>0.108675</v>
      </c>
      <c r="AA304" s="50" t="n">
        <v>7.9</v>
      </c>
      <c r="AB304" s="50" t="n">
        <v>9.1</v>
      </c>
      <c r="AC304" s="52" t="n">
        <f aca="false">IF(W304="EUR",AA304,IF(W304="GBP",AB304,1))</f>
        <v>7.9</v>
      </c>
      <c r="AD304" s="52" t="n">
        <f aca="false">R304*X304</f>
        <v>2323.56517008502</v>
      </c>
      <c r="AE304" s="52" t="n">
        <f aca="false">IF(Y304="PERCENTAGE_OF_BASE_FREIGHT",AD304*Z304,IF(Y304="PER_CHARGEABLE_KG",R304*Z304,P304*Z304))</f>
        <v>252.513444858989</v>
      </c>
      <c r="AF304" s="52" t="n">
        <f aca="false">AD304*AC304</f>
        <v>18356.1648436716</v>
      </c>
      <c r="AG304" s="52" t="n">
        <f aca="false">AE304*AC304</f>
        <v>1994.85621438601</v>
      </c>
      <c r="AH304" s="52" t="s">
        <v>195</v>
      </c>
      <c r="AI304" s="52" t="n">
        <v>1.08675</v>
      </c>
      <c r="AJ304" s="52" t="n">
        <f aca="false">IF(AH304="EUR",AA304,IF(AH304="GBP",AB304,1))</f>
        <v>7.9</v>
      </c>
      <c r="AK304" s="52" t="n">
        <f aca="false">N304*AI304</f>
        <v>335.67534</v>
      </c>
      <c r="AL304" s="52" t="n">
        <f aca="false">AK304*AJ304</f>
        <v>2651.835186</v>
      </c>
      <c r="AM304" s="52" t="s">
        <v>195</v>
      </c>
      <c r="AN304" s="52" t="n">
        <v>0.3933</v>
      </c>
      <c r="AO304" s="52" t="n">
        <f aca="false">IF(AM304="EUR",AA304,IF(AM304="GBP",AB304,1))</f>
        <v>7.9</v>
      </c>
      <c r="AP304" s="52" t="n">
        <f aca="false">P304*AN304</f>
        <v>142.13452968</v>
      </c>
      <c r="AQ304" s="52" t="n">
        <f aca="false">AP304*AO304</f>
        <v>1122.862784472</v>
      </c>
      <c r="AR304" s="52" t="s">
        <v>195</v>
      </c>
      <c r="AS304" s="52" t="n">
        <v>5.382</v>
      </c>
      <c r="AT304" s="52" t="n">
        <f aca="false">IF(AR304="EUR",AA304,IF(AR304="GBP",AB304,1))</f>
        <v>7.9</v>
      </c>
      <c r="AU304" s="52" t="n">
        <f aca="false">T304*AS304</f>
        <v>149.6152944</v>
      </c>
      <c r="AV304" s="52" t="n">
        <f aca="false">AU304*AT304</f>
        <v>1181.96082576</v>
      </c>
      <c r="AW304" s="52" t="s">
        <v>195</v>
      </c>
      <c r="AX304" s="52" t="n">
        <v>2.898</v>
      </c>
      <c r="AY304" s="52" t="n">
        <f aca="false">IF(AW304="EUR",AA304,IF(AW304="GBP",AB304,1))</f>
        <v>7.9</v>
      </c>
      <c r="AZ304" s="52" t="n">
        <f aca="false">V304*AX304</f>
        <v>14.6622988512</v>
      </c>
      <c r="BA304" s="52" t="n">
        <f aca="false">AZ304*AY304</f>
        <v>115.83216092448</v>
      </c>
      <c r="BB304" s="52" t="n">
        <f aca="false">AF304+AG304+AL304+AQ304+AV304+BA304</f>
        <v>25423.5120152141</v>
      </c>
      <c r="BC304" s="54" t="n">
        <v>0.971</v>
      </c>
      <c r="BD304" s="32"/>
      <c r="BE304" s="30" t="s">
        <v>205</v>
      </c>
      <c r="BF304" s="30" t="s">
        <v>212</v>
      </c>
      <c r="BG304" s="32" t="s">
        <v>197</v>
      </c>
    </row>
    <row r="305" customFormat="false" ht="26.5" hidden="false" customHeight="false" outlineLevel="0" collapsed="false">
      <c r="A305" s="18" t="s">
        <v>210</v>
      </c>
      <c r="B305" s="18" t="s">
        <v>207</v>
      </c>
      <c r="C305" s="18" t="s">
        <v>211</v>
      </c>
      <c r="D305" s="49" t="n">
        <v>46327</v>
      </c>
      <c r="E305" s="18" t="s">
        <v>98</v>
      </c>
      <c r="F305" s="18" t="s">
        <v>99</v>
      </c>
      <c r="G305" s="18" t="s">
        <v>100</v>
      </c>
      <c r="H305" s="18" t="s">
        <v>101</v>
      </c>
      <c r="I305" s="18" t="s">
        <v>102</v>
      </c>
      <c r="J305" s="50" t="n">
        <v>25767.2</v>
      </c>
      <c r="K305" s="51" t="n">
        <v>0.307988450433109</v>
      </c>
      <c r="L305" s="51" t="n">
        <v>0.97</v>
      </c>
      <c r="M305" s="51" t="n">
        <v>0.6</v>
      </c>
      <c r="N305" s="52" t="n">
        <f aca="false">J305*K305*L305*M305</f>
        <v>4618.752</v>
      </c>
      <c r="O305" s="50" t="n">
        <v>1.05</v>
      </c>
      <c r="P305" s="52" t="n">
        <f aca="false">N305*O305</f>
        <v>4849.6896</v>
      </c>
      <c r="Q305" s="50" t="n">
        <v>0.7878</v>
      </c>
      <c r="R305" s="52" t="n">
        <f aca="false">P305*Q305</f>
        <v>3820.58546688</v>
      </c>
      <c r="S305" s="50" t="n">
        <v>0.05</v>
      </c>
      <c r="T305" s="52" t="n">
        <f aca="false">N305*S305</f>
        <v>230.9376</v>
      </c>
      <c r="U305" s="52" t="n">
        <v>0.016</v>
      </c>
      <c r="V305" s="52" t="n">
        <f aca="false">P305*U305</f>
        <v>77.5950336</v>
      </c>
      <c r="W305" s="53" t="s">
        <v>195</v>
      </c>
      <c r="X305" s="50" t="n">
        <v>2.277</v>
      </c>
      <c r="Y305" s="53" t="s">
        <v>196</v>
      </c>
      <c r="Z305" s="50" t="n">
        <v>0.098325</v>
      </c>
      <c r="AA305" s="50" t="n">
        <v>7.88</v>
      </c>
      <c r="AB305" s="50" t="n">
        <v>9.05</v>
      </c>
      <c r="AC305" s="52" t="n">
        <f aca="false">IF(W305="EUR",AA305,IF(W305="GBP",AB305,1))</f>
        <v>7.88</v>
      </c>
      <c r="AD305" s="52" t="n">
        <f aca="false">R305*X305</f>
        <v>8699.47310808576</v>
      </c>
      <c r="AE305" s="52" t="n">
        <f aca="false">IF(Y305="PERCENTAGE_OF_BASE_FREIGHT",AD305*Z305,IF(Y305="PER_CHARGEABLE_KG",R305*Z305,P305*Z305))</f>
        <v>855.375693352532</v>
      </c>
      <c r="AF305" s="52" t="n">
        <f aca="false">AD305*AC305</f>
        <v>68551.8480917158</v>
      </c>
      <c r="AG305" s="52" t="n">
        <f aca="false">AE305*AC305</f>
        <v>6740.36046361795</v>
      </c>
      <c r="AH305" s="52" t="s">
        <v>195</v>
      </c>
      <c r="AI305" s="52" t="n">
        <v>1.2684058185107</v>
      </c>
      <c r="AJ305" s="52" t="n">
        <f aca="false">IF(AH305="EUR",AA305,IF(AH305="GBP",AB305,1))</f>
        <v>7.88</v>
      </c>
      <c r="AK305" s="52" t="n">
        <f aca="false">N305*AI305</f>
        <v>5858.45191105794</v>
      </c>
      <c r="AL305" s="52" t="n">
        <f aca="false">AK305*AJ305</f>
        <v>46164.6010591366</v>
      </c>
      <c r="AM305" s="52" t="s">
        <v>195</v>
      </c>
      <c r="AN305" s="52" t="n">
        <v>0.4347</v>
      </c>
      <c r="AO305" s="52" t="n">
        <f aca="false">IF(AM305="EUR",AA305,IF(AM305="GBP",AB305,1))</f>
        <v>7.88</v>
      </c>
      <c r="AP305" s="52" t="n">
        <f aca="false">P305*AN305</f>
        <v>2108.16006912</v>
      </c>
      <c r="AQ305" s="52" t="n">
        <f aca="false">AP305*AO305</f>
        <v>16612.3013446656</v>
      </c>
      <c r="AR305" s="52" t="s">
        <v>195</v>
      </c>
      <c r="AS305" s="52" t="n">
        <v>3.312</v>
      </c>
      <c r="AT305" s="52" t="n">
        <f aca="false">IF(AR305="EUR",AA305,IF(AR305="GBP",AB305,1))</f>
        <v>7.88</v>
      </c>
      <c r="AU305" s="52" t="n">
        <f aca="false">T305*AS305</f>
        <v>764.8653312</v>
      </c>
      <c r="AV305" s="52" t="n">
        <f aca="false">AU305*AT305</f>
        <v>6027.138809856</v>
      </c>
      <c r="AW305" s="52" t="s">
        <v>195</v>
      </c>
      <c r="AX305" s="52" t="n">
        <v>2.3805</v>
      </c>
      <c r="AY305" s="52" t="n">
        <f aca="false">IF(AW305="EUR",AA305,IF(AW305="GBP",AB305,1))</f>
        <v>7.88</v>
      </c>
      <c r="AZ305" s="52" t="n">
        <f aca="false">V305*AX305</f>
        <v>184.7149774848</v>
      </c>
      <c r="BA305" s="52" t="n">
        <f aca="false">AZ305*AY305</f>
        <v>1455.55402258022</v>
      </c>
      <c r="BB305" s="52" t="n">
        <f aca="false">AF305+AG305+AL305+AQ305+AV305+BA305</f>
        <v>145551.803791572</v>
      </c>
      <c r="BC305" s="54" t="n">
        <v>0.965</v>
      </c>
      <c r="BD305" s="32"/>
      <c r="BE305" s="30" t="s">
        <v>205</v>
      </c>
      <c r="BF305" s="30" t="s">
        <v>212</v>
      </c>
      <c r="BG305" s="32" t="s">
        <v>197</v>
      </c>
    </row>
    <row r="306" customFormat="false" ht="26.5" hidden="false" customHeight="false" outlineLevel="0" collapsed="false">
      <c r="A306" s="18" t="s">
        <v>210</v>
      </c>
      <c r="B306" s="18" t="s">
        <v>207</v>
      </c>
      <c r="C306" s="18" t="s">
        <v>211</v>
      </c>
      <c r="D306" s="49" t="n">
        <v>46327</v>
      </c>
      <c r="E306" s="18" t="s">
        <v>106</v>
      </c>
      <c r="F306" s="18" t="s">
        <v>99</v>
      </c>
      <c r="G306" s="18" t="s">
        <v>100</v>
      </c>
      <c r="H306" s="18" t="s">
        <v>107</v>
      </c>
      <c r="I306" s="18" t="s">
        <v>102</v>
      </c>
      <c r="J306" s="50" t="n">
        <v>25767.2</v>
      </c>
      <c r="K306" s="51" t="n">
        <v>0.307988450433109</v>
      </c>
      <c r="L306" s="51" t="n">
        <v>0.97</v>
      </c>
      <c r="M306" s="51" t="n">
        <v>0.4</v>
      </c>
      <c r="N306" s="52" t="n">
        <f aca="false">J306*K306*L306*M306</f>
        <v>3079.168</v>
      </c>
      <c r="O306" s="50" t="n">
        <v>1.05</v>
      </c>
      <c r="P306" s="52" t="n">
        <f aca="false">N306*O306</f>
        <v>3233.1264</v>
      </c>
      <c r="Q306" s="50" t="n">
        <v>0.808</v>
      </c>
      <c r="R306" s="52" t="n">
        <f aca="false">P306*Q306</f>
        <v>2612.3661312</v>
      </c>
      <c r="S306" s="50" t="n">
        <v>0.05</v>
      </c>
      <c r="T306" s="52" t="n">
        <f aca="false">N306*S306</f>
        <v>153.9584</v>
      </c>
      <c r="U306" s="52" t="n">
        <v>0.013</v>
      </c>
      <c r="V306" s="52" t="n">
        <f aca="false">P306*U306</f>
        <v>42.0306432</v>
      </c>
      <c r="W306" s="53" t="s">
        <v>195</v>
      </c>
      <c r="X306" s="50" t="n">
        <v>2.84625</v>
      </c>
      <c r="Y306" s="53" t="s">
        <v>198</v>
      </c>
      <c r="Z306" s="50" t="n">
        <v>0.21735</v>
      </c>
      <c r="AA306" s="50" t="n">
        <v>7.88</v>
      </c>
      <c r="AB306" s="50" t="n">
        <v>9.05</v>
      </c>
      <c r="AC306" s="52" t="n">
        <f aca="false">IF(W306="EUR",AA306,IF(W306="GBP",AB306,1))</f>
        <v>7.88</v>
      </c>
      <c r="AD306" s="52" t="n">
        <f aca="false">R306*X306</f>
        <v>7435.447100928</v>
      </c>
      <c r="AE306" s="52" t="n">
        <f aca="false">IF(Y306="PERCENTAGE_OF_BASE_FREIGHT",AD306*Z306,IF(Y306="PER_CHARGEABLE_KG",R306*Z306,P306*Z306))</f>
        <v>567.79777861632</v>
      </c>
      <c r="AF306" s="52" t="n">
        <f aca="false">AD306*AC306</f>
        <v>58591.3231553126</v>
      </c>
      <c r="AG306" s="52" t="n">
        <f aca="false">AE306*AC306</f>
        <v>4474.2464954966</v>
      </c>
      <c r="AH306" s="52" t="s">
        <v>195</v>
      </c>
      <c r="AI306" s="52" t="n">
        <v>1.2684058185107</v>
      </c>
      <c r="AJ306" s="52" t="n">
        <f aca="false">IF(AH306="EUR",AA306,IF(AH306="GBP",AB306,1))</f>
        <v>7.88</v>
      </c>
      <c r="AK306" s="52" t="n">
        <f aca="false">N306*AI306</f>
        <v>3905.63460737196</v>
      </c>
      <c r="AL306" s="52" t="n">
        <f aca="false">AK306*AJ306</f>
        <v>30776.4007060911</v>
      </c>
      <c r="AM306" s="52" t="s">
        <v>195</v>
      </c>
      <c r="AN306" s="52" t="n">
        <v>0.4347</v>
      </c>
      <c r="AO306" s="52" t="n">
        <f aca="false">IF(AM306="EUR",AA306,IF(AM306="GBP",AB306,1))</f>
        <v>7.88</v>
      </c>
      <c r="AP306" s="52" t="n">
        <f aca="false">P306*AN306</f>
        <v>1405.44004608</v>
      </c>
      <c r="AQ306" s="52" t="n">
        <f aca="false">AP306*AO306</f>
        <v>11074.8675631104</v>
      </c>
      <c r="AR306" s="52" t="s">
        <v>195</v>
      </c>
      <c r="AS306" s="52" t="n">
        <v>3.312</v>
      </c>
      <c r="AT306" s="52" t="n">
        <f aca="false">IF(AR306="EUR",AA306,IF(AR306="GBP",AB306,1))</f>
        <v>7.88</v>
      </c>
      <c r="AU306" s="52" t="n">
        <f aca="false">T306*AS306</f>
        <v>509.9102208</v>
      </c>
      <c r="AV306" s="52" t="n">
        <f aca="false">AU306*AT306</f>
        <v>4018.092539904</v>
      </c>
      <c r="AW306" s="52" t="s">
        <v>195</v>
      </c>
      <c r="AX306" s="52" t="n">
        <v>2.3805</v>
      </c>
      <c r="AY306" s="52" t="n">
        <f aca="false">IF(AW306="EUR",AA306,IF(AW306="GBP",AB306,1))</f>
        <v>7.88</v>
      </c>
      <c r="AZ306" s="52" t="n">
        <f aca="false">V306*AX306</f>
        <v>100.0539461376</v>
      </c>
      <c r="BA306" s="52" t="n">
        <f aca="false">AZ306*AY306</f>
        <v>788.425095564288</v>
      </c>
      <c r="BB306" s="52" t="n">
        <f aca="false">AF306+AG306+AL306+AQ306+AV306+BA306</f>
        <v>109723.355555479</v>
      </c>
      <c r="BC306" s="54" t="n">
        <v>0.976</v>
      </c>
      <c r="BD306" s="32"/>
      <c r="BE306" s="30" t="s">
        <v>205</v>
      </c>
      <c r="BF306" s="30" t="s">
        <v>212</v>
      </c>
      <c r="BG306" s="32" t="s">
        <v>197</v>
      </c>
    </row>
    <row r="307" customFormat="false" ht="26.5" hidden="false" customHeight="false" outlineLevel="0" collapsed="false">
      <c r="A307" s="18" t="s">
        <v>210</v>
      </c>
      <c r="B307" s="18" t="s">
        <v>207</v>
      </c>
      <c r="C307" s="18" t="s">
        <v>211</v>
      </c>
      <c r="D307" s="49" t="n">
        <v>46327</v>
      </c>
      <c r="E307" s="18" t="s">
        <v>109</v>
      </c>
      <c r="F307" s="18" t="s">
        <v>99</v>
      </c>
      <c r="G307" s="18" t="s">
        <v>110</v>
      </c>
      <c r="H307" s="18" t="s">
        <v>107</v>
      </c>
      <c r="I307" s="18" t="s">
        <v>102</v>
      </c>
      <c r="J307" s="50" t="n">
        <v>25767.2</v>
      </c>
      <c r="K307" s="51" t="n">
        <v>0.307988450433109</v>
      </c>
      <c r="L307" s="51" t="n">
        <v>0.03</v>
      </c>
      <c r="M307" s="51" t="n">
        <v>1</v>
      </c>
      <c r="N307" s="52" t="n">
        <f aca="false">J307*K307*L307*M307</f>
        <v>238.08</v>
      </c>
      <c r="O307" s="50" t="n">
        <v>1.08</v>
      </c>
      <c r="P307" s="52" t="n">
        <f aca="false">N307*O307</f>
        <v>257.1264</v>
      </c>
      <c r="Q307" s="50" t="n">
        <v>0.8686</v>
      </c>
      <c r="R307" s="52" t="n">
        <f aca="false">P307*Q307</f>
        <v>223.33999104</v>
      </c>
      <c r="S307" s="50" t="n">
        <v>0.05</v>
      </c>
      <c r="T307" s="52" t="n">
        <f aca="false">N307*S307</f>
        <v>11.904</v>
      </c>
      <c r="U307" s="52" t="n">
        <v>0.014</v>
      </c>
      <c r="V307" s="52" t="n">
        <f aca="false">P307*U307</f>
        <v>3.5997696</v>
      </c>
      <c r="W307" s="53" t="s">
        <v>195</v>
      </c>
      <c r="X307" s="50" t="n">
        <v>3.4155</v>
      </c>
      <c r="Y307" s="53" t="s">
        <v>198</v>
      </c>
      <c r="Z307" s="50" t="n">
        <v>0.2484</v>
      </c>
      <c r="AA307" s="50" t="n">
        <v>7.88</v>
      </c>
      <c r="AB307" s="50" t="n">
        <v>9.05</v>
      </c>
      <c r="AC307" s="52" t="n">
        <f aca="false">IF(W307="EUR",AA307,IF(W307="GBP",AB307,1))</f>
        <v>7.88</v>
      </c>
      <c r="AD307" s="52" t="n">
        <f aca="false">R307*X307</f>
        <v>762.81773939712</v>
      </c>
      <c r="AE307" s="52" t="n">
        <f aca="false">IF(Y307="PERCENTAGE_OF_BASE_FREIGHT",AD307*Z307,IF(Y307="PER_CHARGEABLE_KG",R307*Z307,P307*Z307))</f>
        <v>55.477653774336</v>
      </c>
      <c r="AF307" s="52" t="n">
        <f aca="false">AD307*AC307</f>
        <v>6011.00378644931</v>
      </c>
      <c r="AG307" s="52" t="n">
        <f aca="false">AE307*AC307</f>
        <v>437.163911741768</v>
      </c>
      <c r="AH307" s="52" t="s">
        <v>195</v>
      </c>
      <c r="AI307" s="52" t="n">
        <v>1.08675</v>
      </c>
      <c r="AJ307" s="52" t="n">
        <f aca="false">IF(AH307="EUR",AA307,IF(AH307="GBP",AB307,1))</f>
        <v>7.88</v>
      </c>
      <c r="AK307" s="52" t="n">
        <f aca="false">N307*AI307</f>
        <v>258.73344</v>
      </c>
      <c r="AL307" s="52" t="n">
        <f aca="false">AK307*AJ307</f>
        <v>2038.8195072</v>
      </c>
      <c r="AM307" s="52" t="s">
        <v>195</v>
      </c>
      <c r="AN307" s="52" t="n">
        <v>0.3933</v>
      </c>
      <c r="AO307" s="52" t="n">
        <f aca="false">IF(AM307="EUR",AA307,IF(AM307="GBP",AB307,1))</f>
        <v>7.88</v>
      </c>
      <c r="AP307" s="52" t="n">
        <f aca="false">P307*AN307</f>
        <v>101.12781312</v>
      </c>
      <c r="AQ307" s="52" t="n">
        <f aca="false">AP307*AO307</f>
        <v>796.8871673856</v>
      </c>
      <c r="AR307" s="52" t="s">
        <v>195</v>
      </c>
      <c r="AS307" s="52" t="n">
        <v>3.933</v>
      </c>
      <c r="AT307" s="52" t="n">
        <f aca="false">IF(AR307="EUR",AA307,IF(AR307="GBP",AB307,1))</f>
        <v>7.88</v>
      </c>
      <c r="AU307" s="52" t="n">
        <f aca="false">T307*AS307</f>
        <v>46.818432</v>
      </c>
      <c r="AV307" s="52" t="n">
        <f aca="false">AU307*AT307</f>
        <v>368.92924416</v>
      </c>
      <c r="AW307" s="52" t="s">
        <v>195</v>
      </c>
      <c r="AX307" s="52" t="n">
        <v>2.3805</v>
      </c>
      <c r="AY307" s="52" t="n">
        <f aca="false">IF(AW307="EUR",AA307,IF(AW307="GBP",AB307,1))</f>
        <v>7.88</v>
      </c>
      <c r="AZ307" s="52" t="n">
        <f aca="false">V307*AX307</f>
        <v>8.5692515328</v>
      </c>
      <c r="BA307" s="52" t="n">
        <f aca="false">AZ307*AY307</f>
        <v>67.525702078464</v>
      </c>
      <c r="BB307" s="52" t="n">
        <f aca="false">AF307+AG307+AL307+AQ307+AV307+BA307</f>
        <v>9720.32931901514</v>
      </c>
      <c r="BC307" s="54" t="n">
        <v>0.968</v>
      </c>
      <c r="BD307" s="32"/>
      <c r="BE307" s="30" t="s">
        <v>205</v>
      </c>
      <c r="BF307" s="30" t="s">
        <v>212</v>
      </c>
      <c r="BG307" s="32" t="s">
        <v>197</v>
      </c>
    </row>
    <row r="308" customFormat="false" ht="26.5" hidden="false" customHeight="false" outlineLevel="0" collapsed="false">
      <c r="A308" s="18" t="s">
        <v>210</v>
      </c>
      <c r="B308" s="18" t="s">
        <v>207</v>
      </c>
      <c r="C308" s="18" t="s">
        <v>211</v>
      </c>
      <c r="D308" s="49" t="n">
        <v>46327</v>
      </c>
      <c r="E308" s="18" t="s">
        <v>112</v>
      </c>
      <c r="F308" s="18" t="s">
        <v>113</v>
      </c>
      <c r="G308" s="18" t="s">
        <v>110</v>
      </c>
      <c r="H308" s="18" t="s">
        <v>101</v>
      </c>
      <c r="I308" s="18" t="s">
        <v>102</v>
      </c>
      <c r="J308" s="50" t="n">
        <v>25767.2</v>
      </c>
      <c r="K308" s="51" t="n">
        <v>0.279114533205005</v>
      </c>
      <c r="L308" s="51" t="n">
        <v>1</v>
      </c>
      <c r="M308" s="51" t="n">
        <v>0.35</v>
      </c>
      <c r="N308" s="52" t="n">
        <f aca="false">J308*K308*L308*M308</f>
        <v>2517.2</v>
      </c>
      <c r="O308" s="50" t="n">
        <v>1.06</v>
      </c>
      <c r="P308" s="52" t="n">
        <f aca="false">N308*O308</f>
        <v>2668.232</v>
      </c>
      <c r="Q308" s="50" t="n">
        <v>0.7676</v>
      </c>
      <c r="R308" s="52" t="n">
        <f aca="false">P308*Q308</f>
        <v>2048.1348832</v>
      </c>
      <c r="S308" s="50" t="n">
        <v>0.06</v>
      </c>
      <c r="T308" s="52" t="n">
        <f aca="false">N308*S308</f>
        <v>151.032</v>
      </c>
      <c r="U308" s="52" t="n">
        <v>0.017</v>
      </c>
      <c r="V308" s="52" t="n">
        <f aca="false">P308*U308</f>
        <v>45.359944</v>
      </c>
      <c r="W308" s="53" t="s">
        <v>195</v>
      </c>
      <c r="X308" s="50" t="n">
        <v>2.1735</v>
      </c>
      <c r="Y308" s="53" t="s">
        <v>196</v>
      </c>
      <c r="Z308" s="50" t="n">
        <v>0.09315</v>
      </c>
      <c r="AA308" s="50" t="n">
        <v>7.88</v>
      </c>
      <c r="AB308" s="50" t="n">
        <v>9.05</v>
      </c>
      <c r="AC308" s="52" t="n">
        <f aca="false">IF(W308="EUR",AA308,IF(W308="GBP",AB308,1))</f>
        <v>7.88</v>
      </c>
      <c r="AD308" s="52" t="n">
        <f aca="false">R308*X308</f>
        <v>4451.6211686352</v>
      </c>
      <c r="AE308" s="52" t="n">
        <f aca="false">IF(Y308="PERCENTAGE_OF_BASE_FREIGHT",AD308*Z308,IF(Y308="PER_CHARGEABLE_KG",R308*Z308,P308*Z308))</f>
        <v>414.668511858369</v>
      </c>
      <c r="AF308" s="52" t="n">
        <f aca="false">AD308*AC308</f>
        <v>35078.7748088454</v>
      </c>
      <c r="AG308" s="52" t="n">
        <f aca="false">AE308*AC308</f>
        <v>3267.58787344395</v>
      </c>
      <c r="AH308" s="52" t="s">
        <v>195</v>
      </c>
      <c r="AI308" s="52" t="n">
        <v>1.08675</v>
      </c>
      <c r="AJ308" s="52" t="n">
        <f aca="false">IF(AH308="EUR",AA308,IF(AH308="GBP",AB308,1))</f>
        <v>7.88</v>
      </c>
      <c r="AK308" s="52" t="n">
        <f aca="false">N308*AI308</f>
        <v>2735.5671</v>
      </c>
      <c r="AL308" s="52" t="n">
        <f aca="false">AK308*AJ308</f>
        <v>21556.268748</v>
      </c>
      <c r="AM308" s="52" t="s">
        <v>195</v>
      </c>
      <c r="AN308" s="52" t="n">
        <v>0.3933</v>
      </c>
      <c r="AO308" s="52" t="n">
        <f aca="false">IF(AM308="EUR",AA308,IF(AM308="GBP",AB308,1))</f>
        <v>7.88</v>
      </c>
      <c r="AP308" s="52" t="n">
        <f aca="false">P308*AN308</f>
        <v>1049.4156456</v>
      </c>
      <c r="AQ308" s="52" t="n">
        <f aca="false">AP308*AO308</f>
        <v>8269.395287328</v>
      </c>
      <c r="AR308" s="52" t="s">
        <v>195</v>
      </c>
      <c r="AS308" s="52" t="n">
        <v>3.105</v>
      </c>
      <c r="AT308" s="52" t="n">
        <f aca="false">IF(AR308="EUR",AA308,IF(AR308="GBP",AB308,1))</f>
        <v>7.88</v>
      </c>
      <c r="AU308" s="52" t="n">
        <f aca="false">T308*AS308</f>
        <v>468.95436</v>
      </c>
      <c r="AV308" s="52" t="n">
        <f aca="false">AU308*AT308</f>
        <v>3695.3603568</v>
      </c>
      <c r="AW308" s="52" t="s">
        <v>195</v>
      </c>
      <c r="AX308" s="52" t="n">
        <v>2.3805</v>
      </c>
      <c r="AY308" s="52" t="n">
        <f aca="false">IF(AW308="EUR",AA308,IF(AW308="GBP",AB308,1))</f>
        <v>7.88</v>
      </c>
      <c r="AZ308" s="52" t="n">
        <f aca="false">V308*AX308</f>
        <v>107.979346692</v>
      </c>
      <c r="BA308" s="52" t="n">
        <f aca="false">AZ308*AY308</f>
        <v>850.87725193296</v>
      </c>
      <c r="BB308" s="52" t="n">
        <f aca="false">AF308+AG308+AL308+AQ308+AV308+BA308</f>
        <v>72718.2643263503</v>
      </c>
      <c r="BC308" s="54" t="n">
        <v>0.961</v>
      </c>
      <c r="BD308" s="32"/>
      <c r="BE308" s="30" t="s">
        <v>205</v>
      </c>
      <c r="BF308" s="30" t="s">
        <v>212</v>
      </c>
      <c r="BG308" s="32" t="s">
        <v>197</v>
      </c>
    </row>
    <row r="309" customFormat="false" ht="26.5" hidden="false" customHeight="false" outlineLevel="0" collapsed="false">
      <c r="A309" s="18" t="s">
        <v>210</v>
      </c>
      <c r="B309" s="18" t="s">
        <v>207</v>
      </c>
      <c r="C309" s="18" t="s">
        <v>211</v>
      </c>
      <c r="D309" s="49" t="n">
        <v>46327</v>
      </c>
      <c r="E309" s="18" t="s">
        <v>116</v>
      </c>
      <c r="F309" s="18" t="s">
        <v>113</v>
      </c>
      <c r="G309" s="18" t="s">
        <v>110</v>
      </c>
      <c r="H309" s="18" t="s">
        <v>107</v>
      </c>
      <c r="I309" s="18" t="s">
        <v>102</v>
      </c>
      <c r="J309" s="50" t="n">
        <v>25767.2</v>
      </c>
      <c r="K309" s="51" t="n">
        <v>0.279114533205005</v>
      </c>
      <c r="L309" s="51" t="n">
        <v>1</v>
      </c>
      <c r="M309" s="51" t="n">
        <v>0.65</v>
      </c>
      <c r="N309" s="52" t="n">
        <f aca="false">J309*K309*L309*M309</f>
        <v>4674.8</v>
      </c>
      <c r="O309" s="50" t="n">
        <v>1.06</v>
      </c>
      <c r="P309" s="52" t="n">
        <f aca="false">N309*O309</f>
        <v>4955.288</v>
      </c>
      <c r="Q309" s="50" t="n">
        <v>0.7979</v>
      </c>
      <c r="R309" s="52" t="n">
        <f aca="false">P309*Q309</f>
        <v>3953.8242952</v>
      </c>
      <c r="S309" s="50" t="n">
        <v>0.06</v>
      </c>
      <c r="T309" s="52" t="n">
        <f aca="false">N309*S309</f>
        <v>280.488</v>
      </c>
      <c r="U309" s="52" t="n">
        <v>0.014</v>
      </c>
      <c r="V309" s="52" t="n">
        <f aca="false">P309*U309</f>
        <v>69.374032</v>
      </c>
      <c r="W309" s="53" t="s">
        <v>195</v>
      </c>
      <c r="X309" s="50" t="n">
        <v>2.691</v>
      </c>
      <c r="Y309" s="53" t="s">
        <v>198</v>
      </c>
      <c r="Z309" s="50" t="n">
        <v>0.207</v>
      </c>
      <c r="AA309" s="50" t="n">
        <v>7.88</v>
      </c>
      <c r="AB309" s="50" t="n">
        <v>9.05</v>
      </c>
      <c r="AC309" s="52" t="n">
        <f aca="false">IF(W309="EUR",AA309,IF(W309="GBP",AB309,1))</f>
        <v>7.88</v>
      </c>
      <c r="AD309" s="52" t="n">
        <f aca="false">R309*X309</f>
        <v>10639.7411783832</v>
      </c>
      <c r="AE309" s="52" t="n">
        <f aca="false">IF(Y309="PERCENTAGE_OF_BASE_FREIGHT",AD309*Z309,IF(Y309="PER_CHARGEABLE_KG",R309*Z309,P309*Z309))</f>
        <v>818.4416291064</v>
      </c>
      <c r="AF309" s="52" t="n">
        <f aca="false">AD309*AC309</f>
        <v>83841.1604856596</v>
      </c>
      <c r="AG309" s="52" t="n">
        <f aca="false">AE309*AC309</f>
        <v>6449.32003735843</v>
      </c>
      <c r="AH309" s="52" t="s">
        <v>195</v>
      </c>
      <c r="AI309" s="52" t="n">
        <v>1.08675</v>
      </c>
      <c r="AJ309" s="52" t="n">
        <f aca="false">IF(AH309="EUR",AA309,IF(AH309="GBP",AB309,1))</f>
        <v>7.88</v>
      </c>
      <c r="AK309" s="52" t="n">
        <f aca="false">N309*AI309</f>
        <v>5080.3389</v>
      </c>
      <c r="AL309" s="52" t="n">
        <f aca="false">AK309*AJ309</f>
        <v>40033.070532</v>
      </c>
      <c r="AM309" s="52" t="s">
        <v>195</v>
      </c>
      <c r="AN309" s="52" t="n">
        <v>0.3933</v>
      </c>
      <c r="AO309" s="52" t="n">
        <f aca="false">IF(AM309="EUR",AA309,IF(AM309="GBP",AB309,1))</f>
        <v>7.88</v>
      </c>
      <c r="AP309" s="52" t="n">
        <f aca="false">P309*AN309</f>
        <v>1948.9147704</v>
      </c>
      <c r="AQ309" s="52" t="n">
        <f aca="false">AP309*AO309</f>
        <v>15357.448390752</v>
      </c>
      <c r="AR309" s="52" t="s">
        <v>195</v>
      </c>
      <c r="AS309" s="52" t="n">
        <v>3.105</v>
      </c>
      <c r="AT309" s="52" t="n">
        <f aca="false">IF(AR309="EUR",AA309,IF(AR309="GBP",AB309,1))</f>
        <v>7.88</v>
      </c>
      <c r="AU309" s="52" t="n">
        <f aca="false">T309*AS309</f>
        <v>870.91524</v>
      </c>
      <c r="AV309" s="52" t="n">
        <f aca="false">AU309*AT309</f>
        <v>6862.8120912</v>
      </c>
      <c r="AW309" s="52" t="s">
        <v>195</v>
      </c>
      <c r="AX309" s="52" t="n">
        <v>2.3805</v>
      </c>
      <c r="AY309" s="52" t="n">
        <f aca="false">IF(AW309="EUR",AA309,IF(AW309="GBP",AB309,1))</f>
        <v>7.88</v>
      </c>
      <c r="AZ309" s="52" t="n">
        <f aca="false">V309*AX309</f>
        <v>165.144883176</v>
      </c>
      <c r="BA309" s="52" t="n">
        <f aca="false">AZ309*AY309</f>
        <v>1301.34167942688</v>
      </c>
      <c r="BB309" s="52" t="n">
        <f aca="false">AF309+AG309+AL309+AQ309+AV309+BA309</f>
        <v>153845.153216397</v>
      </c>
      <c r="BC309" s="54" t="n">
        <v>0.973</v>
      </c>
      <c r="BD309" s="32"/>
      <c r="BE309" s="30" t="s">
        <v>205</v>
      </c>
      <c r="BF309" s="30" t="s">
        <v>212</v>
      </c>
      <c r="BG309" s="32" t="s">
        <v>197</v>
      </c>
    </row>
    <row r="310" customFormat="false" ht="26.5" hidden="false" customHeight="false" outlineLevel="0" collapsed="false">
      <c r="A310" s="18" t="s">
        <v>210</v>
      </c>
      <c r="B310" s="18" t="s">
        <v>207</v>
      </c>
      <c r="C310" s="18" t="s">
        <v>211</v>
      </c>
      <c r="D310" s="49" t="n">
        <v>46327</v>
      </c>
      <c r="E310" s="18" t="s">
        <v>118</v>
      </c>
      <c r="F310" s="18" t="s">
        <v>119</v>
      </c>
      <c r="G310" s="18" t="s">
        <v>100</v>
      </c>
      <c r="H310" s="18" t="s">
        <v>101</v>
      </c>
      <c r="I310" s="18" t="s">
        <v>102</v>
      </c>
      <c r="J310" s="50" t="n">
        <v>25767.2</v>
      </c>
      <c r="K310" s="51" t="n">
        <v>0.412897016361886</v>
      </c>
      <c r="L310" s="51" t="n">
        <v>0.96</v>
      </c>
      <c r="M310" s="51" t="n">
        <v>0.42</v>
      </c>
      <c r="N310" s="52" t="n">
        <f aca="false">J310*K310*L310*M310</f>
        <v>4289.72544</v>
      </c>
      <c r="O310" s="50" t="n">
        <v>1.17</v>
      </c>
      <c r="P310" s="52" t="n">
        <f aca="false">N310*O310</f>
        <v>5018.9787648</v>
      </c>
      <c r="Q310" s="50" t="n">
        <v>1.050804</v>
      </c>
      <c r="R310" s="52" t="n">
        <f aca="false">P310*Q310</f>
        <v>5273.9629619669</v>
      </c>
      <c r="S310" s="50" t="n">
        <v>0.09</v>
      </c>
      <c r="T310" s="52" t="n">
        <f aca="false">N310*S310</f>
        <v>386.0752896</v>
      </c>
      <c r="U310" s="52" t="n">
        <v>0.027</v>
      </c>
      <c r="V310" s="52" t="n">
        <f aca="false">P310*U310</f>
        <v>135.5124266496</v>
      </c>
      <c r="W310" s="53" t="s">
        <v>199</v>
      </c>
      <c r="X310" s="50" t="n">
        <v>4.14</v>
      </c>
      <c r="Y310" s="53" t="s">
        <v>196</v>
      </c>
      <c r="Z310" s="50" t="n">
        <v>0.1035</v>
      </c>
      <c r="AA310" s="50" t="n">
        <v>7.88</v>
      </c>
      <c r="AB310" s="50" t="n">
        <v>9.05</v>
      </c>
      <c r="AC310" s="52" t="n">
        <f aca="false">IF(W310="EUR",AA310,IF(W310="GBP",AB310,1))</f>
        <v>9.05</v>
      </c>
      <c r="AD310" s="52" t="n">
        <f aca="false">R310*X310</f>
        <v>21834.206662543</v>
      </c>
      <c r="AE310" s="52" t="n">
        <f aca="false">IF(Y310="PERCENTAGE_OF_BASE_FREIGHT",AD310*Z310,IF(Y310="PER_CHARGEABLE_KG",R310*Z310,P310*Z310))</f>
        <v>2259.8403895732</v>
      </c>
      <c r="AF310" s="52" t="n">
        <f aca="false">AD310*AC310</f>
        <v>197599.570296014</v>
      </c>
      <c r="AG310" s="52" t="n">
        <f aca="false">AE310*AC310</f>
        <v>20451.5555256374</v>
      </c>
      <c r="AH310" s="52" t="s">
        <v>195</v>
      </c>
      <c r="AI310" s="52" t="n">
        <v>1.2684058185107</v>
      </c>
      <c r="AJ310" s="52" t="n">
        <f aca="false">IF(AH310="EUR",AA310,IF(AH310="GBP",AB310,1))</f>
        <v>7.88</v>
      </c>
      <c r="AK310" s="52" t="n">
        <f aca="false">N310*AI310</f>
        <v>5441.11270790938</v>
      </c>
      <c r="AL310" s="52" t="n">
        <f aca="false">AK310*AJ310</f>
        <v>42875.9681383259</v>
      </c>
      <c r="AM310" s="52" t="s">
        <v>195</v>
      </c>
      <c r="AN310" s="52" t="n">
        <v>0.4347</v>
      </c>
      <c r="AO310" s="52" t="n">
        <f aca="false">IF(AM310="EUR",AA310,IF(AM310="GBP",AB310,1))</f>
        <v>7.88</v>
      </c>
      <c r="AP310" s="52" t="n">
        <f aca="false">P310*AN310</f>
        <v>2181.75006905856</v>
      </c>
      <c r="AQ310" s="52" t="n">
        <f aca="false">AP310*AO310</f>
        <v>17192.1905441815</v>
      </c>
      <c r="AR310" s="52" t="s">
        <v>199</v>
      </c>
      <c r="AS310" s="52" t="n">
        <v>4.968</v>
      </c>
      <c r="AT310" s="52" t="n">
        <f aca="false">IF(AR310="EUR",AA310,IF(AR310="GBP",AB310,1))</f>
        <v>9.05</v>
      </c>
      <c r="AU310" s="52" t="n">
        <f aca="false">T310*AS310</f>
        <v>1918.0220387328</v>
      </c>
      <c r="AV310" s="52" t="n">
        <f aca="false">AU310*AT310</f>
        <v>17358.0994505318</v>
      </c>
      <c r="AW310" s="52" t="s">
        <v>199</v>
      </c>
      <c r="AX310" s="52" t="n">
        <v>2.3805</v>
      </c>
      <c r="AY310" s="52" t="n">
        <f aca="false">IF(AW310="EUR",AA310,IF(AW310="GBP",AB310,1))</f>
        <v>9.05</v>
      </c>
      <c r="AZ310" s="52" t="n">
        <f aca="false">V310*AX310</f>
        <v>322.587331639373</v>
      </c>
      <c r="BA310" s="52" t="n">
        <f aca="false">AZ310*AY310</f>
        <v>2919.41535133632</v>
      </c>
      <c r="BB310" s="52" t="n">
        <f aca="false">AF310+AG310+AL310+AQ310+AV310+BA310</f>
        <v>298396.799306027</v>
      </c>
      <c r="BC310" s="54" t="n">
        <v>0.93</v>
      </c>
      <c r="BD310" s="32"/>
      <c r="BE310" s="30" t="s">
        <v>205</v>
      </c>
      <c r="BF310" s="30" t="s">
        <v>212</v>
      </c>
      <c r="BG310" s="32" t="s">
        <v>197</v>
      </c>
    </row>
    <row r="311" customFormat="false" ht="26.5" hidden="false" customHeight="false" outlineLevel="0" collapsed="false">
      <c r="A311" s="18" t="s">
        <v>210</v>
      </c>
      <c r="B311" s="18" t="s">
        <v>207</v>
      </c>
      <c r="C311" s="18" t="s">
        <v>211</v>
      </c>
      <c r="D311" s="49" t="n">
        <v>46327</v>
      </c>
      <c r="E311" s="18" t="s">
        <v>122</v>
      </c>
      <c r="F311" s="18" t="s">
        <v>119</v>
      </c>
      <c r="G311" s="18" t="s">
        <v>100</v>
      </c>
      <c r="H311" s="18" t="s">
        <v>107</v>
      </c>
      <c r="I311" s="18" t="s">
        <v>102</v>
      </c>
      <c r="J311" s="50" t="n">
        <v>25767.2</v>
      </c>
      <c r="K311" s="51" t="n">
        <v>0.412897016361886</v>
      </c>
      <c r="L311" s="51" t="n">
        <v>0.96</v>
      </c>
      <c r="M311" s="51" t="n">
        <v>0.23</v>
      </c>
      <c r="N311" s="52" t="n">
        <f aca="false">J311*K311*L311*M311</f>
        <v>2349.13536</v>
      </c>
      <c r="O311" s="50" t="n">
        <v>1.17</v>
      </c>
      <c r="P311" s="52" t="n">
        <f aca="false">N311*O311</f>
        <v>2748.4883712</v>
      </c>
      <c r="Q311" s="50" t="n">
        <v>1.0302</v>
      </c>
      <c r="R311" s="52" t="n">
        <f aca="false">P311*Q311</f>
        <v>2831.49272001024</v>
      </c>
      <c r="S311" s="50" t="n">
        <v>0.09</v>
      </c>
      <c r="T311" s="52" t="n">
        <f aca="false">N311*S311</f>
        <v>211.4221824</v>
      </c>
      <c r="U311" s="52" t="n">
        <v>0.02</v>
      </c>
      <c r="V311" s="52" t="n">
        <f aca="false">P311*U311</f>
        <v>54.969767424</v>
      </c>
      <c r="W311" s="53" t="s">
        <v>199</v>
      </c>
      <c r="X311" s="50" t="n">
        <v>4.8645</v>
      </c>
      <c r="Y311" s="53" t="s">
        <v>198</v>
      </c>
      <c r="Z311" s="50" t="n">
        <v>0.34155</v>
      </c>
      <c r="AA311" s="50" t="n">
        <v>7.88</v>
      </c>
      <c r="AB311" s="50" t="n">
        <v>9.05</v>
      </c>
      <c r="AC311" s="52" t="n">
        <f aca="false">IF(W311="EUR",AA311,IF(W311="GBP",AB311,1))</f>
        <v>9.05</v>
      </c>
      <c r="AD311" s="52" t="n">
        <f aca="false">R311*X311</f>
        <v>13773.7963364898</v>
      </c>
      <c r="AE311" s="52" t="n">
        <f aca="false">IF(Y311="PERCENTAGE_OF_BASE_FREIGHT",AD311*Z311,IF(Y311="PER_CHARGEABLE_KG",R311*Z311,P311*Z311))</f>
        <v>967.096338519498</v>
      </c>
      <c r="AF311" s="52" t="n">
        <f aca="false">AD311*AC311</f>
        <v>124652.856845233</v>
      </c>
      <c r="AG311" s="52" t="n">
        <f aca="false">AE311*AC311</f>
        <v>8752.22186360146</v>
      </c>
      <c r="AH311" s="52" t="s">
        <v>195</v>
      </c>
      <c r="AI311" s="52" t="n">
        <v>1.2684058185107</v>
      </c>
      <c r="AJ311" s="52" t="n">
        <f aca="false">IF(AH311="EUR",AA311,IF(AH311="GBP",AB311,1))</f>
        <v>7.88</v>
      </c>
      <c r="AK311" s="52" t="n">
        <f aca="false">N311*AI311</f>
        <v>2979.65695909323</v>
      </c>
      <c r="AL311" s="52" t="n">
        <f aca="false">AK311*AJ311</f>
        <v>23479.6968376547</v>
      </c>
      <c r="AM311" s="52" t="s">
        <v>195</v>
      </c>
      <c r="AN311" s="52" t="n">
        <v>0.4347</v>
      </c>
      <c r="AO311" s="52" t="n">
        <f aca="false">IF(AM311="EUR",AA311,IF(AM311="GBP",AB311,1))</f>
        <v>7.88</v>
      </c>
      <c r="AP311" s="52" t="n">
        <f aca="false">P311*AN311</f>
        <v>1194.76789496064</v>
      </c>
      <c r="AQ311" s="52" t="n">
        <f aca="false">AP311*AO311</f>
        <v>9414.77101228984</v>
      </c>
      <c r="AR311" s="52" t="s">
        <v>199</v>
      </c>
      <c r="AS311" s="52" t="n">
        <v>4.968</v>
      </c>
      <c r="AT311" s="52" t="n">
        <f aca="false">IF(AR311="EUR",AA311,IF(AR311="GBP",AB311,1))</f>
        <v>9.05</v>
      </c>
      <c r="AU311" s="52" t="n">
        <f aca="false">T311*AS311</f>
        <v>1050.3454021632</v>
      </c>
      <c r="AV311" s="52" t="n">
        <f aca="false">AU311*AT311</f>
        <v>9505.62588957696</v>
      </c>
      <c r="AW311" s="52" t="s">
        <v>199</v>
      </c>
      <c r="AX311" s="52" t="n">
        <v>2.3805</v>
      </c>
      <c r="AY311" s="52" t="n">
        <f aca="false">IF(AW311="EUR",AA311,IF(AW311="GBP",AB311,1))</f>
        <v>9.05</v>
      </c>
      <c r="AZ311" s="52" t="n">
        <f aca="false">V311*AX311</f>
        <v>130.855531352832</v>
      </c>
      <c r="BA311" s="52" t="n">
        <f aca="false">AZ311*AY311</f>
        <v>1184.24255874313</v>
      </c>
      <c r="BB311" s="52" t="n">
        <f aca="false">AF311+AG311+AL311+AQ311+AV311+BA311</f>
        <v>176989.415007099</v>
      </c>
      <c r="BC311" s="54" t="n">
        <v>0.95</v>
      </c>
      <c r="BD311" s="32"/>
      <c r="BE311" s="30" t="s">
        <v>205</v>
      </c>
      <c r="BF311" s="30" t="s">
        <v>212</v>
      </c>
      <c r="BG311" s="32" t="s">
        <v>197</v>
      </c>
    </row>
    <row r="312" customFormat="false" ht="26.5" hidden="false" customHeight="false" outlineLevel="0" collapsed="false">
      <c r="A312" s="18" t="s">
        <v>210</v>
      </c>
      <c r="B312" s="18" t="s">
        <v>207</v>
      </c>
      <c r="C312" s="18" t="s">
        <v>211</v>
      </c>
      <c r="D312" s="49" t="n">
        <v>46327</v>
      </c>
      <c r="E312" s="18" t="s">
        <v>124</v>
      </c>
      <c r="F312" s="18" t="s">
        <v>119</v>
      </c>
      <c r="G312" s="18" t="s">
        <v>100</v>
      </c>
      <c r="H312" s="18" t="s">
        <v>107</v>
      </c>
      <c r="I312" s="18" t="s">
        <v>125</v>
      </c>
      <c r="J312" s="50" t="n">
        <v>25767.2</v>
      </c>
      <c r="K312" s="51" t="n">
        <v>0.412897016361886</v>
      </c>
      <c r="L312" s="51" t="n">
        <v>0.96</v>
      </c>
      <c r="M312" s="51" t="n">
        <v>0.22</v>
      </c>
      <c r="N312" s="52" t="n">
        <f aca="false">J312*K312*L312*M312</f>
        <v>2246.99904</v>
      </c>
      <c r="O312" s="50" t="n">
        <v>1.17</v>
      </c>
      <c r="P312" s="52" t="n">
        <f aca="false">N312*O312</f>
        <v>2628.9888768</v>
      </c>
      <c r="Q312" s="50" t="n">
        <v>0.968388</v>
      </c>
      <c r="R312" s="52" t="n">
        <f aca="false">P312*Q312</f>
        <v>2545.8812804266</v>
      </c>
      <c r="S312" s="50" t="n">
        <v>0.09</v>
      </c>
      <c r="T312" s="52" t="n">
        <f aca="false">N312*S312</f>
        <v>202.2299136</v>
      </c>
      <c r="U312" s="52" t="n">
        <v>0.016</v>
      </c>
      <c r="V312" s="52" t="n">
        <f aca="false">P312*U312</f>
        <v>42.0638220288</v>
      </c>
      <c r="W312" s="53" t="s">
        <v>199</v>
      </c>
      <c r="X312" s="50" t="n">
        <v>6.67368</v>
      </c>
      <c r="Y312" s="53" t="s">
        <v>196</v>
      </c>
      <c r="Z312" s="50" t="n">
        <v>0.123786</v>
      </c>
      <c r="AA312" s="50" t="n">
        <v>7.88</v>
      </c>
      <c r="AB312" s="50" t="n">
        <v>9.05</v>
      </c>
      <c r="AC312" s="52" t="n">
        <f aca="false">IF(W312="EUR",AA312,IF(W312="GBP",AB312,1))</f>
        <v>9.05</v>
      </c>
      <c r="AD312" s="52" t="n">
        <f aca="false">R312*X312</f>
        <v>16990.3969835574</v>
      </c>
      <c r="AE312" s="52" t="n">
        <f aca="false">IF(Y312="PERCENTAGE_OF_BASE_FREIGHT",AD312*Z312,IF(Y312="PER_CHARGEABLE_KG",R312*Z312,P312*Z312))</f>
        <v>2103.17328100663</v>
      </c>
      <c r="AF312" s="52" t="n">
        <f aca="false">AD312*AC312</f>
        <v>153763.092701194</v>
      </c>
      <c r="AG312" s="52" t="n">
        <f aca="false">AE312*AC312</f>
        <v>19033.71819311</v>
      </c>
      <c r="AH312" s="52" t="s">
        <v>195</v>
      </c>
      <c r="AI312" s="52" t="n">
        <v>1.2684058185107</v>
      </c>
      <c r="AJ312" s="52" t="n">
        <f aca="false">IF(AH312="EUR",AA312,IF(AH312="GBP",AB312,1))</f>
        <v>7.88</v>
      </c>
      <c r="AK312" s="52" t="n">
        <f aca="false">N312*AI312</f>
        <v>2850.10665652396</v>
      </c>
      <c r="AL312" s="52" t="n">
        <f aca="false">AK312*AJ312</f>
        <v>22458.8404534088</v>
      </c>
      <c r="AM312" s="52" t="s">
        <v>195</v>
      </c>
      <c r="AN312" s="52" t="n">
        <v>0.4347</v>
      </c>
      <c r="AO312" s="52" t="n">
        <f aca="false">IF(AM312="EUR",AA312,IF(AM312="GBP",AB312,1))</f>
        <v>7.88</v>
      </c>
      <c r="AP312" s="52" t="n">
        <f aca="false">P312*AN312</f>
        <v>1142.82146474496</v>
      </c>
      <c r="AQ312" s="52" t="n">
        <f aca="false">AP312*AO312</f>
        <v>9005.43314219028</v>
      </c>
      <c r="AR312" s="52" t="s">
        <v>199</v>
      </c>
      <c r="AS312" s="52" t="n">
        <v>4.968</v>
      </c>
      <c r="AT312" s="52" t="n">
        <f aca="false">IF(AR312="EUR",AA312,IF(AR312="GBP",AB312,1))</f>
        <v>9.05</v>
      </c>
      <c r="AU312" s="52" t="n">
        <f aca="false">T312*AS312</f>
        <v>1004.6782107648</v>
      </c>
      <c r="AV312" s="52" t="n">
        <f aca="false">AU312*AT312</f>
        <v>9092.33780742144</v>
      </c>
      <c r="AW312" s="52" t="s">
        <v>199</v>
      </c>
      <c r="AX312" s="52" t="n">
        <v>2.898</v>
      </c>
      <c r="AY312" s="52" t="n">
        <f aca="false">IF(AW312="EUR",AA312,IF(AW312="GBP",AB312,1))</f>
        <v>9.05</v>
      </c>
      <c r="AZ312" s="52" t="n">
        <f aca="false">V312*AX312</f>
        <v>121.900956239462</v>
      </c>
      <c r="BA312" s="52" t="n">
        <f aca="false">AZ312*AY312</f>
        <v>1103.20365396713</v>
      </c>
      <c r="BB312" s="52" t="n">
        <f aca="false">AF312+AG312+AL312+AQ312+AV312+BA312</f>
        <v>214456.625951292</v>
      </c>
      <c r="BC312" s="54" t="n">
        <v>0.974</v>
      </c>
      <c r="BD312" s="32"/>
      <c r="BE312" s="30" t="s">
        <v>205</v>
      </c>
      <c r="BF312" s="30" t="s">
        <v>212</v>
      </c>
      <c r="BG312" s="32" t="s">
        <v>197</v>
      </c>
    </row>
    <row r="313" customFormat="false" ht="26.5" hidden="false" customHeight="false" outlineLevel="0" collapsed="false">
      <c r="A313" s="18" t="s">
        <v>210</v>
      </c>
      <c r="B313" s="18" t="s">
        <v>207</v>
      </c>
      <c r="C313" s="18" t="s">
        <v>211</v>
      </c>
      <c r="D313" s="49" t="n">
        <v>46327</v>
      </c>
      <c r="E313" s="18" t="s">
        <v>127</v>
      </c>
      <c r="F313" s="18" t="s">
        <v>119</v>
      </c>
      <c r="G313" s="18" t="s">
        <v>100</v>
      </c>
      <c r="H313" s="18" t="s">
        <v>128</v>
      </c>
      <c r="I313" s="18" t="s">
        <v>125</v>
      </c>
      <c r="J313" s="50" t="n">
        <v>25767.2</v>
      </c>
      <c r="K313" s="51" t="n">
        <v>0.412897016361886</v>
      </c>
      <c r="L313" s="51" t="n">
        <v>0.96</v>
      </c>
      <c r="M313" s="51" t="n">
        <v>0.13</v>
      </c>
      <c r="N313" s="52" t="n">
        <f aca="false">J313*K313*L313*M313</f>
        <v>1327.77216</v>
      </c>
      <c r="O313" s="50" t="n">
        <v>1.17</v>
      </c>
      <c r="P313" s="52" t="n">
        <f aca="false">N313*O313</f>
        <v>1553.4934272</v>
      </c>
      <c r="Q313" s="50" t="n">
        <v>0.947784</v>
      </c>
      <c r="R313" s="52" t="n">
        <f aca="false">P313*Q313</f>
        <v>1472.37621440532</v>
      </c>
      <c r="S313" s="50" t="n">
        <v>0.09</v>
      </c>
      <c r="T313" s="52" t="n">
        <f aca="false">N313*S313</f>
        <v>119.4994944</v>
      </c>
      <c r="U313" s="52" t="n">
        <v>0.011</v>
      </c>
      <c r="V313" s="52" t="n">
        <f aca="false">P313*U313</f>
        <v>17.0884276992</v>
      </c>
      <c r="W313" s="53" t="s">
        <v>199</v>
      </c>
      <c r="X313" s="50" t="n">
        <v>8.22825</v>
      </c>
      <c r="Y313" s="53" t="s">
        <v>198</v>
      </c>
      <c r="Z313" s="50" t="n">
        <v>0.636318</v>
      </c>
      <c r="AA313" s="50" t="n">
        <v>7.88</v>
      </c>
      <c r="AB313" s="50" t="n">
        <v>9.05</v>
      </c>
      <c r="AC313" s="52" t="n">
        <f aca="false">IF(W313="EUR",AA313,IF(W313="GBP",AB313,1))</f>
        <v>9.05</v>
      </c>
      <c r="AD313" s="52" t="n">
        <f aca="false">R313*X313</f>
        <v>12115.0795861806</v>
      </c>
      <c r="AE313" s="52" t="n">
        <f aca="false">IF(Y313="PERCENTAGE_OF_BASE_FREIGHT",AD313*Z313,IF(Y313="PER_CHARGEABLE_KG",R313*Z313,P313*Z313))</f>
        <v>936.899487997967</v>
      </c>
      <c r="AF313" s="52" t="n">
        <f aca="false">AD313*AC313</f>
        <v>109641.470254935</v>
      </c>
      <c r="AG313" s="52" t="n">
        <f aca="false">AE313*AC313</f>
        <v>8478.94036638161</v>
      </c>
      <c r="AH313" s="52" t="s">
        <v>195</v>
      </c>
      <c r="AI313" s="52" t="n">
        <v>1.2684058185107</v>
      </c>
      <c r="AJ313" s="52" t="n">
        <f aca="false">IF(AH313="EUR",AA313,IF(AH313="GBP",AB313,1))</f>
        <v>7.88</v>
      </c>
      <c r="AK313" s="52" t="n">
        <f aca="false">N313*AI313</f>
        <v>1684.15393340052</v>
      </c>
      <c r="AL313" s="52" t="n">
        <f aca="false">AK313*AJ313</f>
        <v>13271.1329951961</v>
      </c>
      <c r="AM313" s="52" t="s">
        <v>195</v>
      </c>
      <c r="AN313" s="52" t="n">
        <v>0.4347</v>
      </c>
      <c r="AO313" s="52" t="n">
        <f aca="false">IF(AM313="EUR",AA313,IF(AM313="GBP",AB313,1))</f>
        <v>7.88</v>
      </c>
      <c r="AP313" s="52" t="n">
        <f aca="false">P313*AN313</f>
        <v>675.30359280384</v>
      </c>
      <c r="AQ313" s="52" t="n">
        <f aca="false">AP313*AO313</f>
        <v>5321.39231129426</v>
      </c>
      <c r="AR313" s="52" t="s">
        <v>199</v>
      </c>
      <c r="AS313" s="52" t="n">
        <v>4.968</v>
      </c>
      <c r="AT313" s="52" t="n">
        <f aca="false">IF(AR313="EUR",AA313,IF(AR313="GBP",AB313,1))</f>
        <v>9.05</v>
      </c>
      <c r="AU313" s="52" t="n">
        <f aca="false">T313*AS313</f>
        <v>593.6734881792</v>
      </c>
      <c r="AV313" s="52" t="n">
        <f aca="false">AU313*AT313</f>
        <v>5372.74506802176</v>
      </c>
      <c r="AW313" s="52" t="s">
        <v>199</v>
      </c>
      <c r="AX313" s="52" t="n">
        <v>3.726</v>
      </c>
      <c r="AY313" s="52" t="n">
        <f aca="false">IF(AW313="EUR",AA313,IF(AW313="GBP",AB313,1))</f>
        <v>9.05</v>
      </c>
      <c r="AZ313" s="52" t="n">
        <f aca="false">V313*AX313</f>
        <v>63.6714816072192</v>
      </c>
      <c r="BA313" s="52" t="n">
        <f aca="false">AZ313*AY313</f>
        <v>576.226908545334</v>
      </c>
      <c r="BB313" s="52" t="n">
        <f aca="false">AF313+AG313+AL313+AQ313+AV313+BA313</f>
        <v>142661.907904374</v>
      </c>
      <c r="BC313" s="54" t="n">
        <v>0.988</v>
      </c>
      <c r="BD313" s="32"/>
      <c r="BE313" s="30" t="s">
        <v>205</v>
      </c>
      <c r="BF313" s="30" t="s">
        <v>212</v>
      </c>
      <c r="BG313" s="32" t="s">
        <v>197</v>
      </c>
    </row>
    <row r="314" customFormat="false" ht="26.5" hidden="false" customHeight="false" outlineLevel="0" collapsed="false">
      <c r="A314" s="18" t="s">
        <v>210</v>
      </c>
      <c r="B314" s="18" t="s">
        <v>207</v>
      </c>
      <c r="C314" s="18" t="s">
        <v>211</v>
      </c>
      <c r="D314" s="49" t="n">
        <v>46327</v>
      </c>
      <c r="E314" s="18" t="s">
        <v>130</v>
      </c>
      <c r="F314" s="18" t="s">
        <v>119</v>
      </c>
      <c r="G314" s="18" t="s">
        <v>110</v>
      </c>
      <c r="H314" s="18" t="s">
        <v>107</v>
      </c>
      <c r="I314" s="18" t="s">
        <v>125</v>
      </c>
      <c r="J314" s="50" t="n">
        <v>25767.2</v>
      </c>
      <c r="K314" s="51" t="n">
        <v>0.412897016361886</v>
      </c>
      <c r="L314" s="51" t="n">
        <v>0.04</v>
      </c>
      <c r="M314" s="51" t="n">
        <v>1</v>
      </c>
      <c r="N314" s="52" t="n">
        <f aca="false">J314*K314*L314*M314</f>
        <v>425.568</v>
      </c>
      <c r="O314" s="50" t="n">
        <v>1.17</v>
      </c>
      <c r="P314" s="52" t="n">
        <f aca="false">N314*O314</f>
        <v>497.91456</v>
      </c>
      <c r="Q314" s="50" t="n">
        <v>0.92718</v>
      </c>
      <c r="R314" s="52" t="n">
        <f aca="false">P314*Q314</f>
        <v>461.6564217408</v>
      </c>
      <c r="S314" s="50" t="n">
        <v>0.09</v>
      </c>
      <c r="T314" s="52" t="n">
        <f aca="false">N314*S314</f>
        <v>38.30112</v>
      </c>
      <c r="U314" s="52" t="n">
        <v>0.014</v>
      </c>
      <c r="V314" s="52" t="n">
        <f aca="false">P314*U314</f>
        <v>6.97080384</v>
      </c>
      <c r="W314" s="53" t="s">
        <v>195</v>
      </c>
      <c r="X314" s="50" t="n">
        <v>6.9345</v>
      </c>
      <c r="Y314" s="53" t="s">
        <v>196</v>
      </c>
      <c r="Z314" s="50" t="n">
        <v>0.108675</v>
      </c>
      <c r="AA314" s="50" t="n">
        <v>7.88</v>
      </c>
      <c r="AB314" s="50" t="n">
        <v>9.05</v>
      </c>
      <c r="AC314" s="52" t="n">
        <f aca="false">IF(W314="EUR",AA314,IF(W314="GBP",AB314,1))</f>
        <v>7.88</v>
      </c>
      <c r="AD314" s="52" t="n">
        <f aca="false">R314*X314</f>
        <v>3201.35645656158</v>
      </c>
      <c r="AE314" s="52" t="n">
        <f aca="false">IF(Y314="PERCENTAGE_OF_BASE_FREIGHT",AD314*Z314,IF(Y314="PER_CHARGEABLE_KG",R314*Z314,P314*Z314))</f>
        <v>347.907412916829</v>
      </c>
      <c r="AF314" s="52" t="n">
        <f aca="false">AD314*AC314</f>
        <v>25226.6888777052</v>
      </c>
      <c r="AG314" s="52" t="n">
        <f aca="false">AE314*AC314</f>
        <v>2741.51041378462</v>
      </c>
      <c r="AH314" s="52" t="s">
        <v>195</v>
      </c>
      <c r="AI314" s="52" t="n">
        <v>1.08675</v>
      </c>
      <c r="AJ314" s="52" t="n">
        <f aca="false">IF(AH314="EUR",AA314,IF(AH314="GBP",AB314,1))</f>
        <v>7.88</v>
      </c>
      <c r="AK314" s="52" t="n">
        <f aca="false">N314*AI314</f>
        <v>462.486024</v>
      </c>
      <c r="AL314" s="52" t="n">
        <f aca="false">AK314*AJ314</f>
        <v>3644.38986912</v>
      </c>
      <c r="AM314" s="52" t="s">
        <v>195</v>
      </c>
      <c r="AN314" s="52" t="n">
        <v>0.3933</v>
      </c>
      <c r="AO314" s="52" t="n">
        <f aca="false">IF(AM314="EUR",AA314,IF(AM314="GBP",AB314,1))</f>
        <v>7.88</v>
      </c>
      <c r="AP314" s="52" t="n">
        <f aca="false">P314*AN314</f>
        <v>195.829796448</v>
      </c>
      <c r="AQ314" s="52" t="n">
        <f aca="false">AP314*AO314</f>
        <v>1543.13879601024</v>
      </c>
      <c r="AR314" s="52" t="s">
        <v>195</v>
      </c>
      <c r="AS314" s="52" t="n">
        <v>5.382</v>
      </c>
      <c r="AT314" s="52" t="n">
        <f aca="false">IF(AR314="EUR",AA314,IF(AR314="GBP",AB314,1))</f>
        <v>7.88</v>
      </c>
      <c r="AU314" s="52" t="n">
        <f aca="false">T314*AS314</f>
        <v>206.13662784</v>
      </c>
      <c r="AV314" s="52" t="n">
        <f aca="false">AU314*AT314</f>
        <v>1624.3566273792</v>
      </c>
      <c r="AW314" s="52" t="s">
        <v>195</v>
      </c>
      <c r="AX314" s="52" t="n">
        <v>2.898</v>
      </c>
      <c r="AY314" s="52" t="n">
        <f aca="false">IF(AW314="EUR",AA314,IF(AW314="GBP",AB314,1))</f>
        <v>7.88</v>
      </c>
      <c r="AZ314" s="52" t="n">
        <f aca="false">V314*AX314</f>
        <v>20.20138952832</v>
      </c>
      <c r="BA314" s="52" t="n">
        <f aca="false">AZ314*AY314</f>
        <v>159.186949483162</v>
      </c>
      <c r="BB314" s="52" t="n">
        <f aca="false">AF314+AG314+AL314+AQ314+AV314+BA314</f>
        <v>34939.2715334824</v>
      </c>
      <c r="BC314" s="54" t="n">
        <v>0.971</v>
      </c>
      <c r="BD314" s="32"/>
      <c r="BE314" s="30" t="s">
        <v>205</v>
      </c>
      <c r="BF314" s="30" t="s">
        <v>212</v>
      </c>
      <c r="BG314" s="32" t="s">
        <v>197</v>
      </c>
    </row>
    <row r="315" customFormat="false" ht="26.5" hidden="false" customHeight="false" outlineLevel="0" collapsed="false">
      <c r="A315" s="18" t="s">
        <v>210</v>
      </c>
      <c r="B315" s="18" t="s">
        <v>207</v>
      </c>
      <c r="C315" s="18" t="s">
        <v>211</v>
      </c>
      <c r="D315" s="49" t="n">
        <v>46357</v>
      </c>
      <c r="E315" s="18" t="s">
        <v>98</v>
      </c>
      <c r="F315" s="18" t="s">
        <v>99</v>
      </c>
      <c r="G315" s="18" t="s">
        <v>100</v>
      </c>
      <c r="H315" s="18" t="s">
        <v>101</v>
      </c>
      <c r="I315" s="18" t="s">
        <v>102</v>
      </c>
      <c r="J315" s="50" t="n">
        <v>29744</v>
      </c>
      <c r="K315" s="51" t="n">
        <v>0.307692307692308</v>
      </c>
      <c r="L315" s="51" t="n">
        <v>0.97</v>
      </c>
      <c r="M315" s="51" t="n">
        <v>0.6</v>
      </c>
      <c r="N315" s="52" t="n">
        <f aca="false">J315*K315*L315*M315</f>
        <v>5326.464</v>
      </c>
      <c r="O315" s="50" t="n">
        <v>1.05</v>
      </c>
      <c r="P315" s="52" t="n">
        <f aca="false">N315*O315</f>
        <v>5592.7872</v>
      </c>
      <c r="Q315" s="50" t="n">
        <v>0.7878</v>
      </c>
      <c r="R315" s="52" t="n">
        <f aca="false">P315*Q315</f>
        <v>4405.99775616</v>
      </c>
      <c r="S315" s="50" t="n">
        <v>0.05</v>
      </c>
      <c r="T315" s="52" t="n">
        <f aca="false">N315*S315</f>
        <v>266.3232</v>
      </c>
      <c r="U315" s="52" t="n">
        <v>0.016</v>
      </c>
      <c r="V315" s="52" t="n">
        <f aca="false">P315*U315</f>
        <v>89.4845952</v>
      </c>
      <c r="W315" s="53" t="s">
        <v>195</v>
      </c>
      <c r="X315" s="50" t="n">
        <v>2.277</v>
      </c>
      <c r="Y315" s="53" t="s">
        <v>196</v>
      </c>
      <c r="Z315" s="50" t="n">
        <v>0.098325</v>
      </c>
      <c r="AA315" s="50" t="n">
        <v>7.86</v>
      </c>
      <c r="AB315" s="50" t="n">
        <v>9</v>
      </c>
      <c r="AC315" s="52" t="n">
        <f aca="false">IF(W315="EUR",AA315,IF(W315="GBP",AB315,1))</f>
        <v>7.86</v>
      </c>
      <c r="AD315" s="52" t="n">
        <f aca="false">R315*X315</f>
        <v>10032.4568907763</v>
      </c>
      <c r="AE315" s="52" t="n">
        <f aca="false">IF(Y315="PERCENTAGE_OF_BASE_FREIGHT",AD315*Z315,IF(Y315="PER_CHARGEABLE_KG",R315*Z315,P315*Z315))</f>
        <v>986.441323785582</v>
      </c>
      <c r="AF315" s="52" t="n">
        <f aca="false">AD315*AC315</f>
        <v>78855.1111615019</v>
      </c>
      <c r="AG315" s="52" t="n">
        <f aca="false">AE315*AC315</f>
        <v>7753.42880495467</v>
      </c>
      <c r="AH315" s="52" t="s">
        <v>195</v>
      </c>
      <c r="AI315" s="52" t="n">
        <v>1.26158229834681</v>
      </c>
      <c r="AJ315" s="52" t="n">
        <f aca="false">IF(AH315="EUR",AA315,IF(AH315="GBP",AB315,1))</f>
        <v>7.86</v>
      </c>
      <c r="AK315" s="52" t="n">
        <f aca="false">N315*AI315</f>
        <v>6719.77269518157</v>
      </c>
      <c r="AL315" s="52" t="n">
        <f aca="false">AK315*AJ315</f>
        <v>52817.4133841271</v>
      </c>
      <c r="AM315" s="52" t="s">
        <v>195</v>
      </c>
      <c r="AN315" s="52" t="n">
        <v>0.4347</v>
      </c>
      <c r="AO315" s="52" t="n">
        <f aca="false">IF(AM315="EUR",AA315,IF(AM315="GBP",AB315,1))</f>
        <v>7.86</v>
      </c>
      <c r="AP315" s="52" t="n">
        <f aca="false">P315*AN315</f>
        <v>2431.18459584</v>
      </c>
      <c r="AQ315" s="52" t="n">
        <f aca="false">AP315*AO315</f>
        <v>19109.1109233024</v>
      </c>
      <c r="AR315" s="52" t="s">
        <v>195</v>
      </c>
      <c r="AS315" s="52" t="n">
        <v>3.312</v>
      </c>
      <c r="AT315" s="52" t="n">
        <f aca="false">IF(AR315="EUR",AA315,IF(AR315="GBP",AB315,1))</f>
        <v>7.86</v>
      </c>
      <c r="AU315" s="52" t="n">
        <f aca="false">T315*AS315</f>
        <v>882.0624384</v>
      </c>
      <c r="AV315" s="52" t="n">
        <f aca="false">AU315*AT315</f>
        <v>6933.010765824</v>
      </c>
      <c r="AW315" s="52" t="s">
        <v>195</v>
      </c>
      <c r="AX315" s="52" t="n">
        <v>2.3805</v>
      </c>
      <c r="AY315" s="52" t="n">
        <f aca="false">IF(AW315="EUR",AA315,IF(AW315="GBP",AB315,1))</f>
        <v>7.86</v>
      </c>
      <c r="AZ315" s="52" t="n">
        <f aca="false">V315*AX315</f>
        <v>213.0180788736</v>
      </c>
      <c r="BA315" s="52" t="n">
        <f aca="false">AZ315*AY315</f>
        <v>1674.3220999465</v>
      </c>
      <c r="BB315" s="52" t="n">
        <f aca="false">AF315+AG315+AL315+AQ315+AV315+BA315</f>
        <v>167142.397139657</v>
      </c>
      <c r="BC315" s="54" t="n">
        <v>0.965</v>
      </c>
      <c r="BD315" s="32"/>
      <c r="BE315" s="30" t="s">
        <v>205</v>
      </c>
      <c r="BF315" s="30" t="s">
        <v>212</v>
      </c>
      <c r="BG315" s="32" t="s">
        <v>197</v>
      </c>
    </row>
    <row r="316" customFormat="false" ht="26.5" hidden="false" customHeight="false" outlineLevel="0" collapsed="false">
      <c r="A316" s="18" t="s">
        <v>210</v>
      </c>
      <c r="B316" s="18" t="s">
        <v>207</v>
      </c>
      <c r="C316" s="18" t="s">
        <v>211</v>
      </c>
      <c r="D316" s="49" t="n">
        <v>46357</v>
      </c>
      <c r="E316" s="18" t="s">
        <v>106</v>
      </c>
      <c r="F316" s="18" t="s">
        <v>99</v>
      </c>
      <c r="G316" s="18" t="s">
        <v>100</v>
      </c>
      <c r="H316" s="18" t="s">
        <v>107</v>
      </c>
      <c r="I316" s="18" t="s">
        <v>102</v>
      </c>
      <c r="J316" s="50" t="n">
        <v>29744</v>
      </c>
      <c r="K316" s="51" t="n">
        <v>0.307692307692308</v>
      </c>
      <c r="L316" s="51" t="n">
        <v>0.97</v>
      </c>
      <c r="M316" s="51" t="n">
        <v>0.4</v>
      </c>
      <c r="N316" s="52" t="n">
        <f aca="false">J316*K316*L316*M316</f>
        <v>3550.976</v>
      </c>
      <c r="O316" s="50" t="n">
        <v>1.05</v>
      </c>
      <c r="P316" s="52" t="n">
        <f aca="false">N316*O316</f>
        <v>3728.5248</v>
      </c>
      <c r="Q316" s="50" t="n">
        <v>0.808</v>
      </c>
      <c r="R316" s="52" t="n">
        <f aca="false">P316*Q316</f>
        <v>3012.6480384</v>
      </c>
      <c r="S316" s="50" t="n">
        <v>0.05</v>
      </c>
      <c r="T316" s="52" t="n">
        <f aca="false">N316*S316</f>
        <v>177.5488</v>
      </c>
      <c r="U316" s="52" t="n">
        <v>0.013</v>
      </c>
      <c r="V316" s="52" t="n">
        <f aca="false">P316*U316</f>
        <v>48.4708224</v>
      </c>
      <c r="W316" s="53" t="s">
        <v>195</v>
      </c>
      <c r="X316" s="50" t="n">
        <v>2.84625</v>
      </c>
      <c r="Y316" s="53" t="s">
        <v>198</v>
      </c>
      <c r="Z316" s="50" t="n">
        <v>0.21735</v>
      </c>
      <c r="AA316" s="50" t="n">
        <v>7.86</v>
      </c>
      <c r="AB316" s="50" t="n">
        <v>9</v>
      </c>
      <c r="AC316" s="52" t="n">
        <f aca="false">IF(W316="EUR",AA316,IF(W316="GBP",AB316,1))</f>
        <v>7.86</v>
      </c>
      <c r="AD316" s="52" t="n">
        <f aca="false">R316*X316</f>
        <v>8574.749479296</v>
      </c>
      <c r="AE316" s="52" t="n">
        <f aca="false">IF(Y316="PERCENTAGE_OF_BASE_FREIGHT",AD316*Z316,IF(Y316="PER_CHARGEABLE_KG",R316*Z316,P316*Z316))</f>
        <v>654.79905114624</v>
      </c>
      <c r="AF316" s="52" t="n">
        <f aca="false">AD316*AC316</f>
        <v>67397.5309072666</v>
      </c>
      <c r="AG316" s="52" t="n">
        <f aca="false">AE316*AC316</f>
        <v>5146.72054200945</v>
      </c>
      <c r="AH316" s="52" t="s">
        <v>195</v>
      </c>
      <c r="AI316" s="52" t="n">
        <v>1.26158229834681</v>
      </c>
      <c r="AJ316" s="52" t="n">
        <f aca="false">IF(AH316="EUR",AA316,IF(AH316="GBP",AB316,1))</f>
        <v>7.86</v>
      </c>
      <c r="AK316" s="52" t="n">
        <f aca="false">N316*AI316</f>
        <v>4479.84846345438</v>
      </c>
      <c r="AL316" s="52" t="n">
        <f aca="false">AK316*AJ316</f>
        <v>35211.6089227514</v>
      </c>
      <c r="AM316" s="52" t="s">
        <v>195</v>
      </c>
      <c r="AN316" s="52" t="n">
        <v>0.4347</v>
      </c>
      <c r="AO316" s="52" t="n">
        <f aca="false">IF(AM316="EUR",AA316,IF(AM316="GBP",AB316,1))</f>
        <v>7.86</v>
      </c>
      <c r="AP316" s="52" t="n">
        <f aca="false">P316*AN316</f>
        <v>1620.78973056</v>
      </c>
      <c r="AQ316" s="52" t="n">
        <f aca="false">AP316*AO316</f>
        <v>12739.4072822016</v>
      </c>
      <c r="AR316" s="52" t="s">
        <v>195</v>
      </c>
      <c r="AS316" s="52" t="n">
        <v>3.312</v>
      </c>
      <c r="AT316" s="52" t="n">
        <f aca="false">IF(AR316="EUR",AA316,IF(AR316="GBP",AB316,1))</f>
        <v>7.86</v>
      </c>
      <c r="AU316" s="52" t="n">
        <f aca="false">T316*AS316</f>
        <v>588.0416256</v>
      </c>
      <c r="AV316" s="52" t="n">
        <f aca="false">AU316*AT316</f>
        <v>4622.007177216</v>
      </c>
      <c r="AW316" s="52" t="s">
        <v>195</v>
      </c>
      <c r="AX316" s="52" t="n">
        <v>2.3805</v>
      </c>
      <c r="AY316" s="52" t="n">
        <f aca="false">IF(AW316="EUR",AA316,IF(AW316="GBP",AB316,1))</f>
        <v>7.86</v>
      </c>
      <c r="AZ316" s="52" t="n">
        <f aca="false">V316*AX316</f>
        <v>115.3847927232</v>
      </c>
      <c r="BA316" s="52" t="n">
        <f aca="false">AZ316*AY316</f>
        <v>906.924470804352</v>
      </c>
      <c r="BB316" s="52" t="n">
        <f aca="false">AF316+AG316+AL316+AQ316+AV316+BA316</f>
        <v>126024.199302249</v>
      </c>
      <c r="BC316" s="54" t="n">
        <v>0.976</v>
      </c>
      <c r="BD316" s="32"/>
      <c r="BE316" s="30" t="s">
        <v>205</v>
      </c>
      <c r="BF316" s="30" t="s">
        <v>212</v>
      </c>
      <c r="BG316" s="32" t="s">
        <v>197</v>
      </c>
    </row>
    <row r="317" customFormat="false" ht="26.5" hidden="false" customHeight="false" outlineLevel="0" collapsed="false">
      <c r="A317" s="18" t="s">
        <v>210</v>
      </c>
      <c r="B317" s="18" t="s">
        <v>207</v>
      </c>
      <c r="C317" s="18" t="s">
        <v>211</v>
      </c>
      <c r="D317" s="49" t="n">
        <v>46357</v>
      </c>
      <c r="E317" s="18" t="s">
        <v>109</v>
      </c>
      <c r="F317" s="18" t="s">
        <v>99</v>
      </c>
      <c r="G317" s="18" t="s">
        <v>110</v>
      </c>
      <c r="H317" s="18" t="s">
        <v>107</v>
      </c>
      <c r="I317" s="18" t="s">
        <v>102</v>
      </c>
      <c r="J317" s="50" t="n">
        <v>29744</v>
      </c>
      <c r="K317" s="51" t="n">
        <v>0.307692307692308</v>
      </c>
      <c r="L317" s="51" t="n">
        <v>0.03</v>
      </c>
      <c r="M317" s="51" t="n">
        <v>1</v>
      </c>
      <c r="N317" s="52" t="n">
        <f aca="false">J317*K317*L317*M317</f>
        <v>274.56</v>
      </c>
      <c r="O317" s="50" t="n">
        <v>1.08</v>
      </c>
      <c r="P317" s="52" t="n">
        <f aca="false">N317*O317</f>
        <v>296.5248</v>
      </c>
      <c r="Q317" s="50" t="n">
        <v>0.8686</v>
      </c>
      <c r="R317" s="52" t="n">
        <f aca="false">P317*Q317</f>
        <v>257.56144128</v>
      </c>
      <c r="S317" s="50" t="n">
        <v>0.05</v>
      </c>
      <c r="T317" s="52" t="n">
        <f aca="false">N317*S317</f>
        <v>13.728</v>
      </c>
      <c r="U317" s="52" t="n">
        <v>0.014</v>
      </c>
      <c r="V317" s="52" t="n">
        <f aca="false">P317*U317</f>
        <v>4.1513472</v>
      </c>
      <c r="W317" s="53" t="s">
        <v>195</v>
      </c>
      <c r="X317" s="50" t="n">
        <v>3.4155</v>
      </c>
      <c r="Y317" s="53" t="s">
        <v>198</v>
      </c>
      <c r="Z317" s="50" t="n">
        <v>0.2484</v>
      </c>
      <c r="AA317" s="50" t="n">
        <v>7.86</v>
      </c>
      <c r="AB317" s="50" t="n">
        <v>9</v>
      </c>
      <c r="AC317" s="52" t="n">
        <f aca="false">IF(W317="EUR",AA317,IF(W317="GBP",AB317,1))</f>
        <v>7.86</v>
      </c>
      <c r="AD317" s="52" t="n">
        <f aca="false">R317*X317</f>
        <v>879.70110269184</v>
      </c>
      <c r="AE317" s="52" t="n">
        <f aca="false">IF(Y317="PERCENTAGE_OF_BASE_FREIGHT",AD317*Z317,IF(Y317="PER_CHARGEABLE_KG",R317*Z317,P317*Z317))</f>
        <v>63.978262013952</v>
      </c>
      <c r="AF317" s="52" t="n">
        <f aca="false">AD317*AC317</f>
        <v>6914.45066715787</v>
      </c>
      <c r="AG317" s="52" t="n">
        <f aca="false">AE317*AC317</f>
        <v>502.869139429663</v>
      </c>
      <c r="AH317" s="52" t="s">
        <v>195</v>
      </c>
      <c r="AI317" s="52" t="n">
        <v>1.08675</v>
      </c>
      <c r="AJ317" s="52" t="n">
        <f aca="false">IF(AH317="EUR",AA317,IF(AH317="GBP",AB317,1))</f>
        <v>7.86</v>
      </c>
      <c r="AK317" s="52" t="n">
        <f aca="false">N317*AI317</f>
        <v>298.37808</v>
      </c>
      <c r="AL317" s="52" t="n">
        <f aca="false">AK317*AJ317</f>
        <v>2345.2517088</v>
      </c>
      <c r="AM317" s="52" t="s">
        <v>195</v>
      </c>
      <c r="AN317" s="52" t="n">
        <v>0.3933</v>
      </c>
      <c r="AO317" s="52" t="n">
        <f aca="false">IF(AM317="EUR",AA317,IF(AM317="GBP",AB317,1))</f>
        <v>7.86</v>
      </c>
      <c r="AP317" s="52" t="n">
        <f aca="false">P317*AN317</f>
        <v>116.62320384</v>
      </c>
      <c r="AQ317" s="52" t="n">
        <f aca="false">AP317*AO317</f>
        <v>916.6583821824</v>
      </c>
      <c r="AR317" s="52" t="s">
        <v>195</v>
      </c>
      <c r="AS317" s="52" t="n">
        <v>3.933</v>
      </c>
      <c r="AT317" s="52" t="n">
        <f aca="false">IF(AR317="EUR",AA317,IF(AR317="GBP",AB317,1))</f>
        <v>7.86</v>
      </c>
      <c r="AU317" s="52" t="n">
        <f aca="false">T317*AS317</f>
        <v>53.992224</v>
      </c>
      <c r="AV317" s="52" t="n">
        <f aca="false">AU317*AT317</f>
        <v>424.37888064</v>
      </c>
      <c r="AW317" s="52" t="s">
        <v>195</v>
      </c>
      <c r="AX317" s="52" t="n">
        <v>2.3805</v>
      </c>
      <c r="AY317" s="52" t="n">
        <f aca="false">IF(AW317="EUR",AA317,IF(AW317="GBP",AB317,1))</f>
        <v>7.86</v>
      </c>
      <c r="AZ317" s="52" t="n">
        <f aca="false">V317*AX317</f>
        <v>9.8822820096</v>
      </c>
      <c r="BA317" s="52" t="n">
        <f aca="false">AZ317*AY317</f>
        <v>77.674736595456</v>
      </c>
      <c r="BB317" s="52" t="n">
        <f aca="false">AF317+AG317+AL317+AQ317+AV317+BA317</f>
        <v>11181.2835148054</v>
      </c>
      <c r="BC317" s="54" t="n">
        <v>0.968</v>
      </c>
      <c r="BD317" s="32"/>
      <c r="BE317" s="30" t="s">
        <v>205</v>
      </c>
      <c r="BF317" s="30" t="s">
        <v>212</v>
      </c>
      <c r="BG317" s="32" t="s">
        <v>197</v>
      </c>
    </row>
    <row r="318" customFormat="false" ht="26.5" hidden="false" customHeight="false" outlineLevel="0" collapsed="false">
      <c r="A318" s="18" t="s">
        <v>210</v>
      </c>
      <c r="B318" s="18" t="s">
        <v>207</v>
      </c>
      <c r="C318" s="18" t="s">
        <v>211</v>
      </c>
      <c r="D318" s="49" t="n">
        <v>46357</v>
      </c>
      <c r="E318" s="18" t="s">
        <v>112</v>
      </c>
      <c r="F318" s="18" t="s">
        <v>113</v>
      </c>
      <c r="G318" s="18" t="s">
        <v>110</v>
      </c>
      <c r="H318" s="18" t="s">
        <v>101</v>
      </c>
      <c r="I318" s="18" t="s">
        <v>102</v>
      </c>
      <c r="J318" s="50" t="n">
        <v>29744</v>
      </c>
      <c r="K318" s="51" t="n">
        <v>0.269230769230769</v>
      </c>
      <c r="L318" s="51" t="n">
        <v>1</v>
      </c>
      <c r="M318" s="51" t="n">
        <v>0.35</v>
      </c>
      <c r="N318" s="52" t="n">
        <f aca="false">J318*K318*L318*M318</f>
        <v>2802.8</v>
      </c>
      <c r="O318" s="50" t="n">
        <v>1.06</v>
      </c>
      <c r="P318" s="52" t="n">
        <f aca="false">N318*O318</f>
        <v>2970.968</v>
      </c>
      <c r="Q318" s="50" t="n">
        <v>0.7676</v>
      </c>
      <c r="R318" s="52" t="n">
        <f aca="false">P318*Q318</f>
        <v>2280.5150368</v>
      </c>
      <c r="S318" s="50" t="n">
        <v>0.06</v>
      </c>
      <c r="T318" s="52" t="n">
        <f aca="false">N318*S318</f>
        <v>168.168</v>
      </c>
      <c r="U318" s="52" t="n">
        <v>0.017</v>
      </c>
      <c r="V318" s="52" t="n">
        <f aca="false">P318*U318</f>
        <v>50.506456</v>
      </c>
      <c r="W318" s="53" t="s">
        <v>195</v>
      </c>
      <c r="X318" s="50" t="n">
        <v>2.1735</v>
      </c>
      <c r="Y318" s="53" t="s">
        <v>196</v>
      </c>
      <c r="Z318" s="50" t="n">
        <v>0.09315</v>
      </c>
      <c r="AA318" s="50" t="n">
        <v>7.86</v>
      </c>
      <c r="AB318" s="50" t="n">
        <v>9</v>
      </c>
      <c r="AC318" s="52" t="n">
        <f aca="false">IF(W318="EUR",AA318,IF(W318="GBP",AB318,1))</f>
        <v>7.86</v>
      </c>
      <c r="AD318" s="52" t="n">
        <f aca="false">R318*X318</f>
        <v>4956.6994324848</v>
      </c>
      <c r="AE318" s="52" t="n">
        <f aca="false">IF(Y318="PERCENTAGE_OF_BASE_FREIGHT",AD318*Z318,IF(Y318="PER_CHARGEABLE_KG",R318*Z318,P318*Z318))</f>
        <v>461.716552135959</v>
      </c>
      <c r="AF318" s="52" t="n">
        <f aca="false">AD318*AC318</f>
        <v>38959.6575393305</v>
      </c>
      <c r="AG318" s="52" t="n">
        <f aca="false">AE318*AC318</f>
        <v>3629.09209978864</v>
      </c>
      <c r="AH318" s="52" t="s">
        <v>195</v>
      </c>
      <c r="AI318" s="52" t="n">
        <v>1.08675</v>
      </c>
      <c r="AJ318" s="52" t="n">
        <f aca="false">IF(AH318="EUR",AA318,IF(AH318="GBP",AB318,1))</f>
        <v>7.86</v>
      </c>
      <c r="AK318" s="52" t="n">
        <f aca="false">N318*AI318</f>
        <v>3045.9429</v>
      </c>
      <c r="AL318" s="52" t="n">
        <f aca="false">AK318*AJ318</f>
        <v>23941.111194</v>
      </c>
      <c r="AM318" s="52" t="s">
        <v>195</v>
      </c>
      <c r="AN318" s="52" t="n">
        <v>0.3933</v>
      </c>
      <c r="AO318" s="52" t="n">
        <f aca="false">IF(AM318="EUR",AA318,IF(AM318="GBP",AB318,1))</f>
        <v>7.86</v>
      </c>
      <c r="AP318" s="52" t="n">
        <f aca="false">P318*AN318</f>
        <v>1168.4817144</v>
      </c>
      <c r="AQ318" s="52" t="n">
        <f aca="false">AP318*AO318</f>
        <v>9184.266275184</v>
      </c>
      <c r="AR318" s="52" t="s">
        <v>195</v>
      </c>
      <c r="AS318" s="52" t="n">
        <v>3.105</v>
      </c>
      <c r="AT318" s="52" t="n">
        <f aca="false">IF(AR318="EUR",AA318,IF(AR318="GBP",AB318,1))</f>
        <v>7.86</v>
      </c>
      <c r="AU318" s="52" t="n">
        <f aca="false">T318*AS318</f>
        <v>522.16164</v>
      </c>
      <c r="AV318" s="52" t="n">
        <f aca="false">AU318*AT318</f>
        <v>4104.1904904</v>
      </c>
      <c r="AW318" s="52" t="s">
        <v>195</v>
      </c>
      <c r="AX318" s="52" t="n">
        <v>2.3805</v>
      </c>
      <c r="AY318" s="52" t="n">
        <f aca="false">IF(AW318="EUR",AA318,IF(AW318="GBP",AB318,1))</f>
        <v>7.86</v>
      </c>
      <c r="AZ318" s="52" t="n">
        <f aca="false">V318*AX318</f>
        <v>120.230618508</v>
      </c>
      <c r="BA318" s="52" t="n">
        <f aca="false">AZ318*AY318</f>
        <v>945.01266147288</v>
      </c>
      <c r="BB318" s="52" t="n">
        <f aca="false">AF318+AG318+AL318+AQ318+AV318+BA318</f>
        <v>80763.330260176</v>
      </c>
      <c r="BC318" s="54" t="n">
        <v>0.961</v>
      </c>
      <c r="BD318" s="32"/>
      <c r="BE318" s="30" t="s">
        <v>205</v>
      </c>
      <c r="BF318" s="30" t="s">
        <v>212</v>
      </c>
      <c r="BG318" s="32" t="s">
        <v>197</v>
      </c>
    </row>
    <row r="319" customFormat="false" ht="26.5" hidden="false" customHeight="false" outlineLevel="0" collapsed="false">
      <c r="A319" s="18" t="s">
        <v>210</v>
      </c>
      <c r="B319" s="18" t="s">
        <v>207</v>
      </c>
      <c r="C319" s="18" t="s">
        <v>211</v>
      </c>
      <c r="D319" s="49" t="n">
        <v>46357</v>
      </c>
      <c r="E319" s="18" t="s">
        <v>116</v>
      </c>
      <c r="F319" s="18" t="s">
        <v>113</v>
      </c>
      <c r="G319" s="18" t="s">
        <v>110</v>
      </c>
      <c r="H319" s="18" t="s">
        <v>107</v>
      </c>
      <c r="I319" s="18" t="s">
        <v>102</v>
      </c>
      <c r="J319" s="50" t="n">
        <v>29744</v>
      </c>
      <c r="K319" s="51" t="n">
        <v>0.269230769230769</v>
      </c>
      <c r="L319" s="51" t="n">
        <v>1</v>
      </c>
      <c r="M319" s="51" t="n">
        <v>0.65</v>
      </c>
      <c r="N319" s="52" t="n">
        <f aca="false">J319*K319*L319*M319</f>
        <v>5205.2</v>
      </c>
      <c r="O319" s="50" t="n">
        <v>1.06</v>
      </c>
      <c r="P319" s="52" t="n">
        <f aca="false">N319*O319</f>
        <v>5517.512</v>
      </c>
      <c r="Q319" s="50" t="n">
        <v>0.7979</v>
      </c>
      <c r="R319" s="52" t="n">
        <f aca="false">P319*Q319</f>
        <v>4402.4228248</v>
      </c>
      <c r="S319" s="50" t="n">
        <v>0.06</v>
      </c>
      <c r="T319" s="52" t="n">
        <f aca="false">N319*S319</f>
        <v>312.312</v>
      </c>
      <c r="U319" s="52" t="n">
        <v>0.014</v>
      </c>
      <c r="V319" s="52" t="n">
        <f aca="false">P319*U319</f>
        <v>77.245168</v>
      </c>
      <c r="W319" s="53" t="s">
        <v>195</v>
      </c>
      <c r="X319" s="50" t="n">
        <v>2.691</v>
      </c>
      <c r="Y319" s="53" t="s">
        <v>198</v>
      </c>
      <c r="Z319" s="50" t="n">
        <v>0.207</v>
      </c>
      <c r="AA319" s="50" t="n">
        <v>7.86</v>
      </c>
      <c r="AB319" s="50" t="n">
        <v>9</v>
      </c>
      <c r="AC319" s="52" t="n">
        <f aca="false">IF(W319="EUR",AA319,IF(W319="GBP",AB319,1))</f>
        <v>7.86</v>
      </c>
      <c r="AD319" s="52" t="n">
        <f aca="false">R319*X319</f>
        <v>11846.9198215368</v>
      </c>
      <c r="AE319" s="52" t="n">
        <f aca="false">IF(Y319="PERCENTAGE_OF_BASE_FREIGHT",AD319*Z319,IF(Y319="PER_CHARGEABLE_KG",R319*Z319,P319*Z319))</f>
        <v>911.3015247336</v>
      </c>
      <c r="AF319" s="52" t="n">
        <f aca="false">AD319*AC319</f>
        <v>93116.7897972793</v>
      </c>
      <c r="AG319" s="52" t="n">
        <f aca="false">AE319*AC319</f>
        <v>7162.8299844061</v>
      </c>
      <c r="AH319" s="52" t="s">
        <v>195</v>
      </c>
      <c r="AI319" s="52" t="n">
        <v>1.08675</v>
      </c>
      <c r="AJ319" s="52" t="n">
        <f aca="false">IF(AH319="EUR",AA319,IF(AH319="GBP",AB319,1))</f>
        <v>7.86</v>
      </c>
      <c r="AK319" s="52" t="n">
        <f aca="false">N319*AI319</f>
        <v>5656.7511</v>
      </c>
      <c r="AL319" s="52" t="n">
        <f aca="false">AK319*AJ319</f>
        <v>44462.063646</v>
      </c>
      <c r="AM319" s="52" t="s">
        <v>195</v>
      </c>
      <c r="AN319" s="52" t="n">
        <v>0.3933</v>
      </c>
      <c r="AO319" s="52" t="n">
        <f aca="false">IF(AM319="EUR",AA319,IF(AM319="GBP",AB319,1))</f>
        <v>7.86</v>
      </c>
      <c r="AP319" s="52" t="n">
        <f aca="false">P319*AN319</f>
        <v>2170.0374696</v>
      </c>
      <c r="AQ319" s="52" t="n">
        <f aca="false">AP319*AO319</f>
        <v>17056.494511056</v>
      </c>
      <c r="AR319" s="52" t="s">
        <v>195</v>
      </c>
      <c r="AS319" s="52" t="n">
        <v>3.105</v>
      </c>
      <c r="AT319" s="52" t="n">
        <f aca="false">IF(AR319="EUR",AA319,IF(AR319="GBP",AB319,1))</f>
        <v>7.86</v>
      </c>
      <c r="AU319" s="52" t="n">
        <f aca="false">T319*AS319</f>
        <v>969.72876</v>
      </c>
      <c r="AV319" s="52" t="n">
        <f aca="false">AU319*AT319</f>
        <v>7622.0680536</v>
      </c>
      <c r="AW319" s="52" t="s">
        <v>195</v>
      </c>
      <c r="AX319" s="52" t="n">
        <v>2.3805</v>
      </c>
      <c r="AY319" s="52" t="n">
        <f aca="false">IF(AW319="EUR",AA319,IF(AW319="GBP",AB319,1))</f>
        <v>7.86</v>
      </c>
      <c r="AZ319" s="52" t="n">
        <f aca="false">V319*AX319</f>
        <v>183.882122424</v>
      </c>
      <c r="BA319" s="52" t="n">
        <f aca="false">AZ319*AY319</f>
        <v>1445.31348225264</v>
      </c>
      <c r="BB319" s="52" t="n">
        <f aca="false">AF319+AG319+AL319+AQ319+AV319+BA319</f>
        <v>170865.559474594</v>
      </c>
      <c r="BC319" s="54" t="n">
        <v>0.973</v>
      </c>
      <c r="BD319" s="32"/>
      <c r="BE319" s="30" t="s">
        <v>205</v>
      </c>
      <c r="BF319" s="30" t="s">
        <v>212</v>
      </c>
      <c r="BG319" s="32" t="s">
        <v>197</v>
      </c>
    </row>
    <row r="320" customFormat="false" ht="26.5" hidden="false" customHeight="false" outlineLevel="0" collapsed="false">
      <c r="A320" s="18" t="s">
        <v>210</v>
      </c>
      <c r="B320" s="18" t="s">
        <v>207</v>
      </c>
      <c r="C320" s="18" t="s">
        <v>211</v>
      </c>
      <c r="D320" s="49" t="n">
        <v>46357</v>
      </c>
      <c r="E320" s="18" t="s">
        <v>118</v>
      </c>
      <c r="F320" s="18" t="s">
        <v>119</v>
      </c>
      <c r="G320" s="18" t="s">
        <v>100</v>
      </c>
      <c r="H320" s="18" t="s">
        <v>101</v>
      </c>
      <c r="I320" s="18" t="s">
        <v>102</v>
      </c>
      <c r="J320" s="50" t="n">
        <v>29744</v>
      </c>
      <c r="K320" s="51" t="n">
        <v>0.423076923076923</v>
      </c>
      <c r="L320" s="51" t="n">
        <v>0.96</v>
      </c>
      <c r="M320" s="51" t="n">
        <v>0.48</v>
      </c>
      <c r="N320" s="52" t="n">
        <f aca="false">J320*K320*L320*M320</f>
        <v>5798.7072</v>
      </c>
      <c r="O320" s="50" t="n">
        <v>1.17</v>
      </c>
      <c r="P320" s="52" t="n">
        <f aca="false">N320*O320</f>
        <v>6784.487424</v>
      </c>
      <c r="Q320" s="50" t="n">
        <v>1.050804</v>
      </c>
      <c r="R320" s="52" t="n">
        <f aca="false">P320*Q320</f>
        <v>7129.1665230889</v>
      </c>
      <c r="S320" s="50" t="n">
        <v>0.09</v>
      </c>
      <c r="T320" s="52" t="n">
        <f aca="false">N320*S320</f>
        <v>521.883648</v>
      </c>
      <c r="U320" s="52" t="n">
        <v>0.027</v>
      </c>
      <c r="V320" s="52" t="n">
        <f aca="false">P320*U320</f>
        <v>183.181160448</v>
      </c>
      <c r="W320" s="53" t="s">
        <v>199</v>
      </c>
      <c r="X320" s="50" t="n">
        <v>4.14</v>
      </c>
      <c r="Y320" s="53" t="s">
        <v>196</v>
      </c>
      <c r="Z320" s="50" t="n">
        <v>0.1035</v>
      </c>
      <c r="AA320" s="50" t="n">
        <v>7.86</v>
      </c>
      <c r="AB320" s="50" t="n">
        <v>9</v>
      </c>
      <c r="AC320" s="52" t="n">
        <f aca="false">IF(W320="EUR",AA320,IF(W320="GBP",AB320,1))</f>
        <v>9</v>
      </c>
      <c r="AD320" s="52" t="n">
        <f aca="false">R320*X320</f>
        <v>29514.749405588</v>
      </c>
      <c r="AE320" s="52" t="n">
        <f aca="false">IF(Y320="PERCENTAGE_OF_BASE_FREIGHT",AD320*Z320,IF(Y320="PER_CHARGEABLE_KG",R320*Z320,P320*Z320))</f>
        <v>3054.77656347836</v>
      </c>
      <c r="AF320" s="52" t="n">
        <f aca="false">AD320*AC320</f>
        <v>265632.744650292</v>
      </c>
      <c r="AG320" s="52" t="n">
        <f aca="false">AE320*AC320</f>
        <v>27492.9890713052</v>
      </c>
      <c r="AH320" s="52" t="s">
        <v>195</v>
      </c>
      <c r="AI320" s="52" t="n">
        <v>1.26158229834681</v>
      </c>
      <c r="AJ320" s="52" t="n">
        <f aca="false">IF(AH320="EUR",AA320,IF(AH320="GBP",AB320,1))</f>
        <v>7.86</v>
      </c>
      <c r="AK320" s="52" t="n">
        <f aca="false">N320*AI320</f>
        <v>7315.54635681622</v>
      </c>
      <c r="AL320" s="52" t="n">
        <f aca="false">AK320*AJ320</f>
        <v>57500.1943645755</v>
      </c>
      <c r="AM320" s="52" t="s">
        <v>195</v>
      </c>
      <c r="AN320" s="52" t="n">
        <v>0.4347</v>
      </c>
      <c r="AO320" s="52" t="n">
        <f aca="false">IF(AM320="EUR",AA320,IF(AM320="GBP",AB320,1))</f>
        <v>7.86</v>
      </c>
      <c r="AP320" s="52" t="n">
        <f aca="false">P320*AN320</f>
        <v>2949.2166832128</v>
      </c>
      <c r="AQ320" s="52" t="n">
        <f aca="false">AP320*AO320</f>
        <v>23180.8431300526</v>
      </c>
      <c r="AR320" s="52" t="s">
        <v>199</v>
      </c>
      <c r="AS320" s="52" t="n">
        <v>4.968</v>
      </c>
      <c r="AT320" s="52" t="n">
        <f aca="false">IF(AR320="EUR",AA320,IF(AR320="GBP",AB320,1))</f>
        <v>9</v>
      </c>
      <c r="AU320" s="52" t="n">
        <f aca="false">T320*AS320</f>
        <v>2592.717963264</v>
      </c>
      <c r="AV320" s="52" t="n">
        <f aca="false">AU320*AT320</f>
        <v>23334.461669376</v>
      </c>
      <c r="AW320" s="52" t="s">
        <v>199</v>
      </c>
      <c r="AX320" s="52" t="n">
        <v>2.3805</v>
      </c>
      <c r="AY320" s="52" t="n">
        <f aca="false">IF(AW320="EUR",AA320,IF(AW320="GBP",AB320,1))</f>
        <v>9</v>
      </c>
      <c r="AZ320" s="52" t="n">
        <f aca="false">V320*AX320</f>
        <v>436.062752446464</v>
      </c>
      <c r="BA320" s="52" t="n">
        <f aca="false">AZ320*AY320</f>
        <v>3924.56477201818</v>
      </c>
      <c r="BB320" s="52" t="n">
        <f aca="false">AF320+AG320+AL320+AQ320+AV320+BA320</f>
        <v>401065.79765762</v>
      </c>
      <c r="BC320" s="54" t="n">
        <v>0.93</v>
      </c>
      <c r="BD320" s="32"/>
      <c r="BE320" s="30" t="s">
        <v>205</v>
      </c>
      <c r="BF320" s="30" t="s">
        <v>212</v>
      </c>
      <c r="BG320" s="32" t="s">
        <v>197</v>
      </c>
    </row>
    <row r="321" customFormat="false" ht="26.5" hidden="false" customHeight="false" outlineLevel="0" collapsed="false">
      <c r="A321" s="18" t="s">
        <v>210</v>
      </c>
      <c r="B321" s="18" t="s">
        <v>207</v>
      </c>
      <c r="C321" s="18" t="s">
        <v>211</v>
      </c>
      <c r="D321" s="49" t="n">
        <v>46357</v>
      </c>
      <c r="E321" s="18" t="s">
        <v>122</v>
      </c>
      <c r="F321" s="18" t="s">
        <v>119</v>
      </c>
      <c r="G321" s="18" t="s">
        <v>100</v>
      </c>
      <c r="H321" s="18" t="s">
        <v>107</v>
      </c>
      <c r="I321" s="18" t="s">
        <v>102</v>
      </c>
      <c r="J321" s="50" t="n">
        <v>29744</v>
      </c>
      <c r="K321" s="51" t="n">
        <v>0.423076923076923</v>
      </c>
      <c r="L321" s="51" t="n">
        <v>0.96</v>
      </c>
      <c r="M321" s="51" t="n">
        <v>0.25</v>
      </c>
      <c r="N321" s="52" t="n">
        <f aca="false">J321*K321*L321*M321</f>
        <v>3020.16</v>
      </c>
      <c r="O321" s="50" t="n">
        <v>1.17</v>
      </c>
      <c r="P321" s="52" t="n">
        <f aca="false">N321*O321</f>
        <v>3533.5872</v>
      </c>
      <c r="Q321" s="50" t="n">
        <v>1.0302</v>
      </c>
      <c r="R321" s="52" t="n">
        <f aca="false">P321*Q321</f>
        <v>3640.30153344</v>
      </c>
      <c r="S321" s="50" t="n">
        <v>0.09</v>
      </c>
      <c r="T321" s="52" t="n">
        <f aca="false">N321*S321</f>
        <v>271.8144</v>
      </c>
      <c r="U321" s="52" t="n">
        <v>0.02</v>
      </c>
      <c r="V321" s="52" t="n">
        <f aca="false">P321*U321</f>
        <v>70.671744</v>
      </c>
      <c r="W321" s="53" t="s">
        <v>199</v>
      </c>
      <c r="X321" s="50" t="n">
        <v>4.8645</v>
      </c>
      <c r="Y321" s="53" t="s">
        <v>198</v>
      </c>
      <c r="Z321" s="50" t="n">
        <v>0.34155</v>
      </c>
      <c r="AA321" s="50" t="n">
        <v>7.86</v>
      </c>
      <c r="AB321" s="50" t="n">
        <v>9</v>
      </c>
      <c r="AC321" s="52" t="n">
        <f aca="false">IF(W321="EUR",AA321,IF(W321="GBP",AB321,1))</f>
        <v>9</v>
      </c>
      <c r="AD321" s="52" t="n">
        <f aca="false">R321*X321</f>
        <v>17708.2468094189</v>
      </c>
      <c r="AE321" s="52" t="n">
        <f aca="false">IF(Y321="PERCENTAGE_OF_BASE_FREIGHT",AD321*Z321,IF(Y321="PER_CHARGEABLE_KG",R321*Z321,P321*Z321))</f>
        <v>1243.34498874643</v>
      </c>
      <c r="AF321" s="52" t="n">
        <f aca="false">AD321*AC321</f>
        <v>159374.22128477</v>
      </c>
      <c r="AG321" s="52" t="n">
        <f aca="false">AE321*AC321</f>
        <v>11190.1048987179</v>
      </c>
      <c r="AH321" s="52" t="s">
        <v>195</v>
      </c>
      <c r="AI321" s="52" t="n">
        <v>1.26158229834681</v>
      </c>
      <c r="AJ321" s="52" t="n">
        <f aca="false">IF(AH321="EUR",AA321,IF(AH321="GBP",AB321,1))</f>
        <v>7.86</v>
      </c>
      <c r="AK321" s="52" t="n">
        <f aca="false">N321*AI321</f>
        <v>3810.18039417512</v>
      </c>
      <c r="AL321" s="52" t="n">
        <f aca="false">AK321*AJ321</f>
        <v>29948.0178982164</v>
      </c>
      <c r="AM321" s="52" t="s">
        <v>195</v>
      </c>
      <c r="AN321" s="52" t="n">
        <v>0.4347</v>
      </c>
      <c r="AO321" s="52" t="n">
        <f aca="false">IF(AM321="EUR",AA321,IF(AM321="GBP",AB321,1))</f>
        <v>7.86</v>
      </c>
      <c r="AP321" s="52" t="n">
        <f aca="false">P321*AN321</f>
        <v>1536.05035584</v>
      </c>
      <c r="AQ321" s="52" t="n">
        <f aca="false">AP321*AO321</f>
        <v>12073.3557969024</v>
      </c>
      <c r="AR321" s="52" t="s">
        <v>199</v>
      </c>
      <c r="AS321" s="52" t="n">
        <v>4.968</v>
      </c>
      <c r="AT321" s="52" t="n">
        <f aca="false">IF(AR321="EUR",AA321,IF(AR321="GBP",AB321,1))</f>
        <v>9</v>
      </c>
      <c r="AU321" s="52" t="n">
        <f aca="false">T321*AS321</f>
        <v>1350.3739392</v>
      </c>
      <c r="AV321" s="52" t="n">
        <f aca="false">AU321*AT321</f>
        <v>12153.3654528</v>
      </c>
      <c r="AW321" s="52" t="s">
        <v>199</v>
      </c>
      <c r="AX321" s="52" t="n">
        <v>2.3805</v>
      </c>
      <c r="AY321" s="52" t="n">
        <f aca="false">IF(AW321="EUR",AA321,IF(AW321="GBP",AB321,1))</f>
        <v>9</v>
      </c>
      <c r="AZ321" s="52" t="n">
        <f aca="false">V321*AX321</f>
        <v>168.234086592</v>
      </c>
      <c r="BA321" s="52" t="n">
        <f aca="false">AZ321*AY321</f>
        <v>1514.106779328</v>
      </c>
      <c r="BB321" s="52" t="n">
        <f aca="false">AF321+AG321+AL321+AQ321+AV321+BA321</f>
        <v>226253.172110735</v>
      </c>
      <c r="BC321" s="54" t="n">
        <v>0.95</v>
      </c>
      <c r="BD321" s="32"/>
      <c r="BE321" s="30" t="s">
        <v>205</v>
      </c>
      <c r="BF321" s="30" t="s">
        <v>212</v>
      </c>
      <c r="BG321" s="32" t="s">
        <v>197</v>
      </c>
    </row>
    <row r="322" customFormat="false" ht="26.5" hidden="false" customHeight="false" outlineLevel="0" collapsed="false">
      <c r="A322" s="18" t="s">
        <v>210</v>
      </c>
      <c r="B322" s="18" t="s">
        <v>207</v>
      </c>
      <c r="C322" s="18" t="s">
        <v>211</v>
      </c>
      <c r="D322" s="49" t="n">
        <v>46357</v>
      </c>
      <c r="E322" s="18" t="s">
        <v>124</v>
      </c>
      <c r="F322" s="18" t="s">
        <v>119</v>
      </c>
      <c r="G322" s="18" t="s">
        <v>100</v>
      </c>
      <c r="H322" s="18" t="s">
        <v>107</v>
      </c>
      <c r="I322" s="18" t="s">
        <v>125</v>
      </c>
      <c r="J322" s="50" t="n">
        <v>29744</v>
      </c>
      <c r="K322" s="51" t="n">
        <v>0.423076923076923</v>
      </c>
      <c r="L322" s="51" t="n">
        <v>0.96</v>
      </c>
      <c r="M322" s="51" t="n">
        <v>0.19</v>
      </c>
      <c r="N322" s="52" t="n">
        <f aca="false">J322*K322*L322*M322</f>
        <v>2295.3216</v>
      </c>
      <c r="O322" s="50" t="n">
        <v>1.17</v>
      </c>
      <c r="P322" s="52" t="n">
        <f aca="false">N322*O322</f>
        <v>2685.526272</v>
      </c>
      <c r="Q322" s="50" t="n">
        <v>0.968388</v>
      </c>
      <c r="R322" s="52" t="n">
        <f aca="false">P322*Q322</f>
        <v>2600.63141548954</v>
      </c>
      <c r="S322" s="50" t="n">
        <v>0.09</v>
      </c>
      <c r="T322" s="52" t="n">
        <f aca="false">N322*S322</f>
        <v>206.578944</v>
      </c>
      <c r="U322" s="52" t="n">
        <v>0.016</v>
      </c>
      <c r="V322" s="52" t="n">
        <f aca="false">P322*U322</f>
        <v>42.968420352</v>
      </c>
      <c r="W322" s="53" t="s">
        <v>199</v>
      </c>
      <c r="X322" s="50" t="n">
        <v>6.67368</v>
      </c>
      <c r="Y322" s="53" t="s">
        <v>196</v>
      </c>
      <c r="Z322" s="50" t="n">
        <v>0.123786</v>
      </c>
      <c r="AA322" s="50" t="n">
        <v>7.86</v>
      </c>
      <c r="AB322" s="50" t="n">
        <v>9</v>
      </c>
      <c r="AC322" s="52" t="n">
        <f aca="false">IF(W322="EUR",AA322,IF(W322="GBP",AB322,1))</f>
        <v>9</v>
      </c>
      <c r="AD322" s="52" t="n">
        <f aca="false">R322*X322</f>
        <v>17355.7818649242</v>
      </c>
      <c r="AE322" s="52" t="n">
        <f aca="false">IF(Y322="PERCENTAGE_OF_BASE_FREIGHT",AD322*Z322,IF(Y322="PER_CHARGEABLE_KG",R322*Z322,P322*Z322))</f>
        <v>2148.40281393151</v>
      </c>
      <c r="AF322" s="52" t="n">
        <f aca="false">AD322*AC322</f>
        <v>156202.036784318</v>
      </c>
      <c r="AG322" s="52" t="n">
        <f aca="false">AE322*AC322</f>
        <v>19335.6253253836</v>
      </c>
      <c r="AH322" s="52" t="s">
        <v>195</v>
      </c>
      <c r="AI322" s="52" t="n">
        <v>1.26158229834681</v>
      </c>
      <c r="AJ322" s="52" t="n">
        <f aca="false">IF(AH322="EUR",AA322,IF(AH322="GBP",AB322,1))</f>
        <v>7.86</v>
      </c>
      <c r="AK322" s="52" t="n">
        <f aca="false">N322*AI322</f>
        <v>2895.73709957309</v>
      </c>
      <c r="AL322" s="52" t="n">
        <f aca="false">AK322*AJ322</f>
        <v>22760.4936026445</v>
      </c>
      <c r="AM322" s="52" t="s">
        <v>195</v>
      </c>
      <c r="AN322" s="52" t="n">
        <v>0.4347</v>
      </c>
      <c r="AO322" s="52" t="n">
        <f aca="false">IF(AM322="EUR",AA322,IF(AM322="GBP",AB322,1))</f>
        <v>7.86</v>
      </c>
      <c r="AP322" s="52" t="n">
        <f aca="false">P322*AN322</f>
        <v>1167.3982704384</v>
      </c>
      <c r="AQ322" s="52" t="n">
        <f aca="false">AP322*AO322</f>
        <v>9175.75040564582</v>
      </c>
      <c r="AR322" s="52" t="s">
        <v>199</v>
      </c>
      <c r="AS322" s="52" t="n">
        <v>4.968</v>
      </c>
      <c r="AT322" s="52" t="n">
        <f aca="false">IF(AR322="EUR",AA322,IF(AR322="GBP",AB322,1))</f>
        <v>9</v>
      </c>
      <c r="AU322" s="52" t="n">
        <f aca="false">T322*AS322</f>
        <v>1026.284193792</v>
      </c>
      <c r="AV322" s="52" t="n">
        <f aca="false">AU322*AT322</f>
        <v>9236.557744128</v>
      </c>
      <c r="AW322" s="52" t="s">
        <v>199</v>
      </c>
      <c r="AX322" s="52" t="n">
        <v>2.898</v>
      </c>
      <c r="AY322" s="52" t="n">
        <f aca="false">IF(AW322="EUR",AA322,IF(AW322="GBP",AB322,1))</f>
        <v>9</v>
      </c>
      <c r="AZ322" s="52" t="n">
        <f aca="false">V322*AX322</f>
        <v>124.522482180096</v>
      </c>
      <c r="BA322" s="52" t="n">
        <f aca="false">AZ322*AY322</f>
        <v>1120.70233962086</v>
      </c>
      <c r="BB322" s="52" t="n">
        <f aca="false">AF322+AG322+AL322+AQ322+AV322+BA322</f>
        <v>217831.166201741</v>
      </c>
      <c r="BC322" s="54" t="n">
        <v>0.974</v>
      </c>
      <c r="BD322" s="32"/>
      <c r="BE322" s="30" t="s">
        <v>205</v>
      </c>
      <c r="BF322" s="30" t="s">
        <v>212</v>
      </c>
      <c r="BG322" s="32" t="s">
        <v>197</v>
      </c>
    </row>
    <row r="323" customFormat="false" ht="26.5" hidden="false" customHeight="false" outlineLevel="0" collapsed="false">
      <c r="A323" s="18" t="s">
        <v>210</v>
      </c>
      <c r="B323" s="18" t="s">
        <v>207</v>
      </c>
      <c r="C323" s="18" t="s">
        <v>211</v>
      </c>
      <c r="D323" s="49" t="n">
        <v>46357</v>
      </c>
      <c r="E323" s="18" t="s">
        <v>127</v>
      </c>
      <c r="F323" s="18" t="s">
        <v>119</v>
      </c>
      <c r="G323" s="18" t="s">
        <v>100</v>
      </c>
      <c r="H323" s="18" t="s">
        <v>128</v>
      </c>
      <c r="I323" s="18" t="s">
        <v>125</v>
      </c>
      <c r="J323" s="50" t="n">
        <v>29744</v>
      </c>
      <c r="K323" s="51" t="n">
        <v>0.423076923076923</v>
      </c>
      <c r="L323" s="51" t="n">
        <v>0.96</v>
      </c>
      <c r="M323" s="51" t="n">
        <v>0.08</v>
      </c>
      <c r="N323" s="52" t="n">
        <f aca="false">J323*K323*L323*M323</f>
        <v>966.4512</v>
      </c>
      <c r="O323" s="50" t="n">
        <v>1.17</v>
      </c>
      <c r="P323" s="52" t="n">
        <f aca="false">N323*O323</f>
        <v>1130.747904</v>
      </c>
      <c r="Q323" s="50" t="n">
        <v>0.947784</v>
      </c>
      <c r="R323" s="52" t="n">
        <f aca="false">P323*Q323</f>
        <v>1071.70477144474</v>
      </c>
      <c r="S323" s="50" t="n">
        <v>0.09</v>
      </c>
      <c r="T323" s="52" t="n">
        <f aca="false">N323*S323</f>
        <v>86.980608</v>
      </c>
      <c r="U323" s="52" t="n">
        <v>0.011</v>
      </c>
      <c r="V323" s="52" t="n">
        <f aca="false">P323*U323</f>
        <v>12.438226944</v>
      </c>
      <c r="W323" s="53" t="s">
        <v>199</v>
      </c>
      <c r="X323" s="50" t="n">
        <v>8.22825</v>
      </c>
      <c r="Y323" s="53" t="s">
        <v>198</v>
      </c>
      <c r="Z323" s="50" t="n">
        <v>0.636318</v>
      </c>
      <c r="AA323" s="50" t="n">
        <v>7.86</v>
      </c>
      <c r="AB323" s="50" t="n">
        <v>9</v>
      </c>
      <c r="AC323" s="52" t="n">
        <f aca="false">IF(W323="EUR",AA323,IF(W323="GBP",AB323,1))</f>
        <v>9</v>
      </c>
      <c r="AD323" s="52" t="n">
        <f aca="false">R323*X323</f>
        <v>8818.25478564015</v>
      </c>
      <c r="AE323" s="52" t="n">
        <f aca="false">IF(Y323="PERCENTAGE_OF_BASE_FREIGHT",AD323*Z323,IF(Y323="PER_CHARGEABLE_KG",R323*Z323,P323*Z323))</f>
        <v>681.945036756172</v>
      </c>
      <c r="AF323" s="52" t="n">
        <f aca="false">AD323*AC323</f>
        <v>79364.2930707613</v>
      </c>
      <c r="AG323" s="52" t="n">
        <f aca="false">AE323*AC323</f>
        <v>6137.50533080554</v>
      </c>
      <c r="AH323" s="52" t="s">
        <v>195</v>
      </c>
      <c r="AI323" s="52" t="n">
        <v>1.26158229834681</v>
      </c>
      <c r="AJ323" s="52" t="n">
        <f aca="false">IF(AH323="EUR",AA323,IF(AH323="GBP",AB323,1))</f>
        <v>7.86</v>
      </c>
      <c r="AK323" s="52" t="n">
        <f aca="false">N323*AI323</f>
        <v>1219.25772613604</v>
      </c>
      <c r="AL323" s="52" t="n">
        <f aca="false">AK323*AJ323</f>
        <v>9583.36572742925</v>
      </c>
      <c r="AM323" s="52" t="s">
        <v>195</v>
      </c>
      <c r="AN323" s="52" t="n">
        <v>0.4347</v>
      </c>
      <c r="AO323" s="52" t="n">
        <f aca="false">IF(AM323="EUR",AA323,IF(AM323="GBP",AB323,1))</f>
        <v>7.86</v>
      </c>
      <c r="AP323" s="52" t="n">
        <f aca="false">P323*AN323</f>
        <v>491.5361138688</v>
      </c>
      <c r="AQ323" s="52" t="n">
        <f aca="false">AP323*AO323</f>
        <v>3863.47385500877</v>
      </c>
      <c r="AR323" s="52" t="s">
        <v>199</v>
      </c>
      <c r="AS323" s="52" t="n">
        <v>4.968</v>
      </c>
      <c r="AT323" s="52" t="n">
        <f aca="false">IF(AR323="EUR",AA323,IF(AR323="GBP",AB323,1))</f>
        <v>9</v>
      </c>
      <c r="AU323" s="52" t="n">
        <f aca="false">T323*AS323</f>
        <v>432.119660544</v>
      </c>
      <c r="AV323" s="52" t="n">
        <f aca="false">AU323*AT323</f>
        <v>3889.076944896</v>
      </c>
      <c r="AW323" s="52" t="s">
        <v>199</v>
      </c>
      <c r="AX323" s="52" t="n">
        <v>3.726</v>
      </c>
      <c r="AY323" s="52" t="n">
        <f aca="false">IF(AW323="EUR",AA323,IF(AW323="GBP",AB323,1))</f>
        <v>9</v>
      </c>
      <c r="AZ323" s="52" t="n">
        <f aca="false">V323*AX323</f>
        <v>46.344833593344</v>
      </c>
      <c r="BA323" s="52" t="n">
        <f aca="false">AZ323*AY323</f>
        <v>417.103502340096</v>
      </c>
      <c r="BB323" s="52" t="n">
        <f aca="false">AF323+AG323+AL323+AQ323+AV323+BA323</f>
        <v>103254.818431241</v>
      </c>
      <c r="BC323" s="54" t="n">
        <v>0.988</v>
      </c>
      <c r="BD323" s="32"/>
      <c r="BE323" s="30" t="s">
        <v>205</v>
      </c>
      <c r="BF323" s="30" t="s">
        <v>212</v>
      </c>
      <c r="BG323" s="32" t="s">
        <v>197</v>
      </c>
    </row>
    <row r="324" customFormat="false" ht="26.5" hidden="false" customHeight="false" outlineLevel="0" collapsed="false">
      <c r="A324" s="18" t="s">
        <v>210</v>
      </c>
      <c r="B324" s="18" t="s">
        <v>207</v>
      </c>
      <c r="C324" s="18" t="s">
        <v>211</v>
      </c>
      <c r="D324" s="49" t="n">
        <v>46357</v>
      </c>
      <c r="E324" s="18" t="s">
        <v>130</v>
      </c>
      <c r="F324" s="18" t="s">
        <v>119</v>
      </c>
      <c r="G324" s="18" t="s">
        <v>110</v>
      </c>
      <c r="H324" s="18" t="s">
        <v>107</v>
      </c>
      <c r="I324" s="18" t="s">
        <v>125</v>
      </c>
      <c r="J324" s="50" t="n">
        <v>29744</v>
      </c>
      <c r="K324" s="51" t="n">
        <v>0.423076923076923</v>
      </c>
      <c r="L324" s="51" t="n">
        <v>0.04</v>
      </c>
      <c r="M324" s="51" t="n">
        <v>1</v>
      </c>
      <c r="N324" s="52" t="n">
        <f aca="false">J324*K324*L324*M324</f>
        <v>503.36</v>
      </c>
      <c r="O324" s="50" t="n">
        <v>1.17</v>
      </c>
      <c r="P324" s="52" t="n">
        <f aca="false">N324*O324</f>
        <v>588.9312</v>
      </c>
      <c r="Q324" s="50" t="n">
        <v>0.92718</v>
      </c>
      <c r="R324" s="52" t="n">
        <f aca="false">P324*Q324</f>
        <v>546.045230016</v>
      </c>
      <c r="S324" s="50" t="n">
        <v>0.09</v>
      </c>
      <c r="T324" s="52" t="n">
        <f aca="false">N324*S324</f>
        <v>45.3024</v>
      </c>
      <c r="U324" s="52" t="n">
        <v>0.014</v>
      </c>
      <c r="V324" s="52" t="n">
        <f aca="false">P324*U324</f>
        <v>8.2450368</v>
      </c>
      <c r="W324" s="53" t="s">
        <v>195</v>
      </c>
      <c r="X324" s="50" t="n">
        <v>6.9345</v>
      </c>
      <c r="Y324" s="53" t="s">
        <v>196</v>
      </c>
      <c r="Z324" s="50" t="n">
        <v>0.108675</v>
      </c>
      <c r="AA324" s="50" t="n">
        <v>7.86</v>
      </c>
      <c r="AB324" s="50" t="n">
        <v>9</v>
      </c>
      <c r="AC324" s="52" t="n">
        <f aca="false">IF(W324="EUR",AA324,IF(W324="GBP",AB324,1))</f>
        <v>7.86</v>
      </c>
      <c r="AD324" s="52" t="n">
        <f aca="false">R324*X324</f>
        <v>3786.55064754595</v>
      </c>
      <c r="AE324" s="52" t="n">
        <f aca="false">IF(Y324="PERCENTAGE_OF_BASE_FREIGHT",AD324*Z324,IF(Y324="PER_CHARGEABLE_KG",R324*Z324,P324*Z324))</f>
        <v>411.503391622056</v>
      </c>
      <c r="AF324" s="52" t="n">
        <f aca="false">AD324*AC324</f>
        <v>29762.2880897112</v>
      </c>
      <c r="AG324" s="52" t="n">
        <f aca="false">AE324*AC324</f>
        <v>3234.41665814936</v>
      </c>
      <c r="AH324" s="52" t="s">
        <v>195</v>
      </c>
      <c r="AI324" s="52" t="n">
        <v>1.08675</v>
      </c>
      <c r="AJ324" s="52" t="n">
        <f aca="false">IF(AH324="EUR",AA324,IF(AH324="GBP",AB324,1))</f>
        <v>7.86</v>
      </c>
      <c r="AK324" s="52" t="n">
        <f aca="false">N324*AI324</f>
        <v>547.02648</v>
      </c>
      <c r="AL324" s="52" t="n">
        <f aca="false">AK324*AJ324</f>
        <v>4299.6281328</v>
      </c>
      <c r="AM324" s="52" t="s">
        <v>195</v>
      </c>
      <c r="AN324" s="52" t="n">
        <v>0.3933</v>
      </c>
      <c r="AO324" s="52" t="n">
        <f aca="false">IF(AM324="EUR",AA324,IF(AM324="GBP",AB324,1))</f>
        <v>7.86</v>
      </c>
      <c r="AP324" s="52" t="n">
        <f aca="false">P324*AN324</f>
        <v>231.62664096</v>
      </c>
      <c r="AQ324" s="52" t="n">
        <f aca="false">AP324*AO324</f>
        <v>1820.5853979456</v>
      </c>
      <c r="AR324" s="52" t="s">
        <v>195</v>
      </c>
      <c r="AS324" s="52" t="n">
        <v>5.382</v>
      </c>
      <c r="AT324" s="52" t="n">
        <f aca="false">IF(AR324="EUR",AA324,IF(AR324="GBP",AB324,1))</f>
        <v>7.86</v>
      </c>
      <c r="AU324" s="52" t="n">
        <f aca="false">T324*AS324</f>
        <v>243.8175168</v>
      </c>
      <c r="AV324" s="52" t="n">
        <f aca="false">AU324*AT324</f>
        <v>1916.405682048</v>
      </c>
      <c r="AW324" s="52" t="s">
        <v>195</v>
      </c>
      <c r="AX324" s="52" t="n">
        <v>2.898</v>
      </c>
      <c r="AY324" s="52" t="n">
        <f aca="false">IF(AW324="EUR",AA324,IF(AW324="GBP",AB324,1))</f>
        <v>7.86</v>
      </c>
      <c r="AZ324" s="52" t="n">
        <f aca="false">V324*AX324</f>
        <v>23.8941166464</v>
      </c>
      <c r="BA324" s="52" t="n">
        <f aca="false">AZ324*AY324</f>
        <v>187.807756840704</v>
      </c>
      <c r="BB324" s="52" t="n">
        <f aca="false">AF324+AG324+AL324+AQ324+AV324+BA324</f>
        <v>41221.1317174949</v>
      </c>
      <c r="BC324" s="54" t="n">
        <v>0.971</v>
      </c>
      <c r="BD324" s="32"/>
      <c r="BE324" s="30" t="s">
        <v>205</v>
      </c>
      <c r="BF324" s="30" t="s">
        <v>212</v>
      </c>
      <c r="BG324" s="32" t="s">
        <v>197</v>
      </c>
    </row>
    <row r="325" customFormat="false" ht="26.5" hidden="false" customHeight="false" outlineLevel="0" collapsed="false">
      <c r="A325" s="18" t="s">
        <v>213</v>
      </c>
      <c r="B325" s="18" t="s">
        <v>207</v>
      </c>
      <c r="C325" s="18" t="s">
        <v>214</v>
      </c>
      <c r="D325" s="49" t="n">
        <v>46266</v>
      </c>
      <c r="E325" s="18" t="s">
        <v>98</v>
      </c>
      <c r="F325" s="18" t="s">
        <v>99</v>
      </c>
      <c r="G325" s="18" t="s">
        <v>100</v>
      </c>
      <c r="H325" s="18" t="s">
        <v>101</v>
      </c>
      <c r="I325" s="18" t="s">
        <v>102</v>
      </c>
      <c r="J325" s="50" t="n">
        <v>17200</v>
      </c>
      <c r="K325" s="51" t="n">
        <v>0.36</v>
      </c>
      <c r="L325" s="51" t="n">
        <v>0.97</v>
      </c>
      <c r="M325" s="51" t="n">
        <v>0.6</v>
      </c>
      <c r="N325" s="52" t="n">
        <f aca="false">J325*K325*L325*M325</f>
        <v>3603.744</v>
      </c>
      <c r="O325" s="50" t="n">
        <v>1.05</v>
      </c>
      <c r="P325" s="52" t="n">
        <f aca="false">N325*O325</f>
        <v>3783.9312</v>
      </c>
      <c r="Q325" s="50" t="n">
        <v>0.78</v>
      </c>
      <c r="R325" s="52" t="n">
        <f aca="false">P325*Q325</f>
        <v>2951.466336</v>
      </c>
      <c r="S325" s="50" t="n">
        <v>0.05</v>
      </c>
      <c r="T325" s="52" t="n">
        <f aca="false">N325*S325</f>
        <v>180.1872</v>
      </c>
      <c r="U325" s="52" t="n">
        <v>0.016</v>
      </c>
      <c r="V325" s="52" t="n">
        <f aca="false">P325*U325</f>
        <v>60.5428992</v>
      </c>
      <c r="W325" s="53" t="s">
        <v>195</v>
      </c>
      <c r="X325" s="50" t="n">
        <v>2.277</v>
      </c>
      <c r="Y325" s="53" t="s">
        <v>196</v>
      </c>
      <c r="Z325" s="50" t="n">
        <v>0.098325</v>
      </c>
      <c r="AA325" s="50" t="n">
        <v>7.92</v>
      </c>
      <c r="AB325" s="50" t="n">
        <v>9.15</v>
      </c>
      <c r="AC325" s="52" t="n">
        <f aca="false">IF(W325="EUR",AA325,IF(W325="GBP",AB325,1))</f>
        <v>7.92</v>
      </c>
      <c r="AD325" s="52" t="n">
        <f aca="false">R325*X325</f>
        <v>6720.488847072</v>
      </c>
      <c r="AE325" s="52" t="n">
        <f aca="false">IF(Y325="PERCENTAGE_OF_BASE_FREIGHT",AD325*Z325,IF(Y325="PER_CHARGEABLE_KG",R325*Z325,P325*Z325))</f>
        <v>660.792065888354</v>
      </c>
      <c r="AF325" s="52" t="n">
        <f aca="false">AD325*AC325</f>
        <v>53226.2716688102</v>
      </c>
      <c r="AG325" s="52" t="n">
        <f aca="false">AE325*AC325</f>
        <v>5233.47316183577</v>
      </c>
      <c r="AH325" s="52" t="s">
        <v>195</v>
      </c>
      <c r="AI325" s="52" t="n">
        <v>1.37620106985006</v>
      </c>
      <c r="AJ325" s="52" t="n">
        <f aca="false">IF(AH325="EUR",AA325,IF(AH325="GBP",AB325,1))</f>
        <v>7.92</v>
      </c>
      <c r="AK325" s="52" t="n">
        <f aca="false">N325*AI325</f>
        <v>4959.47634826572</v>
      </c>
      <c r="AL325" s="52" t="n">
        <f aca="false">AK325*AJ325</f>
        <v>39279.0526782645</v>
      </c>
      <c r="AM325" s="52" t="s">
        <v>195</v>
      </c>
      <c r="AN325" s="52" t="n">
        <v>0.4347</v>
      </c>
      <c r="AO325" s="52" t="n">
        <f aca="false">IF(AM325="EUR",AA325,IF(AM325="GBP",AB325,1))</f>
        <v>7.92</v>
      </c>
      <c r="AP325" s="52" t="n">
        <f aca="false">P325*AN325</f>
        <v>1644.87489264</v>
      </c>
      <c r="AQ325" s="52" t="n">
        <f aca="false">AP325*AO325</f>
        <v>13027.4091497088</v>
      </c>
      <c r="AR325" s="52" t="s">
        <v>195</v>
      </c>
      <c r="AS325" s="52" t="n">
        <v>3.312</v>
      </c>
      <c r="AT325" s="52" t="n">
        <f aca="false">IF(AR325="EUR",AA325,IF(AR325="GBP",AB325,1))</f>
        <v>7.92</v>
      </c>
      <c r="AU325" s="52" t="n">
        <f aca="false">T325*AS325</f>
        <v>596.7800064</v>
      </c>
      <c r="AV325" s="52" t="n">
        <f aca="false">AU325*AT325</f>
        <v>4726.497650688</v>
      </c>
      <c r="AW325" s="52" t="s">
        <v>195</v>
      </c>
      <c r="AX325" s="52" t="n">
        <v>2.3805</v>
      </c>
      <c r="AY325" s="52" t="n">
        <f aca="false">IF(AW325="EUR",AA325,IF(AW325="GBP",AB325,1))</f>
        <v>7.92</v>
      </c>
      <c r="AZ325" s="52" t="n">
        <f aca="false">V325*AX325</f>
        <v>144.1223715456</v>
      </c>
      <c r="BA325" s="52" t="n">
        <f aca="false">AZ325*AY325</f>
        <v>1141.44918264115</v>
      </c>
      <c r="BB325" s="52" t="n">
        <f aca="false">AF325+AG325+AL325+AQ325+AV325+BA325</f>
        <v>116634.153491948</v>
      </c>
      <c r="BC325" s="54" t="n">
        <v>0.965</v>
      </c>
      <c r="BD325" s="32"/>
      <c r="BE325" s="30" t="s">
        <v>205</v>
      </c>
      <c r="BF325" s="30" t="s">
        <v>215</v>
      </c>
      <c r="BG325" s="32" t="s">
        <v>197</v>
      </c>
    </row>
    <row r="326" customFormat="false" ht="26.5" hidden="false" customHeight="false" outlineLevel="0" collapsed="false">
      <c r="A326" s="18" t="s">
        <v>213</v>
      </c>
      <c r="B326" s="18" t="s">
        <v>207</v>
      </c>
      <c r="C326" s="18" t="s">
        <v>214</v>
      </c>
      <c r="D326" s="49" t="n">
        <v>46266</v>
      </c>
      <c r="E326" s="18" t="s">
        <v>106</v>
      </c>
      <c r="F326" s="18" t="s">
        <v>99</v>
      </c>
      <c r="G326" s="18" t="s">
        <v>100</v>
      </c>
      <c r="H326" s="18" t="s">
        <v>107</v>
      </c>
      <c r="I326" s="18" t="s">
        <v>102</v>
      </c>
      <c r="J326" s="50" t="n">
        <v>17200</v>
      </c>
      <c r="K326" s="51" t="n">
        <v>0.36</v>
      </c>
      <c r="L326" s="51" t="n">
        <v>0.97</v>
      </c>
      <c r="M326" s="51" t="n">
        <v>0.4</v>
      </c>
      <c r="N326" s="52" t="n">
        <f aca="false">J326*K326*L326*M326</f>
        <v>2402.496</v>
      </c>
      <c r="O326" s="50" t="n">
        <v>1.05</v>
      </c>
      <c r="P326" s="52" t="n">
        <f aca="false">N326*O326</f>
        <v>2522.6208</v>
      </c>
      <c r="Q326" s="50" t="n">
        <v>0.8</v>
      </c>
      <c r="R326" s="52" t="n">
        <f aca="false">P326*Q326</f>
        <v>2018.09664</v>
      </c>
      <c r="S326" s="50" t="n">
        <v>0.05</v>
      </c>
      <c r="T326" s="52" t="n">
        <f aca="false">N326*S326</f>
        <v>120.1248</v>
      </c>
      <c r="U326" s="52" t="n">
        <v>0.013</v>
      </c>
      <c r="V326" s="52" t="n">
        <f aca="false">P326*U326</f>
        <v>32.7940704</v>
      </c>
      <c r="W326" s="53" t="s">
        <v>195</v>
      </c>
      <c r="X326" s="50" t="n">
        <v>2.84625</v>
      </c>
      <c r="Y326" s="53" t="s">
        <v>198</v>
      </c>
      <c r="Z326" s="50" t="n">
        <v>0.21735</v>
      </c>
      <c r="AA326" s="50" t="n">
        <v>7.92</v>
      </c>
      <c r="AB326" s="50" t="n">
        <v>9.15</v>
      </c>
      <c r="AC326" s="52" t="n">
        <f aca="false">IF(W326="EUR",AA326,IF(W326="GBP",AB326,1))</f>
        <v>7.92</v>
      </c>
      <c r="AD326" s="52" t="n">
        <f aca="false">R326*X326</f>
        <v>5744.0075616</v>
      </c>
      <c r="AE326" s="52" t="n">
        <f aca="false">IF(Y326="PERCENTAGE_OF_BASE_FREIGHT",AD326*Z326,IF(Y326="PER_CHARGEABLE_KG",R326*Z326,P326*Z326))</f>
        <v>438.633304704</v>
      </c>
      <c r="AF326" s="52" t="n">
        <f aca="false">AD326*AC326</f>
        <v>45492.539887872</v>
      </c>
      <c r="AG326" s="52" t="n">
        <f aca="false">AE326*AC326</f>
        <v>3473.97577325568</v>
      </c>
      <c r="AH326" s="52" t="s">
        <v>195</v>
      </c>
      <c r="AI326" s="52" t="n">
        <v>1.37620106985006</v>
      </c>
      <c r="AJ326" s="52" t="n">
        <f aca="false">IF(AH326="EUR",AA326,IF(AH326="GBP",AB326,1))</f>
        <v>7.92</v>
      </c>
      <c r="AK326" s="52" t="n">
        <f aca="false">N326*AI326</f>
        <v>3306.31756551048</v>
      </c>
      <c r="AL326" s="52" t="n">
        <f aca="false">AK326*AJ326</f>
        <v>26186.035118843</v>
      </c>
      <c r="AM326" s="52" t="s">
        <v>195</v>
      </c>
      <c r="AN326" s="52" t="n">
        <v>0.4347</v>
      </c>
      <c r="AO326" s="52" t="n">
        <f aca="false">IF(AM326="EUR",AA326,IF(AM326="GBP",AB326,1))</f>
        <v>7.92</v>
      </c>
      <c r="AP326" s="52" t="n">
        <f aca="false">P326*AN326</f>
        <v>1096.58326176</v>
      </c>
      <c r="AQ326" s="52" t="n">
        <f aca="false">AP326*AO326</f>
        <v>8684.9394331392</v>
      </c>
      <c r="AR326" s="52" t="s">
        <v>195</v>
      </c>
      <c r="AS326" s="52" t="n">
        <v>3.312</v>
      </c>
      <c r="AT326" s="52" t="n">
        <f aca="false">IF(AR326="EUR",AA326,IF(AR326="GBP",AB326,1))</f>
        <v>7.92</v>
      </c>
      <c r="AU326" s="52" t="n">
        <f aca="false">T326*AS326</f>
        <v>397.8533376</v>
      </c>
      <c r="AV326" s="52" t="n">
        <f aca="false">AU326*AT326</f>
        <v>3150.998433792</v>
      </c>
      <c r="AW326" s="52" t="s">
        <v>195</v>
      </c>
      <c r="AX326" s="52" t="n">
        <v>2.3805</v>
      </c>
      <c r="AY326" s="52" t="n">
        <f aca="false">IF(AW326="EUR",AA326,IF(AW326="GBP",AB326,1))</f>
        <v>7.92</v>
      </c>
      <c r="AZ326" s="52" t="n">
        <f aca="false">V326*AX326</f>
        <v>78.0662845872</v>
      </c>
      <c r="BA326" s="52" t="n">
        <f aca="false">AZ326*AY326</f>
        <v>618.284973930624</v>
      </c>
      <c r="BB326" s="52" t="n">
        <f aca="false">AF326+AG326+AL326+AQ326+AV326+BA326</f>
        <v>87606.7736208325</v>
      </c>
      <c r="BC326" s="54" t="n">
        <v>0.976</v>
      </c>
      <c r="BD326" s="32"/>
      <c r="BE326" s="30" t="s">
        <v>205</v>
      </c>
      <c r="BF326" s="30" t="s">
        <v>215</v>
      </c>
      <c r="BG326" s="32" t="s">
        <v>197</v>
      </c>
    </row>
    <row r="327" customFormat="false" ht="26.5" hidden="false" customHeight="false" outlineLevel="0" collapsed="false">
      <c r="A327" s="18" t="s">
        <v>213</v>
      </c>
      <c r="B327" s="18" t="s">
        <v>207</v>
      </c>
      <c r="C327" s="18" t="s">
        <v>214</v>
      </c>
      <c r="D327" s="49" t="n">
        <v>46266</v>
      </c>
      <c r="E327" s="18" t="s">
        <v>109</v>
      </c>
      <c r="F327" s="18" t="s">
        <v>99</v>
      </c>
      <c r="G327" s="18" t="s">
        <v>110</v>
      </c>
      <c r="H327" s="18" t="s">
        <v>107</v>
      </c>
      <c r="I327" s="18" t="s">
        <v>102</v>
      </c>
      <c r="J327" s="50" t="n">
        <v>17200</v>
      </c>
      <c r="K327" s="51" t="n">
        <v>0.36</v>
      </c>
      <c r="L327" s="51" t="n">
        <v>0.03</v>
      </c>
      <c r="M327" s="51" t="n">
        <v>1</v>
      </c>
      <c r="N327" s="52" t="n">
        <f aca="false">J327*K327*L327*M327</f>
        <v>185.76</v>
      </c>
      <c r="O327" s="50" t="n">
        <v>1.08</v>
      </c>
      <c r="P327" s="52" t="n">
        <f aca="false">N327*O327</f>
        <v>200.6208</v>
      </c>
      <c r="Q327" s="50" t="n">
        <v>0.86</v>
      </c>
      <c r="R327" s="52" t="n">
        <f aca="false">P327*Q327</f>
        <v>172.533888</v>
      </c>
      <c r="S327" s="50" t="n">
        <v>0.05</v>
      </c>
      <c r="T327" s="52" t="n">
        <f aca="false">N327*S327</f>
        <v>9.288</v>
      </c>
      <c r="U327" s="52" t="n">
        <v>0.014</v>
      </c>
      <c r="V327" s="52" t="n">
        <f aca="false">P327*U327</f>
        <v>2.8086912</v>
      </c>
      <c r="W327" s="53" t="s">
        <v>195</v>
      </c>
      <c r="X327" s="50" t="n">
        <v>3.4155</v>
      </c>
      <c r="Y327" s="53" t="s">
        <v>198</v>
      </c>
      <c r="Z327" s="50" t="n">
        <v>0.2484</v>
      </c>
      <c r="AA327" s="50" t="n">
        <v>7.92</v>
      </c>
      <c r="AB327" s="50" t="n">
        <v>9.15</v>
      </c>
      <c r="AC327" s="52" t="n">
        <f aca="false">IF(W327="EUR",AA327,IF(W327="GBP",AB327,1))</f>
        <v>7.92</v>
      </c>
      <c r="AD327" s="52" t="n">
        <f aca="false">R327*X327</f>
        <v>589.289494464</v>
      </c>
      <c r="AE327" s="52" t="n">
        <f aca="false">IF(Y327="PERCENTAGE_OF_BASE_FREIGHT",AD327*Z327,IF(Y327="PER_CHARGEABLE_KG",R327*Z327,P327*Z327))</f>
        <v>42.8574177792</v>
      </c>
      <c r="AF327" s="52" t="n">
        <f aca="false">AD327*AC327</f>
        <v>4667.17279615488</v>
      </c>
      <c r="AG327" s="52" t="n">
        <f aca="false">AE327*AC327</f>
        <v>339.430748811264</v>
      </c>
      <c r="AH327" s="52" t="s">
        <v>195</v>
      </c>
      <c r="AI327" s="52" t="n">
        <v>1.08675</v>
      </c>
      <c r="AJ327" s="52" t="n">
        <f aca="false">IF(AH327="EUR",AA327,IF(AH327="GBP",AB327,1))</f>
        <v>7.92</v>
      </c>
      <c r="AK327" s="52" t="n">
        <f aca="false">N327*AI327</f>
        <v>201.87468</v>
      </c>
      <c r="AL327" s="52" t="n">
        <f aca="false">AK327*AJ327</f>
        <v>1598.8474656</v>
      </c>
      <c r="AM327" s="52" t="s">
        <v>195</v>
      </c>
      <c r="AN327" s="52" t="n">
        <v>0.3933</v>
      </c>
      <c r="AO327" s="52" t="n">
        <f aca="false">IF(AM327="EUR",AA327,IF(AM327="GBP",AB327,1))</f>
        <v>7.92</v>
      </c>
      <c r="AP327" s="52" t="n">
        <f aca="false">P327*AN327</f>
        <v>78.90416064</v>
      </c>
      <c r="AQ327" s="52" t="n">
        <f aca="false">AP327*AO327</f>
        <v>624.9209522688</v>
      </c>
      <c r="AR327" s="52" t="s">
        <v>195</v>
      </c>
      <c r="AS327" s="52" t="n">
        <v>3.933</v>
      </c>
      <c r="AT327" s="52" t="n">
        <f aca="false">IF(AR327="EUR",AA327,IF(AR327="GBP",AB327,1))</f>
        <v>7.92</v>
      </c>
      <c r="AU327" s="52" t="n">
        <f aca="false">T327*AS327</f>
        <v>36.529704</v>
      </c>
      <c r="AV327" s="52" t="n">
        <f aca="false">AU327*AT327</f>
        <v>289.31525568</v>
      </c>
      <c r="AW327" s="52" t="s">
        <v>195</v>
      </c>
      <c r="AX327" s="52" t="n">
        <v>2.3805</v>
      </c>
      <c r="AY327" s="52" t="n">
        <f aca="false">IF(AW327="EUR",AA327,IF(AW327="GBP",AB327,1))</f>
        <v>7.92</v>
      </c>
      <c r="AZ327" s="52" t="n">
        <f aca="false">V327*AX327</f>
        <v>6.6860894016</v>
      </c>
      <c r="BA327" s="52" t="n">
        <f aca="false">AZ327*AY327</f>
        <v>52.953828060672</v>
      </c>
      <c r="BB327" s="52" t="n">
        <f aca="false">AF327+AG327+AL327+AQ327+AV327+BA327</f>
        <v>7572.64104657561</v>
      </c>
      <c r="BC327" s="54" t="n">
        <v>0.968</v>
      </c>
      <c r="BD327" s="32"/>
      <c r="BE327" s="30" t="s">
        <v>205</v>
      </c>
      <c r="BF327" s="30" t="s">
        <v>215</v>
      </c>
      <c r="BG327" s="32" t="s">
        <v>197</v>
      </c>
    </row>
    <row r="328" customFormat="false" ht="26.5" hidden="false" customHeight="false" outlineLevel="0" collapsed="false">
      <c r="A328" s="18" t="s">
        <v>213</v>
      </c>
      <c r="B328" s="18" t="s">
        <v>207</v>
      </c>
      <c r="C328" s="18" t="s">
        <v>214</v>
      </c>
      <c r="D328" s="49" t="n">
        <v>46266</v>
      </c>
      <c r="E328" s="18" t="s">
        <v>112</v>
      </c>
      <c r="F328" s="18" t="s">
        <v>113</v>
      </c>
      <c r="G328" s="18" t="s">
        <v>110</v>
      </c>
      <c r="H328" s="18" t="s">
        <v>101</v>
      </c>
      <c r="I328" s="18" t="s">
        <v>102</v>
      </c>
      <c r="J328" s="50" t="n">
        <v>17200</v>
      </c>
      <c r="K328" s="51" t="n">
        <v>0.3</v>
      </c>
      <c r="L328" s="51" t="n">
        <v>1</v>
      </c>
      <c r="M328" s="51" t="n">
        <v>0.35</v>
      </c>
      <c r="N328" s="52" t="n">
        <f aca="false">J328*K328*L328*M328</f>
        <v>1806</v>
      </c>
      <c r="O328" s="50" t="n">
        <v>1.06</v>
      </c>
      <c r="P328" s="52" t="n">
        <f aca="false">N328*O328</f>
        <v>1914.36</v>
      </c>
      <c r="Q328" s="50" t="n">
        <v>0.76</v>
      </c>
      <c r="R328" s="52" t="n">
        <f aca="false">P328*Q328</f>
        <v>1454.9136</v>
      </c>
      <c r="S328" s="50" t="n">
        <v>0.06</v>
      </c>
      <c r="T328" s="52" t="n">
        <f aca="false">N328*S328</f>
        <v>108.36</v>
      </c>
      <c r="U328" s="52" t="n">
        <v>0.017</v>
      </c>
      <c r="V328" s="52" t="n">
        <f aca="false">P328*U328</f>
        <v>32.54412</v>
      </c>
      <c r="W328" s="53" t="s">
        <v>195</v>
      </c>
      <c r="X328" s="50" t="n">
        <v>2.1735</v>
      </c>
      <c r="Y328" s="53" t="s">
        <v>196</v>
      </c>
      <c r="Z328" s="50" t="n">
        <v>0.09315</v>
      </c>
      <c r="AA328" s="50" t="n">
        <v>7.92</v>
      </c>
      <c r="AB328" s="50" t="n">
        <v>9.15</v>
      </c>
      <c r="AC328" s="52" t="n">
        <f aca="false">IF(W328="EUR",AA328,IF(W328="GBP",AB328,1))</f>
        <v>7.92</v>
      </c>
      <c r="AD328" s="52" t="n">
        <f aca="false">R328*X328</f>
        <v>3162.2547096</v>
      </c>
      <c r="AE328" s="52" t="n">
        <f aca="false">IF(Y328="PERCENTAGE_OF_BASE_FREIGHT",AD328*Z328,IF(Y328="PER_CHARGEABLE_KG",R328*Z328,P328*Z328))</f>
        <v>294.56402619924</v>
      </c>
      <c r="AF328" s="52" t="n">
        <f aca="false">AD328*AC328</f>
        <v>25045.057300032</v>
      </c>
      <c r="AG328" s="52" t="n">
        <f aca="false">AE328*AC328</f>
        <v>2332.94708749798</v>
      </c>
      <c r="AH328" s="52" t="s">
        <v>195</v>
      </c>
      <c r="AI328" s="52" t="n">
        <v>1.08675</v>
      </c>
      <c r="AJ328" s="52" t="n">
        <f aca="false">IF(AH328="EUR",AA328,IF(AH328="GBP",AB328,1))</f>
        <v>7.92</v>
      </c>
      <c r="AK328" s="52" t="n">
        <f aca="false">N328*AI328</f>
        <v>1962.6705</v>
      </c>
      <c r="AL328" s="52" t="n">
        <f aca="false">AK328*AJ328</f>
        <v>15544.35036</v>
      </c>
      <c r="AM328" s="52" t="s">
        <v>195</v>
      </c>
      <c r="AN328" s="52" t="n">
        <v>0.3933</v>
      </c>
      <c r="AO328" s="52" t="n">
        <f aca="false">IF(AM328="EUR",AA328,IF(AM328="GBP",AB328,1))</f>
        <v>7.92</v>
      </c>
      <c r="AP328" s="52" t="n">
        <f aca="false">P328*AN328</f>
        <v>752.917788</v>
      </c>
      <c r="AQ328" s="52" t="n">
        <f aca="false">AP328*AO328</f>
        <v>5963.10888096</v>
      </c>
      <c r="AR328" s="52" t="s">
        <v>195</v>
      </c>
      <c r="AS328" s="52" t="n">
        <v>3.105</v>
      </c>
      <c r="AT328" s="52" t="n">
        <f aca="false">IF(AR328="EUR",AA328,IF(AR328="GBP",AB328,1))</f>
        <v>7.92</v>
      </c>
      <c r="AU328" s="52" t="n">
        <f aca="false">T328*AS328</f>
        <v>336.4578</v>
      </c>
      <c r="AV328" s="52" t="n">
        <f aca="false">AU328*AT328</f>
        <v>2664.745776</v>
      </c>
      <c r="AW328" s="52" t="s">
        <v>195</v>
      </c>
      <c r="AX328" s="52" t="n">
        <v>2.3805</v>
      </c>
      <c r="AY328" s="52" t="n">
        <f aca="false">IF(AW328="EUR",AA328,IF(AW328="GBP",AB328,1))</f>
        <v>7.92</v>
      </c>
      <c r="AZ328" s="52" t="n">
        <f aca="false">V328*AX328</f>
        <v>77.47127766</v>
      </c>
      <c r="BA328" s="52" t="n">
        <f aca="false">AZ328*AY328</f>
        <v>613.5725190672</v>
      </c>
      <c r="BB328" s="52" t="n">
        <f aca="false">AF328+AG328+AL328+AQ328+AV328+BA328</f>
        <v>52163.7819235572</v>
      </c>
      <c r="BC328" s="54" t="n">
        <v>0.961</v>
      </c>
      <c r="BD328" s="32"/>
      <c r="BE328" s="30" t="s">
        <v>205</v>
      </c>
      <c r="BF328" s="30" t="s">
        <v>215</v>
      </c>
      <c r="BG328" s="32" t="s">
        <v>197</v>
      </c>
    </row>
    <row r="329" customFormat="false" ht="26.5" hidden="false" customHeight="false" outlineLevel="0" collapsed="false">
      <c r="A329" s="18" t="s">
        <v>213</v>
      </c>
      <c r="B329" s="18" t="s">
        <v>207</v>
      </c>
      <c r="C329" s="18" t="s">
        <v>214</v>
      </c>
      <c r="D329" s="49" t="n">
        <v>46266</v>
      </c>
      <c r="E329" s="18" t="s">
        <v>116</v>
      </c>
      <c r="F329" s="18" t="s">
        <v>113</v>
      </c>
      <c r="G329" s="18" t="s">
        <v>110</v>
      </c>
      <c r="H329" s="18" t="s">
        <v>107</v>
      </c>
      <c r="I329" s="18" t="s">
        <v>102</v>
      </c>
      <c r="J329" s="50" t="n">
        <v>17200</v>
      </c>
      <c r="K329" s="51" t="n">
        <v>0.3</v>
      </c>
      <c r="L329" s="51" t="n">
        <v>1</v>
      </c>
      <c r="M329" s="51" t="n">
        <v>0.65</v>
      </c>
      <c r="N329" s="52" t="n">
        <f aca="false">J329*K329*L329*M329</f>
        <v>3354</v>
      </c>
      <c r="O329" s="50" t="n">
        <v>1.06</v>
      </c>
      <c r="P329" s="52" t="n">
        <f aca="false">N329*O329</f>
        <v>3555.24</v>
      </c>
      <c r="Q329" s="50" t="n">
        <v>0.79</v>
      </c>
      <c r="R329" s="52" t="n">
        <f aca="false">P329*Q329</f>
        <v>2808.6396</v>
      </c>
      <c r="S329" s="50" t="n">
        <v>0.06</v>
      </c>
      <c r="T329" s="52" t="n">
        <f aca="false">N329*S329</f>
        <v>201.24</v>
      </c>
      <c r="U329" s="52" t="n">
        <v>0.014</v>
      </c>
      <c r="V329" s="52" t="n">
        <f aca="false">P329*U329</f>
        <v>49.77336</v>
      </c>
      <c r="W329" s="53" t="s">
        <v>195</v>
      </c>
      <c r="X329" s="50" t="n">
        <v>2.691</v>
      </c>
      <c r="Y329" s="53" t="s">
        <v>198</v>
      </c>
      <c r="Z329" s="50" t="n">
        <v>0.207</v>
      </c>
      <c r="AA329" s="50" t="n">
        <v>7.92</v>
      </c>
      <c r="AB329" s="50" t="n">
        <v>9.15</v>
      </c>
      <c r="AC329" s="52" t="n">
        <f aca="false">IF(W329="EUR",AA329,IF(W329="GBP",AB329,1))</f>
        <v>7.92</v>
      </c>
      <c r="AD329" s="52" t="n">
        <f aca="false">R329*X329</f>
        <v>7558.0491636</v>
      </c>
      <c r="AE329" s="52" t="n">
        <f aca="false">IF(Y329="PERCENTAGE_OF_BASE_FREIGHT",AD329*Z329,IF(Y329="PER_CHARGEABLE_KG",R329*Z329,P329*Z329))</f>
        <v>581.3883972</v>
      </c>
      <c r="AF329" s="52" t="n">
        <f aca="false">AD329*AC329</f>
        <v>59859.749375712</v>
      </c>
      <c r="AG329" s="52" t="n">
        <f aca="false">AE329*AC329</f>
        <v>4604.596105824</v>
      </c>
      <c r="AH329" s="52" t="s">
        <v>195</v>
      </c>
      <c r="AI329" s="52" t="n">
        <v>1.08675</v>
      </c>
      <c r="AJ329" s="52" t="n">
        <f aca="false">IF(AH329="EUR",AA329,IF(AH329="GBP",AB329,1))</f>
        <v>7.92</v>
      </c>
      <c r="AK329" s="52" t="n">
        <f aca="false">N329*AI329</f>
        <v>3644.9595</v>
      </c>
      <c r="AL329" s="52" t="n">
        <f aca="false">AK329*AJ329</f>
        <v>28868.07924</v>
      </c>
      <c r="AM329" s="52" t="s">
        <v>195</v>
      </c>
      <c r="AN329" s="52" t="n">
        <v>0.3933</v>
      </c>
      <c r="AO329" s="52" t="n">
        <f aca="false">IF(AM329="EUR",AA329,IF(AM329="GBP",AB329,1))</f>
        <v>7.92</v>
      </c>
      <c r="AP329" s="52" t="n">
        <f aca="false">P329*AN329</f>
        <v>1398.275892</v>
      </c>
      <c r="AQ329" s="52" t="n">
        <f aca="false">AP329*AO329</f>
        <v>11074.34506464</v>
      </c>
      <c r="AR329" s="52" t="s">
        <v>195</v>
      </c>
      <c r="AS329" s="52" t="n">
        <v>3.105</v>
      </c>
      <c r="AT329" s="52" t="n">
        <f aca="false">IF(AR329="EUR",AA329,IF(AR329="GBP",AB329,1))</f>
        <v>7.92</v>
      </c>
      <c r="AU329" s="52" t="n">
        <f aca="false">T329*AS329</f>
        <v>624.8502</v>
      </c>
      <c r="AV329" s="52" t="n">
        <f aca="false">AU329*AT329</f>
        <v>4948.813584</v>
      </c>
      <c r="AW329" s="52" t="s">
        <v>195</v>
      </c>
      <c r="AX329" s="52" t="n">
        <v>2.3805</v>
      </c>
      <c r="AY329" s="52" t="n">
        <f aca="false">IF(AW329="EUR",AA329,IF(AW329="GBP",AB329,1))</f>
        <v>7.92</v>
      </c>
      <c r="AZ329" s="52" t="n">
        <f aca="false">V329*AX329</f>
        <v>118.48548348</v>
      </c>
      <c r="BA329" s="52" t="n">
        <f aca="false">AZ329*AY329</f>
        <v>938.4050291616</v>
      </c>
      <c r="BB329" s="52" t="n">
        <f aca="false">AF329+AG329+AL329+AQ329+AV329+BA329</f>
        <v>110293.988399338</v>
      </c>
      <c r="BC329" s="54" t="n">
        <v>0.973</v>
      </c>
      <c r="BD329" s="32"/>
      <c r="BE329" s="30" t="s">
        <v>205</v>
      </c>
      <c r="BF329" s="30" t="s">
        <v>215</v>
      </c>
      <c r="BG329" s="32" t="s">
        <v>197</v>
      </c>
    </row>
    <row r="330" customFormat="false" ht="26.5" hidden="false" customHeight="false" outlineLevel="0" collapsed="false">
      <c r="A330" s="18" t="s">
        <v>213</v>
      </c>
      <c r="B330" s="18" t="s">
        <v>207</v>
      </c>
      <c r="C330" s="18" t="s">
        <v>214</v>
      </c>
      <c r="D330" s="49" t="n">
        <v>46266</v>
      </c>
      <c r="E330" s="18" t="s">
        <v>118</v>
      </c>
      <c r="F330" s="18" t="s">
        <v>119</v>
      </c>
      <c r="G330" s="18" t="s">
        <v>100</v>
      </c>
      <c r="H330" s="18" t="s">
        <v>101</v>
      </c>
      <c r="I330" s="18" t="s">
        <v>102</v>
      </c>
      <c r="J330" s="50" t="n">
        <v>17200</v>
      </c>
      <c r="K330" s="51" t="n">
        <v>0.34</v>
      </c>
      <c r="L330" s="51" t="n">
        <v>0.96</v>
      </c>
      <c r="M330" s="51" t="n">
        <v>0.3</v>
      </c>
      <c r="N330" s="52" t="n">
        <f aca="false">J330*K330*L330*M330</f>
        <v>1684.224</v>
      </c>
      <c r="O330" s="50" t="n">
        <v>1.19</v>
      </c>
      <c r="P330" s="52" t="n">
        <f aca="false">N330*O330</f>
        <v>2004.22656</v>
      </c>
      <c r="Q330" s="50" t="n">
        <v>1.0404</v>
      </c>
      <c r="R330" s="52" t="n">
        <f aca="false">P330*Q330</f>
        <v>2085.197313024</v>
      </c>
      <c r="S330" s="50" t="n">
        <v>0.095</v>
      </c>
      <c r="T330" s="52" t="n">
        <f aca="false">N330*S330</f>
        <v>160.00128</v>
      </c>
      <c r="U330" s="52" t="n">
        <v>0.027</v>
      </c>
      <c r="V330" s="52" t="n">
        <f aca="false">P330*U330</f>
        <v>54.11411712</v>
      </c>
      <c r="W330" s="53" t="s">
        <v>199</v>
      </c>
      <c r="X330" s="50" t="n">
        <v>4.14</v>
      </c>
      <c r="Y330" s="53" t="s">
        <v>196</v>
      </c>
      <c r="Z330" s="50" t="n">
        <v>0.1035</v>
      </c>
      <c r="AA330" s="50" t="n">
        <v>7.92</v>
      </c>
      <c r="AB330" s="50" t="n">
        <v>9.15</v>
      </c>
      <c r="AC330" s="52" t="n">
        <f aca="false">IF(W330="EUR",AA330,IF(W330="GBP",AB330,1))</f>
        <v>9.15</v>
      </c>
      <c r="AD330" s="52" t="n">
        <f aca="false">R330*X330</f>
        <v>8632.71687591936</v>
      </c>
      <c r="AE330" s="52" t="n">
        <f aca="false">IF(Y330="PERCENTAGE_OF_BASE_FREIGHT",AD330*Z330,IF(Y330="PER_CHARGEABLE_KG",R330*Z330,P330*Z330))</f>
        <v>893.486196657654</v>
      </c>
      <c r="AF330" s="52" t="n">
        <f aca="false">AD330*AC330</f>
        <v>78989.3594146621</v>
      </c>
      <c r="AG330" s="52" t="n">
        <f aca="false">AE330*AC330</f>
        <v>8175.39869941753</v>
      </c>
      <c r="AH330" s="52" t="s">
        <v>195</v>
      </c>
      <c r="AI330" s="52" t="n">
        <v>1.37620106985006</v>
      </c>
      <c r="AJ330" s="52" t="n">
        <f aca="false">IF(AH330="EUR",AA330,IF(AH330="GBP",AB330,1))</f>
        <v>7.92</v>
      </c>
      <c r="AK330" s="52" t="n">
        <f aca="false">N330*AI330</f>
        <v>2317.83087066714</v>
      </c>
      <c r="AL330" s="52" t="n">
        <f aca="false">AK330*AJ330</f>
        <v>18357.2204956838</v>
      </c>
      <c r="AM330" s="52" t="s">
        <v>195</v>
      </c>
      <c r="AN330" s="52" t="n">
        <v>0.4347</v>
      </c>
      <c r="AO330" s="52" t="n">
        <f aca="false">IF(AM330="EUR",AA330,IF(AM330="GBP",AB330,1))</f>
        <v>7.92</v>
      </c>
      <c r="AP330" s="52" t="n">
        <f aca="false">P330*AN330</f>
        <v>871.237285632</v>
      </c>
      <c r="AQ330" s="52" t="n">
        <f aca="false">AP330*AO330</f>
        <v>6900.19930220544</v>
      </c>
      <c r="AR330" s="52" t="s">
        <v>199</v>
      </c>
      <c r="AS330" s="52" t="n">
        <v>4.968</v>
      </c>
      <c r="AT330" s="52" t="n">
        <f aca="false">IF(AR330="EUR",AA330,IF(AR330="GBP",AB330,1))</f>
        <v>9.15</v>
      </c>
      <c r="AU330" s="52" t="n">
        <f aca="false">T330*AS330</f>
        <v>794.88635904</v>
      </c>
      <c r="AV330" s="52" t="n">
        <f aca="false">AU330*AT330</f>
        <v>7273.210185216</v>
      </c>
      <c r="AW330" s="52" t="s">
        <v>199</v>
      </c>
      <c r="AX330" s="52" t="n">
        <v>2.3805</v>
      </c>
      <c r="AY330" s="52" t="n">
        <f aca="false">IF(AW330="EUR",AA330,IF(AW330="GBP",AB330,1))</f>
        <v>9.15</v>
      </c>
      <c r="AZ330" s="52" t="n">
        <f aca="false">V330*AX330</f>
        <v>128.81865580416</v>
      </c>
      <c r="BA330" s="52" t="n">
        <f aca="false">AZ330*AY330</f>
        <v>1178.69070060806</v>
      </c>
      <c r="BB330" s="52" t="n">
        <f aca="false">AF330+AG330+AL330+AQ330+AV330+BA330</f>
        <v>120874.078797793</v>
      </c>
      <c r="BC330" s="54" t="n">
        <v>0.93</v>
      </c>
      <c r="BD330" s="32"/>
      <c r="BE330" s="30" t="s">
        <v>205</v>
      </c>
      <c r="BF330" s="30" t="s">
        <v>215</v>
      </c>
      <c r="BG330" s="32" t="s">
        <v>197</v>
      </c>
    </row>
    <row r="331" customFormat="false" ht="26.5" hidden="false" customHeight="false" outlineLevel="0" collapsed="false">
      <c r="A331" s="18" t="s">
        <v>213</v>
      </c>
      <c r="B331" s="18" t="s">
        <v>207</v>
      </c>
      <c r="C331" s="18" t="s">
        <v>214</v>
      </c>
      <c r="D331" s="49" t="n">
        <v>46266</v>
      </c>
      <c r="E331" s="18" t="s">
        <v>122</v>
      </c>
      <c r="F331" s="18" t="s">
        <v>119</v>
      </c>
      <c r="G331" s="18" t="s">
        <v>100</v>
      </c>
      <c r="H331" s="18" t="s">
        <v>107</v>
      </c>
      <c r="I331" s="18" t="s">
        <v>102</v>
      </c>
      <c r="J331" s="50" t="n">
        <v>17200</v>
      </c>
      <c r="K331" s="51" t="n">
        <v>0.34</v>
      </c>
      <c r="L331" s="51" t="n">
        <v>0.96</v>
      </c>
      <c r="M331" s="51" t="n">
        <v>0.17</v>
      </c>
      <c r="N331" s="52" t="n">
        <f aca="false">J331*K331*L331*M331</f>
        <v>954.3936</v>
      </c>
      <c r="O331" s="50" t="n">
        <v>1.19</v>
      </c>
      <c r="P331" s="52" t="n">
        <f aca="false">N331*O331</f>
        <v>1135.728384</v>
      </c>
      <c r="Q331" s="50" t="n">
        <v>1.02</v>
      </c>
      <c r="R331" s="52" t="n">
        <f aca="false">P331*Q331</f>
        <v>1158.44295168</v>
      </c>
      <c r="S331" s="50" t="n">
        <v>0.095</v>
      </c>
      <c r="T331" s="52" t="n">
        <f aca="false">N331*S331</f>
        <v>90.667392</v>
      </c>
      <c r="U331" s="52" t="n">
        <v>0.02</v>
      </c>
      <c r="V331" s="52" t="n">
        <f aca="false">P331*U331</f>
        <v>22.71456768</v>
      </c>
      <c r="W331" s="53" t="s">
        <v>199</v>
      </c>
      <c r="X331" s="50" t="n">
        <v>4.8645</v>
      </c>
      <c r="Y331" s="53" t="s">
        <v>198</v>
      </c>
      <c r="Z331" s="50" t="n">
        <v>0.34155</v>
      </c>
      <c r="AA331" s="50" t="n">
        <v>7.92</v>
      </c>
      <c r="AB331" s="50" t="n">
        <v>9.15</v>
      </c>
      <c r="AC331" s="52" t="n">
        <f aca="false">IF(W331="EUR",AA331,IF(W331="GBP",AB331,1))</f>
        <v>9.15</v>
      </c>
      <c r="AD331" s="52" t="n">
        <f aca="false">R331*X331</f>
        <v>5635.24573844736</v>
      </c>
      <c r="AE331" s="52" t="n">
        <f aca="false">IF(Y331="PERCENTAGE_OF_BASE_FREIGHT",AD331*Z331,IF(Y331="PER_CHARGEABLE_KG",R331*Z331,P331*Z331))</f>
        <v>395.666190146304</v>
      </c>
      <c r="AF331" s="52" t="n">
        <f aca="false">AD331*AC331</f>
        <v>51562.4985067933</v>
      </c>
      <c r="AG331" s="52" t="n">
        <f aca="false">AE331*AC331</f>
        <v>3620.34563983868</v>
      </c>
      <c r="AH331" s="52" t="s">
        <v>195</v>
      </c>
      <c r="AI331" s="52" t="n">
        <v>1.37620106985006</v>
      </c>
      <c r="AJ331" s="52" t="n">
        <f aca="false">IF(AH331="EUR",AA331,IF(AH331="GBP",AB331,1))</f>
        <v>7.92</v>
      </c>
      <c r="AK331" s="52" t="n">
        <f aca="false">N331*AI331</f>
        <v>1313.43749337805</v>
      </c>
      <c r="AL331" s="52" t="n">
        <f aca="false">AK331*AJ331</f>
        <v>10402.4249475541</v>
      </c>
      <c r="AM331" s="52" t="s">
        <v>195</v>
      </c>
      <c r="AN331" s="52" t="n">
        <v>0.4347</v>
      </c>
      <c r="AO331" s="52" t="n">
        <f aca="false">IF(AM331="EUR",AA331,IF(AM331="GBP",AB331,1))</f>
        <v>7.92</v>
      </c>
      <c r="AP331" s="52" t="n">
        <f aca="false">P331*AN331</f>
        <v>493.7011285248</v>
      </c>
      <c r="AQ331" s="52" t="n">
        <f aca="false">AP331*AO331</f>
        <v>3910.11293791642</v>
      </c>
      <c r="AR331" s="52" t="s">
        <v>199</v>
      </c>
      <c r="AS331" s="52" t="n">
        <v>4.968</v>
      </c>
      <c r="AT331" s="52" t="n">
        <f aca="false">IF(AR331="EUR",AA331,IF(AR331="GBP",AB331,1))</f>
        <v>9.15</v>
      </c>
      <c r="AU331" s="52" t="n">
        <f aca="false">T331*AS331</f>
        <v>450.435603456</v>
      </c>
      <c r="AV331" s="52" t="n">
        <f aca="false">AU331*AT331</f>
        <v>4121.4857716224</v>
      </c>
      <c r="AW331" s="52" t="s">
        <v>199</v>
      </c>
      <c r="AX331" s="52" t="n">
        <v>2.3805</v>
      </c>
      <c r="AY331" s="52" t="n">
        <f aca="false">IF(AW331="EUR",AA331,IF(AW331="GBP",AB331,1))</f>
        <v>9.15</v>
      </c>
      <c r="AZ331" s="52" t="n">
        <f aca="false">V331*AX331</f>
        <v>54.07202836224</v>
      </c>
      <c r="BA331" s="52" t="n">
        <f aca="false">AZ331*AY331</f>
        <v>494.759059514496</v>
      </c>
      <c r="BB331" s="52" t="n">
        <f aca="false">AF331+AG331+AL331+AQ331+AV331+BA331</f>
        <v>74111.6268632395</v>
      </c>
      <c r="BC331" s="54" t="n">
        <v>0.95</v>
      </c>
      <c r="BD331" s="32"/>
      <c r="BE331" s="30" t="s">
        <v>205</v>
      </c>
      <c r="BF331" s="30" t="s">
        <v>215</v>
      </c>
      <c r="BG331" s="32" t="s">
        <v>197</v>
      </c>
    </row>
    <row r="332" customFormat="false" ht="26.5" hidden="false" customHeight="false" outlineLevel="0" collapsed="false">
      <c r="A332" s="18" t="s">
        <v>213</v>
      </c>
      <c r="B332" s="18" t="s">
        <v>207</v>
      </c>
      <c r="C332" s="18" t="s">
        <v>214</v>
      </c>
      <c r="D332" s="49" t="n">
        <v>46266</v>
      </c>
      <c r="E332" s="18" t="s">
        <v>124</v>
      </c>
      <c r="F332" s="18" t="s">
        <v>119</v>
      </c>
      <c r="G332" s="18" t="s">
        <v>100</v>
      </c>
      <c r="H332" s="18" t="s">
        <v>107</v>
      </c>
      <c r="I332" s="18" t="s">
        <v>125</v>
      </c>
      <c r="J332" s="50" t="n">
        <v>17200</v>
      </c>
      <c r="K332" s="51" t="n">
        <v>0.34</v>
      </c>
      <c r="L332" s="51" t="n">
        <v>0.96</v>
      </c>
      <c r="M332" s="51" t="n">
        <v>0.25</v>
      </c>
      <c r="N332" s="52" t="n">
        <f aca="false">J332*K332*L332*M332</f>
        <v>1403.52</v>
      </c>
      <c r="O332" s="50" t="n">
        <v>1.19</v>
      </c>
      <c r="P332" s="52" t="n">
        <f aca="false">N332*O332</f>
        <v>1670.1888</v>
      </c>
      <c r="Q332" s="50" t="n">
        <v>0.9588</v>
      </c>
      <c r="R332" s="52" t="n">
        <f aca="false">P332*Q332</f>
        <v>1601.37702144</v>
      </c>
      <c r="S332" s="50" t="n">
        <v>0.095</v>
      </c>
      <c r="T332" s="52" t="n">
        <f aca="false">N332*S332</f>
        <v>133.3344</v>
      </c>
      <c r="U332" s="52" t="n">
        <v>0.016</v>
      </c>
      <c r="V332" s="52" t="n">
        <f aca="false">P332*U332</f>
        <v>26.7230208</v>
      </c>
      <c r="W332" s="53" t="s">
        <v>199</v>
      </c>
      <c r="X332" s="50" t="n">
        <v>6.67368</v>
      </c>
      <c r="Y332" s="53" t="s">
        <v>196</v>
      </c>
      <c r="Z332" s="50" t="n">
        <v>0.123786</v>
      </c>
      <c r="AA332" s="50" t="n">
        <v>7.92</v>
      </c>
      <c r="AB332" s="50" t="n">
        <v>9.15</v>
      </c>
      <c r="AC332" s="52" t="n">
        <f aca="false">IF(W332="EUR",AA332,IF(W332="GBP",AB332,1))</f>
        <v>9.15</v>
      </c>
      <c r="AD332" s="52" t="n">
        <f aca="false">R332*X332</f>
        <v>10687.0778004437</v>
      </c>
      <c r="AE332" s="52" t="n">
        <f aca="false">IF(Y332="PERCENTAGE_OF_BASE_FREIGHT",AD332*Z332,IF(Y332="PER_CHARGEABLE_KG",R332*Z332,P332*Z332))</f>
        <v>1322.91061260572</v>
      </c>
      <c r="AF332" s="52" t="n">
        <f aca="false">AD332*AC332</f>
        <v>97786.7618740598</v>
      </c>
      <c r="AG332" s="52" t="n">
        <f aca="false">AE332*AC332</f>
        <v>12104.6321053424</v>
      </c>
      <c r="AH332" s="52" t="s">
        <v>195</v>
      </c>
      <c r="AI332" s="52" t="n">
        <v>1.37620106985006</v>
      </c>
      <c r="AJ332" s="52" t="n">
        <f aca="false">IF(AH332="EUR",AA332,IF(AH332="GBP",AB332,1))</f>
        <v>7.92</v>
      </c>
      <c r="AK332" s="52" t="n">
        <f aca="false">N332*AI332</f>
        <v>1931.52572555595</v>
      </c>
      <c r="AL332" s="52" t="n">
        <f aca="false">AK332*AJ332</f>
        <v>15297.6837464031</v>
      </c>
      <c r="AM332" s="52" t="s">
        <v>195</v>
      </c>
      <c r="AN332" s="52" t="n">
        <v>0.4347</v>
      </c>
      <c r="AO332" s="52" t="n">
        <f aca="false">IF(AM332="EUR",AA332,IF(AM332="GBP",AB332,1))</f>
        <v>7.92</v>
      </c>
      <c r="AP332" s="52" t="n">
        <f aca="false">P332*AN332</f>
        <v>726.03107136</v>
      </c>
      <c r="AQ332" s="52" t="n">
        <f aca="false">AP332*AO332</f>
        <v>5750.1660851712</v>
      </c>
      <c r="AR332" s="52" t="s">
        <v>199</v>
      </c>
      <c r="AS332" s="52" t="n">
        <v>4.968</v>
      </c>
      <c r="AT332" s="52" t="n">
        <f aca="false">IF(AR332="EUR",AA332,IF(AR332="GBP",AB332,1))</f>
        <v>9.15</v>
      </c>
      <c r="AU332" s="52" t="n">
        <f aca="false">T332*AS332</f>
        <v>662.4052992</v>
      </c>
      <c r="AV332" s="52" t="n">
        <f aca="false">AU332*AT332</f>
        <v>6061.00848768</v>
      </c>
      <c r="AW332" s="52" t="s">
        <v>199</v>
      </c>
      <c r="AX332" s="52" t="n">
        <v>2.898</v>
      </c>
      <c r="AY332" s="52" t="n">
        <f aca="false">IF(AW332="EUR",AA332,IF(AW332="GBP",AB332,1))</f>
        <v>9.15</v>
      </c>
      <c r="AZ332" s="52" t="n">
        <f aca="false">V332*AX332</f>
        <v>77.4433142784</v>
      </c>
      <c r="BA332" s="52" t="n">
        <f aca="false">AZ332*AY332</f>
        <v>708.60632564736</v>
      </c>
      <c r="BB332" s="52" t="n">
        <f aca="false">AF332+AG332+AL332+AQ332+AV332+BA332</f>
        <v>137708.858624304</v>
      </c>
      <c r="BC332" s="54" t="n">
        <v>0.974</v>
      </c>
      <c r="BD332" s="32"/>
      <c r="BE332" s="30" t="s">
        <v>205</v>
      </c>
      <c r="BF332" s="30" t="s">
        <v>215</v>
      </c>
      <c r="BG332" s="32" t="s">
        <v>197</v>
      </c>
    </row>
    <row r="333" customFormat="false" ht="26.5" hidden="false" customHeight="false" outlineLevel="0" collapsed="false">
      <c r="A333" s="18" t="s">
        <v>213</v>
      </c>
      <c r="B333" s="18" t="s">
        <v>207</v>
      </c>
      <c r="C333" s="18" t="s">
        <v>214</v>
      </c>
      <c r="D333" s="49" t="n">
        <v>46266</v>
      </c>
      <c r="E333" s="18" t="s">
        <v>127</v>
      </c>
      <c r="F333" s="18" t="s">
        <v>119</v>
      </c>
      <c r="G333" s="18" t="s">
        <v>100</v>
      </c>
      <c r="H333" s="18" t="s">
        <v>128</v>
      </c>
      <c r="I333" s="18" t="s">
        <v>125</v>
      </c>
      <c r="J333" s="50" t="n">
        <v>17200</v>
      </c>
      <c r="K333" s="51" t="n">
        <v>0.34</v>
      </c>
      <c r="L333" s="51" t="n">
        <v>0.96</v>
      </c>
      <c r="M333" s="51" t="n">
        <v>0.28</v>
      </c>
      <c r="N333" s="52" t="n">
        <f aca="false">J333*K333*L333*M333</f>
        <v>1571.9424</v>
      </c>
      <c r="O333" s="50" t="n">
        <v>1.19</v>
      </c>
      <c r="P333" s="52" t="n">
        <f aca="false">N333*O333</f>
        <v>1870.611456</v>
      </c>
      <c r="Q333" s="50" t="n">
        <v>0.9384</v>
      </c>
      <c r="R333" s="52" t="n">
        <f aca="false">P333*Q333</f>
        <v>1755.3817903104</v>
      </c>
      <c r="S333" s="50" t="n">
        <v>0.095</v>
      </c>
      <c r="T333" s="52" t="n">
        <f aca="false">N333*S333</f>
        <v>149.334528</v>
      </c>
      <c r="U333" s="52" t="n">
        <v>0.011</v>
      </c>
      <c r="V333" s="52" t="n">
        <f aca="false">P333*U333</f>
        <v>20.576726016</v>
      </c>
      <c r="W333" s="53" t="s">
        <v>199</v>
      </c>
      <c r="X333" s="50" t="n">
        <v>8.22825</v>
      </c>
      <c r="Y333" s="53" t="s">
        <v>198</v>
      </c>
      <c r="Z333" s="50" t="n">
        <v>0.636318</v>
      </c>
      <c r="AA333" s="50" t="n">
        <v>7.92</v>
      </c>
      <c r="AB333" s="50" t="n">
        <v>9.15</v>
      </c>
      <c r="AC333" s="52" t="n">
        <f aca="false">IF(W333="EUR",AA333,IF(W333="GBP",AB333,1))</f>
        <v>9.15</v>
      </c>
      <c r="AD333" s="52" t="n">
        <f aca="false">R333*X333</f>
        <v>14443.7202161215</v>
      </c>
      <c r="AE333" s="52" t="n">
        <f aca="false">IF(Y333="PERCENTAGE_OF_BASE_FREIGHT",AD333*Z333,IF(Y333="PER_CHARGEABLE_KG",R333*Z333,P333*Z333))</f>
        <v>1116.98103004673</v>
      </c>
      <c r="AF333" s="52" t="n">
        <f aca="false">AD333*AC333</f>
        <v>132160.039977512</v>
      </c>
      <c r="AG333" s="52" t="n">
        <f aca="false">AE333*AC333</f>
        <v>10220.3764249276</v>
      </c>
      <c r="AH333" s="52" t="s">
        <v>195</v>
      </c>
      <c r="AI333" s="52" t="n">
        <v>1.37620106985006</v>
      </c>
      <c r="AJ333" s="52" t="n">
        <f aca="false">IF(AH333="EUR",AA333,IF(AH333="GBP",AB333,1))</f>
        <v>7.92</v>
      </c>
      <c r="AK333" s="52" t="n">
        <f aca="false">N333*AI333</f>
        <v>2163.30881262266</v>
      </c>
      <c r="AL333" s="52" t="n">
        <f aca="false">AK333*AJ333</f>
        <v>17133.4057959715</v>
      </c>
      <c r="AM333" s="52" t="s">
        <v>195</v>
      </c>
      <c r="AN333" s="52" t="n">
        <v>0.4347</v>
      </c>
      <c r="AO333" s="52" t="n">
        <f aca="false">IF(AM333="EUR",AA333,IF(AM333="GBP",AB333,1))</f>
        <v>7.92</v>
      </c>
      <c r="AP333" s="52" t="n">
        <f aca="false">P333*AN333</f>
        <v>813.1547999232</v>
      </c>
      <c r="AQ333" s="52" t="n">
        <f aca="false">AP333*AO333</f>
        <v>6440.18601539174</v>
      </c>
      <c r="AR333" s="52" t="s">
        <v>199</v>
      </c>
      <c r="AS333" s="52" t="n">
        <v>4.968</v>
      </c>
      <c r="AT333" s="52" t="n">
        <f aca="false">IF(AR333="EUR",AA333,IF(AR333="GBP",AB333,1))</f>
        <v>9.15</v>
      </c>
      <c r="AU333" s="52" t="n">
        <f aca="false">T333*AS333</f>
        <v>741.893935104</v>
      </c>
      <c r="AV333" s="52" t="n">
        <f aca="false">AU333*AT333</f>
        <v>6788.3295062016</v>
      </c>
      <c r="AW333" s="52" t="s">
        <v>199</v>
      </c>
      <c r="AX333" s="52" t="n">
        <v>3.726</v>
      </c>
      <c r="AY333" s="52" t="n">
        <f aca="false">IF(AW333="EUR",AA333,IF(AW333="GBP",AB333,1))</f>
        <v>9.15</v>
      </c>
      <c r="AZ333" s="52" t="n">
        <f aca="false">V333*AX333</f>
        <v>76.668881135616</v>
      </c>
      <c r="BA333" s="52" t="n">
        <f aca="false">AZ333*AY333</f>
        <v>701.520262390886</v>
      </c>
      <c r="BB333" s="52" t="n">
        <f aca="false">AF333+AG333+AL333+AQ333+AV333+BA333</f>
        <v>173443.857982396</v>
      </c>
      <c r="BC333" s="54" t="n">
        <v>0.988</v>
      </c>
      <c r="BD333" s="32"/>
      <c r="BE333" s="30" t="s">
        <v>205</v>
      </c>
      <c r="BF333" s="30" t="s">
        <v>215</v>
      </c>
      <c r="BG333" s="32" t="s">
        <v>197</v>
      </c>
    </row>
    <row r="334" customFormat="false" ht="26.5" hidden="false" customHeight="false" outlineLevel="0" collapsed="false">
      <c r="A334" s="18" t="s">
        <v>213</v>
      </c>
      <c r="B334" s="18" t="s">
        <v>207</v>
      </c>
      <c r="C334" s="18" t="s">
        <v>214</v>
      </c>
      <c r="D334" s="49" t="n">
        <v>46266</v>
      </c>
      <c r="E334" s="18" t="s">
        <v>130</v>
      </c>
      <c r="F334" s="18" t="s">
        <v>119</v>
      </c>
      <c r="G334" s="18" t="s">
        <v>110</v>
      </c>
      <c r="H334" s="18" t="s">
        <v>107</v>
      </c>
      <c r="I334" s="18" t="s">
        <v>125</v>
      </c>
      <c r="J334" s="50" t="n">
        <v>17200</v>
      </c>
      <c r="K334" s="51" t="n">
        <v>0.34</v>
      </c>
      <c r="L334" s="51" t="n">
        <v>0.04</v>
      </c>
      <c r="M334" s="51" t="n">
        <v>1</v>
      </c>
      <c r="N334" s="52" t="n">
        <f aca="false">J334*K334*L334*M334</f>
        <v>233.92</v>
      </c>
      <c r="O334" s="50" t="n">
        <v>1.17</v>
      </c>
      <c r="P334" s="52" t="n">
        <f aca="false">N334*O334</f>
        <v>273.6864</v>
      </c>
      <c r="Q334" s="50" t="n">
        <v>0.918</v>
      </c>
      <c r="R334" s="52" t="n">
        <f aca="false">P334*Q334</f>
        <v>251.2441152</v>
      </c>
      <c r="S334" s="50" t="n">
        <v>0.095</v>
      </c>
      <c r="T334" s="52" t="n">
        <f aca="false">N334*S334</f>
        <v>22.2224</v>
      </c>
      <c r="U334" s="52" t="n">
        <v>0.014</v>
      </c>
      <c r="V334" s="52" t="n">
        <f aca="false">P334*U334</f>
        <v>3.8316096</v>
      </c>
      <c r="W334" s="53" t="s">
        <v>195</v>
      </c>
      <c r="X334" s="50" t="n">
        <v>6.9345</v>
      </c>
      <c r="Y334" s="53" t="s">
        <v>196</v>
      </c>
      <c r="Z334" s="50" t="n">
        <v>0.108675</v>
      </c>
      <c r="AA334" s="50" t="n">
        <v>7.92</v>
      </c>
      <c r="AB334" s="50" t="n">
        <v>9.15</v>
      </c>
      <c r="AC334" s="52" t="n">
        <f aca="false">IF(W334="EUR",AA334,IF(W334="GBP",AB334,1))</f>
        <v>7.92</v>
      </c>
      <c r="AD334" s="52" t="n">
        <f aca="false">R334*X334</f>
        <v>1742.2523168544</v>
      </c>
      <c r="AE334" s="52" t="n">
        <f aca="false">IF(Y334="PERCENTAGE_OF_BASE_FREIGHT",AD334*Z334,IF(Y334="PER_CHARGEABLE_KG",R334*Z334,P334*Z334))</f>
        <v>189.339270534152</v>
      </c>
      <c r="AF334" s="52" t="n">
        <f aca="false">AD334*AC334</f>
        <v>13798.6383494868</v>
      </c>
      <c r="AG334" s="52" t="n">
        <f aca="false">AE334*AC334</f>
        <v>1499.56702263048</v>
      </c>
      <c r="AH334" s="52" t="s">
        <v>195</v>
      </c>
      <c r="AI334" s="52" t="n">
        <v>1.08675</v>
      </c>
      <c r="AJ334" s="52" t="n">
        <f aca="false">IF(AH334="EUR",AA334,IF(AH334="GBP",AB334,1))</f>
        <v>7.92</v>
      </c>
      <c r="AK334" s="52" t="n">
        <f aca="false">N334*AI334</f>
        <v>254.21256</v>
      </c>
      <c r="AL334" s="52" t="n">
        <f aca="false">AK334*AJ334</f>
        <v>2013.3634752</v>
      </c>
      <c r="AM334" s="52" t="s">
        <v>195</v>
      </c>
      <c r="AN334" s="52" t="n">
        <v>0.3933</v>
      </c>
      <c r="AO334" s="52" t="n">
        <f aca="false">IF(AM334="EUR",AA334,IF(AM334="GBP",AB334,1))</f>
        <v>7.92</v>
      </c>
      <c r="AP334" s="52" t="n">
        <f aca="false">P334*AN334</f>
        <v>107.64086112</v>
      </c>
      <c r="AQ334" s="52" t="n">
        <f aca="false">AP334*AO334</f>
        <v>852.5156200704</v>
      </c>
      <c r="AR334" s="52" t="s">
        <v>195</v>
      </c>
      <c r="AS334" s="52" t="n">
        <v>5.382</v>
      </c>
      <c r="AT334" s="52" t="n">
        <f aca="false">IF(AR334="EUR",AA334,IF(AR334="GBP",AB334,1))</f>
        <v>7.92</v>
      </c>
      <c r="AU334" s="52" t="n">
        <f aca="false">T334*AS334</f>
        <v>119.6009568</v>
      </c>
      <c r="AV334" s="52" t="n">
        <f aca="false">AU334*AT334</f>
        <v>947.239577856</v>
      </c>
      <c r="AW334" s="52" t="s">
        <v>195</v>
      </c>
      <c r="AX334" s="52" t="n">
        <v>2.898</v>
      </c>
      <c r="AY334" s="52" t="n">
        <f aca="false">IF(AW334="EUR",AA334,IF(AW334="GBP",AB334,1))</f>
        <v>7.92</v>
      </c>
      <c r="AZ334" s="52" t="n">
        <f aca="false">V334*AX334</f>
        <v>11.1040046208</v>
      </c>
      <c r="BA334" s="52" t="n">
        <f aca="false">AZ334*AY334</f>
        <v>87.943716596736</v>
      </c>
      <c r="BB334" s="52" t="n">
        <f aca="false">AF334+AG334+AL334+AQ334+AV334+BA334</f>
        <v>19199.2677618405</v>
      </c>
      <c r="BC334" s="54" t="n">
        <v>0.971</v>
      </c>
      <c r="BD334" s="32"/>
      <c r="BE334" s="30" t="s">
        <v>205</v>
      </c>
      <c r="BF334" s="30" t="s">
        <v>215</v>
      </c>
      <c r="BG334" s="32" t="s">
        <v>197</v>
      </c>
    </row>
    <row r="335" customFormat="false" ht="39.15" hidden="false" customHeight="false" outlineLevel="0" collapsed="false">
      <c r="A335" s="18" t="s">
        <v>213</v>
      </c>
      <c r="B335" s="18" t="s">
        <v>207</v>
      </c>
      <c r="C335" s="18" t="s">
        <v>214</v>
      </c>
      <c r="D335" s="49" t="n">
        <v>46296</v>
      </c>
      <c r="E335" s="18" t="s">
        <v>98</v>
      </c>
      <c r="F335" s="18" t="s">
        <v>99</v>
      </c>
      <c r="G335" s="18" t="s">
        <v>100</v>
      </c>
      <c r="H335" s="18" t="s">
        <v>101</v>
      </c>
      <c r="I335" s="18" t="s">
        <v>102</v>
      </c>
      <c r="J335" s="50" t="n">
        <v>19500</v>
      </c>
      <c r="K335" s="51" t="n">
        <v>0.34</v>
      </c>
      <c r="L335" s="51" t="n">
        <v>0.97</v>
      </c>
      <c r="M335" s="51" t="n">
        <v>0.6</v>
      </c>
      <c r="N335" s="52" t="n">
        <f aca="false">J335*K335*L335*M335</f>
        <v>3858.66</v>
      </c>
      <c r="O335" s="50" t="n">
        <v>1.05</v>
      </c>
      <c r="P335" s="52" t="n">
        <f aca="false">N335*O335</f>
        <v>4051.593</v>
      </c>
      <c r="Q335" s="50" t="n">
        <v>0.7878</v>
      </c>
      <c r="R335" s="52" t="n">
        <f aca="false">P335*Q335</f>
        <v>3191.8449654</v>
      </c>
      <c r="S335" s="50" t="n">
        <v>0.05</v>
      </c>
      <c r="T335" s="52" t="n">
        <f aca="false">N335*S335</f>
        <v>192.933</v>
      </c>
      <c r="U335" s="52" t="n">
        <v>0.016</v>
      </c>
      <c r="V335" s="52" t="n">
        <f aca="false">P335*U335</f>
        <v>64.825488</v>
      </c>
      <c r="W335" s="53" t="s">
        <v>195</v>
      </c>
      <c r="X335" s="50" t="n">
        <v>2.277</v>
      </c>
      <c r="Y335" s="53" t="s">
        <v>196</v>
      </c>
      <c r="Z335" s="50" t="n">
        <v>0.098325</v>
      </c>
      <c r="AA335" s="50" t="n">
        <v>7.9</v>
      </c>
      <c r="AB335" s="50" t="n">
        <v>9.1</v>
      </c>
      <c r="AC335" s="52" t="n">
        <f aca="false">IF(W335="EUR",AA335,IF(W335="GBP",AB335,1))</f>
        <v>7.9</v>
      </c>
      <c r="AD335" s="52" t="n">
        <f aca="false">R335*X335</f>
        <v>7267.8309862158</v>
      </c>
      <c r="AE335" s="52" t="n">
        <f aca="false">IF(Y335="PERCENTAGE_OF_BASE_FREIGHT",AD335*Z335,IF(Y335="PER_CHARGEABLE_KG",R335*Z335,P335*Z335))</f>
        <v>714.609481719669</v>
      </c>
      <c r="AF335" s="52" t="n">
        <f aca="false">AD335*AC335</f>
        <v>57415.8647911048</v>
      </c>
      <c r="AG335" s="52" t="n">
        <f aca="false">AE335*AC335</f>
        <v>5645.41490558538</v>
      </c>
      <c r="AH335" s="52" t="s">
        <v>195</v>
      </c>
      <c r="AI335" s="52" t="n">
        <v>1.35797114644313</v>
      </c>
      <c r="AJ335" s="52" t="n">
        <f aca="false">IF(AH335="EUR",AA335,IF(AH335="GBP",AB335,1))</f>
        <v>7.9</v>
      </c>
      <c r="AK335" s="52" t="n">
        <f aca="false">N335*AI335</f>
        <v>5239.94894393426</v>
      </c>
      <c r="AL335" s="52" t="n">
        <f aca="false">AK335*AJ335</f>
        <v>41395.5966570807</v>
      </c>
      <c r="AM335" s="52" t="s">
        <v>195</v>
      </c>
      <c r="AN335" s="52" t="n">
        <v>0.4347</v>
      </c>
      <c r="AO335" s="52" t="n">
        <f aca="false">IF(AM335="EUR",AA335,IF(AM335="GBP",AB335,1))</f>
        <v>7.9</v>
      </c>
      <c r="AP335" s="52" t="n">
        <f aca="false">P335*AN335</f>
        <v>1761.2274771</v>
      </c>
      <c r="AQ335" s="52" t="n">
        <f aca="false">AP335*AO335</f>
        <v>13913.69706909</v>
      </c>
      <c r="AR335" s="52" t="s">
        <v>195</v>
      </c>
      <c r="AS335" s="52" t="n">
        <v>3.312</v>
      </c>
      <c r="AT335" s="52" t="n">
        <f aca="false">IF(AR335="EUR",AA335,IF(AR335="GBP",AB335,1))</f>
        <v>7.9</v>
      </c>
      <c r="AU335" s="52" t="n">
        <f aca="false">T335*AS335</f>
        <v>638.994096</v>
      </c>
      <c r="AV335" s="52" t="n">
        <f aca="false">AU335*AT335</f>
        <v>5048.0533584</v>
      </c>
      <c r="AW335" s="52" t="s">
        <v>195</v>
      </c>
      <c r="AX335" s="52" t="n">
        <v>2.3805</v>
      </c>
      <c r="AY335" s="52" t="n">
        <f aca="false">IF(AW335="EUR",AA335,IF(AW335="GBP",AB335,1))</f>
        <v>7.9</v>
      </c>
      <c r="AZ335" s="52" t="n">
        <f aca="false">V335*AX335</f>
        <v>154.317074184</v>
      </c>
      <c r="BA335" s="52" t="n">
        <f aca="false">AZ335*AY335</f>
        <v>1219.1048860536</v>
      </c>
      <c r="BB335" s="52" t="n">
        <f aca="false">AF335+AG335+AL335+AQ335+AV335+BA335</f>
        <v>124637.731667314</v>
      </c>
      <c r="BC335" s="54" t="n">
        <v>0.965</v>
      </c>
      <c r="BD335" s="32"/>
      <c r="BE335" s="30" t="s">
        <v>205</v>
      </c>
      <c r="BF335" s="30" t="s">
        <v>216</v>
      </c>
      <c r="BG335" s="32" t="s">
        <v>197</v>
      </c>
    </row>
    <row r="336" customFormat="false" ht="39.15" hidden="false" customHeight="false" outlineLevel="0" collapsed="false">
      <c r="A336" s="18" t="s">
        <v>213</v>
      </c>
      <c r="B336" s="18" t="s">
        <v>207</v>
      </c>
      <c r="C336" s="18" t="s">
        <v>214</v>
      </c>
      <c r="D336" s="49" t="n">
        <v>46296</v>
      </c>
      <c r="E336" s="18" t="s">
        <v>106</v>
      </c>
      <c r="F336" s="18" t="s">
        <v>99</v>
      </c>
      <c r="G336" s="18" t="s">
        <v>100</v>
      </c>
      <c r="H336" s="18" t="s">
        <v>107</v>
      </c>
      <c r="I336" s="18" t="s">
        <v>102</v>
      </c>
      <c r="J336" s="50" t="n">
        <v>19500</v>
      </c>
      <c r="K336" s="51" t="n">
        <v>0.34</v>
      </c>
      <c r="L336" s="51" t="n">
        <v>0.97</v>
      </c>
      <c r="M336" s="51" t="n">
        <v>0.4</v>
      </c>
      <c r="N336" s="52" t="n">
        <f aca="false">J336*K336*L336*M336</f>
        <v>2572.44</v>
      </c>
      <c r="O336" s="50" t="n">
        <v>1.05</v>
      </c>
      <c r="P336" s="52" t="n">
        <f aca="false">N336*O336</f>
        <v>2701.062</v>
      </c>
      <c r="Q336" s="50" t="n">
        <v>0.808</v>
      </c>
      <c r="R336" s="52" t="n">
        <f aca="false">P336*Q336</f>
        <v>2182.458096</v>
      </c>
      <c r="S336" s="50" t="n">
        <v>0.05</v>
      </c>
      <c r="T336" s="52" t="n">
        <f aca="false">N336*S336</f>
        <v>128.622</v>
      </c>
      <c r="U336" s="52" t="n">
        <v>0.013</v>
      </c>
      <c r="V336" s="52" t="n">
        <f aca="false">P336*U336</f>
        <v>35.113806</v>
      </c>
      <c r="W336" s="53" t="s">
        <v>195</v>
      </c>
      <c r="X336" s="50" t="n">
        <v>2.84625</v>
      </c>
      <c r="Y336" s="53" t="s">
        <v>198</v>
      </c>
      <c r="Z336" s="50" t="n">
        <v>0.21735</v>
      </c>
      <c r="AA336" s="50" t="n">
        <v>7.9</v>
      </c>
      <c r="AB336" s="50" t="n">
        <v>9.1</v>
      </c>
      <c r="AC336" s="52" t="n">
        <f aca="false">IF(W336="EUR",AA336,IF(W336="GBP",AB336,1))</f>
        <v>7.9</v>
      </c>
      <c r="AD336" s="52" t="n">
        <f aca="false">R336*X336</f>
        <v>6211.82135574</v>
      </c>
      <c r="AE336" s="52" t="n">
        <f aca="false">IF(Y336="PERCENTAGE_OF_BASE_FREIGHT",AD336*Z336,IF(Y336="PER_CHARGEABLE_KG",R336*Z336,P336*Z336))</f>
        <v>474.3572671656</v>
      </c>
      <c r="AF336" s="52" t="n">
        <f aca="false">AD336*AC336</f>
        <v>49073.388710346</v>
      </c>
      <c r="AG336" s="52" t="n">
        <f aca="false">AE336*AC336</f>
        <v>3747.42241060824</v>
      </c>
      <c r="AH336" s="52" t="s">
        <v>195</v>
      </c>
      <c r="AI336" s="52" t="n">
        <v>1.35797114644313</v>
      </c>
      <c r="AJ336" s="52" t="n">
        <f aca="false">IF(AH336="EUR",AA336,IF(AH336="GBP",AB336,1))</f>
        <v>7.9</v>
      </c>
      <c r="AK336" s="52" t="n">
        <f aca="false">N336*AI336</f>
        <v>3493.29929595618</v>
      </c>
      <c r="AL336" s="52" t="n">
        <f aca="false">AK336*AJ336</f>
        <v>27597.0644380538</v>
      </c>
      <c r="AM336" s="52" t="s">
        <v>195</v>
      </c>
      <c r="AN336" s="52" t="n">
        <v>0.4347</v>
      </c>
      <c r="AO336" s="52" t="n">
        <f aca="false">IF(AM336="EUR",AA336,IF(AM336="GBP",AB336,1))</f>
        <v>7.9</v>
      </c>
      <c r="AP336" s="52" t="n">
        <f aca="false">P336*AN336</f>
        <v>1174.1516514</v>
      </c>
      <c r="AQ336" s="52" t="n">
        <f aca="false">AP336*AO336</f>
        <v>9275.79804606</v>
      </c>
      <c r="AR336" s="52" t="s">
        <v>195</v>
      </c>
      <c r="AS336" s="52" t="n">
        <v>3.312</v>
      </c>
      <c r="AT336" s="52" t="n">
        <f aca="false">IF(AR336="EUR",AA336,IF(AR336="GBP",AB336,1))</f>
        <v>7.9</v>
      </c>
      <c r="AU336" s="52" t="n">
        <f aca="false">T336*AS336</f>
        <v>425.996064</v>
      </c>
      <c r="AV336" s="52" t="n">
        <f aca="false">AU336*AT336</f>
        <v>3365.3689056</v>
      </c>
      <c r="AW336" s="52" t="s">
        <v>195</v>
      </c>
      <c r="AX336" s="52" t="n">
        <v>2.3805</v>
      </c>
      <c r="AY336" s="52" t="n">
        <f aca="false">IF(AW336="EUR",AA336,IF(AW336="GBP",AB336,1))</f>
        <v>7.9</v>
      </c>
      <c r="AZ336" s="52" t="n">
        <f aca="false">V336*AX336</f>
        <v>83.588415183</v>
      </c>
      <c r="BA336" s="52" t="n">
        <f aca="false">AZ336*AY336</f>
        <v>660.3484799457</v>
      </c>
      <c r="BB336" s="52" t="n">
        <f aca="false">AF336+AG336+AL336+AQ336+AV336+BA336</f>
        <v>93719.3909906138</v>
      </c>
      <c r="BC336" s="54" t="n">
        <v>0.976</v>
      </c>
      <c r="BD336" s="32"/>
      <c r="BE336" s="30" t="s">
        <v>205</v>
      </c>
      <c r="BF336" s="30" t="s">
        <v>216</v>
      </c>
      <c r="BG336" s="32" t="s">
        <v>197</v>
      </c>
    </row>
    <row r="337" customFormat="false" ht="39.15" hidden="false" customHeight="false" outlineLevel="0" collapsed="false">
      <c r="A337" s="18" t="s">
        <v>213</v>
      </c>
      <c r="B337" s="18" t="s">
        <v>207</v>
      </c>
      <c r="C337" s="18" t="s">
        <v>214</v>
      </c>
      <c r="D337" s="49" t="n">
        <v>46296</v>
      </c>
      <c r="E337" s="18" t="s">
        <v>109</v>
      </c>
      <c r="F337" s="18" t="s">
        <v>99</v>
      </c>
      <c r="G337" s="18" t="s">
        <v>110</v>
      </c>
      <c r="H337" s="18" t="s">
        <v>107</v>
      </c>
      <c r="I337" s="18" t="s">
        <v>102</v>
      </c>
      <c r="J337" s="50" t="n">
        <v>19500</v>
      </c>
      <c r="K337" s="51" t="n">
        <v>0.34</v>
      </c>
      <c r="L337" s="51" t="n">
        <v>0.03</v>
      </c>
      <c r="M337" s="51" t="n">
        <v>1</v>
      </c>
      <c r="N337" s="52" t="n">
        <f aca="false">J337*K337*L337*M337</f>
        <v>198.9</v>
      </c>
      <c r="O337" s="50" t="n">
        <v>1.08</v>
      </c>
      <c r="P337" s="52" t="n">
        <f aca="false">N337*O337</f>
        <v>214.812</v>
      </c>
      <c r="Q337" s="50" t="n">
        <v>0.8686</v>
      </c>
      <c r="R337" s="52" t="n">
        <f aca="false">P337*Q337</f>
        <v>186.5857032</v>
      </c>
      <c r="S337" s="50" t="n">
        <v>0.05</v>
      </c>
      <c r="T337" s="52" t="n">
        <f aca="false">N337*S337</f>
        <v>9.945</v>
      </c>
      <c r="U337" s="52" t="n">
        <v>0.014</v>
      </c>
      <c r="V337" s="52" t="n">
        <f aca="false">P337*U337</f>
        <v>3.007368</v>
      </c>
      <c r="W337" s="53" t="s">
        <v>195</v>
      </c>
      <c r="X337" s="50" t="n">
        <v>3.4155</v>
      </c>
      <c r="Y337" s="53" t="s">
        <v>198</v>
      </c>
      <c r="Z337" s="50" t="n">
        <v>0.2484</v>
      </c>
      <c r="AA337" s="50" t="n">
        <v>7.9</v>
      </c>
      <c r="AB337" s="50" t="n">
        <v>9.1</v>
      </c>
      <c r="AC337" s="52" t="n">
        <f aca="false">IF(W337="EUR",AA337,IF(W337="GBP",AB337,1))</f>
        <v>7.9</v>
      </c>
      <c r="AD337" s="52" t="n">
        <f aca="false">R337*X337</f>
        <v>637.2834692796</v>
      </c>
      <c r="AE337" s="52" t="n">
        <f aca="false">IF(Y337="PERCENTAGE_OF_BASE_FREIGHT",AD337*Z337,IF(Y337="PER_CHARGEABLE_KG",R337*Z337,P337*Z337))</f>
        <v>46.34788867488</v>
      </c>
      <c r="AF337" s="52" t="n">
        <f aca="false">AD337*AC337</f>
        <v>5034.53940730884</v>
      </c>
      <c r="AG337" s="52" t="n">
        <f aca="false">AE337*AC337</f>
        <v>366.148320531552</v>
      </c>
      <c r="AH337" s="52" t="s">
        <v>195</v>
      </c>
      <c r="AI337" s="52" t="n">
        <v>1.08675</v>
      </c>
      <c r="AJ337" s="52" t="n">
        <f aca="false">IF(AH337="EUR",AA337,IF(AH337="GBP",AB337,1))</f>
        <v>7.9</v>
      </c>
      <c r="AK337" s="52" t="n">
        <f aca="false">N337*AI337</f>
        <v>216.154575</v>
      </c>
      <c r="AL337" s="52" t="n">
        <f aca="false">AK337*AJ337</f>
        <v>1707.6211425</v>
      </c>
      <c r="AM337" s="52" t="s">
        <v>195</v>
      </c>
      <c r="AN337" s="52" t="n">
        <v>0.3933</v>
      </c>
      <c r="AO337" s="52" t="n">
        <f aca="false">IF(AM337="EUR",AA337,IF(AM337="GBP",AB337,1))</f>
        <v>7.9</v>
      </c>
      <c r="AP337" s="52" t="n">
        <f aca="false">P337*AN337</f>
        <v>84.4855596</v>
      </c>
      <c r="AQ337" s="52" t="n">
        <f aca="false">AP337*AO337</f>
        <v>667.43592084</v>
      </c>
      <c r="AR337" s="52" t="s">
        <v>195</v>
      </c>
      <c r="AS337" s="52" t="n">
        <v>3.933</v>
      </c>
      <c r="AT337" s="52" t="n">
        <f aca="false">IF(AR337="EUR",AA337,IF(AR337="GBP",AB337,1))</f>
        <v>7.9</v>
      </c>
      <c r="AU337" s="52" t="n">
        <f aca="false">T337*AS337</f>
        <v>39.113685</v>
      </c>
      <c r="AV337" s="52" t="n">
        <f aca="false">AU337*AT337</f>
        <v>308.9981115</v>
      </c>
      <c r="AW337" s="52" t="s">
        <v>195</v>
      </c>
      <c r="AX337" s="52" t="n">
        <v>2.3805</v>
      </c>
      <c r="AY337" s="52" t="n">
        <f aca="false">IF(AW337="EUR",AA337,IF(AW337="GBP",AB337,1))</f>
        <v>7.9</v>
      </c>
      <c r="AZ337" s="52" t="n">
        <f aca="false">V337*AX337</f>
        <v>7.159039524</v>
      </c>
      <c r="BA337" s="52" t="n">
        <f aca="false">AZ337*AY337</f>
        <v>56.5564122396</v>
      </c>
      <c r="BB337" s="52" t="n">
        <f aca="false">AF337+AG337+AL337+AQ337+AV337+BA337</f>
        <v>8141.29931491999</v>
      </c>
      <c r="BC337" s="54" t="n">
        <v>0.968</v>
      </c>
      <c r="BD337" s="32"/>
      <c r="BE337" s="30" t="s">
        <v>205</v>
      </c>
      <c r="BF337" s="30" t="s">
        <v>216</v>
      </c>
      <c r="BG337" s="32" t="s">
        <v>197</v>
      </c>
    </row>
    <row r="338" customFormat="false" ht="39.15" hidden="false" customHeight="false" outlineLevel="0" collapsed="false">
      <c r="A338" s="18" t="s">
        <v>213</v>
      </c>
      <c r="B338" s="18" t="s">
        <v>207</v>
      </c>
      <c r="C338" s="18" t="s">
        <v>214</v>
      </c>
      <c r="D338" s="49" t="n">
        <v>46296</v>
      </c>
      <c r="E338" s="18" t="s">
        <v>112</v>
      </c>
      <c r="F338" s="18" t="s">
        <v>113</v>
      </c>
      <c r="G338" s="18" t="s">
        <v>110</v>
      </c>
      <c r="H338" s="18" t="s">
        <v>101</v>
      </c>
      <c r="I338" s="18" t="s">
        <v>102</v>
      </c>
      <c r="J338" s="50" t="n">
        <v>19500</v>
      </c>
      <c r="K338" s="51" t="n">
        <v>0.3</v>
      </c>
      <c r="L338" s="51" t="n">
        <v>1</v>
      </c>
      <c r="M338" s="51" t="n">
        <v>0.35</v>
      </c>
      <c r="N338" s="52" t="n">
        <f aca="false">J338*K338*L338*M338</f>
        <v>2047.5</v>
      </c>
      <c r="O338" s="50" t="n">
        <v>1.06</v>
      </c>
      <c r="P338" s="52" t="n">
        <f aca="false">N338*O338</f>
        <v>2170.35</v>
      </c>
      <c r="Q338" s="50" t="n">
        <v>0.7676</v>
      </c>
      <c r="R338" s="52" t="n">
        <f aca="false">P338*Q338</f>
        <v>1665.96066</v>
      </c>
      <c r="S338" s="50" t="n">
        <v>0.06</v>
      </c>
      <c r="T338" s="52" t="n">
        <f aca="false">N338*S338</f>
        <v>122.85</v>
      </c>
      <c r="U338" s="52" t="n">
        <v>0.017</v>
      </c>
      <c r="V338" s="52" t="n">
        <f aca="false">P338*U338</f>
        <v>36.89595</v>
      </c>
      <c r="W338" s="53" t="s">
        <v>195</v>
      </c>
      <c r="X338" s="50" t="n">
        <v>2.1735</v>
      </c>
      <c r="Y338" s="53" t="s">
        <v>196</v>
      </c>
      <c r="Z338" s="50" t="n">
        <v>0.09315</v>
      </c>
      <c r="AA338" s="50" t="n">
        <v>7.9</v>
      </c>
      <c r="AB338" s="50" t="n">
        <v>9.1</v>
      </c>
      <c r="AC338" s="52" t="n">
        <f aca="false">IF(W338="EUR",AA338,IF(W338="GBP",AB338,1))</f>
        <v>7.9</v>
      </c>
      <c r="AD338" s="52" t="n">
        <f aca="false">R338*X338</f>
        <v>3620.96549451</v>
      </c>
      <c r="AE338" s="52" t="n">
        <f aca="false">IF(Y338="PERCENTAGE_OF_BASE_FREIGHT",AD338*Z338,IF(Y338="PER_CHARGEABLE_KG",R338*Z338,P338*Z338))</f>
        <v>337.292935813606</v>
      </c>
      <c r="AF338" s="52" t="n">
        <f aca="false">AD338*AC338</f>
        <v>28605.627406629</v>
      </c>
      <c r="AG338" s="52" t="n">
        <f aca="false">AE338*AC338</f>
        <v>2664.61419292749</v>
      </c>
      <c r="AH338" s="52" t="s">
        <v>195</v>
      </c>
      <c r="AI338" s="52" t="n">
        <v>1.08675</v>
      </c>
      <c r="AJ338" s="52" t="n">
        <f aca="false">IF(AH338="EUR",AA338,IF(AH338="GBP",AB338,1))</f>
        <v>7.9</v>
      </c>
      <c r="AK338" s="52" t="n">
        <f aca="false">N338*AI338</f>
        <v>2225.120625</v>
      </c>
      <c r="AL338" s="52" t="n">
        <f aca="false">AK338*AJ338</f>
        <v>17578.4529375</v>
      </c>
      <c r="AM338" s="52" t="s">
        <v>195</v>
      </c>
      <c r="AN338" s="52" t="n">
        <v>0.3933</v>
      </c>
      <c r="AO338" s="52" t="n">
        <f aca="false">IF(AM338="EUR",AA338,IF(AM338="GBP",AB338,1))</f>
        <v>7.9</v>
      </c>
      <c r="AP338" s="52" t="n">
        <f aca="false">P338*AN338</f>
        <v>853.598655</v>
      </c>
      <c r="AQ338" s="52" t="n">
        <f aca="false">AP338*AO338</f>
        <v>6743.4293745</v>
      </c>
      <c r="AR338" s="52" t="s">
        <v>195</v>
      </c>
      <c r="AS338" s="52" t="n">
        <v>3.105</v>
      </c>
      <c r="AT338" s="52" t="n">
        <f aca="false">IF(AR338="EUR",AA338,IF(AR338="GBP",AB338,1))</f>
        <v>7.9</v>
      </c>
      <c r="AU338" s="52" t="n">
        <f aca="false">T338*AS338</f>
        <v>381.44925</v>
      </c>
      <c r="AV338" s="52" t="n">
        <f aca="false">AU338*AT338</f>
        <v>3013.449075</v>
      </c>
      <c r="AW338" s="52" t="s">
        <v>195</v>
      </c>
      <c r="AX338" s="52" t="n">
        <v>2.3805</v>
      </c>
      <c r="AY338" s="52" t="n">
        <f aca="false">IF(AW338="EUR",AA338,IF(AW338="GBP",AB338,1))</f>
        <v>7.9</v>
      </c>
      <c r="AZ338" s="52" t="n">
        <f aca="false">V338*AX338</f>
        <v>87.830808975</v>
      </c>
      <c r="BA338" s="52" t="n">
        <f aca="false">AZ338*AY338</f>
        <v>693.8633909025</v>
      </c>
      <c r="BB338" s="52" t="n">
        <f aca="false">AF338+AG338+AL338+AQ338+AV338+BA338</f>
        <v>59299.436377459</v>
      </c>
      <c r="BC338" s="54" t="n">
        <v>0.961</v>
      </c>
      <c r="BD338" s="32"/>
      <c r="BE338" s="30" t="s">
        <v>205</v>
      </c>
      <c r="BF338" s="30" t="s">
        <v>216</v>
      </c>
      <c r="BG338" s="32" t="s">
        <v>197</v>
      </c>
    </row>
    <row r="339" customFormat="false" ht="39.15" hidden="false" customHeight="false" outlineLevel="0" collapsed="false">
      <c r="A339" s="18" t="s">
        <v>213</v>
      </c>
      <c r="B339" s="18" t="s">
        <v>207</v>
      </c>
      <c r="C339" s="18" t="s">
        <v>214</v>
      </c>
      <c r="D339" s="49" t="n">
        <v>46296</v>
      </c>
      <c r="E339" s="18" t="s">
        <v>116</v>
      </c>
      <c r="F339" s="18" t="s">
        <v>113</v>
      </c>
      <c r="G339" s="18" t="s">
        <v>110</v>
      </c>
      <c r="H339" s="18" t="s">
        <v>107</v>
      </c>
      <c r="I339" s="18" t="s">
        <v>102</v>
      </c>
      <c r="J339" s="50" t="n">
        <v>19500</v>
      </c>
      <c r="K339" s="51" t="n">
        <v>0.3</v>
      </c>
      <c r="L339" s="51" t="n">
        <v>1</v>
      </c>
      <c r="M339" s="51" t="n">
        <v>0.65</v>
      </c>
      <c r="N339" s="52" t="n">
        <f aca="false">J339*K339*L339*M339</f>
        <v>3802.5</v>
      </c>
      <c r="O339" s="50" t="n">
        <v>1.06</v>
      </c>
      <c r="P339" s="52" t="n">
        <f aca="false">N339*O339</f>
        <v>4030.65</v>
      </c>
      <c r="Q339" s="50" t="n">
        <v>0.7979</v>
      </c>
      <c r="R339" s="52" t="n">
        <f aca="false">P339*Q339</f>
        <v>3216.055635</v>
      </c>
      <c r="S339" s="50" t="n">
        <v>0.06</v>
      </c>
      <c r="T339" s="52" t="n">
        <f aca="false">N339*S339</f>
        <v>228.15</v>
      </c>
      <c r="U339" s="52" t="n">
        <v>0.014</v>
      </c>
      <c r="V339" s="52" t="n">
        <f aca="false">P339*U339</f>
        <v>56.4291</v>
      </c>
      <c r="W339" s="53" t="s">
        <v>195</v>
      </c>
      <c r="X339" s="50" t="n">
        <v>2.691</v>
      </c>
      <c r="Y339" s="53" t="s">
        <v>198</v>
      </c>
      <c r="Z339" s="50" t="n">
        <v>0.207</v>
      </c>
      <c r="AA339" s="50" t="n">
        <v>7.9</v>
      </c>
      <c r="AB339" s="50" t="n">
        <v>9.1</v>
      </c>
      <c r="AC339" s="52" t="n">
        <f aca="false">IF(W339="EUR",AA339,IF(W339="GBP",AB339,1))</f>
        <v>7.9</v>
      </c>
      <c r="AD339" s="52" t="n">
        <f aca="false">R339*X339</f>
        <v>8654.405713785</v>
      </c>
      <c r="AE339" s="52" t="n">
        <f aca="false">IF(Y339="PERCENTAGE_OF_BASE_FREIGHT",AD339*Z339,IF(Y339="PER_CHARGEABLE_KG",R339*Z339,P339*Z339))</f>
        <v>665.723516445</v>
      </c>
      <c r="AF339" s="52" t="n">
        <f aca="false">AD339*AC339</f>
        <v>68369.8051389015</v>
      </c>
      <c r="AG339" s="52" t="n">
        <f aca="false">AE339*AC339</f>
        <v>5259.2157799155</v>
      </c>
      <c r="AH339" s="52" t="s">
        <v>195</v>
      </c>
      <c r="AI339" s="52" t="n">
        <v>1.08675</v>
      </c>
      <c r="AJ339" s="52" t="n">
        <f aca="false">IF(AH339="EUR",AA339,IF(AH339="GBP",AB339,1))</f>
        <v>7.9</v>
      </c>
      <c r="AK339" s="52" t="n">
        <f aca="false">N339*AI339</f>
        <v>4132.366875</v>
      </c>
      <c r="AL339" s="52" t="n">
        <f aca="false">AK339*AJ339</f>
        <v>32645.6983125</v>
      </c>
      <c r="AM339" s="52" t="s">
        <v>195</v>
      </c>
      <c r="AN339" s="52" t="n">
        <v>0.3933</v>
      </c>
      <c r="AO339" s="52" t="n">
        <f aca="false">IF(AM339="EUR",AA339,IF(AM339="GBP",AB339,1))</f>
        <v>7.9</v>
      </c>
      <c r="AP339" s="52" t="n">
        <f aca="false">P339*AN339</f>
        <v>1585.254645</v>
      </c>
      <c r="AQ339" s="52" t="n">
        <f aca="false">AP339*AO339</f>
        <v>12523.5116955</v>
      </c>
      <c r="AR339" s="52" t="s">
        <v>195</v>
      </c>
      <c r="AS339" s="52" t="n">
        <v>3.105</v>
      </c>
      <c r="AT339" s="52" t="n">
        <f aca="false">IF(AR339="EUR",AA339,IF(AR339="GBP",AB339,1))</f>
        <v>7.9</v>
      </c>
      <c r="AU339" s="52" t="n">
        <f aca="false">T339*AS339</f>
        <v>708.40575</v>
      </c>
      <c r="AV339" s="52" t="n">
        <f aca="false">AU339*AT339</f>
        <v>5596.405425</v>
      </c>
      <c r="AW339" s="52" t="s">
        <v>195</v>
      </c>
      <c r="AX339" s="52" t="n">
        <v>2.3805</v>
      </c>
      <c r="AY339" s="52" t="n">
        <f aca="false">IF(AW339="EUR",AA339,IF(AW339="GBP",AB339,1))</f>
        <v>7.9</v>
      </c>
      <c r="AZ339" s="52" t="n">
        <f aca="false">V339*AX339</f>
        <v>134.32947255</v>
      </c>
      <c r="BA339" s="52" t="n">
        <f aca="false">AZ339*AY339</f>
        <v>1061.202833145</v>
      </c>
      <c r="BB339" s="52" t="n">
        <f aca="false">AF339+AG339+AL339+AQ339+AV339+BA339</f>
        <v>125455.839184962</v>
      </c>
      <c r="BC339" s="54" t="n">
        <v>0.973</v>
      </c>
      <c r="BD339" s="32"/>
      <c r="BE339" s="30" t="s">
        <v>205</v>
      </c>
      <c r="BF339" s="30" t="s">
        <v>216</v>
      </c>
      <c r="BG339" s="32" t="s">
        <v>197</v>
      </c>
    </row>
    <row r="340" customFormat="false" ht="39.15" hidden="false" customHeight="false" outlineLevel="0" collapsed="false">
      <c r="A340" s="18" t="s">
        <v>213</v>
      </c>
      <c r="B340" s="18" t="s">
        <v>207</v>
      </c>
      <c r="C340" s="18" t="s">
        <v>214</v>
      </c>
      <c r="D340" s="49" t="n">
        <v>46296</v>
      </c>
      <c r="E340" s="18" t="s">
        <v>118</v>
      </c>
      <c r="F340" s="18" t="s">
        <v>119</v>
      </c>
      <c r="G340" s="18" t="s">
        <v>100</v>
      </c>
      <c r="H340" s="18" t="s">
        <v>101</v>
      </c>
      <c r="I340" s="18" t="s">
        <v>102</v>
      </c>
      <c r="J340" s="50" t="n">
        <v>19500</v>
      </c>
      <c r="K340" s="51" t="n">
        <v>0.36</v>
      </c>
      <c r="L340" s="51" t="n">
        <v>0.96</v>
      </c>
      <c r="M340" s="51" t="n">
        <v>0.44</v>
      </c>
      <c r="N340" s="52" t="n">
        <f aca="false">J340*K340*L340*M340</f>
        <v>2965.248</v>
      </c>
      <c r="O340" s="50" t="n">
        <v>1.15</v>
      </c>
      <c r="P340" s="52" t="n">
        <f aca="false">N340*O340</f>
        <v>3410.0352</v>
      </c>
      <c r="Q340" s="50" t="n">
        <v>1.050804</v>
      </c>
      <c r="R340" s="52" t="n">
        <f aca="false">P340*Q340</f>
        <v>3583.2786283008</v>
      </c>
      <c r="S340" s="50" t="n">
        <v>0.09</v>
      </c>
      <c r="T340" s="52" t="n">
        <f aca="false">N340*S340</f>
        <v>266.87232</v>
      </c>
      <c r="U340" s="52" t="n">
        <v>0.02565</v>
      </c>
      <c r="V340" s="52" t="n">
        <f aca="false">P340*U340</f>
        <v>87.46740288</v>
      </c>
      <c r="W340" s="53" t="s">
        <v>199</v>
      </c>
      <c r="X340" s="50" t="n">
        <v>4.14</v>
      </c>
      <c r="Y340" s="53" t="s">
        <v>196</v>
      </c>
      <c r="Z340" s="50" t="n">
        <v>0.1035</v>
      </c>
      <c r="AA340" s="50" t="n">
        <v>7.9</v>
      </c>
      <c r="AB340" s="50" t="n">
        <v>9.1</v>
      </c>
      <c r="AC340" s="52" t="n">
        <f aca="false">IF(W340="EUR",AA340,IF(W340="GBP",AB340,1))</f>
        <v>9.1</v>
      </c>
      <c r="AD340" s="52" t="n">
        <f aca="false">R340*X340</f>
        <v>14834.7735211653</v>
      </c>
      <c r="AE340" s="52" t="n">
        <f aca="false">IF(Y340="PERCENTAGE_OF_BASE_FREIGHT",AD340*Z340,IF(Y340="PER_CHARGEABLE_KG",R340*Z340,P340*Z340))</f>
        <v>1535.39905944061</v>
      </c>
      <c r="AF340" s="52" t="n">
        <f aca="false">AD340*AC340</f>
        <v>134996.439042604</v>
      </c>
      <c r="AG340" s="52" t="n">
        <f aca="false">AE340*AC340</f>
        <v>13972.1314409095</v>
      </c>
      <c r="AH340" s="52" t="s">
        <v>195</v>
      </c>
      <c r="AI340" s="52" t="n">
        <v>1.35797114644313</v>
      </c>
      <c r="AJ340" s="52" t="n">
        <f aca="false">IF(AH340="EUR",AA340,IF(AH340="GBP",AB340,1))</f>
        <v>7.9</v>
      </c>
      <c r="AK340" s="52" t="n">
        <f aca="false">N340*AI340</f>
        <v>4026.72122604821</v>
      </c>
      <c r="AL340" s="52" t="n">
        <f aca="false">AK340*AJ340</f>
        <v>31811.0976857809</v>
      </c>
      <c r="AM340" s="52" t="s">
        <v>195</v>
      </c>
      <c r="AN340" s="52" t="n">
        <v>0.4347</v>
      </c>
      <c r="AO340" s="52" t="n">
        <f aca="false">IF(AM340="EUR",AA340,IF(AM340="GBP",AB340,1))</f>
        <v>7.9</v>
      </c>
      <c r="AP340" s="52" t="n">
        <f aca="false">P340*AN340</f>
        <v>1482.34230144</v>
      </c>
      <c r="AQ340" s="52" t="n">
        <f aca="false">AP340*AO340</f>
        <v>11710.504181376</v>
      </c>
      <c r="AR340" s="52" t="s">
        <v>199</v>
      </c>
      <c r="AS340" s="52" t="n">
        <v>4.968</v>
      </c>
      <c r="AT340" s="52" t="n">
        <f aca="false">IF(AR340="EUR",AA340,IF(AR340="GBP",AB340,1))</f>
        <v>9.1</v>
      </c>
      <c r="AU340" s="52" t="n">
        <f aca="false">T340*AS340</f>
        <v>1325.82168576</v>
      </c>
      <c r="AV340" s="52" t="n">
        <f aca="false">AU340*AT340</f>
        <v>12064.977340416</v>
      </c>
      <c r="AW340" s="52" t="s">
        <v>199</v>
      </c>
      <c r="AX340" s="52" t="n">
        <v>2.3805</v>
      </c>
      <c r="AY340" s="52" t="n">
        <f aca="false">IF(AW340="EUR",AA340,IF(AW340="GBP",AB340,1))</f>
        <v>9.1</v>
      </c>
      <c r="AZ340" s="52" t="n">
        <f aca="false">V340*AX340</f>
        <v>208.21615255584</v>
      </c>
      <c r="BA340" s="52" t="n">
        <f aca="false">AZ340*AY340</f>
        <v>1894.76698825814</v>
      </c>
      <c r="BB340" s="52" t="n">
        <f aca="false">AF340+AG340+AL340+AQ340+AV340+BA340</f>
        <v>206449.916679345</v>
      </c>
      <c r="BC340" s="54" t="n">
        <v>0.93</v>
      </c>
      <c r="BD340" s="32"/>
      <c r="BE340" s="30" t="s">
        <v>205</v>
      </c>
      <c r="BF340" s="30" t="s">
        <v>216</v>
      </c>
      <c r="BG340" s="32" t="s">
        <v>197</v>
      </c>
    </row>
    <row r="341" customFormat="false" ht="39.15" hidden="false" customHeight="false" outlineLevel="0" collapsed="false">
      <c r="A341" s="18" t="s">
        <v>213</v>
      </c>
      <c r="B341" s="18" t="s">
        <v>207</v>
      </c>
      <c r="C341" s="18" t="s">
        <v>214</v>
      </c>
      <c r="D341" s="49" t="n">
        <v>46296</v>
      </c>
      <c r="E341" s="18" t="s">
        <v>122</v>
      </c>
      <c r="F341" s="18" t="s">
        <v>119</v>
      </c>
      <c r="G341" s="18" t="s">
        <v>100</v>
      </c>
      <c r="H341" s="18" t="s">
        <v>107</v>
      </c>
      <c r="I341" s="18" t="s">
        <v>102</v>
      </c>
      <c r="J341" s="50" t="n">
        <v>19500</v>
      </c>
      <c r="K341" s="51" t="n">
        <v>0.36</v>
      </c>
      <c r="L341" s="51" t="n">
        <v>0.96</v>
      </c>
      <c r="M341" s="51" t="n">
        <v>0.24</v>
      </c>
      <c r="N341" s="52" t="n">
        <f aca="false">J341*K341*L341*M341</f>
        <v>1617.408</v>
      </c>
      <c r="O341" s="50" t="n">
        <v>1.15</v>
      </c>
      <c r="P341" s="52" t="n">
        <f aca="false">N341*O341</f>
        <v>1860.0192</v>
      </c>
      <c r="Q341" s="50" t="n">
        <v>1.0302</v>
      </c>
      <c r="R341" s="52" t="n">
        <f aca="false">P341*Q341</f>
        <v>1916.19177984</v>
      </c>
      <c r="S341" s="50" t="n">
        <v>0.09</v>
      </c>
      <c r="T341" s="52" t="n">
        <f aca="false">N341*S341</f>
        <v>145.56672</v>
      </c>
      <c r="U341" s="52" t="n">
        <v>0.019</v>
      </c>
      <c r="V341" s="52" t="n">
        <f aca="false">P341*U341</f>
        <v>35.3403648</v>
      </c>
      <c r="W341" s="53" t="s">
        <v>199</v>
      </c>
      <c r="X341" s="50" t="n">
        <v>4.8645</v>
      </c>
      <c r="Y341" s="53" t="s">
        <v>198</v>
      </c>
      <c r="Z341" s="50" t="n">
        <v>0.34155</v>
      </c>
      <c r="AA341" s="50" t="n">
        <v>7.9</v>
      </c>
      <c r="AB341" s="50" t="n">
        <v>9.1</v>
      </c>
      <c r="AC341" s="52" t="n">
        <f aca="false">IF(W341="EUR",AA341,IF(W341="GBP",AB341,1))</f>
        <v>9.1</v>
      </c>
      <c r="AD341" s="52" t="n">
        <f aca="false">R341*X341</f>
        <v>9321.31491303168</v>
      </c>
      <c r="AE341" s="52" t="n">
        <f aca="false">IF(Y341="PERCENTAGE_OF_BASE_FREIGHT",AD341*Z341,IF(Y341="PER_CHARGEABLE_KG",R341*Z341,P341*Z341))</f>
        <v>654.475302404352</v>
      </c>
      <c r="AF341" s="52" t="n">
        <f aca="false">AD341*AC341</f>
        <v>84823.9657085883</v>
      </c>
      <c r="AG341" s="52" t="n">
        <f aca="false">AE341*AC341</f>
        <v>5955.7252518796</v>
      </c>
      <c r="AH341" s="52" t="s">
        <v>195</v>
      </c>
      <c r="AI341" s="52" t="n">
        <v>1.35797114644313</v>
      </c>
      <c r="AJ341" s="52" t="n">
        <f aca="false">IF(AH341="EUR",AA341,IF(AH341="GBP",AB341,1))</f>
        <v>7.9</v>
      </c>
      <c r="AK341" s="52" t="n">
        <f aca="false">N341*AI341</f>
        <v>2196.3933960263</v>
      </c>
      <c r="AL341" s="52" t="n">
        <f aca="false">AK341*AJ341</f>
        <v>17351.5078286077</v>
      </c>
      <c r="AM341" s="52" t="s">
        <v>195</v>
      </c>
      <c r="AN341" s="52" t="n">
        <v>0.4347</v>
      </c>
      <c r="AO341" s="52" t="n">
        <f aca="false">IF(AM341="EUR",AA341,IF(AM341="GBP",AB341,1))</f>
        <v>7.9</v>
      </c>
      <c r="AP341" s="52" t="n">
        <f aca="false">P341*AN341</f>
        <v>808.55034624</v>
      </c>
      <c r="AQ341" s="52" t="n">
        <f aca="false">AP341*AO341</f>
        <v>6387.547735296</v>
      </c>
      <c r="AR341" s="52" t="s">
        <v>199</v>
      </c>
      <c r="AS341" s="52" t="n">
        <v>4.968</v>
      </c>
      <c r="AT341" s="52" t="n">
        <f aca="false">IF(AR341="EUR",AA341,IF(AR341="GBP",AB341,1))</f>
        <v>9.1</v>
      </c>
      <c r="AU341" s="52" t="n">
        <f aca="false">T341*AS341</f>
        <v>723.17546496</v>
      </c>
      <c r="AV341" s="52" t="n">
        <f aca="false">AU341*AT341</f>
        <v>6580.896731136</v>
      </c>
      <c r="AW341" s="52" t="s">
        <v>199</v>
      </c>
      <c r="AX341" s="52" t="n">
        <v>2.3805</v>
      </c>
      <c r="AY341" s="52" t="n">
        <f aca="false">IF(AW341="EUR",AA341,IF(AW341="GBP",AB341,1))</f>
        <v>9.1</v>
      </c>
      <c r="AZ341" s="52" t="n">
        <f aca="false">V341*AX341</f>
        <v>84.1277384064</v>
      </c>
      <c r="BA341" s="52" t="n">
        <f aca="false">AZ341*AY341</f>
        <v>765.56241949824</v>
      </c>
      <c r="BB341" s="52" t="n">
        <f aca="false">AF341+AG341+AL341+AQ341+AV341+BA341</f>
        <v>121865.205675006</v>
      </c>
      <c r="BC341" s="54" t="n">
        <v>0.95</v>
      </c>
      <c r="BD341" s="32"/>
      <c r="BE341" s="30" t="s">
        <v>205</v>
      </c>
      <c r="BF341" s="30" t="s">
        <v>216</v>
      </c>
      <c r="BG341" s="32" t="s">
        <v>197</v>
      </c>
    </row>
    <row r="342" customFormat="false" ht="39.15" hidden="false" customHeight="false" outlineLevel="0" collapsed="false">
      <c r="A342" s="18" t="s">
        <v>213</v>
      </c>
      <c r="B342" s="18" t="s">
        <v>207</v>
      </c>
      <c r="C342" s="18" t="s">
        <v>214</v>
      </c>
      <c r="D342" s="49" t="n">
        <v>46296</v>
      </c>
      <c r="E342" s="18" t="s">
        <v>124</v>
      </c>
      <c r="F342" s="18" t="s">
        <v>119</v>
      </c>
      <c r="G342" s="18" t="s">
        <v>100</v>
      </c>
      <c r="H342" s="18" t="s">
        <v>107</v>
      </c>
      <c r="I342" s="18" t="s">
        <v>125</v>
      </c>
      <c r="J342" s="50" t="n">
        <v>19500</v>
      </c>
      <c r="K342" s="51" t="n">
        <v>0.36</v>
      </c>
      <c r="L342" s="51" t="n">
        <v>0.96</v>
      </c>
      <c r="M342" s="51" t="n">
        <v>0.2</v>
      </c>
      <c r="N342" s="52" t="n">
        <f aca="false">J342*K342*L342*M342</f>
        <v>1347.84</v>
      </c>
      <c r="O342" s="50" t="n">
        <v>1.15</v>
      </c>
      <c r="P342" s="52" t="n">
        <f aca="false">N342*O342</f>
        <v>1550.016</v>
      </c>
      <c r="Q342" s="50" t="n">
        <v>0.968388</v>
      </c>
      <c r="R342" s="52" t="n">
        <f aca="false">P342*Q342</f>
        <v>1501.016894208</v>
      </c>
      <c r="S342" s="50" t="n">
        <v>0.09</v>
      </c>
      <c r="T342" s="52" t="n">
        <f aca="false">N342*S342</f>
        <v>121.3056</v>
      </c>
      <c r="U342" s="52" t="n">
        <v>0.0152</v>
      </c>
      <c r="V342" s="52" t="n">
        <f aca="false">P342*U342</f>
        <v>23.5602432</v>
      </c>
      <c r="W342" s="53" t="s">
        <v>199</v>
      </c>
      <c r="X342" s="50" t="n">
        <v>6.67368</v>
      </c>
      <c r="Y342" s="53" t="s">
        <v>196</v>
      </c>
      <c r="Z342" s="50" t="n">
        <v>0.123786</v>
      </c>
      <c r="AA342" s="50" t="n">
        <v>7.9</v>
      </c>
      <c r="AB342" s="50" t="n">
        <v>9.1</v>
      </c>
      <c r="AC342" s="52" t="n">
        <f aca="false">IF(W342="EUR",AA342,IF(W342="GBP",AB342,1))</f>
        <v>9.1</v>
      </c>
      <c r="AD342" s="52" t="n">
        <f aca="false">R342*X342</f>
        <v>10017.306426538</v>
      </c>
      <c r="AE342" s="52" t="n">
        <f aca="false">IF(Y342="PERCENTAGE_OF_BASE_FREIGHT",AD342*Z342,IF(Y342="PER_CHARGEABLE_KG",R342*Z342,P342*Z342))</f>
        <v>1240.00229331544</v>
      </c>
      <c r="AF342" s="52" t="n">
        <f aca="false">AD342*AC342</f>
        <v>91157.4884814962</v>
      </c>
      <c r="AG342" s="52" t="n">
        <f aca="false">AE342*AC342</f>
        <v>11284.0208691705</v>
      </c>
      <c r="AH342" s="52" t="s">
        <v>195</v>
      </c>
      <c r="AI342" s="52" t="n">
        <v>1.35797114644313</v>
      </c>
      <c r="AJ342" s="52" t="n">
        <f aca="false">IF(AH342="EUR",AA342,IF(AH342="GBP",AB342,1))</f>
        <v>7.9</v>
      </c>
      <c r="AK342" s="52" t="n">
        <f aca="false">N342*AI342</f>
        <v>1830.32783002191</v>
      </c>
      <c r="AL342" s="52" t="n">
        <f aca="false">AK342*AJ342</f>
        <v>14459.5898571731</v>
      </c>
      <c r="AM342" s="52" t="s">
        <v>195</v>
      </c>
      <c r="AN342" s="52" t="n">
        <v>0.4347</v>
      </c>
      <c r="AO342" s="52" t="n">
        <f aca="false">IF(AM342="EUR",AA342,IF(AM342="GBP",AB342,1))</f>
        <v>7.9</v>
      </c>
      <c r="AP342" s="52" t="n">
        <f aca="false">P342*AN342</f>
        <v>673.7919552</v>
      </c>
      <c r="AQ342" s="52" t="n">
        <f aca="false">AP342*AO342</f>
        <v>5322.95644608</v>
      </c>
      <c r="AR342" s="52" t="s">
        <v>199</v>
      </c>
      <c r="AS342" s="52" t="n">
        <v>4.968</v>
      </c>
      <c r="AT342" s="52" t="n">
        <f aca="false">IF(AR342="EUR",AA342,IF(AR342="GBP",AB342,1))</f>
        <v>9.1</v>
      </c>
      <c r="AU342" s="52" t="n">
        <f aca="false">T342*AS342</f>
        <v>602.6462208</v>
      </c>
      <c r="AV342" s="52" t="n">
        <f aca="false">AU342*AT342</f>
        <v>5484.08060928</v>
      </c>
      <c r="AW342" s="52" t="s">
        <v>199</v>
      </c>
      <c r="AX342" s="52" t="n">
        <v>2.898</v>
      </c>
      <c r="AY342" s="52" t="n">
        <f aca="false">IF(AW342="EUR",AA342,IF(AW342="GBP",AB342,1))</f>
        <v>9.1</v>
      </c>
      <c r="AZ342" s="52" t="n">
        <f aca="false">V342*AX342</f>
        <v>68.2775847936</v>
      </c>
      <c r="BA342" s="52" t="n">
        <f aca="false">AZ342*AY342</f>
        <v>621.32602162176</v>
      </c>
      <c r="BB342" s="52" t="n">
        <f aca="false">AF342+AG342+AL342+AQ342+AV342+BA342</f>
        <v>128329.462284822</v>
      </c>
      <c r="BC342" s="54" t="n">
        <v>0.974</v>
      </c>
      <c r="BD342" s="32"/>
      <c r="BE342" s="30" t="s">
        <v>205</v>
      </c>
      <c r="BF342" s="30" t="s">
        <v>216</v>
      </c>
      <c r="BG342" s="32" t="s">
        <v>197</v>
      </c>
    </row>
    <row r="343" customFormat="false" ht="39.15" hidden="false" customHeight="false" outlineLevel="0" collapsed="false">
      <c r="A343" s="18" t="s">
        <v>213</v>
      </c>
      <c r="B343" s="18" t="s">
        <v>207</v>
      </c>
      <c r="C343" s="18" t="s">
        <v>214</v>
      </c>
      <c r="D343" s="49" t="n">
        <v>46296</v>
      </c>
      <c r="E343" s="18" t="s">
        <v>127</v>
      </c>
      <c r="F343" s="18" t="s">
        <v>119</v>
      </c>
      <c r="G343" s="18" t="s">
        <v>100</v>
      </c>
      <c r="H343" s="18" t="s">
        <v>128</v>
      </c>
      <c r="I343" s="18" t="s">
        <v>125</v>
      </c>
      <c r="J343" s="50" t="n">
        <v>19500</v>
      </c>
      <c r="K343" s="51" t="n">
        <v>0.36</v>
      </c>
      <c r="L343" s="51" t="n">
        <v>0.96</v>
      </c>
      <c r="M343" s="51" t="n">
        <v>0.12</v>
      </c>
      <c r="N343" s="52" t="n">
        <f aca="false">J343*K343*L343*M343</f>
        <v>808.704</v>
      </c>
      <c r="O343" s="50" t="n">
        <v>1.15</v>
      </c>
      <c r="P343" s="52" t="n">
        <f aca="false">N343*O343</f>
        <v>930.0096</v>
      </c>
      <c r="Q343" s="50" t="n">
        <v>0.947784</v>
      </c>
      <c r="R343" s="52" t="n">
        <f aca="false">P343*Q343</f>
        <v>881.4482187264</v>
      </c>
      <c r="S343" s="50" t="n">
        <v>0.09</v>
      </c>
      <c r="T343" s="52" t="n">
        <f aca="false">N343*S343</f>
        <v>72.78336</v>
      </c>
      <c r="U343" s="52" t="n">
        <v>0.01045</v>
      </c>
      <c r="V343" s="52" t="n">
        <f aca="false">P343*U343</f>
        <v>9.71860032</v>
      </c>
      <c r="W343" s="53" t="s">
        <v>199</v>
      </c>
      <c r="X343" s="50" t="n">
        <v>8.22825</v>
      </c>
      <c r="Y343" s="53" t="s">
        <v>198</v>
      </c>
      <c r="Z343" s="50" t="n">
        <v>0.636318</v>
      </c>
      <c r="AA343" s="50" t="n">
        <v>7.9</v>
      </c>
      <c r="AB343" s="50" t="n">
        <v>9.1</v>
      </c>
      <c r="AC343" s="52" t="n">
        <f aca="false">IF(W343="EUR",AA343,IF(W343="GBP",AB343,1))</f>
        <v>9.1</v>
      </c>
      <c r="AD343" s="52" t="n">
        <f aca="false">R343*X343</f>
        <v>7252.7763057355</v>
      </c>
      <c r="AE343" s="52" t="n">
        <f aca="false">IF(Y343="PERCENTAGE_OF_BASE_FREIGHT",AD343*Z343,IF(Y343="PER_CHARGEABLE_KG",R343*Z343,P343*Z343))</f>
        <v>560.881367643545</v>
      </c>
      <c r="AF343" s="52" t="n">
        <f aca="false">AD343*AC343</f>
        <v>66000.264382193</v>
      </c>
      <c r="AG343" s="52" t="n">
        <f aca="false">AE343*AC343</f>
        <v>5104.02044555626</v>
      </c>
      <c r="AH343" s="52" t="s">
        <v>195</v>
      </c>
      <c r="AI343" s="52" t="n">
        <v>1.35797114644313</v>
      </c>
      <c r="AJ343" s="52" t="n">
        <f aca="false">IF(AH343="EUR",AA343,IF(AH343="GBP",AB343,1))</f>
        <v>7.9</v>
      </c>
      <c r="AK343" s="52" t="n">
        <f aca="false">N343*AI343</f>
        <v>1098.19669801315</v>
      </c>
      <c r="AL343" s="52" t="n">
        <f aca="false">AK343*AJ343</f>
        <v>8675.75391430387</v>
      </c>
      <c r="AM343" s="52" t="s">
        <v>195</v>
      </c>
      <c r="AN343" s="52" t="n">
        <v>0.4347</v>
      </c>
      <c r="AO343" s="52" t="n">
        <f aca="false">IF(AM343="EUR",AA343,IF(AM343="GBP",AB343,1))</f>
        <v>7.9</v>
      </c>
      <c r="AP343" s="52" t="n">
        <f aca="false">P343*AN343</f>
        <v>404.27517312</v>
      </c>
      <c r="AQ343" s="52" t="n">
        <f aca="false">AP343*AO343</f>
        <v>3193.773867648</v>
      </c>
      <c r="AR343" s="52" t="s">
        <v>199</v>
      </c>
      <c r="AS343" s="52" t="n">
        <v>4.968</v>
      </c>
      <c r="AT343" s="52" t="n">
        <f aca="false">IF(AR343="EUR",AA343,IF(AR343="GBP",AB343,1))</f>
        <v>9.1</v>
      </c>
      <c r="AU343" s="52" t="n">
        <f aca="false">T343*AS343</f>
        <v>361.58773248</v>
      </c>
      <c r="AV343" s="52" t="n">
        <f aca="false">AU343*AT343</f>
        <v>3290.448365568</v>
      </c>
      <c r="AW343" s="52" t="s">
        <v>199</v>
      </c>
      <c r="AX343" s="52" t="n">
        <v>3.726</v>
      </c>
      <c r="AY343" s="52" t="n">
        <f aca="false">IF(AW343="EUR",AA343,IF(AW343="GBP",AB343,1))</f>
        <v>9.1</v>
      </c>
      <c r="AZ343" s="52" t="n">
        <f aca="false">V343*AX343</f>
        <v>36.21150479232</v>
      </c>
      <c r="BA343" s="52" t="n">
        <f aca="false">AZ343*AY343</f>
        <v>329.524693610112</v>
      </c>
      <c r="BB343" s="52" t="n">
        <f aca="false">AF343+AG343+AL343+AQ343+AV343+BA343</f>
        <v>86593.7856688793</v>
      </c>
      <c r="BC343" s="54" t="n">
        <v>0.988</v>
      </c>
      <c r="BD343" s="32"/>
      <c r="BE343" s="30" t="s">
        <v>205</v>
      </c>
      <c r="BF343" s="30" t="s">
        <v>216</v>
      </c>
      <c r="BG343" s="32" t="s">
        <v>197</v>
      </c>
    </row>
    <row r="344" customFormat="false" ht="39.15" hidden="false" customHeight="false" outlineLevel="0" collapsed="false">
      <c r="A344" s="18" t="s">
        <v>213</v>
      </c>
      <c r="B344" s="18" t="s">
        <v>207</v>
      </c>
      <c r="C344" s="18" t="s">
        <v>214</v>
      </c>
      <c r="D344" s="49" t="n">
        <v>46296</v>
      </c>
      <c r="E344" s="18" t="s">
        <v>130</v>
      </c>
      <c r="F344" s="18" t="s">
        <v>119</v>
      </c>
      <c r="G344" s="18" t="s">
        <v>110</v>
      </c>
      <c r="H344" s="18" t="s">
        <v>107</v>
      </c>
      <c r="I344" s="18" t="s">
        <v>125</v>
      </c>
      <c r="J344" s="50" t="n">
        <v>19500</v>
      </c>
      <c r="K344" s="51" t="n">
        <v>0.36</v>
      </c>
      <c r="L344" s="51" t="n">
        <v>0.04</v>
      </c>
      <c r="M344" s="51" t="n">
        <v>1</v>
      </c>
      <c r="N344" s="52" t="n">
        <f aca="false">J344*K344*L344*M344</f>
        <v>280.8</v>
      </c>
      <c r="O344" s="50" t="n">
        <v>1.17</v>
      </c>
      <c r="P344" s="52" t="n">
        <f aca="false">N344*O344</f>
        <v>328.536</v>
      </c>
      <c r="Q344" s="50" t="n">
        <v>0.92718</v>
      </c>
      <c r="R344" s="52" t="n">
        <f aca="false">P344*Q344</f>
        <v>304.61200848</v>
      </c>
      <c r="S344" s="50" t="n">
        <v>0.09</v>
      </c>
      <c r="T344" s="52" t="n">
        <f aca="false">N344*S344</f>
        <v>25.272</v>
      </c>
      <c r="U344" s="52" t="n">
        <v>0.0133</v>
      </c>
      <c r="V344" s="52" t="n">
        <f aca="false">P344*U344</f>
        <v>4.3695288</v>
      </c>
      <c r="W344" s="53" t="s">
        <v>195</v>
      </c>
      <c r="X344" s="50" t="n">
        <v>6.9345</v>
      </c>
      <c r="Y344" s="53" t="s">
        <v>196</v>
      </c>
      <c r="Z344" s="50" t="n">
        <v>0.108675</v>
      </c>
      <c r="AA344" s="50" t="n">
        <v>7.9</v>
      </c>
      <c r="AB344" s="50" t="n">
        <v>9.1</v>
      </c>
      <c r="AC344" s="52" t="n">
        <f aca="false">IF(W344="EUR",AA344,IF(W344="GBP",AB344,1))</f>
        <v>7.9</v>
      </c>
      <c r="AD344" s="52" t="n">
        <f aca="false">R344*X344</f>
        <v>2112.33197280456</v>
      </c>
      <c r="AE344" s="52" t="n">
        <f aca="false">IF(Y344="PERCENTAGE_OF_BASE_FREIGHT",AD344*Z344,IF(Y344="PER_CHARGEABLE_KG",R344*Z344,P344*Z344))</f>
        <v>229.557677144536</v>
      </c>
      <c r="AF344" s="52" t="n">
        <f aca="false">AD344*AC344</f>
        <v>16687.422585156</v>
      </c>
      <c r="AG344" s="52" t="n">
        <f aca="false">AE344*AC344</f>
        <v>1813.50564944183</v>
      </c>
      <c r="AH344" s="52" t="s">
        <v>195</v>
      </c>
      <c r="AI344" s="52" t="n">
        <v>1.08675</v>
      </c>
      <c r="AJ344" s="52" t="n">
        <f aca="false">IF(AH344="EUR",AA344,IF(AH344="GBP",AB344,1))</f>
        <v>7.9</v>
      </c>
      <c r="AK344" s="52" t="n">
        <f aca="false">N344*AI344</f>
        <v>305.1594</v>
      </c>
      <c r="AL344" s="52" t="n">
        <f aca="false">AK344*AJ344</f>
        <v>2410.75926</v>
      </c>
      <c r="AM344" s="52" t="s">
        <v>195</v>
      </c>
      <c r="AN344" s="52" t="n">
        <v>0.3933</v>
      </c>
      <c r="AO344" s="52" t="n">
        <f aca="false">IF(AM344="EUR",AA344,IF(AM344="GBP",AB344,1))</f>
        <v>7.9</v>
      </c>
      <c r="AP344" s="52" t="n">
        <f aca="false">P344*AN344</f>
        <v>129.2132088</v>
      </c>
      <c r="AQ344" s="52" t="n">
        <f aca="false">AP344*AO344</f>
        <v>1020.78434952</v>
      </c>
      <c r="AR344" s="52" t="s">
        <v>195</v>
      </c>
      <c r="AS344" s="52" t="n">
        <v>5.382</v>
      </c>
      <c r="AT344" s="52" t="n">
        <f aca="false">IF(AR344="EUR",AA344,IF(AR344="GBP",AB344,1))</f>
        <v>7.9</v>
      </c>
      <c r="AU344" s="52" t="n">
        <f aca="false">T344*AS344</f>
        <v>136.013904</v>
      </c>
      <c r="AV344" s="52" t="n">
        <f aca="false">AU344*AT344</f>
        <v>1074.5098416</v>
      </c>
      <c r="AW344" s="52" t="s">
        <v>195</v>
      </c>
      <c r="AX344" s="52" t="n">
        <v>2.898</v>
      </c>
      <c r="AY344" s="52" t="n">
        <f aca="false">IF(AW344="EUR",AA344,IF(AW344="GBP",AB344,1))</f>
        <v>7.9</v>
      </c>
      <c r="AZ344" s="52" t="n">
        <f aca="false">V344*AX344</f>
        <v>12.6628944624</v>
      </c>
      <c r="BA344" s="52" t="n">
        <f aca="false">AZ344*AY344</f>
        <v>100.03686625296</v>
      </c>
      <c r="BB344" s="52" t="n">
        <f aca="false">AF344+AG344+AL344+AQ344+AV344+BA344</f>
        <v>23107.0185519708</v>
      </c>
      <c r="BC344" s="54" t="n">
        <v>0.971</v>
      </c>
      <c r="BD344" s="32"/>
      <c r="BE344" s="30" t="s">
        <v>205</v>
      </c>
      <c r="BF344" s="30" t="s">
        <v>216</v>
      </c>
      <c r="BG344" s="32" t="s">
        <v>197</v>
      </c>
    </row>
    <row r="345" customFormat="false" ht="39.15" hidden="false" customHeight="false" outlineLevel="0" collapsed="false">
      <c r="A345" s="18" t="s">
        <v>213</v>
      </c>
      <c r="B345" s="18" t="s">
        <v>207</v>
      </c>
      <c r="C345" s="18" t="s">
        <v>214</v>
      </c>
      <c r="D345" s="49" t="n">
        <v>46327</v>
      </c>
      <c r="E345" s="18" t="s">
        <v>98</v>
      </c>
      <c r="F345" s="18" t="s">
        <v>99</v>
      </c>
      <c r="G345" s="18" t="s">
        <v>100</v>
      </c>
      <c r="H345" s="18" t="s">
        <v>101</v>
      </c>
      <c r="I345" s="18" t="s">
        <v>102</v>
      </c>
      <c r="J345" s="50" t="n">
        <v>24800</v>
      </c>
      <c r="K345" s="51" t="n">
        <v>0.32</v>
      </c>
      <c r="L345" s="51" t="n">
        <v>0.97</v>
      </c>
      <c r="M345" s="51" t="n">
        <v>0.6</v>
      </c>
      <c r="N345" s="52" t="n">
        <f aca="false">J345*K345*L345*M345</f>
        <v>4618.752</v>
      </c>
      <c r="O345" s="50" t="n">
        <v>1.05</v>
      </c>
      <c r="P345" s="52" t="n">
        <f aca="false">N345*O345</f>
        <v>4849.6896</v>
      </c>
      <c r="Q345" s="50" t="n">
        <v>0.7878</v>
      </c>
      <c r="R345" s="52" t="n">
        <f aca="false">P345*Q345</f>
        <v>3820.58546688</v>
      </c>
      <c r="S345" s="50" t="n">
        <v>0.05</v>
      </c>
      <c r="T345" s="52" t="n">
        <f aca="false">N345*S345</f>
        <v>230.9376</v>
      </c>
      <c r="U345" s="52" t="n">
        <v>0.016</v>
      </c>
      <c r="V345" s="52" t="n">
        <f aca="false">P345*U345</f>
        <v>77.5950336</v>
      </c>
      <c r="W345" s="53" t="s">
        <v>195</v>
      </c>
      <c r="X345" s="50" t="n">
        <v>2.277</v>
      </c>
      <c r="Y345" s="53" t="s">
        <v>196</v>
      </c>
      <c r="Z345" s="50" t="n">
        <v>0.098325</v>
      </c>
      <c r="AA345" s="50" t="n">
        <v>7.88</v>
      </c>
      <c r="AB345" s="50" t="n">
        <v>9.05</v>
      </c>
      <c r="AC345" s="52" t="n">
        <f aca="false">IF(W345="EUR",AA345,IF(W345="GBP",AB345,1))</f>
        <v>7.88</v>
      </c>
      <c r="AD345" s="52" t="n">
        <f aca="false">R345*X345</f>
        <v>8699.47310808576</v>
      </c>
      <c r="AE345" s="52" t="n">
        <f aca="false">IF(Y345="PERCENTAGE_OF_BASE_FREIGHT",AD345*Z345,IF(Y345="PER_CHARGEABLE_KG",R345*Z345,P345*Z345))</f>
        <v>855.375693352532</v>
      </c>
      <c r="AF345" s="52" t="n">
        <f aca="false">AD345*AC345</f>
        <v>68551.8480917158</v>
      </c>
      <c r="AG345" s="52" t="n">
        <f aca="false">AE345*AC345</f>
        <v>6740.36046361795</v>
      </c>
      <c r="AH345" s="52" t="s">
        <v>195</v>
      </c>
      <c r="AI345" s="52" t="n">
        <v>1.2684058185107</v>
      </c>
      <c r="AJ345" s="52" t="n">
        <f aca="false">IF(AH345="EUR",AA345,IF(AH345="GBP",AB345,1))</f>
        <v>7.88</v>
      </c>
      <c r="AK345" s="52" t="n">
        <f aca="false">N345*AI345</f>
        <v>5858.45191105794</v>
      </c>
      <c r="AL345" s="52" t="n">
        <f aca="false">AK345*AJ345</f>
        <v>46164.6010591366</v>
      </c>
      <c r="AM345" s="52" t="s">
        <v>195</v>
      </c>
      <c r="AN345" s="52" t="n">
        <v>0.4347</v>
      </c>
      <c r="AO345" s="52" t="n">
        <f aca="false">IF(AM345="EUR",AA345,IF(AM345="GBP",AB345,1))</f>
        <v>7.88</v>
      </c>
      <c r="AP345" s="52" t="n">
        <f aca="false">P345*AN345</f>
        <v>2108.16006912</v>
      </c>
      <c r="AQ345" s="52" t="n">
        <f aca="false">AP345*AO345</f>
        <v>16612.3013446656</v>
      </c>
      <c r="AR345" s="52" t="s">
        <v>195</v>
      </c>
      <c r="AS345" s="52" t="n">
        <v>3.312</v>
      </c>
      <c r="AT345" s="52" t="n">
        <f aca="false">IF(AR345="EUR",AA345,IF(AR345="GBP",AB345,1))</f>
        <v>7.88</v>
      </c>
      <c r="AU345" s="52" t="n">
        <f aca="false">T345*AS345</f>
        <v>764.8653312</v>
      </c>
      <c r="AV345" s="52" t="n">
        <f aca="false">AU345*AT345</f>
        <v>6027.138809856</v>
      </c>
      <c r="AW345" s="52" t="s">
        <v>195</v>
      </c>
      <c r="AX345" s="52" t="n">
        <v>2.3805</v>
      </c>
      <c r="AY345" s="52" t="n">
        <f aca="false">IF(AW345="EUR",AA345,IF(AW345="GBP",AB345,1))</f>
        <v>7.88</v>
      </c>
      <c r="AZ345" s="52" t="n">
        <f aca="false">V345*AX345</f>
        <v>184.7149774848</v>
      </c>
      <c r="BA345" s="52" t="n">
        <f aca="false">AZ345*AY345</f>
        <v>1455.55402258022</v>
      </c>
      <c r="BB345" s="52" t="n">
        <f aca="false">AF345+AG345+AL345+AQ345+AV345+BA345</f>
        <v>145551.803791572</v>
      </c>
      <c r="BC345" s="54" t="n">
        <v>0.965</v>
      </c>
      <c r="BD345" s="32"/>
      <c r="BE345" s="30" t="s">
        <v>205</v>
      </c>
      <c r="BF345" s="30" t="s">
        <v>216</v>
      </c>
      <c r="BG345" s="32" t="s">
        <v>197</v>
      </c>
    </row>
    <row r="346" customFormat="false" ht="39.15" hidden="false" customHeight="false" outlineLevel="0" collapsed="false">
      <c r="A346" s="18" t="s">
        <v>213</v>
      </c>
      <c r="B346" s="18" t="s">
        <v>207</v>
      </c>
      <c r="C346" s="18" t="s">
        <v>214</v>
      </c>
      <c r="D346" s="49" t="n">
        <v>46327</v>
      </c>
      <c r="E346" s="18" t="s">
        <v>106</v>
      </c>
      <c r="F346" s="18" t="s">
        <v>99</v>
      </c>
      <c r="G346" s="18" t="s">
        <v>100</v>
      </c>
      <c r="H346" s="18" t="s">
        <v>107</v>
      </c>
      <c r="I346" s="18" t="s">
        <v>102</v>
      </c>
      <c r="J346" s="50" t="n">
        <v>24800</v>
      </c>
      <c r="K346" s="51" t="n">
        <v>0.32</v>
      </c>
      <c r="L346" s="51" t="n">
        <v>0.97</v>
      </c>
      <c r="M346" s="51" t="n">
        <v>0.4</v>
      </c>
      <c r="N346" s="52" t="n">
        <f aca="false">J346*K346*L346*M346</f>
        <v>3079.168</v>
      </c>
      <c r="O346" s="50" t="n">
        <v>1.05</v>
      </c>
      <c r="P346" s="52" t="n">
        <f aca="false">N346*O346</f>
        <v>3233.1264</v>
      </c>
      <c r="Q346" s="50" t="n">
        <v>0.808</v>
      </c>
      <c r="R346" s="52" t="n">
        <f aca="false">P346*Q346</f>
        <v>2612.3661312</v>
      </c>
      <c r="S346" s="50" t="n">
        <v>0.05</v>
      </c>
      <c r="T346" s="52" t="n">
        <f aca="false">N346*S346</f>
        <v>153.9584</v>
      </c>
      <c r="U346" s="52" t="n">
        <v>0.013</v>
      </c>
      <c r="V346" s="52" t="n">
        <f aca="false">P346*U346</f>
        <v>42.0306432</v>
      </c>
      <c r="W346" s="53" t="s">
        <v>195</v>
      </c>
      <c r="X346" s="50" t="n">
        <v>2.84625</v>
      </c>
      <c r="Y346" s="53" t="s">
        <v>198</v>
      </c>
      <c r="Z346" s="50" t="n">
        <v>0.21735</v>
      </c>
      <c r="AA346" s="50" t="n">
        <v>7.88</v>
      </c>
      <c r="AB346" s="50" t="n">
        <v>9.05</v>
      </c>
      <c r="AC346" s="52" t="n">
        <f aca="false">IF(W346="EUR",AA346,IF(W346="GBP",AB346,1))</f>
        <v>7.88</v>
      </c>
      <c r="AD346" s="52" t="n">
        <f aca="false">R346*X346</f>
        <v>7435.447100928</v>
      </c>
      <c r="AE346" s="52" t="n">
        <f aca="false">IF(Y346="PERCENTAGE_OF_BASE_FREIGHT",AD346*Z346,IF(Y346="PER_CHARGEABLE_KG",R346*Z346,P346*Z346))</f>
        <v>567.79777861632</v>
      </c>
      <c r="AF346" s="52" t="n">
        <f aca="false">AD346*AC346</f>
        <v>58591.3231553126</v>
      </c>
      <c r="AG346" s="52" t="n">
        <f aca="false">AE346*AC346</f>
        <v>4474.2464954966</v>
      </c>
      <c r="AH346" s="52" t="s">
        <v>195</v>
      </c>
      <c r="AI346" s="52" t="n">
        <v>1.2684058185107</v>
      </c>
      <c r="AJ346" s="52" t="n">
        <f aca="false">IF(AH346="EUR",AA346,IF(AH346="GBP",AB346,1))</f>
        <v>7.88</v>
      </c>
      <c r="AK346" s="52" t="n">
        <f aca="false">N346*AI346</f>
        <v>3905.63460737196</v>
      </c>
      <c r="AL346" s="52" t="n">
        <f aca="false">AK346*AJ346</f>
        <v>30776.4007060911</v>
      </c>
      <c r="AM346" s="52" t="s">
        <v>195</v>
      </c>
      <c r="AN346" s="52" t="n">
        <v>0.4347</v>
      </c>
      <c r="AO346" s="52" t="n">
        <f aca="false">IF(AM346="EUR",AA346,IF(AM346="GBP",AB346,1))</f>
        <v>7.88</v>
      </c>
      <c r="AP346" s="52" t="n">
        <f aca="false">P346*AN346</f>
        <v>1405.44004608</v>
      </c>
      <c r="AQ346" s="52" t="n">
        <f aca="false">AP346*AO346</f>
        <v>11074.8675631104</v>
      </c>
      <c r="AR346" s="52" t="s">
        <v>195</v>
      </c>
      <c r="AS346" s="52" t="n">
        <v>3.312</v>
      </c>
      <c r="AT346" s="52" t="n">
        <f aca="false">IF(AR346="EUR",AA346,IF(AR346="GBP",AB346,1))</f>
        <v>7.88</v>
      </c>
      <c r="AU346" s="52" t="n">
        <f aca="false">T346*AS346</f>
        <v>509.9102208</v>
      </c>
      <c r="AV346" s="52" t="n">
        <f aca="false">AU346*AT346</f>
        <v>4018.092539904</v>
      </c>
      <c r="AW346" s="52" t="s">
        <v>195</v>
      </c>
      <c r="AX346" s="52" t="n">
        <v>2.3805</v>
      </c>
      <c r="AY346" s="52" t="n">
        <f aca="false">IF(AW346="EUR",AA346,IF(AW346="GBP",AB346,1))</f>
        <v>7.88</v>
      </c>
      <c r="AZ346" s="52" t="n">
        <f aca="false">V346*AX346</f>
        <v>100.0539461376</v>
      </c>
      <c r="BA346" s="52" t="n">
        <f aca="false">AZ346*AY346</f>
        <v>788.425095564288</v>
      </c>
      <c r="BB346" s="52" t="n">
        <f aca="false">AF346+AG346+AL346+AQ346+AV346+BA346</f>
        <v>109723.355555479</v>
      </c>
      <c r="BC346" s="54" t="n">
        <v>0.976</v>
      </c>
      <c r="BD346" s="32"/>
      <c r="BE346" s="30" t="s">
        <v>205</v>
      </c>
      <c r="BF346" s="30" t="s">
        <v>216</v>
      </c>
      <c r="BG346" s="32" t="s">
        <v>197</v>
      </c>
    </row>
    <row r="347" customFormat="false" ht="39.15" hidden="false" customHeight="false" outlineLevel="0" collapsed="false">
      <c r="A347" s="18" t="s">
        <v>213</v>
      </c>
      <c r="B347" s="18" t="s">
        <v>207</v>
      </c>
      <c r="C347" s="18" t="s">
        <v>214</v>
      </c>
      <c r="D347" s="49" t="n">
        <v>46327</v>
      </c>
      <c r="E347" s="18" t="s">
        <v>109</v>
      </c>
      <c r="F347" s="18" t="s">
        <v>99</v>
      </c>
      <c r="G347" s="18" t="s">
        <v>110</v>
      </c>
      <c r="H347" s="18" t="s">
        <v>107</v>
      </c>
      <c r="I347" s="18" t="s">
        <v>102</v>
      </c>
      <c r="J347" s="50" t="n">
        <v>24800</v>
      </c>
      <c r="K347" s="51" t="n">
        <v>0.32</v>
      </c>
      <c r="L347" s="51" t="n">
        <v>0.03</v>
      </c>
      <c r="M347" s="51" t="n">
        <v>1</v>
      </c>
      <c r="N347" s="52" t="n">
        <f aca="false">J347*K347*L347*M347</f>
        <v>238.08</v>
      </c>
      <c r="O347" s="50" t="n">
        <v>1.08</v>
      </c>
      <c r="P347" s="52" t="n">
        <f aca="false">N347*O347</f>
        <v>257.1264</v>
      </c>
      <c r="Q347" s="50" t="n">
        <v>0.8686</v>
      </c>
      <c r="R347" s="52" t="n">
        <f aca="false">P347*Q347</f>
        <v>223.33999104</v>
      </c>
      <c r="S347" s="50" t="n">
        <v>0.05</v>
      </c>
      <c r="T347" s="52" t="n">
        <f aca="false">N347*S347</f>
        <v>11.904</v>
      </c>
      <c r="U347" s="52" t="n">
        <v>0.014</v>
      </c>
      <c r="V347" s="52" t="n">
        <f aca="false">P347*U347</f>
        <v>3.5997696</v>
      </c>
      <c r="W347" s="53" t="s">
        <v>195</v>
      </c>
      <c r="X347" s="50" t="n">
        <v>3.4155</v>
      </c>
      <c r="Y347" s="53" t="s">
        <v>198</v>
      </c>
      <c r="Z347" s="50" t="n">
        <v>0.2484</v>
      </c>
      <c r="AA347" s="50" t="n">
        <v>7.88</v>
      </c>
      <c r="AB347" s="50" t="n">
        <v>9.05</v>
      </c>
      <c r="AC347" s="52" t="n">
        <f aca="false">IF(W347="EUR",AA347,IF(W347="GBP",AB347,1))</f>
        <v>7.88</v>
      </c>
      <c r="AD347" s="52" t="n">
        <f aca="false">R347*X347</f>
        <v>762.81773939712</v>
      </c>
      <c r="AE347" s="52" t="n">
        <f aca="false">IF(Y347="PERCENTAGE_OF_BASE_FREIGHT",AD347*Z347,IF(Y347="PER_CHARGEABLE_KG",R347*Z347,P347*Z347))</f>
        <v>55.477653774336</v>
      </c>
      <c r="AF347" s="52" t="n">
        <f aca="false">AD347*AC347</f>
        <v>6011.00378644931</v>
      </c>
      <c r="AG347" s="52" t="n">
        <f aca="false">AE347*AC347</f>
        <v>437.163911741768</v>
      </c>
      <c r="AH347" s="52" t="s">
        <v>195</v>
      </c>
      <c r="AI347" s="52" t="n">
        <v>1.08675</v>
      </c>
      <c r="AJ347" s="52" t="n">
        <f aca="false">IF(AH347="EUR",AA347,IF(AH347="GBP",AB347,1))</f>
        <v>7.88</v>
      </c>
      <c r="AK347" s="52" t="n">
        <f aca="false">N347*AI347</f>
        <v>258.73344</v>
      </c>
      <c r="AL347" s="52" t="n">
        <f aca="false">AK347*AJ347</f>
        <v>2038.8195072</v>
      </c>
      <c r="AM347" s="52" t="s">
        <v>195</v>
      </c>
      <c r="AN347" s="52" t="n">
        <v>0.3933</v>
      </c>
      <c r="AO347" s="52" t="n">
        <f aca="false">IF(AM347="EUR",AA347,IF(AM347="GBP",AB347,1))</f>
        <v>7.88</v>
      </c>
      <c r="AP347" s="52" t="n">
        <f aca="false">P347*AN347</f>
        <v>101.12781312</v>
      </c>
      <c r="AQ347" s="52" t="n">
        <f aca="false">AP347*AO347</f>
        <v>796.8871673856</v>
      </c>
      <c r="AR347" s="52" t="s">
        <v>195</v>
      </c>
      <c r="AS347" s="52" t="n">
        <v>3.933</v>
      </c>
      <c r="AT347" s="52" t="n">
        <f aca="false">IF(AR347="EUR",AA347,IF(AR347="GBP",AB347,1))</f>
        <v>7.88</v>
      </c>
      <c r="AU347" s="52" t="n">
        <f aca="false">T347*AS347</f>
        <v>46.818432</v>
      </c>
      <c r="AV347" s="52" t="n">
        <f aca="false">AU347*AT347</f>
        <v>368.92924416</v>
      </c>
      <c r="AW347" s="52" t="s">
        <v>195</v>
      </c>
      <c r="AX347" s="52" t="n">
        <v>2.3805</v>
      </c>
      <c r="AY347" s="52" t="n">
        <f aca="false">IF(AW347="EUR",AA347,IF(AW347="GBP",AB347,1))</f>
        <v>7.88</v>
      </c>
      <c r="AZ347" s="52" t="n">
        <f aca="false">V347*AX347</f>
        <v>8.5692515328</v>
      </c>
      <c r="BA347" s="52" t="n">
        <f aca="false">AZ347*AY347</f>
        <v>67.525702078464</v>
      </c>
      <c r="BB347" s="52" t="n">
        <f aca="false">AF347+AG347+AL347+AQ347+AV347+BA347</f>
        <v>9720.32931901514</v>
      </c>
      <c r="BC347" s="54" t="n">
        <v>0.968</v>
      </c>
      <c r="BD347" s="32"/>
      <c r="BE347" s="30" t="s">
        <v>205</v>
      </c>
      <c r="BF347" s="30" t="s">
        <v>216</v>
      </c>
      <c r="BG347" s="32" t="s">
        <v>197</v>
      </c>
    </row>
    <row r="348" customFormat="false" ht="39.15" hidden="false" customHeight="false" outlineLevel="0" collapsed="false">
      <c r="A348" s="18" t="s">
        <v>213</v>
      </c>
      <c r="B348" s="18" t="s">
        <v>207</v>
      </c>
      <c r="C348" s="18" t="s">
        <v>214</v>
      </c>
      <c r="D348" s="49" t="n">
        <v>46327</v>
      </c>
      <c r="E348" s="18" t="s">
        <v>112</v>
      </c>
      <c r="F348" s="18" t="s">
        <v>113</v>
      </c>
      <c r="G348" s="18" t="s">
        <v>110</v>
      </c>
      <c r="H348" s="18" t="s">
        <v>101</v>
      </c>
      <c r="I348" s="18" t="s">
        <v>102</v>
      </c>
      <c r="J348" s="50" t="n">
        <v>24800</v>
      </c>
      <c r="K348" s="51" t="n">
        <v>0.29</v>
      </c>
      <c r="L348" s="51" t="n">
        <v>1</v>
      </c>
      <c r="M348" s="51" t="n">
        <v>0.35</v>
      </c>
      <c r="N348" s="52" t="n">
        <f aca="false">J348*K348*L348*M348</f>
        <v>2517.2</v>
      </c>
      <c r="O348" s="50" t="n">
        <v>1.06</v>
      </c>
      <c r="P348" s="52" t="n">
        <f aca="false">N348*O348</f>
        <v>2668.232</v>
      </c>
      <c r="Q348" s="50" t="n">
        <v>0.7676</v>
      </c>
      <c r="R348" s="52" t="n">
        <f aca="false">P348*Q348</f>
        <v>2048.1348832</v>
      </c>
      <c r="S348" s="50" t="n">
        <v>0.06</v>
      </c>
      <c r="T348" s="52" t="n">
        <f aca="false">N348*S348</f>
        <v>151.032</v>
      </c>
      <c r="U348" s="52" t="n">
        <v>0.017</v>
      </c>
      <c r="V348" s="52" t="n">
        <f aca="false">P348*U348</f>
        <v>45.359944</v>
      </c>
      <c r="W348" s="53" t="s">
        <v>195</v>
      </c>
      <c r="X348" s="50" t="n">
        <v>2.1735</v>
      </c>
      <c r="Y348" s="53" t="s">
        <v>196</v>
      </c>
      <c r="Z348" s="50" t="n">
        <v>0.09315</v>
      </c>
      <c r="AA348" s="50" t="n">
        <v>7.88</v>
      </c>
      <c r="AB348" s="50" t="n">
        <v>9.05</v>
      </c>
      <c r="AC348" s="52" t="n">
        <f aca="false">IF(W348="EUR",AA348,IF(W348="GBP",AB348,1))</f>
        <v>7.88</v>
      </c>
      <c r="AD348" s="52" t="n">
        <f aca="false">R348*X348</f>
        <v>4451.6211686352</v>
      </c>
      <c r="AE348" s="52" t="n">
        <f aca="false">IF(Y348="PERCENTAGE_OF_BASE_FREIGHT",AD348*Z348,IF(Y348="PER_CHARGEABLE_KG",R348*Z348,P348*Z348))</f>
        <v>414.668511858369</v>
      </c>
      <c r="AF348" s="52" t="n">
        <f aca="false">AD348*AC348</f>
        <v>35078.7748088454</v>
      </c>
      <c r="AG348" s="52" t="n">
        <f aca="false">AE348*AC348</f>
        <v>3267.58787344395</v>
      </c>
      <c r="AH348" s="52" t="s">
        <v>195</v>
      </c>
      <c r="AI348" s="52" t="n">
        <v>1.08675</v>
      </c>
      <c r="AJ348" s="52" t="n">
        <f aca="false">IF(AH348="EUR",AA348,IF(AH348="GBP",AB348,1))</f>
        <v>7.88</v>
      </c>
      <c r="AK348" s="52" t="n">
        <f aca="false">N348*AI348</f>
        <v>2735.5671</v>
      </c>
      <c r="AL348" s="52" t="n">
        <f aca="false">AK348*AJ348</f>
        <v>21556.268748</v>
      </c>
      <c r="AM348" s="52" t="s">
        <v>195</v>
      </c>
      <c r="AN348" s="52" t="n">
        <v>0.3933</v>
      </c>
      <c r="AO348" s="52" t="n">
        <f aca="false">IF(AM348="EUR",AA348,IF(AM348="GBP",AB348,1))</f>
        <v>7.88</v>
      </c>
      <c r="AP348" s="52" t="n">
        <f aca="false">P348*AN348</f>
        <v>1049.4156456</v>
      </c>
      <c r="AQ348" s="52" t="n">
        <f aca="false">AP348*AO348</f>
        <v>8269.395287328</v>
      </c>
      <c r="AR348" s="52" t="s">
        <v>195</v>
      </c>
      <c r="AS348" s="52" t="n">
        <v>3.105</v>
      </c>
      <c r="AT348" s="52" t="n">
        <f aca="false">IF(AR348="EUR",AA348,IF(AR348="GBP",AB348,1))</f>
        <v>7.88</v>
      </c>
      <c r="AU348" s="52" t="n">
        <f aca="false">T348*AS348</f>
        <v>468.95436</v>
      </c>
      <c r="AV348" s="52" t="n">
        <f aca="false">AU348*AT348</f>
        <v>3695.3603568</v>
      </c>
      <c r="AW348" s="52" t="s">
        <v>195</v>
      </c>
      <c r="AX348" s="52" t="n">
        <v>2.3805</v>
      </c>
      <c r="AY348" s="52" t="n">
        <f aca="false">IF(AW348="EUR",AA348,IF(AW348="GBP",AB348,1))</f>
        <v>7.88</v>
      </c>
      <c r="AZ348" s="52" t="n">
        <f aca="false">V348*AX348</f>
        <v>107.979346692</v>
      </c>
      <c r="BA348" s="52" t="n">
        <f aca="false">AZ348*AY348</f>
        <v>850.87725193296</v>
      </c>
      <c r="BB348" s="52" t="n">
        <f aca="false">AF348+AG348+AL348+AQ348+AV348+BA348</f>
        <v>72718.2643263503</v>
      </c>
      <c r="BC348" s="54" t="n">
        <v>0.961</v>
      </c>
      <c r="BD348" s="32"/>
      <c r="BE348" s="30" t="s">
        <v>205</v>
      </c>
      <c r="BF348" s="30" t="s">
        <v>216</v>
      </c>
      <c r="BG348" s="32" t="s">
        <v>197</v>
      </c>
    </row>
    <row r="349" customFormat="false" ht="39.15" hidden="false" customHeight="false" outlineLevel="0" collapsed="false">
      <c r="A349" s="18" t="s">
        <v>213</v>
      </c>
      <c r="B349" s="18" t="s">
        <v>207</v>
      </c>
      <c r="C349" s="18" t="s">
        <v>214</v>
      </c>
      <c r="D349" s="49" t="n">
        <v>46327</v>
      </c>
      <c r="E349" s="18" t="s">
        <v>116</v>
      </c>
      <c r="F349" s="18" t="s">
        <v>113</v>
      </c>
      <c r="G349" s="18" t="s">
        <v>110</v>
      </c>
      <c r="H349" s="18" t="s">
        <v>107</v>
      </c>
      <c r="I349" s="18" t="s">
        <v>102</v>
      </c>
      <c r="J349" s="50" t="n">
        <v>24800</v>
      </c>
      <c r="K349" s="51" t="n">
        <v>0.29</v>
      </c>
      <c r="L349" s="51" t="n">
        <v>1</v>
      </c>
      <c r="M349" s="51" t="n">
        <v>0.65</v>
      </c>
      <c r="N349" s="52" t="n">
        <f aca="false">J349*K349*L349*M349</f>
        <v>4674.8</v>
      </c>
      <c r="O349" s="50" t="n">
        <v>1.06</v>
      </c>
      <c r="P349" s="52" t="n">
        <f aca="false">N349*O349</f>
        <v>4955.288</v>
      </c>
      <c r="Q349" s="50" t="n">
        <v>0.7979</v>
      </c>
      <c r="R349" s="52" t="n">
        <f aca="false">P349*Q349</f>
        <v>3953.8242952</v>
      </c>
      <c r="S349" s="50" t="n">
        <v>0.06</v>
      </c>
      <c r="T349" s="52" t="n">
        <f aca="false">N349*S349</f>
        <v>280.488</v>
      </c>
      <c r="U349" s="52" t="n">
        <v>0.014</v>
      </c>
      <c r="V349" s="52" t="n">
        <f aca="false">P349*U349</f>
        <v>69.374032</v>
      </c>
      <c r="W349" s="53" t="s">
        <v>195</v>
      </c>
      <c r="X349" s="50" t="n">
        <v>2.691</v>
      </c>
      <c r="Y349" s="53" t="s">
        <v>198</v>
      </c>
      <c r="Z349" s="50" t="n">
        <v>0.207</v>
      </c>
      <c r="AA349" s="50" t="n">
        <v>7.88</v>
      </c>
      <c r="AB349" s="50" t="n">
        <v>9.05</v>
      </c>
      <c r="AC349" s="52" t="n">
        <f aca="false">IF(W349="EUR",AA349,IF(W349="GBP",AB349,1))</f>
        <v>7.88</v>
      </c>
      <c r="AD349" s="52" t="n">
        <f aca="false">R349*X349</f>
        <v>10639.7411783832</v>
      </c>
      <c r="AE349" s="52" t="n">
        <f aca="false">IF(Y349="PERCENTAGE_OF_BASE_FREIGHT",AD349*Z349,IF(Y349="PER_CHARGEABLE_KG",R349*Z349,P349*Z349))</f>
        <v>818.4416291064</v>
      </c>
      <c r="AF349" s="52" t="n">
        <f aca="false">AD349*AC349</f>
        <v>83841.1604856596</v>
      </c>
      <c r="AG349" s="52" t="n">
        <f aca="false">AE349*AC349</f>
        <v>6449.32003735843</v>
      </c>
      <c r="AH349" s="52" t="s">
        <v>195</v>
      </c>
      <c r="AI349" s="52" t="n">
        <v>1.08675</v>
      </c>
      <c r="AJ349" s="52" t="n">
        <f aca="false">IF(AH349="EUR",AA349,IF(AH349="GBP",AB349,1))</f>
        <v>7.88</v>
      </c>
      <c r="AK349" s="52" t="n">
        <f aca="false">N349*AI349</f>
        <v>5080.3389</v>
      </c>
      <c r="AL349" s="52" t="n">
        <f aca="false">AK349*AJ349</f>
        <v>40033.070532</v>
      </c>
      <c r="AM349" s="52" t="s">
        <v>195</v>
      </c>
      <c r="AN349" s="52" t="n">
        <v>0.3933</v>
      </c>
      <c r="AO349" s="52" t="n">
        <f aca="false">IF(AM349="EUR",AA349,IF(AM349="GBP",AB349,1))</f>
        <v>7.88</v>
      </c>
      <c r="AP349" s="52" t="n">
        <f aca="false">P349*AN349</f>
        <v>1948.9147704</v>
      </c>
      <c r="AQ349" s="52" t="n">
        <f aca="false">AP349*AO349</f>
        <v>15357.448390752</v>
      </c>
      <c r="AR349" s="52" t="s">
        <v>195</v>
      </c>
      <c r="AS349" s="52" t="n">
        <v>3.105</v>
      </c>
      <c r="AT349" s="52" t="n">
        <f aca="false">IF(AR349="EUR",AA349,IF(AR349="GBP",AB349,1))</f>
        <v>7.88</v>
      </c>
      <c r="AU349" s="52" t="n">
        <f aca="false">T349*AS349</f>
        <v>870.91524</v>
      </c>
      <c r="AV349" s="52" t="n">
        <f aca="false">AU349*AT349</f>
        <v>6862.8120912</v>
      </c>
      <c r="AW349" s="52" t="s">
        <v>195</v>
      </c>
      <c r="AX349" s="52" t="n">
        <v>2.3805</v>
      </c>
      <c r="AY349" s="52" t="n">
        <f aca="false">IF(AW349="EUR",AA349,IF(AW349="GBP",AB349,1))</f>
        <v>7.88</v>
      </c>
      <c r="AZ349" s="52" t="n">
        <f aca="false">V349*AX349</f>
        <v>165.144883176</v>
      </c>
      <c r="BA349" s="52" t="n">
        <f aca="false">AZ349*AY349</f>
        <v>1301.34167942688</v>
      </c>
      <c r="BB349" s="52" t="n">
        <f aca="false">AF349+AG349+AL349+AQ349+AV349+BA349</f>
        <v>153845.153216397</v>
      </c>
      <c r="BC349" s="54" t="n">
        <v>0.973</v>
      </c>
      <c r="BD349" s="32"/>
      <c r="BE349" s="30" t="s">
        <v>205</v>
      </c>
      <c r="BF349" s="30" t="s">
        <v>216</v>
      </c>
      <c r="BG349" s="32" t="s">
        <v>197</v>
      </c>
    </row>
    <row r="350" customFormat="false" ht="39.15" hidden="false" customHeight="false" outlineLevel="0" collapsed="false">
      <c r="A350" s="18" t="s">
        <v>213</v>
      </c>
      <c r="B350" s="18" t="s">
        <v>207</v>
      </c>
      <c r="C350" s="18" t="s">
        <v>214</v>
      </c>
      <c r="D350" s="49" t="n">
        <v>46327</v>
      </c>
      <c r="E350" s="18" t="s">
        <v>118</v>
      </c>
      <c r="F350" s="18" t="s">
        <v>119</v>
      </c>
      <c r="G350" s="18" t="s">
        <v>100</v>
      </c>
      <c r="H350" s="18" t="s">
        <v>101</v>
      </c>
      <c r="I350" s="18" t="s">
        <v>102</v>
      </c>
      <c r="J350" s="50" t="n">
        <v>24800</v>
      </c>
      <c r="K350" s="51" t="n">
        <v>0.39</v>
      </c>
      <c r="L350" s="51" t="n">
        <v>0.96</v>
      </c>
      <c r="M350" s="51" t="n">
        <v>0.55</v>
      </c>
      <c r="N350" s="52" t="n">
        <f aca="false">J350*K350*L350*M350</f>
        <v>5106.816</v>
      </c>
      <c r="O350" s="50" t="n">
        <v>1.13</v>
      </c>
      <c r="P350" s="52" t="n">
        <f aca="false">N350*O350</f>
        <v>5770.70208</v>
      </c>
      <c r="Q350" s="50" t="n">
        <v>1.050804</v>
      </c>
      <c r="R350" s="52" t="n">
        <f aca="false">P350*Q350</f>
        <v>6063.87682847232</v>
      </c>
      <c r="S350" s="50" t="n">
        <v>0.09</v>
      </c>
      <c r="T350" s="52" t="n">
        <f aca="false">N350*S350</f>
        <v>459.61344</v>
      </c>
      <c r="U350" s="52" t="n">
        <v>0.0243</v>
      </c>
      <c r="V350" s="52" t="n">
        <f aca="false">P350*U350</f>
        <v>140.228060544</v>
      </c>
      <c r="W350" s="53" t="s">
        <v>199</v>
      </c>
      <c r="X350" s="50" t="n">
        <v>4.14</v>
      </c>
      <c r="Y350" s="53" t="s">
        <v>196</v>
      </c>
      <c r="Z350" s="50" t="n">
        <v>0.1035</v>
      </c>
      <c r="AA350" s="50" t="n">
        <v>7.88</v>
      </c>
      <c r="AB350" s="50" t="n">
        <v>9.05</v>
      </c>
      <c r="AC350" s="52" t="n">
        <f aca="false">IF(W350="EUR",AA350,IF(W350="GBP",AB350,1))</f>
        <v>9.05</v>
      </c>
      <c r="AD350" s="52" t="n">
        <f aca="false">R350*X350</f>
        <v>25104.4500698754</v>
      </c>
      <c r="AE350" s="52" t="n">
        <f aca="false">IF(Y350="PERCENTAGE_OF_BASE_FREIGHT",AD350*Z350,IF(Y350="PER_CHARGEABLE_KG",R350*Z350,P350*Z350))</f>
        <v>2598.3105822321</v>
      </c>
      <c r="AF350" s="52" t="n">
        <f aca="false">AD350*AC350</f>
        <v>227195.273132372</v>
      </c>
      <c r="AG350" s="52" t="n">
        <f aca="false">AE350*AC350</f>
        <v>23514.7107692005</v>
      </c>
      <c r="AH350" s="52" t="s">
        <v>195</v>
      </c>
      <c r="AI350" s="52" t="n">
        <v>1.2684058185107</v>
      </c>
      <c r="AJ350" s="52" t="n">
        <f aca="false">IF(AH350="EUR",AA350,IF(AH350="GBP",AB350,1))</f>
        <v>7.88</v>
      </c>
      <c r="AK350" s="52" t="n">
        <f aca="false">N350*AI350</f>
        <v>6477.51512846355</v>
      </c>
      <c r="AL350" s="52" t="n">
        <f aca="false">AK350*AJ350</f>
        <v>51042.8192122928</v>
      </c>
      <c r="AM350" s="52" t="s">
        <v>195</v>
      </c>
      <c r="AN350" s="52" t="n">
        <v>0.4347</v>
      </c>
      <c r="AO350" s="52" t="n">
        <f aca="false">IF(AM350="EUR",AA350,IF(AM350="GBP",AB350,1))</f>
        <v>7.88</v>
      </c>
      <c r="AP350" s="52" t="n">
        <f aca="false">P350*AN350</f>
        <v>2508.524194176</v>
      </c>
      <c r="AQ350" s="52" t="n">
        <f aca="false">AP350*AO350</f>
        <v>19767.1706501069</v>
      </c>
      <c r="AR350" s="52" t="s">
        <v>199</v>
      </c>
      <c r="AS350" s="52" t="n">
        <v>4.968</v>
      </c>
      <c r="AT350" s="52" t="n">
        <f aca="false">IF(AR350="EUR",AA350,IF(AR350="GBP",AB350,1))</f>
        <v>9.05</v>
      </c>
      <c r="AU350" s="52" t="n">
        <f aca="false">T350*AS350</f>
        <v>2283.35956992</v>
      </c>
      <c r="AV350" s="52" t="n">
        <f aca="false">AU350*AT350</f>
        <v>20664.404107776</v>
      </c>
      <c r="AW350" s="52" t="s">
        <v>199</v>
      </c>
      <c r="AX350" s="52" t="n">
        <v>2.3805</v>
      </c>
      <c r="AY350" s="52" t="n">
        <f aca="false">IF(AW350="EUR",AA350,IF(AW350="GBP",AB350,1))</f>
        <v>9.05</v>
      </c>
      <c r="AZ350" s="52" t="n">
        <f aca="false">V350*AX350</f>
        <v>333.812898124992</v>
      </c>
      <c r="BA350" s="52" t="n">
        <f aca="false">AZ350*AY350</f>
        <v>3021.00672803118</v>
      </c>
      <c r="BB350" s="52" t="n">
        <f aca="false">AF350+AG350+AL350+AQ350+AV350+BA350</f>
        <v>345205.38459978</v>
      </c>
      <c r="BC350" s="54" t="n">
        <v>0.93</v>
      </c>
      <c r="BD350" s="32"/>
      <c r="BE350" s="30" t="s">
        <v>205</v>
      </c>
      <c r="BF350" s="30" t="s">
        <v>216</v>
      </c>
      <c r="BG350" s="32" t="s">
        <v>197</v>
      </c>
    </row>
    <row r="351" customFormat="false" ht="39.15" hidden="false" customHeight="false" outlineLevel="0" collapsed="false">
      <c r="A351" s="18" t="s">
        <v>213</v>
      </c>
      <c r="B351" s="18" t="s">
        <v>207</v>
      </c>
      <c r="C351" s="18" t="s">
        <v>214</v>
      </c>
      <c r="D351" s="49" t="n">
        <v>46327</v>
      </c>
      <c r="E351" s="18" t="s">
        <v>122</v>
      </c>
      <c r="F351" s="18" t="s">
        <v>119</v>
      </c>
      <c r="G351" s="18" t="s">
        <v>100</v>
      </c>
      <c r="H351" s="18" t="s">
        <v>107</v>
      </c>
      <c r="I351" s="18" t="s">
        <v>102</v>
      </c>
      <c r="J351" s="50" t="n">
        <v>24800</v>
      </c>
      <c r="K351" s="51" t="n">
        <v>0.39</v>
      </c>
      <c r="L351" s="51" t="n">
        <v>0.96</v>
      </c>
      <c r="M351" s="51" t="n">
        <v>0.28</v>
      </c>
      <c r="N351" s="52" t="n">
        <f aca="false">J351*K351*L351*M351</f>
        <v>2599.8336</v>
      </c>
      <c r="O351" s="50" t="n">
        <v>1.13</v>
      </c>
      <c r="P351" s="52" t="n">
        <f aca="false">N351*O351</f>
        <v>2937.811968</v>
      </c>
      <c r="Q351" s="50" t="n">
        <v>1.0302</v>
      </c>
      <c r="R351" s="52" t="n">
        <f aca="false">P351*Q351</f>
        <v>3026.5338894336</v>
      </c>
      <c r="S351" s="50" t="n">
        <v>0.09</v>
      </c>
      <c r="T351" s="52" t="n">
        <f aca="false">N351*S351</f>
        <v>233.985024</v>
      </c>
      <c r="U351" s="52" t="n">
        <v>0.018</v>
      </c>
      <c r="V351" s="52" t="n">
        <f aca="false">P351*U351</f>
        <v>52.880615424</v>
      </c>
      <c r="W351" s="53" t="s">
        <v>199</v>
      </c>
      <c r="X351" s="50" t="n">
        <v>4.8645</v>
      </c>
      <c r="Y351" s="53" t="s">
        <v>198</v>
      </c>
      <c r="Z351" s="50" t="n">
        <v>0.34155</v>
      </c>
      <c r="AA351" s="50" t="n">
        <v>7.88</v>
      </c>
      <c r="AB351" s="50" t="n">
        <v>9.05</v>
      </c>
      <c r="AC351" s="52" t="n">
        <f aca="false">IF(W351="EUR",AA351,IF(W351="GBP",AB351,1))</f>
        <v>9.05</v>
      </c>
      <c r="AD351" s="52" t="n">
        <f aca="false">R351*X351</f>
        <v>14722.5741051497</v>
      </c>
      <c r="AE351" s="52" t="n">
        <f aca="false">IF(Y351="PERCENTAGE_OF_BASE_FREIGHT",AD351*Z351,IF(Y351="PER_CHARGEABLE_KG",R351*Z351,P351*Z351))</f>
        <v>1033.71264993605</v>
      </c>
      <c r="AF351" s="52" t="n">
        <f aca="false">AD351*AC351</f>
        <v>133239.295651605</v>
      </c>
      <c r="AG351" s="52" t="n">
        <f aca="false">AE351*AC351</f>
        <v>9355.09948192122</v>
      </c>
      <c r="AH351" s="52" t="s">
        <v>195</v>
      </c>
      <c r="AI351" s="52" t="n">
        <v>1.2684058185107</v>
      </c>
      <c r="AJ351" s="52" t="n">
        <f aca="false">IF(AH351="EUR",AA351,IF(AH351="GBP",AB351,1))</f>
        <v>7.88</v>
      </c>
      <c r="AK351" s="52" t="n">
        <f aca="false">N351*AI351</f>
        <v>3297.64406539963</v>
      </c>
      <c r="AL351" s="52" t="n">
        <f aca="false">AK351*AJ351</f>
        <v>25985.4352353491</v>
      </c>
      <c r="AM351" s="52" t="s">
        <v>195</v>
      </c>
      <c r="AN351" s="52" t="n">
        <v>0.4347</v>
      </c>
      <c r="AO351" s="52" t="n">
        <f aca="false">IF(AM351="EUR",AA351,IF(AM351="GBP",AB351,1))</f>
        <v>7.88</v>
      </c>
      <c r="AP351" s="52" t="n">
        <f aca="false">P351*AN351</f>
        <v>1277.0668624896</v>
      </c>
      <c r="AQ351" s="52" t="n">
        <f aca="false">AP351*AO351</f>
        <v>10063.286876418</v>
      </c>
      <c r="AR351" s="52" t="s">
        <v>199</v>
      </c>
      <c r="AS351" s="52" t="n">
        <v>4.968</v>
      </c>
      <c r="AT351" s="52" t="n">
        <f aca="false">IF(AR351="EUR",AA351,IF(AR351="GBP",AB351,1))</f>
        <v>9.05</v>
      </c>
      <c r="AU351" s="52" t="n">
        <f aca="false">T351*AS351</f>
        <v>1162.437599232</v>
      </c>
      <c r="AV351" s="52" t="n">
        <f aca="false">AU351*AT351</f>
        <v>10520.0602730496</v>
      </c>
      <c r="AW351" s="52" t="s">
        <v>199</v>
      </c>
      <c r="AX351" s="52" t="n">
        <v>2.3805</v>
      </c>
      <c r="AY351" s="52" t="n">
        <f aca="false">IF(AW351="EUR",AA351,IF(AW351="GBP",AB351,1))</f>
        <v>9.05</v>
      </c>
      <c r="AZ351" s="52" t="n">
        <f aca="false">V351*AX351</f>
        <v>125.882305016832</v>
      </c>
      <c r="BA351" s="52" t="n">
        <f aca="false">AZ351*AY351</f>
        <v>1139.23486040233</v>
      </c>
      <c r="BB351" s="52" t="n">
        <f aca="false">AF351+AG351+AL351+AQ351+AV351+BA351</f>
        <v>190302.412378745</v>
      </c>
      <c r="BC351" s="54" t="n">
        <v>0.95</v>
      </c>
      <c r="BD351" s="32"/>
      <c r="BE351" s="30" t="s">
        <v>205</v>
      </c>
      <c r="BF351" s="30" t="s">
        <v>216</v>
      </c>
      <c r="BG351" s="32" t="s">
        <v>197</v>
      </c>
    </row>
    <row r="352" customFormat="false" ht="39.15" hidden="false" customHeight="false" outlineLevel="0" collapsed="false">
      <c r="A352" s="18" t="s">
        <v>213</v>
      </c>
      <c r="B352" s="18" t="s">
        <v>207</v>
      </c>
      <c r="C352" s="18" t="s">
        <v>214</v>
      </c>
      <c r="D352" s="49" t="n">
        <v>46327</v>
      </c>
      <c r="E352" s="18" t="s">
        <v>124</v>
      </c>
      <c r="F352" s="18" t="s">
        <v>119</v>
      </c>
      <c r="G352" s="18" t="s">
        <v>100</v>
      </c>
      <c r="H352" s="18" t="s">
        <v>107</v>
      </c>
      <c r="I352" s="18" t="s">
        <v>125</v>
      </c>
      <c r="J352" s="50" t="n">
        <v>24800</v>
      </c>
      <c r="K352" s="51" t="n">
        <v>0.39</v>
      </c>
      <c r="L352" s="51" t="n">
        <v>0.96</v>
      </c>
      <c r="M352" s="51" t="n">
        <v>0.13</v>
      </c>
      <c r="N352" s="52" t="n">
        <f aca="false">J352*K352*L352*M352</f>
        <v>1207.0656</v>
      </c>
      <c r="O352" s="50" t="n">
        <v>1.13</v>
      </c>
      <c r="P352" s="52" t="n">
        <f aca="false">N352*O352</f>
        <v>1363.984128</v>
      </c>
      <c r="Q352" s="50" t="n">
        <v>0.968388</v>
      </c>
      <c r="R352" s="52" t="n">
        <f aca="false">P352*Q352</f>
        <v>1320.86586174566</v>
      </c>
      <c r="S352" s="50" t="n">
        <v>0.09</v>
      </c>
      <c r="T352" s="52" t="n">
        <f aca="false">N352*S352</f>
        <v>108.635904</v>
      </c>
      <c r="U352" s="52" t="n">
        <v>0.0144</v>
      </c>
      <c r="V352" s="52" t="n">
        <f aca="false">P352*U352</f>
        <v>19.6413714432</v>
      </c>
      <c r="W352" s="53" t="s">
        <v>199</v>
      </c>
      <c r="X352" s="50" t="n">
        <v>6.67368</v>
      </c>
      <c r="Y352" s="53" t="s">
        <v>196</v>
      </c>
      <c r="Z352" s="50" t="n">
        <v>0.123786</v>
      </c>
      <c r="AA352" s="50" t="n">
        <v>7.88</v>
      </c>
      <c r="AB352" s="50" t="n">
        <v>9.05</v>
      </c>
      <c r="AC352" s="52" t="n">
        <f aca="false">IF(W352="EUR",AA352,IF(W352="GBP",AB352,1))</f>
        <v>9.05</v>
      </c>
      <c r="AD352" s="52" t="n">
        <f aca="false">R352*X352</f>
        <v>8815.0360842148</v>
      </c>
      <c r="AE352" s="52" t="n">
        <f aca="false">IF(Y352="PERCENTAGE_OF_BASE_FREIGHT",AD352*Z352,IF(Y352="PER_CHARGEABLE_KG",R352*Z352,P352*Z352))</f>
        <v>1091.17805672061</v>
      </c>
      <c r="AF352" s="52" t="n">
        <f aca="false">AD352*AC352</f>
        <v>79776.076562144</v>
      </c>
      <c r="AG352" s="52" t="n">
        <f aca="false">AE352*AC352</f>
        <v>9875.16141332155</v>
      </c>
      <c r="AH352" s="52" t="s">
        <v>195</v>
      </c>
      <c r="AI352" s="52" t="n">
        <v>1.2684058185107</v>
      </c>
      <c r="AJ352" s="52" t="n">
        <f aca="false">IF(AH352="EUR",AA352,IF(AH352="GBP",AB352,1))</f>
        <v>7.88</v>
      </c>
      <c r="AK352" s="52" t="n">
        <f aca="false">N352*AI352</f>
        <v>1531.04903036411</v>
      </c>
      <c r="AL352" s="52" t="n">
        <f aca="false">AK352*AJ352</f>
        <v>12064.6663592692</v>
      </c>
      <c r="AM352" s="52" t="s">
        <v>195</v>
      </c>
      <c r="AN352" s="52" t="n">
        <v>0.4347</v>
      </c>
      <c r="AO352" s="52" t="n">
        <f aca="false">IF(AM352="EUR",AA352,IF(AM352="GBP",AB352,1))</f>
        <v>7.88</v>
      </c>
      <c r="AP352" s="52" t="n">
        <f aca="false">P352*AN352</f>
        <v>592.9239004416</v>
      </c>
      <c r="AQ352" s="52" t="n">
        <f aca="false">AP352*AO352</f>
        <v>4672.24033547981</v>
      </c>
      <c r="AR352" s="52" t="s">
        <v>199</v>
      </c>
      <c r="AS352" s="52" t="n">
        <v>4.968</v>
      </c>
      <c r="AT352" s="52" t="n">
        <f aca="false">IF(AR352="EUR",AA352,IF(AR352="GBP",AB352,1))</f>
        <v>9.05</v>
      </c>
      <c r="AU352" s="52" t="n">
        <f aca="false">T352*AS352</f>
        <v>539.703171072</v>
      </c>
      <c r="AV352" s="52" t="n">
        <f aca="false">AU352*AT352</f>
        <v>4884.3136982016</v>
      </c>
      <c r="AW352" s="52" t="s">
        <v>199</v>
      </c>
      <c r="AX352" s="52" t="n">
        <v>2.898</v>
      </c>
      <c r="AY352" s="52" t="n">
        <f aca="false">IF(AW352="EUR",AA352,IF(AW352="GBP",AB352,1))</f>
        <v>9.05</v>
      </c>
      <c r="AZ352" s="52" t="n">
        <f aca="false">V352*AX352</f>
        <v>56.9206944423936</v>
      </c>
      <c r="BA352" s="52" t="n">
        <f aca="false">AZ352*AY352</f>
        <v>515.132284703662</v>
      </c>
      <c r="BB352" s="52" t="n">
        <f aca="false">AF352+AG352+AL352+AQ352+AV352+BA352</f>
        <v>111787.59065312</v>
      </c>
      <c r="BC352" s="54" t="n">
        <v>0.974</v>
      </c>
      <c r="BD352" s="32"/>
      <c r="BE352" s="30" t="s">
        <v>205</v>
      </c>
      <c r="BF352" s="30" t="s">
        <v>216</v>
      </c>
      <c r="BG352" s="32" t="s">
        <v>197</v>
      </c>
    </row>
    <row r="353" customFormat="false" ht="39.15" hidden="false" customHeight="false" outlineLevel="0" collapsed="false">
      <c r="A353" s="18" t="s">
        <v>213</v>
      </c>
      <c r="B353" s="18" t="s">
        <v>207</v>
      </c>
      <c r="C353" s="18" t="s">
        <v>214</v>
      </c>
      <c r="D353" s="49" t="n">
        <v>46327</v>
      </c>
      <c r="E353" s="18" t="s">
        <v>127</v>
      </c>
      <c r="F353" s="18" t="s">
        <v>119</v>
      </c>
      <c r="G353" s="18" t="s">
        <v>100</v>
      </c>
      <c r="H353" s="18" t="s">
        <v>128</v>
      </c>
      <c r="I353" s="18" t="s">
        <v>125</v>
      </c>
      <c r="J353" s="50" t="n">
        <v>24800</v>
      </c>
      <c r="K353" s="51" t="n">
        <v>0.39</v>
      </c>
      <c r="L353" s="51" t="n">
        <v>0.96</v>
      </c>
      <c r="M353" s="51" t="n">
        <v>0.04</v>
      </c>
      <c r="N353" s="52" t="n">
        <f aca="false">J353*K353*L353*M353</f>
        <v>371.4048</v>
      </c>
      <c r="O353" s="50" t="n">
        <v>1.13</v>
      </c>
      <c r="P353" s="52" t="n">
        <f aca="false">N353*O353</f>
        <v>419.687424</v>
      </c>
      <c r="Q353" s="50" t="n">
        <v>0.947784</v>
      </c>
      <c r="R353" s="52" t="n">
        <f aca="false">P353*Q353</f>
        <v>397.773025468416</v>
      </c>
      <c r="S353" s="50" t="n">
        <v>0.09</v>
      </c>
      <c r="T353" s="52" t="n">
        <f aca="false">N353*S353</f>
        <v>33.426432</v>
      </c>
      <c r="U353" s="52" t="n">
        <v>0.0099</v>
      </c>
      <c r="V353" s="52" t="n">
        <f aca="false">P353*U353</f>
        <v>4.1549054976</v>
      </c>
      <c r="W353" s="53" t="s">
        <v>199</v>
      </c>
      <c r="X353" s="50" t="n">
        <v>8.22825</v>
      </c>
      <c r="Y353" s="53" t="s">
        <v>198</v>
      </c>
      <c r="Z353" s="50" t="n">
        <v>0.636318</v>
      </c>
      <c r="AA353" s="50" t="n">
        <v>7.88</v>
      </c>
      <c r="AB353" s="50" t="n">
        <v>9.05</v>
      </c>
      <c r="AC353" s="52" t="n">
        <f aca="false">IF(W353="EUR",AA353,IF(W353="GBP",AB353,1))</f>
        <v>9.05</v>
      </c>
      <c r="AD353" s="52" t="n">
        <f aca="false">R353*X353</f>
        <v>3272.97589681049</v>
      </c>
      <c r="AE353" s="52" t="n">
        <f aca="false">IF(Y353="PERCENTAGE_OF_BASE_FREIGHT",AD353*Z353,IF(Y353="PER_CHARGEABLE_KG",R353*Z353,P353*Z353))</f>
        <v>253.110136020011</v>
      </c>
      <c r="AF353" s="52" t="n">
        <f aca="false">AD353*AC353</f>
        <v>29620.431866135</v>
      </c>
      <c r="AG353" s="52" t="n">
        <f aca="false">AE353*AC353</f>
        <v>2290.6467309811</v>
      </c>
      <c r="AH353" s="52" t="s">
        <v>195</v>
      </c>
      <c r="AI353" s="52" t="n">
        <v>1.2684058185107</v>
      </c>
      <c r="AJ353" s="52" t="n">
        <f aca="false">IF(AH353="EUR",AA353,IF(AH353="GBP",AB353,1))</f>
        <v>7.88</v>
      </c>
      <c r="AK353" s="52" t="n">
        <f aca="false">N353*AI353</f>
        <v>471.092009342804</v>
      </c>
      <c r="AL353" s="52" t="n">
        <f aca="false">AK353*AJ353</f>
        <v>3712.20503362129</v>
      </c>
      <c r="AM353" s="52" t="s">
        <v>195</v>
      </c>
      <c r="AN353" s="52" t="n">
        <v>0.4347</v>
      </c>
      <c r="AO353" s="52" t="n">
        <f aca="false">IF(AM353="EUR",AA353,IF(AM353="GBP",AB353,1))</f>
        <v>7.88</v>
      </c>
      <c r="AP353" s="52" t="n">
        <f aca="false">P353*AN353</f>
        <v>182.4381232128</v>
      </c>
      <c r="AQ353" s="52" t="n">
        <f aca="false">AP353*AO353</f>
        <v>1437.61241091686</v>
      </c>
      <c r="AR353" s="52" t="s">
        <v>199</v>
      </c>
      <c r="AS353" s="52" t="n">
        <v>4.968</v>
      </c>
      <c r="AT353" s="52" t="n">
        <f aca="false">IF(AR353="EUR",AA353,IF(AR353="GBP",AB353,1))</f>
        <v>9.05</v>
      </c>
      <c r="AU353" s="52" t="n">
        <f aca="false">T353*AS353</f>
        <v>166.062514176</v>
      </c>
      <c r="AV353" s="52" t="n">
        <f aca="false">AU353*AT353</f>
        <v>1502.8657532928</v>
      </c>
      <c r="AW353" s="52" t="s">
        <v>199</v>
      </c>
      <c r="AX353" s="52" t="n">
        <v>3.726</v>
      </c>
      <c r="AY353" s="52" t="n">
        <f aca="false">IF(AW353="EUR",AA353,IF(AW353="GBP",AB353,1))</f>
        <v>9.05</v>
      </c>
      <c r="AZ353" s="52" t="n">
        <f aca="false">V353*AX353</f>
        <v>15.4811778840576</v>
      </c>
      <c r="BA353" s="52" t="n">
        <f aca="false">AZ353*AY353</f>
        <v>140.104659850721</v>
      </c>
      <c r="BB353" s="52" t="n">
        <f aca="false">AF353+AG353+AL353+AQ353+AV353+BA353</f>
        <v>38703.8664547977</v>
      </c>
      <c r="BC353" s="54" t="n">
        <v>0.988</v>
      </c>
      <c r="BD353" s="32"/>
      <c r="BE353" s="30" t="s">
        <v>205</v>
      </c>
      <c r="BF353" s="30" t="s">
        <v>216</v>
      </c>
      <c r="BG353" s="32" t="s">
        <v>197</v>
      </c>
    </row>
    <row r="354" customFormat="false" ht="39.15" hidden="false" customHeight="false" outlineLevel="0" collapsed="false">
      <c r="A354" s="18" t="s">
        <v>213</v>
      </c>
      <c r="B354" s="18" t="s">
        <v>207</v>
      </c>
      <c r="C354" s="18" t="s">
        <v>214</v>
      </c>
      <c r="D354" s="49" t="n">
        <v>46327</v>
      </c>
      <c r="E354" s="18" t="s">
        <v>130</v>
      </c>
      <c r="F354" s="18" t="s">
        <v>119</v>
      </c>
      <c r="G354" s="18" t="s">
        <v>110</v>
      </c>
      <c r="H354" s="18" t="s">
        <v>107</v>
      </c>
      <c r="I354" s="18" t="s">
        <v>125</v>
      </c>
      <c r="J354" s="50" t="n">
        <v>24800</v>
      </c>
      <c r="K354" s="51" t="n">
        <v>0.39</v>
      </c>
      <c r="L354" s="51" t="n">
        <v>0.04</v>
      </c>
      <c r="M354" s="51" t="n">
        <v>1</v>
      </c>
      <c r="N354" s="52" t="n">
        <f aca="false">J354*K354*L354*M354</f>
        <v>386.88</v>
      </c>
      <c r="O354" s="50" t="n">
        <v>1.17</v>
      </c>
      <c r="P354" s="52" t="n">
        <f aca="false">N354*O354</f>
        <v>452.6496</v>
      </c>
      <c r="Q354" s="50" t="n">
        <v>0.92718</v>
      </c>
      <c r="R354" s="52" t="n">
        <f aca="false">P354*Q354</f>
        <v>419.687656128</v>
      </c>
      <c r="S354" s="50" t="n">
        <v>0.09</v>
      </c>
      <c r="T354" s="52" t="n">
        <f aca="false">N354*S354</f>
        <v>34.8192</v>
      </c>
      <c r="U354" s="52" t="n">
        <v>0.0126</v>
      </c>
      <c r="V354" s="52" t="n">
        <f aca="false">P354*U354</f>
        <v>5.70338496</v>
      </c>
      <c r="W354" s="53" t="s">
        <v>195</v>
      </c>
      <c r="X354" s="50" t="n">
        <v>6.9345</v>
      </c>
      <c r="Y354" s="53" t="s">
        <v>196</v>
      </c>
      <c r="Z354" s="50" t="n">
        <v>0.108675</v>
      </c>
      <c r="AA354" s="50" t="n">
        <v>7.88</v>
      </c>
      <c r="AB354" s="50" t="n">
        <v>9.05</v>
      </c>
      <c r="AC354" s="52" t="n">
        <f aca="false">IF(W354="EUR",AA354,IF(W354="GBP",AB354,1))</f>
        <v>7.88</v>
      </c>
      <c r="AD354" s="52" t="n">
        <f aca="false">R354*X354</f>
        <v>2910.32405141962</v>
      </c>
      <c r="AE354" s="52" t="n">
        <f aca="false">IF(Y354="PERCENTAGE_OF_BASE_FREIGHT",AD354*Z354,IF(Y354="PER_CHARGEABLE_KG",R354*Z354,P354*Z354))</f>
        <v>316.279466288027</v>
      </c>
      <c r="AF354" s="52" t="n">
        <f aca="false">AD354*AC354</f>
        <v>22933.3535251866</v>
      </c>
      <c r="AG354" s="52" t="n">
        <f aca="false">AE354*AC354</f>
        <v>2492.28219434965</v>
      </c>
      <c r="AH354" s="52" t="s">
        <v>195</v>
      </c>
      <c r="AI354" s="52" t="n">
        <v>1.08675</v>
      </c>
      <c r="AJ354" s="52" t="n">
        <f aca="false">IF(AH354="EUR",AA354,IF(AH354="GBP",AB354,1))</f>
        <v>7.88</v>
      </c>
      <c r="AK354" s="52" t="n">
        <f aca="false">N354*AI354</f>
        <v>420.44184</v>
      </c>
      <c r="AL354" s="52" t="n">
        <f aca="false">AK354*AJ354</f>
        <v>3313.0816992</v>
      </c>
      <c r="AM354" s="52" t="s">
        <v>195</v>
      </c>
      <c r="AN354" s="52" t="n">
        <v>0.3933</v>
      </c>
      <c r="AO354" s="52" t="n">
        <f aca="false">IF(AM354="EUR",AA354,IF(AM354="GBP",AB354,1))</f>
        <v>7.88</v>
      </c>
      <c r="AP354" s="52" t="n">
        <f aca="false">P354*AN354</f>
        <v>178.02708768</v>
      </c>
      <c r="AQ354" s="52" t="n">
        <f aca="false">AP354*AO354</f>
        <v>1402.8534509184</v>
      </c>
      <c r="AR354" s="52" t="s">
        <v>195</v>
      </c>
      <c r="AS354" s="52" t="n">
        <v>5.382</v>
      </c>
      <c r="AT354" s="52" t="n">
        <f aca="false">IF(AR354="EUR",AA354,IF(AR354="GBP",AB354,1))</f>
        <v>7.88</v>
      </c>
      <c r="AU354" s="52" t="n">
        <f aca="false">T354*AS354</f>
        <v>187.3969344</v>
      </c>
      <c r="AV354" s="52" t="n">
        <f aca="false">AU354*AT354</f>
        <v>1476.687843072</v>
      </c>
      <c r="AW354" s="52" t="s">
        <v>195</v>
      </c>
      <c r="AX354" s="52" t="n">
        <v>2.898</v>
      </c>
      <c r="AY354" s="52" t="n">
        <f aca="false">IF(AW354="EUR",AA354,IF(AW354="GBP",AB354,1))</f>
        <v>7.88</v>
      </c>
      <c r="AZ354" s="52" t="n">
        <f aca="false">V354*AX354</f>
        <v>16.52840961408</v>
      </c>
      <c r="BA354" s="52" t="n">
        <f aca="false">AZ354*AY354</f>
        <v>130.24386775895</v>
      </c>
      <c r="BB354" s="52" t="n">
        <f aca="false">AF354+AG354+AL354+AQ354+AV354+BA354</f>
        <v>31748.5025804856</v>
      </c>
      <c r="BC354" s="54" t="n">
        <v>0.971</v>
      </c>
      <c r="BD354" s="32"/>
      <c r="BE354" s="30" t="s">
        <v>205</v>
      </c>
      <c r="BF354" s="30" t="s">
        <v>216</v>
      </c>
      <c r="BG354" s="32" t="s">
        <v>197</v>
      </c>
    </row>
    <row r="355" customFormat="false" ht="39.15" hidden="false" customHeight="false" outlineLevel="0" collapsed="false">
      <c r="A355" s="18" t="s">
        <v>213</v>
      </c>
      <c r="B355" s="18" t="s">
        <v>207</v>
      </c>
      <c r="C355" s="18" t="s">
        <v>214</v>
      </c>
      <c r="D355" s="49" t="n">
        <v>46357</v>
      </c>
      <c r="E355" s="18" t="s">
        <v>98</v>
      </c>
      <c r="F355" s="18" t="s">
        <v>99</v>
      </c>
      <c r="G355" s="18" t="s">
        <v>100</v>
      </c>
      <c r="H355" s="18" t="s">
        <v>101</v>
      </c>
      <c r="I355" s="18" t="s">
        <v>102</v>
      </c>
      <c r="J355" s="50" t="n">
        <v>28600</v>
      </c>
      <c r="K355" s="51" t="n">
        <v>0.32</v>
      </c>
      <c r="L355" s="51" t="n">
        <v>0.97</v>
      </c>
      <c r="M355" s="51" t="n">
        <v>0.6</v>
      </c>
      <c r="N355" s="52" t="n">
        <f aca="false">J355*K355*L355*M355</f>
        <v>5326.464</v>
      </c>
      <c r="O355" s="50" t="n">
        <v>1.05</v>
      </c>
      <c r="P355" s="52" t="n">
        <f aca="false">N355*O355</f>
        <v>5592.7872</v>
      </c>
      <c r="Q355" s="50" t="n">
        <v>0.7878</v>
      </c>
      <c r="R355" s="52" t="n">
        <f aca="false">P355*Q355</f>
        <v>4405.99775616</v>
      </c>
      <c r="S355" s="50" t="n">
        <v>0.05</v>
      </c>
      <c r="T355" s="52" t="n">
        <f aca="false">N355*S355</f>
        <v>266.3232</v>
      </c>
      <c r="U355" s="52" t="n">
        <v>0.016</v>
      </c>
      <c r="V355" s="52" t="n">
        <f aca="false">P355*U355</f>
        <v>89.4845952</v>
      </c>
      <c r="W355" s="53" t="s">
        <v>195</v>
      </c>
      <c r="X355" s="50" t="n">
        <v>2.277</v>
      </c>
      <c r="Y355" s="53" t="s">
        <v>196</v>
      </c>
      <c r="Z355" s="50" t="n">
        <v>0.098325</v>
      </c>
      <c r="AA355" s="50" t="n">
        <v>7.86</v>
      </c>
      <c r="AB355" s="50" t="n">
        <v>9</v>
      </c>
      <c r="AC355" s="52" t="n">
        <f aca="false">IF(W355="EUR",AA355,IF(W355="GBP",AB355,1))</f>
        <v>7.86</v>
      </c>
      <c r="AD355" s="52" t="n">
        <f aca="false">R355*X355</f>
        <v>10032.4568907763</v>
      </c>
      <c r="AE355" s="52" t="n">
        <f aca="false">IF(Y355="PERCENTAGE_OF_BASE_FREIGHT",AD355*Z355,IF(Y355="PER_CHARGEABLE_KG",R355*Z355,P355*Z355))</f>
        <v>986.441323785582</v>
      </c>
      <c r="AF355" s="52" t="n">
        <f aca="false">AD355*AC355</f>
        <v>78855.1111615019</v>
      </c>
      <c r="AG355" s="52" t="n">
        <f aca="false">AE355*AC355</f>
        <v>7753.42880495467</v>
      </c>
      <c r="AH355" s="52" t="s">
        <v>195</v>
      </c>
      <c r="AI355" s="52" t="n">
        <v>1.26158229834681</v>
      </c>
      <c r="AJ355" s="52" t="n">
        <f aca="false">IF(AH355="EUR",AA355,IF(AH355="GBP",AB355,1))</f>
        <v>7.86</v>
      </c>
      <c r="AK355" s="52" t="n">
        <f aca="false">N355*AI355</f>
        <v>6719.77269518157</v>
      </c>
      <c r="AL355" s="52" t="n">
        <f aca="false">AK355*AJ355</f>
        <v>52817.4133841271</v>
      </c>
      <c r="AM355" s="52" t="s">
        <v>195</v>
      </c>
      <c r="AN355" s="52" t="n">
        <v>0.4347</v>
      </c>
      <c r="AO355" s="52" t="n">
        <f aca="false">IF(AM355="EUR",AA355,IF(AM355="GBP",AB355,1))</f>
        <v>7.86</v>
      </c>
      <c r="AP355" s="52" t="n">
        <f aca="false">P355*AN355</f>
        <v>2431.18459584</v>
      </c>
      <c r="AQ355" s="52" t="n">
        <f aca="false">AP355*AO355</f>
        <v>19109.1109233024</v>
      </c>
      <c r="AR355" s="52" t="s">
        <v>195</v>
      </c>
      <c r="AS355" s="52" t="n">
        <v>3.312</v>
      </c>
      <c r="AT355" s="52" t="n">
        <f aca="false">IF(AR355="EUR",AA355,IF(AR355="GBP",AB355,1))</f>
        <v>7.86</v>
      </c>
      <c r="AU355" s="52" t="n">
        <f aca="false">T355*AS355</f>
        <v>882.0624384</v>
      </c>
      <c r="AV355" s="52" t="n">
        <f aca="false">AU355*AT355</f>
        <v>6933.010765824</v>
      </c>
      <c r="AW355" s="52" t="s">
        <v>195</v>
      </c>
      <c r="AX355" s="52" t="n">
        <v>2.3805</v>
      </c>
      <c r="AY355" s="52" t="n">
        <f aca="false">IF(AW355="EUR",AA355,IF(AW355="GBP",AB355,1))</f>
        <v>7.86</v>
      </c>
      <c r="AZ355" s="52" t="n">
        <f aca="false">V355*AX355</f>
        <v>213.0180788736</v>
      </c>
      <c r="BA355" s="52" t="n">
        <f aca="false">AZ355*AY355</f>
        <v>1674.3220999465</v>
      </c>
      <c r="BB355" s="52" t="n">
        <f aca="false">AF355+AG355+AL355+AQ355+AV355+BA355</f>
        <v>167142.397139657</v>
      </c>
      <c r="BC355" s="54" t="n">
        <v>0.965</v>
      </c>
      <c r="BD355" s="32"/>
      <c r="BE355" s="30" t="s">
        <v>205</v>
      </c>
      <c r="BF355" s="30" t="s">
        <v>216</v>
      </c>
      <c r="BG355" s="32" t="s">
        <v>197</v>
      </c>
    </row>
    <row r="356" customFormat="false" ht="39.15" hidden="false" customHeight="false" outlineLevel="0" collapsed="false">
      <c r="A356" s="18" t="s">
        <v>213</v>
      </c>
      <c r="B356" s="18" t="s">
        <v>207</v>
      </c>
      <c r="C356" s="18" t="s">
        <v>214</v>
      </c>
      <c r="D356" s="49" t="n">
        <v>46357</v>
      </c>
      <c r="E356" s="18" t="s">
        <v>106</v>
      </c>
      <c r="F356" s="18" t="s">
        <v>99</v>
      </c>
      <c r="G356" s="18" t="s">
        <v>100</v>
      </c>
      <c r="H356" s="18" t="s">
        <v>107</v>
      </c>
      <c r="I356" s="18" t="s">
        <v>102</v>
      </c>
      <c r="J356" s="50" t="n">
        <v>28600</v>
      </c>
      <c r="K356" s="51" t="n">
        <v>0.32</v>
      </c>
      <c r="L356" s="51" t="n">
        <v>0.97</v>
      </c>
      <c r="M356" s="51" t="n">
        <v>0.4</v>
      </c>
      <c r="N356" s="52" t="n">
        <f aca="false">J356*K356*L356*M356</f>
        <v>3550.976</v>
      </c>
      <c r="O356" s="50" t="n">
        <v>1.05</v>
      </c>
      <c r="P356" s="52" t="n">
        <f aca="false">N356*O356</f>
        <v>3728.5248</v>
      </c>
      <c r="Q356" s="50" t="n">
        <v>0.808</v>
      </c>
      <c r="R356" s="52" t="n">
        <f aca="false">P356*Q356</f>
        <v>3012.6480384</v>
      </c>
      <c r="S356" s="50" t="n">
        <v>0.05</v>
      </c>
      <c r="T356" s="52" t="n">
        <f aca="false">N356*S356</f>
        <v>177.5488</v>
      </c>
      <c r="U356" s="52" t="n">
        <v>0.013</v>
      </c>
      <c r="V356" s="52" t="n">
        <f aca="false">P356*U356</f>
        <v>48.4708224</v>
      </c>
      <c r="W356" s="53" t="s">
        <v>195</v>
      </c>
      <c r="X356" s="50" t="n">
        <v>2.84625</v>
      </c>
      <c r="Y356" s="53" t="s">
        <v>198</v>
      </c>
      <c r="Z356" s="50" t="n">
        <v>0.21735</v>
      </c>
      <c r="AA356" s="50" t="n">
        <v>7.86</v>
      </c>
      <c r="AB356" s="50" t="n">
        <v>9</v>
      </c>
      <c r="AC356" s="52" t="n">
        <f aca="false">IF(W356="EUR",AA356,IF(W356="GBP",AB356,1))</f>
        <v>7.86</v>
      </c>
      <c r="AD356" s="52" t="n">
        <f aca="false">R356*X356</f>
        <v>8574.749479296</v>
      </c>
      <c r="AE356" s="52" t="n">
        <f aca="false">IF(Y356="PERCENTAGE_OF_BASE_FREIGHT",AD356*Z356,IF(Y356="PER_CHARGEABLE_KG",R356*Z356,P356*Z356))</f>
        <v>654.79905114624</v>
      </c>
      <c r="AF356" s="52" t="n">
        <f aca="false">AD356*AC356</f>
        <v>67397.5309072666</v>
      </c>
      <c r="AG356" s="52" t="n">
        <f aca="false">AE356*AC356</f>
        <v>5146.72054200945</v>
      </c>
      <c r="AH356" s="52" t="s">
        <v>195</v>
      </c>
      <c r="AI356" s="52" t="n">
        <v>1.26158229834681</v>
      </c>
      <c r="AJ356" s="52" t="n">
        <f aca="false">IF(AH356="EUR",AA356,IF(AH356="GBP",AB356,1))</f>
        <v>7.86</v>
      </c>
      <c r="AK356" s="52" t="n">
        <f aca="false">N356*AI356</f>
        <v>4479.84846345438</v>
      </c>
      <c r="AL356" s="52" t="n">
        <f aca="false">AK356*AJ356</f>
        <v>35211.6089227514</v>
      </c>
      <c r="AM356" s="52" t="s">
        <v>195</v>
      </c>
      <c r="AN356" s="52" t="n">
        <v>0.4347</v>
      </c>
      <c r="AO356" s="52" t="n">
        <f aca="false">IF(AM356="EUR",AA356,IF(AM356="GBP",AB356,1))</f>
        <v>7.86</v>
      </c>
      <c r="AP356" s="52" t="n">
        <f aca="false">P356*AN356</f>
        <v>1620.78973056</v>
      </c>
      <c r="AQ356" s="52" t="n">
        <f aca="false">AP356*AO356</f>
        <v>12739.4072822016</v>
      </c>
      <c r="AR356" s="52" t="s">
        <v>195</v>
      </c>
      <c r="AS356" s="52" t="n">
        <v>3.312</v>
      </c>
      <c r="AT356" s="52" t="n">
        <f aca="false">IF(AR356="EUR",AA356,IF(AR356="GBP",AB356,1))</f>
        <v>7.86</v>
      </c>
      <c r="AU356" s="52" t="n">
        <f aca="false">T356*AS356</f>
        <v>588.0416256</v>
      </c>
      <c r="AV356" s="52" t="n">
        <f aca="false">AU356*AT356</f>
        <v>4622.007177216</v>
      </c>
      <c r="AW356" s="52" t="s">
        <v>195</v>
      </c>
      <c r="AX356" s="52" t="n">
        <v>2.3805</v>
      </c>
      <c r="AY356" s="52" t="n">
        <f aca="false">IF(AW356="EUR",AA356,IF(AW356="GBP",AB356,1))</f>
        <v>7.86</v>
      </c>
      <c r="AZ356" s="52" t="n">
        <f aca="false">V356*AX356</f>
        <v>115.3847927232</v>
      </c>
      <c r="BA356" s="52" t="n">
        <f aca="false">AZ356*AY356</f>
        <v>906.924470804352</v>
      </c>
      <c r="BB356" s="52" t="n">
        <f aca="false">AF356+AG356+AL356+AQ356+AV356+BA356</f>
        <v>126024.199302249</v>
      </c>
      <c r="BC356" s="54" t="n">
        <v>0.976</v>
      </c>
      <c r="BD356" s="32"/>
      <c r="BE356" s="30" t="s">
        <v>205</v>
      </c>
      <c r="BF356" s="30" t="s">
        <v>216</v>
      </c>
      <c r="BG356" s="32" t="s">
        <v>197</v>
      </c>
    </row>
    <row r="357" customFormat="false" ht="39.15" hidden="false" customHeight="false" outlineLevel="0" collapsed="false">
      <c r="A357" s="18" t="s">
        <v>213</v>
      </c>
      <c r="B357" s="18" t="s">
        <v>207</v>
      </c>
      <c r="C357" s="18" t="s">
        <v>214</v>
      </c>
      <c r="D357" s="49" t="n">
        <v>46357</v>
      </c>
      <c r="E357" s="18" t="s">
        <v>109</v>
      </c>
      <c r="F357" s="18" t="s">
        <v>99</v>
      </c>
      <c r="G357" s="18" t="s">
        <v>110</v>
      </c>
      <c r="H357" s="18" t="s">
        <v>107</v>
      </c>
      <c r="I357" s="18" t="s">
        <v>102</v>
      </c>
      <c r="J357" s="50" t="n">
        <v>28600</v>
      </c>
      <c r="K357" s="51" t="n">
        <v>0.32</v>
      </c>
      <c r="L357" s="51" t="n">
        <v>0.03</v>
      </c>
      <c r="M357" s="51" t="n">
        <v>1</v>
      </c>
      <c r="N357" s="52" t="n">
        <f aca="false">J357*K357*L357*M357</f>
        <v>274.56</v>
      </c>
      <c r="O357" s="50" t="n">
        <v>1.08</v>
      </c>
      <c r="P357" s="52" t="n">
        <f aca="false">N357*O357</f>
        <v>296.5248</v>
      </c>
      <c r="Q357" s="50" t="n">
        <v>0.8686</v>
      </c>
      <c r="R357" s="52" t="n">
        <f aca="false">P357*Q357</f>
        <v>257.56144128</v>
      </c>
      <c r="S357" s="50" t="n">
        <v>0.05</v>
      </c>
      <c r="T357" s="52" t="n">
        <f aca="false">N357*S357</f>
        <v>13.728</v>
      </c>
      <c r="U357" s="52" t="n">
        <v>0.014</v>
      </c>
      <c r="V357" s="52" t="n">
        <f aca="false">P357*U357</f>
        <v>4.1513472</v>
      </c>
      <c r="W357" s="53" t="s">
        <v>195</v>
      </c>
      <c r="X357" s="50" t="n">
        <v>3.4155</v>
      </c>
      <c r="Y357" s="53" t="s">
        <v>198</v>
      </c>
      <c r="Z357" s="50" t="n">
        <v>0.2484</v>
      </c>
      <c r="AA357" s="50" t="n">
        <v>7.86</v>
      </c>
      <c r="AB357" s="50" t="n">
        <v>9</v>
      </c>
      <c r="AC357" s="52" t="n">
        <f aca="false">IF(W357="EUR",AA357,IF(W357="GBP",AB357,1))</f>
        <v>7.86</v>
      </c>
      <c r="AD357" s="52" t="n">
        <f aca="false">R357*X357</f>
        <v>879.70110269184</v>
      </c>
      <c r="AE357" s="52" t="n">
        <f aca="false">IF(Y357="PERCENTAGE_OF_BASE_FREIGHT",AD357*Z357,IF(Y357="PER_CHARGEABLE_KG",R357*Z357,P357*Z357))</f>
        <v>63.978262013952</v>
      </c>
      <c r="AF357" s="52" t="n">
        <f aca="false">AD357*AC357</f>
        <v>6914.45066715787</v>
      </c>
      <c r="AG357" s="52" t="n">
        <f aca="false">AE357*AC357</f>
        <v>502.869139429663</v>
      </c>
      <c r="AH357" s="52" t="s">
        <v>195</v>
      </c>
      <c r="AI357" s="52" t="n">
        <v>1.08675</v>
      </c>
      <c r="AJ357" s="52" t="n">
        <f aca="false">IF(AH357="EUR",AA357,IF(AH357="GBP",AB357,1))</f>
        <v>7.86</v>
      </c>
      <c r="AK357" s="52" t="n">
        <f aca="false">N357*AI357</f>
        <v>298.37808</v>
      </c>
      <c r="AL357" s="52" t="n">
        <f aca="false">AK357*AJ357</f>
        <v>2345.2517088</v>
      </c>
      <c r="AM357" s="52" t="s">
        <v>195</v>
      </c>
      <c r="AN357" s="52" t="n">
        <v>0.3933</v>
      </c>
      <c r="AO357" s="52" t="n">
        <f aca="false">IF(AM357="EUR",AA357,IF(AM357="GBP",AB357,1))</f>
        <v>7.86</v>
      </c>
      <c r="AP357" s="52" t="n">
        <f aca="false">P357*AN357</f>
        <v>116.62320384</v>
      </c>
      <c r="AQ357" s="52" t="n">
        <f aca="false">AP357*AO357</f>
        <v>916.6583821824</v>
      </c>
      <c r="AR357" s="52" t="s">
        <v>195</v>
      </c>
      <c r="AS357" s="52" t="n">
        <v>3.933</v>
      </c>
      <c r="AT357" s="52" t="n">
        <f aca="false">IF(AR357="EUR",AA357,IF(AR357="GBP",AB357,1))</f>
        <v>7.86</v>
      </c>
      <c r="AU357" s="52" t="n">
        <f aca="false">T357*AS357</f>
        <v>53.992224</v>
      </c>
      <c r="AV357" s="52" t="n">
        <f aca="false">AU357*AT357</f>
        <v>424.37888064</v>
      </c>
      <c r="AW357" s="52" t="s">
        <v>195</v>
      </c>
      <c r="AX357" s="52" t="n">
        <v>2.3805</v>
      </c>
      <c r="AY357" s="52" t="n">
        <f aca="false">IF(AW357="EUR",AA357,IF(AW357="GBP",AB357,1))</f>
        <v>7.86</v>
      </c>
      <c r="AZ357" s="52" t="n">
        <f aca="false">V357*AX357</f>
        <v>9.8822820096</v>
      </c>
      <c r="BA357" s="52" t="n">
        <f aca="false">AZ357*AY357</f>
        <v>77.674736595456</v>
      </c>
      <c r="BB357" s="52" t="n">
        <f aca="false">AF357+AG357+AL357+AQ357+AV357+BA357</f>
        <v>11181.2835148054</v>
      </c>
      <c r="BC357" s="54" t="n">
        <v>0.968</v>
      </c>
      <c r="BD357" s="32"/>
      <c r="BE357" s="30" t="s">
        <v>205</v>
      </c>
      <c r="BF357" s="30" t="s">
        <v>216</v>
      </c>
      <c r="BG357" s="32" t="s">
        <v>197</v>
      </c>
    </row>
    <row r="358" customFormat="false" ht="39.15" hidden="false" customHeight="false" outlineLevel="0" collapsed="false">
      <c r="A358" s="18" t="s">
        <v>213</v>
      </c>
      <c r="B358" s="18" t="s">
        <v>207</v>
      </c>
      <c r="C358" s="18" t="s">
        <v>214</v>
      </c>
      <c r="D358" s="49" t="n">
        <v>46357</v>
      </c>
      <c r="E358" s="18" t="s">
        <v>112</v>
      </c>
      <c r="F358" s="18" t="s">
        <v>113</v>
      </c>
      <c r="G358" s="18" t="s">
        <v>110</v>
      </c>
      <c r="H358" s="18" t="s">
        <v>101</v>
      </c>
      <c r="I358" s="18" t="s">
        <v>102</v>
      </c>
      <c r="J358" s="50" t="n">
        <v>28600</v>
      </c>
      <c r="K358" s="51" t="n">
        <v>0.28</v>
      </c>
      <c r="L358" s="51" t="n">
        <v>1</v>
      </c>
      <c r="M358" s="51" t="n">
        <v>0.35</v>
      </c>
      <c r="N358" s="52" t="n">
        <f aca="false">J358*K358*L358*M358</f>
        <v>2802.8</v>
      </c>
      <c r="O358" s="50" t="n">
        <v>1.06</v>
      </c>
      <c r="P358" s="52" t="n">
        <f aca="false">N358*O358</f>
        <v>2970.968</v>
      </c>
      <c r="Q358" s="50" t="n">
        <v>0.7676</v>
      </c>
      <c r="R358" s="52" t="n">
        <f aca="false">P358*Q358</f>
        <v>2280.5150368</v>
      </c>
      <c r="S358" s="50" t="n">
        <v>0.06</v>
      </c>
      <c r="T358" s="52" t="n">
        <f aca="false">N358*S358</f>
        <v>168.168</v>
      </c>
      <c r="U358" s="52" t="n">
        <v>0.017</v>
      </c>
      <c r="V358" s="52" t="n">
        <f aca="false">P358*U358</f>
        <v>50.506456</v>
      </c>
      <c r="W358" s="53" t="s">
        <v>195</v>
      </c>
      <c r="X358" s="50" t="n">
        <v>2.1735</v>
      </c>
      <c r="Y358" s="53" t="s">
        <v>196</v>
      </c>
      <c r="Z358" s="50" t="n">
        <v>0.09315</v>
      </c>
      <c r="AA358" s="50" t="n">
        <v>7.86</v>
      </c>
      <c r="AB358" s="50" t="n">
        <v>9</v>
      </c>
      <c r="AC358" s="52" t="n">
        <f aca="false">IF(W358="EUR",AA358,IF(W358="GBP",AB358,1))</f>
        <v>7.86</v>
      </c>
      <c r="AD358" s="52" t="n">
        <f aca="false">R358*X358</f>
        <v>4956.6994324848</v>
      </c>
      <c r="AE358" s="52" t="n">
        <f aca="false">IF(Y358="PERCENTAGE_OF_BASE_FREIGHT",AD358*Z358,IF(Y358="PER_CHARGEABLE_KG",R358*Z358,P358*Z358))</f>
        <v>461.716552135959</v>
      </c>
      <c r="AF358" s="52" t="n">
        <f aca="false">AD358*AC358</f>
        <v>38959.6575393305</v>
      </c>
      <c r="AG358" s="52" t="n">
        <f aca="false">AE358*AC358</f>
        <v>3629.09209978864</v>
      </c>
      <c r="AH358" s="52" t="s">
        <v>195</v>
      </c>
      <c r="AI358" s="52" t="n">
        <v>1.08675</v>
      </c>
      <c r="AJ358" s="52" t="n">
        <f aca="false">IF(AH358="EUR",AA358,IF(AH358="GBP",AB358,1))</f>
        <v>7.86</v>
      </c>
      <c r="AK358" s="52" t="n">
        <f aca="false">N358*AI358</f>
        <v>3045.9429</v>
      </c>
      <c r="AL358" s="52" t="n">
        <f aca="false">AK358*AJ358</f>
        <v>23941.111194</v>
      </c>
      <c r="AM358" s="52" t="s">
        <v>195</v>
      </c>
      <c r="AN358" s="52" t="n">
        <v>0.3933</v>
      </c>
      <c r="AO358" s="52" t="n">
        <f aca="false">IF(AM358="EUR",AA358,IF(AM358="GBP",AB358,1))</f>
        <v>7.86</v>
      </c>
      <c r="AP358" s="52" t="n">
        <f aca="false">P358*AN358</f>
        <v>1168.4817144</v>
      </c>
      <c r="AQ358" s="52" t="n">
        <f aca="false">AP358*AO358</f>
        <v>9184.266275184</v>
      </c>
      <c r="AR358" s="52" t="s">
        <v>195</v>
      </c>
      <c r="AS358" s="52" t="n">
        <v>3.105</v>
      </c>
      <c r="AT358" s="52" t="n">
        <f aca="false">IF(AR358="EUR",AA358,IF(AR358="GBP",AB358,1))</f>
        <v>7.86</v>
      </c>
      <c r="AU358" s="52" t="n">
        <f aca="false">T358*AS358</f>
        <v>522.16164</v>
      </c>
      <c r="AV358" s="52" t="n">
        <f aca="false">AU358*AT358</f>
        <v>4104.1904904</v>
      </c>
      <c r="AW358" s="52" t="s">
        <v>195</v>
      </c>
      <c r="AX358" s="52" t="n">
        <v>2.3805</v>
      </c>
      <c r="AY358" s="52" t="n">
        <f aca="false">IF(AW358="EUR",AA358,IF(AW358="GBP",AB358,1))</f>
        <v>7.86</v>
      </c>
      <c r="AZ358" s="52" t="n">
        <f aca="false">V358*AX358</f>
        <v>120.230618508</v>
      </c>
      <c r="BA358" s="52" t="n">
        <f aca="false">AZ358*AY358</f>
        <v>945.01266147288</v>
      </c>
      <c r="BB358" s="52" t="n">
        <f aca="false">AF358+AG358+AL358+AQ358+AV358+BA358</f>
        <v>80763.330260176</v>
      </c>
      <c r="BC358" s="54" t="n">
        <v>0.961</v>
      </c>
      <c r="BD358" s="32"/>
      <c r="BE358" s="30" t="s">
        <v>205</v>
      </c>
      <c r="BF358" s="30" t="s">
        <v>216</v>
      </c>
      <c r="BG358" s="32" t="s">
        <v>197</v>
      </c>
    </row>
    <row r="359" customFormat="false" ht="39.15" hidden="false" customHeight="false" outlineLevel="0" collapsed="false">
      <c r="A359" s="18" t="s">
        <v>213</v>
      </c>
      <c r="B359" s="18" t="s">
        <v>207</v>
      </c>
      <c r="C359" s="18" t="s">
        <v>214</v>
      </c>
      <c r="D359" s="49" t="n">
        <v>46357</v>
      </c>
      <c r="E359" s="18" t="s">
        <v>116</v>
      </c>
      <c r="F359" s="18" t="s">
        <v>113</v>
      </c>
      <c r="G359" s="18" t="s">
        <v>110</v>
      </c>
      <c r="H359" s="18" t="s">
        <v>107</v>
      </c>
      <c r="I359" s="18" t="s">
        <v>102</v>
      </c>
      <c r="J359" s="50" t="n">
        <v>28600</v>
      </c>
      <c r="K359" s="51" t="n">
        <v>0.28</v>
      </c>
      <c r="L359" s="51" t="n">
        <v>1</v>
      </c>
      <c r="M359" s="51" t="n">
        <v>0.65</v>
      </c>
      <c r="N359" s="52" t="n">
        <f aca="false">J359*K359*L359*M359</f>
        <v>5205.2</v>
      </c>
      <c r="O359" s="50" t="n">
        <v>1.06</v>
      </c>
      <c r="P359" s="52" t="n">
        <f aca="false">N359*O359</f>
        <v>5517.512</v>
      </c>
      <c r="Q359" s="50" t="n">
        <v>0.7979</v>
      </c>
      <c r="R359" s="52" t="n">
        <f aca="false">P359*Q359</f>
        <v>4402.4228248</v>
      </c>
      <c r="S359" s="50" t="n">
        <v>0.06</v>
      </c>
      <c r="T359" s="52" t="n">
        <f aca="false">N359*S359</f>
        <v>312.312</v>
      </c>
      <c r="U359" s="52" t="n">
        <v>0.014</v>
      </c>
      <c r="V359" s="52" t="n">
        <f aca="false">P359*U359</f>
        <v>77.245168</v>
      </c>
      <c r="W359" s="53" t="s">
        <v>195</v>
      </c>
      <c r="X359" s="50" t="n">
        <v>2.691</v>
      </c>
      <c r="Y359" s="53" t="s">
        <v>198</v>
      </c>
      <c r="Z359" s="50" t="n">
        <v>0.207</v>
      </c>
      <c r="AA359" s="50" t="n">
        <v>7.86</v>
      </c>
      <c r="AB359" s="50" t="n">
        <v>9</v>
      </c>
      <c r="AC359" s="52" t="n">
        <f aca="false">IF(W359="EUR",AA359,IF(W359="GBP",AB359,1))</f>
        <v>7.86</v>
      </c>
      <c r="AD359" s="52" t="n">
        <f aca="false">R359*X359</f>
        <v>11846.9198215368</v>
      </c>
      <c r="AE359" s="52" t="n">
        <f aca="false">IF(Y359="PERCENTAGE_OF_BASE_FREIGHT",AD359*Z359,IF(Y359="PER_CHARGEABLE_KG",R359*Z359,P359*Z359))</f>
        <v>911.3015247336</v>
      </c>
      <c r="AF359" s="52" t="n">
        <f aca="false">AD359*AC359</f>
        <v>93116.7897972793</v>
      </c>
      <c r="AG359" s="52" t="n">
        <f aca="false">AE359*AC359</f>
        <v>7162.8299844061</v>
      </c>
      <c r="AH359" s="52" t="s">
        <v>195</v>
      </c>
      <c r="AI359" s="52" t="n">
        <v>1.08675</v>
      </c>
      <c r="AJ359" s="52" t="n">
        <f aca="false">IF(AH359="EUR",AA359,IF(AH359="GBP",AB359,1))</f>
        <v>7.86</v>
      </c>
      <c r="AK359" s="52" t="n">
        <f aca="false">N359*AI359</f>
        <v>5656.7511</v>
      </c>
      <c r="AL359" s="52" t="n">
        <f aca="false">AK359*AJ359</f>
        <v>44462.063646</v>
      </c>
      <c r="AM359" s="52" t="s">
        <v>195</v>
      </c>
      <c r="AN359" s="52" t="n">
        <v>0.3933</v>
      </c>
      <c r="AO359" s="52" t="n">
        <f aca="false">IF(AM359="EUR",AA359,IF(AM359="GBP",AB359,1))</f>
        <v>7.86</v>
      </c>
      <c r="AP359" s="52" t="n">
        <f aca="false">P359*AN359</f>
        <v>2170.0374696</v>
      </c>
      <c r="AQ359" s="52" t="n">
        <f aca="false">AP359*AO359</f>
        <v>17056.494511056</v>
      </c>
      <c r="AR359" s="52" t="s">
        <v>195</v>
      </c>
      <c r="AS359" s="52" t="n">
        <v>3.105</v>
      </c>
      <c r="AT359" s="52" t="n">
        <f aca="false">IF(AR359="EUR",AA359,IF(AR359="GBP",AB359,1))</f>
        <v>7.86</v>
      </c>
      <c r="AU359" s="52" t="n">
        <f aca="false">T359*AS359</f>
        <v>969.72876</v>
      </c>
      <c r="AV359" s="52" t="n">
        <f aca="false">AU359*AT359</f>
        <v>7622.0680536</v>
      </c>
      <c r="AW359" s="52" t="s">
        <v>195</v>
      </c>
      <c r="AX359" s="52" t="n">
        <v>2.3805</v>
      </c>
      <c r="AY359" s="52" t="n">
        <f aca="false">IF(AW359="EUR",AA359,IF(AW359="GBP",AB359,1))</f>
        <v>7.86</v>
      </c>
      <c r="AZ359" s="52" t="n">
        <f aca="false">V359*AX359</f>
        <v>183.882122424</v>
      </c>
      <c r="BA359" s="52" t="n">
        <f aca="false">AZ359*AY359</f>
        <v>1445.31348225264</v>
      </c>
      <c r="BB359" s="52" t="n">
        <f aca="false">AF359+AG359+AL359+AQ359+AV359+BA359</f>
        <v>170865.559474594</v>
      </c>
      <c r="BC359" s="54" t="n">
        <v>0.973</v>
      </c>
      <c r="BD359" s="32"/>
      <c r="BE359" s="30" t="s">
        <v>205</v>
      </c>
      <c r="BF359" s="30" t="s">
        <v>216</v>
      </c>
      <c r="BG359" s="32" t="s">
        <v>197</v>
      </c>
    </row>
    <row r="360" customFormat="false" ht="39.15" hidden="false" customHeight="false" outlineLevel="0" collapsed="false">
      <c r="A360" s="18" t="s">
        <v>213</v>
      </c>
      <c r="B360" s="18" t="s">
        <v>207</v>
      </c>
      <c r="C360" s="18" t="s">
        <v>214</v>
      </c>
      <c r="D360" s="49" t="n">
        <v>46357</v>
      </c>
      <c r="E360" s="18" t="s">
        <v>118</v>
      </c>
      <c r="F360" s="18" t="s">
        <v>119</v>
      </c>
      <c r="G360" s="18" t="s">
        <v>100</v>
      </c>
      <c r="H360" s="18" t="s">
        <v>101</v>
      </c>
      <c r="I360" s="18" t="s">
        <v>102</v>
      </c>
      <c r="J360" s="50" t="n">
        <v>28600</v>
      </c>
      <c r="K360" s="51" t="n">
        <v>0.4</v>
      </c>
      <c r="L360" s="51" t="n">
        <v>0.96</v>
      </c>
      <c r="M360" s="51" t="n">
        <v>0.58</v>
      </c>
      <c r="N360" s="52" t="n">
        <f aca="false">J360*K360*L360*M360</f>
        <v>6369.792</v>
      </c>
      <c r="O360" s="50" t="n">
        <v>1.13</v>
      </c>
      <c r="P360" s="52" t="n">
        <f aca="false">N360*O360</f>
        <v>7197.86496</v>
      </c>
      <c r="Q360" s="50" t="n">
        <v>1.050804</v>
      </c>
      <c r="R360" s="52" t="n">
        <f aca="false">P360*Q360</f>
        <v>7563.54529142784</v>
      </c>
      <c r="S360" s="50" t="n">
        <v>0.09</v>
      </c>
      <c r="T360" s="52" t="n">
        <f aca="false">N360*S360</f>
        <v>573.28128</v>
      </c>
      <c r="U360" s="52" t="n">
        <v>0.0243</v>
      </c>
      <c r="V360" s="52" t="n">
        <f aca="false">P360*U360</f>
        <v>174.908118528</v>
      </c>
      <c r="W360" s="53" t="s">
        <v>199</v>
      </c>
      <c r="X360" s="50" t="n">
        <v>4.14</v>
      </c>
      <c r="Y360" s="53" t="s">
        <v>196</v>
      </c>
      <c r="Z360" s="50" t="n">
        <v>0.1035</v>
      </c>
      <c r="AA360" s="50" t="n">
        <v>7.86</v>
      </c>
      <c r="AB360" s="50" t="n">
        <v>9</v>
      </c>
      <c r="AC360" s="52" t="n">
        <f aca="false">IF(W360="EUR",AA360,IF(W360="GBP",AB360,1))</f>
        <v>9</v>
      </c>
      <c r="AD360" s="52" t="n">
        <f aca="false">R360*X360</f>
        <v>31313.0775065113</v>
      </c>
      <c r="AE360" s="52" t="n">
        <f aca="false">IF(Y360="PERCENTAGE_OF_BASE_FREIGHT",AD360*Z360,IF(Y360="PER_CHARGEABLE_KG",R360*Z360,P360*Z360))</f>
        <v>3240.90352192391</v>
      </c>
      <c r="AF360" s="52" t="n">
        <f aca="false">AD360*AC360</f>
        <v>281817.697558601</v>
      </c>
      <c r="AG360" s="52" t="n">
        <f aca="false">AE360*AC360</f>
        <v>29168.1316973152</v>
      </c>
      <c r="AH360" s="52" t="s">
        <v>195</v>
      </c>
      <c r="AI360" s="52" t="n">
        <v>1.26158229834681</v>
      </c>
      <c r="AJ360" s="52" t="n">
        <f aca="false">IF(AH360="EUR",AA360,IF(AH360="GBP",AB360,1))</f>
        <v>7.86</v>
      </c>
      <c r="AK360" s="52" t="n">
        <f aca="false">N360*AI360</f>
        <v>8036.01683135115</v>
      </c>
      <c r="AL360" s="52" t="n">
        <f aca="false">AK360*AJ360</f>
        <v>63163.0922944201</v>
      </c>
      <c r="AM360" s="52" t="s">
        <v>195</v>
      </c>
      <c r="AN360" s="52" t="n">
        <v>0.4347</v>
      </c>
      <c r="AO360" s="52" t="n">
        <f aca="false">IF(AM360="EUR",AA360,IF(AM360="GBP",AB360,1))</f>
        <v>7.86</v>
      </c>
      <c r="AP360" s="52" t="n">
        <f aca="false">P360*AN360</f>
        <v>3128.911898112</v>
      </c>
      <c r="AQ360" s="52" t="n">
        <f aca="false">AP360*AO360</f>
        <v>24593.2475191603</v>
      </c>
      <c r="AR360" s="52" t="s">
        <v>199</v>
      </c>
      <c r="AS360" s="52" t="n">
        <v>4.968</v>
      </c>
      <c r="AT360" s="52" t="n">
        <f aca="false">IF(AR360="EUR",AA360,IF(AR360="GBP",AB360,1))</f>
        <v>9</v>
      </c>
      <c r="AU360" s="52" t="n">
        <f aca="false">T360*AS360</f>
        <v>2848.06139904</v>
      </c>
      <c r="AV360" s="52" t="n">
        <f aca="false">AU360*AT360</f>
        <v>25632.55259136</v>
      </c>
      <c r="AW360" s="52" t="s">
        <v>199</v>
      </c>
      <c r="AX360" s="52" t="n">
        <v>2.3805</v>
      </c>
      <c r="AY360" s="52" t="n">
        <f aca="false">IF(AW360="EUR",AA360,IF(AW360="GBP",AB360,1))</f>
        <v>9</v>
      </c>
      <c r="AZ360" s="52" t="n">
        <f aca="false">V360*AX360</f>
        <v>416.368776155904</v>
      </c>
      <c r="BA360" s="52" t="n">
        <f aca="false">AZ360*AY360</f>
        <v>3747.31898540314</v>
      </c>
      <c r="BB360" s="52" t="n">
        <f aca="false">AF360+AG360+AL360+AQ360+AV360+BA360</f>
        <v>428122.04064626</v>
      </c>
      <c r="BC360" s="54" t="n">
        <v>0.93</v>
      </c>
      <c r="BD360" s="32"/>
      <c r="BE360" s="30" t="s">
        <v>205</v>
      </c>
      <c r="BF360" s="30" t="s">
        <v>216</v>
      </c>
      <c r="BG360" s="32" t="s">
        <v>197</v>
      </c>
    </row>
    <row r="361" customFormat="false" ht="39.15" hidden="false" customHeight="false" outlineLevel="0" collapsed="false">
      <c r="A361" s="18" t="s">
        <v>213</v>
      </c>
      <c r="B361" s="18" t="s">
        <v>207</v>
      </c>
      <c r="C361" s="18" t="s">
        <v>214</v>
      </c>
      <c r="D361" s="49" t="n">
        <v>46357</v>
      </c>
      <c r="E361" s="18" t="s">
        <v>122</v>
      </c>
      <c r="F361" s="18" t="s">
        <v>119</v>
      </c>
      <c r="G361" s="18" t="s">
        <v>100</v>
      </c>
      <c r="H361" s="18" t="s">
        <v>107</v>
      </c>
      <c r="I361" s="18" t="s">
        <v>102</v>
      </c>
      <c r="J361" s="50" t="n">
        <v>28600</v>
      </c>
      <c r="K361" s="51" t="n">
        <v>0.4</v>
      </c>
      <c r="L361" s="51" t="n">
        <v>0.96</v>
      </c>
      <c r="M361" s="51" t="n">
        <v>0.28</v>
      </c>
      <c r="N361" s="52" t="n">
        <f aca="false">J361*K361*L361*M361</f>
        <v>3075.072</v>
      </c>
      <c r="O361" s="50" t="n">
        <v>1.13</v>
      </c>
      <c r="P361" s="52" t="n">
        <f aca="false">N361*O361</f>
        <v>3474.83136</v>
      </c>
      <c r="Q361" s="50" t="n">
        <v>1.0302</v>
      </c>
      <c r="R361" s="52" t="n">
        <f aca="false">P361*Q361</f>
        <v>3579.771267072</v>
      </c>
      <c r="S361" s="50" t="n">
        <v>0.09</v>
      </c>
      <c r="T361" s="52" t="n">
        <f aca="false">N361*S361</f>
        <v>276.75648</v>
      </c>
      <c r="U361" s="52" t="n">
        <v>0.018</v>
      </c>
      <c r="V361" s="52" t="n">
        <f aca="false">P361*U361</f>
        <v>62.54696448</v>
      </c>
      <c r="W361" s="53" t="s">
        <v>199</v>
      </c>
      <c r="X361" s="50" t="n">
        <v>4.8645</v>
      </c>
      <c r="Y361" s="53" t="s">
        <v>198</v>
      </c>
      <c r="Z361" s="50" t="n">
        <v>0.34155</v>
      </c>
      <c r="AA361" s="50" t="n">
        <v>7.86</v>
      </c>
      <c r="AB361" s="50" t="n">
        <v>9</v>
      </c>
      <c r="AC361" s="52" t="n">
        <f aca="false">IF(W361="EUR",AA361,IF(W361="GBP",AB361,1))</f>
        <v>9</v>
      </c>
      <c r="AD361" s="52" t="n">
        <f aca="false">R361*X361</f>
        <v>17413.7973286717</v>
      </c>
      <c r="AE361" s="52" t="n">
        <f aca="false">IF(Y361="PERCENTAGE_OF_BASE_FREIGHT",AD361*Z361,IF(Y361="PER_CHARGEABLE_KG",R361*Z361,P361*Z361))</f>
        <v>1222.67087626844</v>
      </c>
      <c r="AF361" s="52" t="n">
        <f aca="false">AD361*AC361</f>
        <v>156724.175958046</v>
      </c>
      <c r="AG361" s="52" t="n">
        <f aca="false">AE361*AC361</f>
        <v>11004.037886416</v>
      </c>
      <c r="AH361" s="52" t="s">
        <v>195</v>
      </c>
      <c r="AI361" s="52" t="n">
        <v>1.26158229834681</v>
      </c>
      <c r="AJ361" s="52" t="n">
        <f aca="false">IF(AH361="EUR",AA361,IF(AH361="GBP",AB361,1))</f>
        <v>7.86</v>
      </c>
      <c r="AK361" s="52" t="n">
        <f aca="false">N361*AI361</f>
        <v>3879.45640134194</v>
      </c>
      <c r="AL361" s="52" t="n">
        <f aca="false">AK361*AJ361</f>
        <v>30492.5273145476</v>
      </c>
      <c r="AM361" s="52" t="s">
        <v>195</v>
      </c>
      <c r="AN361" s="52" t="n">
        <v>0.4347</v>
      </c>
      <c r="AO361" s="52" t="n">
        <f aca="false">IF(AM361="EUR",AA361,IF(AM361="GBP",AB361,1))</f>
        <v>7.86</v>
      </c>
      <c r="AP361" s="52" t="n">
        <f aca="false">P361*AN361</f>
        <v>1510.509192192</v>
      </c>
      <c r="AQ361" s="52" t="n">
        <f aca="false">AP361*AO361</f>
        <v>11872.6022506291</v>
      </c>
      <c r="AR361" s="52" t="s">
        <v>199</v>
      </c>
      <c r="AS361" s="52" t="n">
        <v>4.968</v>
      </c>
      <c r="AT361" s="52" t="n">
        <f aca="false">IF(AR361="EUR",AA361,IF(AR361="GBP",AB361,1))</f>
        <v>9</v>
      </c>
      <c r="AU361" s="52" t="n">
        <f aca="false">T361*AS361</f>
        <v>1374.92619264</v>
      </c>
      <c r="AV361" s="52" t="n">
        <f aca="false">AU361*AT361</f>
        <v>12374.33573376</v>
      </c>
      <c r="AW361" s="52" t="s">
        <v>199</v>
      </c>
      <c r="AX361" s="52" t="n">
        <v>2.3805</v>
      </c>
      <c r="AY361" s="52" t="n">
        <f aca="false">IF(AW361="EUR",AA361,IF(AW361="GBP",AB361,1))</f>
        <v>9</v>
      </c>
      <c r="AZ361" s="52" t="n">
        <f aca="false">V361*AX361</f>
        <v>148.89304894464</v>
      </c>
      <c r="BA361" s="52" t="n">
        <f aca="false">AZ361*AY361</f>
        <v>1340.03744050176</v>
      </c>
      <c r="BB361" s="52" t="n">
        <f aca="false">AF361+AG361+AL361+AQ361+AV361+BA361</f>
        <v>223807.7165839</v>
      </c>
      <c r="BC361" s="54" t="n">
        <v>0.95</v>
      </c>
      <c r="BD361" s="32"/>
      <c r="BE361" s="30" t="s">
        <v>205</v>
      </c>
      <c r="BF361" s="30" t="s">
        <v>216</v>
      </c>
      <c r="BG361" s="32" t="s">
        <v>197</v>
      </c>
    </row>
    <row r="362" customFormat="false" ht="39.15" hidden="false" customHeight="false" outlineLevel="0" collapsed="false">
      <c r="A362" s="18" t="s">
        <v>213</v>
      </c>
      <c r="B362" s="18" t="s">
        <v>207</v>
      </c>
      <c r="C362" s="18" t="s">
        <v>214</v>
      </c>
      <c r="D362" s="49" t="n">
        <v>46357</v>
      </c>
      <c r="E362" s="18" t="s">
        <v>124</v>
      </c>
      <c r="F362" s="18" t="s">
        <v>119</v>
      </c>
      <c r="G362" s="18" t="s">
        <v>100</v>
      </c>
      <c r="H362" s="18" t="s">
        <v>107</v>
      </c>
      <c r="I362" s="18" t="s">
        <v>125</v>
      </c>
      <c r="J362" s="50" t="n">
        <v>28600</v>
      </c>
      <c r="K362" s="51" t="n">
        <v>0.4</v>
      </c>
      <c r="L362" s="51" t="n">
        <v>0.96</v>
      </c>
      <c r="M362" s="51" t="n">
        <v>0.1</v>
      </c>
      <c r="N362" s="52" t="n">
        <f aca="false">J362*K362*L362*M362</f>
        <v>1098.24</v>
      </c>
      <c r="O362" s="50" t="n">
        <v>1.13</v>
      </c>
      <c r="P362" s="52" t="n">
        <f aca="false">N362*O362</f>
        <v>1241.0112</v>
      </c>
      <c r="Q362" s="50" t="n">
        <v>0.968388</v>
      </c>
      <c r="R362" s="52" t="n">
        <f aca="false">P362*Q362</f>
        <v>1201.7803539456</v>
      </c>
      <c r="S362" s="50" t="n">
        <v>0.09</v>
      </c>
      <c r="T362" s="52" t="n">
        <f aca="false">N362*S362</f>
        <v>98.8416</v>
      </c>
      <c r="U362" s="52" t="n">
        <v>0.0144</v>
      </c>
      <c r="V362" s="52" t="n">
        <f aca="false">P362*U362</f>
        <v>17.87056128</v>
      </c>
      <c r="W362" s="53" t="s">
        <v>199</v>
      </c>
      <c r="X362" s="50" t="n">
        <v>6.67368</v>
      </c>
      <c r="Y362" s="53" t="s">
        <v>196</v>
      </c>
      <c r="Z362" s="50" t="n">
        <v>0.123786</v>
      </c>
      <c r="AA362" s="50" t="n">
        <v>7.86</v>
      </c>
      <c r="AB362" s="50" t="n">
        <v>9</v>
      </c>
      <c r="AC362" s="52" t="n">
        <f aca="false">IF(W362="EUR",AA362,IF(W362="GBP",AB362,1))</f>
        <v>9</v>
      </c>
      <c r="AD362" s="52" t="n">
        <f aca="false">R362*X362</f>
        <v>8020.29751251967</v>
      </c>
      <c r="AE362" s="52" t="n">
        <f aca="false">IF(Y362="PERCENTAGE_OF_BASE_FREIGHT",AD362*Z362,IF(Y362="PER_CHARGEABLE_KG",R362*Z362,P362*Z362))</f>
        <v>992.80054788476</v>
      </c>
      <c r="AF362" s="52" t="n">
        <f aca="false">AD362*AC362</f>
        <v>72182.677612677</v>
      </c>
      <c r="AG362" s="52" t="n">
        <f aca="false">AE362*AC362</f>
        <v>8935.20493096284</v>
      </c>
      <c r="AH362" s="52" t="s">
        <v>195</v>
      </c>
      <c r="AI362" s="52" t="n">
        <v>1.26158229834681</v>
      </c>
      <c r="AJ362" s="52" t="n">
        <f aca="false">IF(AH362="EUR",AA362,IF(AH362="GBP",AB362,1))</f>
        <v>7.86</v>
      </c>
      <c r="AK362" s="52" t="n">
        <f aca="false">N362*AI362</f>
        <v>1385.52014333641</v>
      </c>
      <c r="AL362" s="52" t="n">
        <f aca="false">AK362*AJ362</f>
        <v>10890.1883266242</v>
      </c>
      <c r="AM362" s="52" t="s">
        <v>195</v>
      </c>
      <c r="AN362" s="52" t="n">
        <v>0.4347</v>
      </c>
      <c r="AO362" s="52" t="n">
        <f aca="false">IF(AM362="EUR",AA362,IF(AM362="GBP",AB362,1))</f>
        <v>7.86</v>
      </c>
      <c r="AP362" s="52" t="n">
        <f aca="false">P362*AN362</f>
        <v>539.46756864</v>
      </c>
      <c r="AQ362" s="52" t="n">
        <f aca="false">AP362*AO362</f>
        <v>4240.2150895104</v>
      </c>
      <c r="AR362" s="52" t="s">
        <v>199</v>
      </c>
      <c r="AS362" s="52" t="n">
        <v>4.968</v>
      </c>
      <c r="AT362" s="52" t="n">
        <f aca="false">IF(AR362="EUR",AA362,IF(AR362="GBP",AB362,1))</f>
        <v>9</v>
      </c>
      <c r="AU362" s="52" t="n">
        <f aca="false">T362*AS362</f>
        <v>491.0450688</v>
      </c>
      <c r="AV362" s="52" t="n">
        <f aca="false">AU362*AT362</f>
        <v>4419.4056192</v>
      </c>
      <c r="AW362" s="52" t="s">
        <v>199</v>
      </c>
      <c r="AX362" s="52" t="n">
        <v>2.898</v>
      </c>
      <c r="AY362" s="52" t="n">
        <f aca="false">IF(AW362="EUR",AA362,IF(AW362="GBP",AB362,1))</f>
        <v>9</v>
      </c>
      <c r="AZ362" s="52" t="n">
        <f aca="false">V362*AX362</f>
        <v>51.78888658944</v>
      </c>
      <c r="BA362" s="52" t="n">
        <f aca="false">AZ362*AY362</f>
        <v>466.09997930496</v>
      </c>
      <c r="BB362" s="52" t="n">
        <f aca="false">AF362+AG362+AL362+AQ362+AV362+BA362</f>
        <v>101133.791558279</v>
      </c>
      <c r="BC362" s="54" t="n">
        <v>0.974</v>
      </c>
      <c r="BD362" s="32"/>
      <c r="BE362" s="30" t="s">
        <v>205</v>
      </c>
      <c r="BF362" s="30" t="s">
        <v>216</v>
      </c>
      <c r="BG362" s="32" t="s">
        <v>197</v>
      </c>
    </row>
    <row r="363" customFormat="false" ht="39.15" hidden="false" customHeight="false" outlineLevel="0" collapsed="false">
      <c r="A363" s="18" t="s">
        <v>213</v>
      </c>
      <c r="B363" s="18" t="s">
        <v>207</v>
      </c>
      <c r="C363" s="18" t="s">
        <v>214</v>
      </c>
      <c r="D363" s="49" t="n">
        <v>46357</v>
      </c>
      <c r="E363" s="18" t="s">
        <v>127</v>
      </c>
      <c r="F363" s="18" t="s">
        <v>119</v>
      </c>
      <c r="G363" s="18" t="s">
        <v>100</v>
      </c>
      <c r="H363" s="18" t="s">
        <v>128</v>
      </c>
      <c r="I363" s="18" t="s">
        <v>125</v>
      </c>
      <c r="J363" s="50" t="n">
        <v>28600</v>
      </c>
      <c r="K363" s="51" t="n">
        <v>0.4</v>
      </c>
      <c r="L363" s="51" t="n">
        <v>0.96</v>
      </c>
      <c r="M363" s="51" t="n">
        <v>0.04</v>
      </c>
      <c r="N363" s="52" t="n">
        <f aca="false">J363*K363*L363*M363</f>
        <v>439.296</v>
      </c>
      <c r="O363" s="50" t="n">
        <v>1.13</v>
      </c>
      <c r="P363" s="52" t="n">
        <f aca="false">N363*O363</f>
        <v>496.40448</v>
      </c>
      <c r="Q363" s="50" t="n">
        <v>0.947784</v>
      </c>
      <c r="R363" s="52" t="n">
        <f aca="false">P363*Q363</f>
        <v>470.48422367232</v>
      </c>
      <c r="S363" s="50" t="n">
        <v>0.09</v>
      </c>
      <c r="T363" s="52" t="n">
        <f aca="false">N363*S363</f>
        <v>39.53664</v>
      </c>
      <c r="U363" s="52" t="n">
        <v>0.0099</v>
      </c>
      <c r="V363" s="52" t="n">
        <f aca="false">P363*U363</f>
        <v>4.914404352</v>
      </c>
      <c r="W363" s="53" t="s">
        <v>199</v>
      </c>
      <c r="X363" s="50" t="n">
        <v>8.22825</v>
      </c>
      <c r="Y363" s="53" t="s">
        <v>198</v>
      </c>
      <c r="Z363" s="50" t="n">
        <v>0.636318</v>
      </c>
      <c r="AA363" s="50" t="n">
        <v>7.86</v>
      </c>
      <c r="AB363" s="50" t="n">
        <v>9</v>
      </c>
      <c r="AC363" s="52" t="n">
        <f aca="false">IF(W363="EUR",AA363,IF(W363="GBP",AB363,1))</f>
        <v>9</v>
      </c>
      <c r="AD363" s="52" t="n">
        <f aca="false">R363*X363</f>
        <v>3871.26181343177</v>
      </c>
      <c r="AE363" s="52" t="n">
        <f aca="false">IF(Y363="PERCENTAGE_OF_BASE_FREIGHT",AD363*Z363,IF(Y363="PER_CHARGEABLE_KG",R363*Z363,P363*Z363))</f>
        <v>299.377580238723</v>
      </c>
      <c r="AF363" s="52" t="n">
        <f aca="false">AD363*AC363</f>
        <v>34841.3563208859</v>
      </c>
      <c r="AG363" s="52" t="n">
        <f aca="false">AE363*AC363</f>
        <v>2694.39822214851</v>
      </c>
      <c r="AH363" s="52" t="s">
        <v>195</v>
      </c>
      <c r="AI363" s="52" t="n">
        <v>1.26158229834681</v>
      </c>
      <c r="AJ363" s="52" t="n">
        <f aca="false">IF(AH363="EUR",AA363,IF(AH363="GBP",AB363,1))</f>
        <v>7.86</v>
      </c>
      <c r="AK363" s="52" t="n">
        <f aca="false">N363*AI363</f>
        <v>554.208057334562</v>
      </c>
      <c r="AL363" s="52" t="n">
        <f aca="false">AK363*AJ363</f>
        <v>4356.07533064966</v>
      </c>
      <c r="AM363" s="52" t="s">
        <v>195</v>
      </c>
      <c r="AN363" s="52" t="n">
        <v>0.4347</v>
      </c>
      <c r="AO363" s="52" t="n">
        <f aca="false">IF(AM363="EUR",AA363,IF(AM363="GBP",AB363,1))</f>
        <v>7.86</v>
      </c>
      <c r="AP363" s="52" t="n">
        <f aca="false">P363*AN363</f>
        <v>215.787027456</v>
      </c>
      <c r="AQ363" s="52" t="n">
        <f aca="false">AP363*AO363</f>
        <v>1696.08603580416</v>
      </c>
      <c r="AR363" s="52" t="s">
        <v>199</v>
      </c>
      <c r="AS363" s="52" t="n">
        <v>4.968</v>
      </c>
      <c r="AT363" s="52" t="n">
        <f aca="false">IF(AR363="EUR",AA363,IF(AR363="GBP",AB363,1))</f>
        <v>9</v>
      </c>
      <c r="AU363" s="52" t="n">
        <f aca="false">T363*AS363</f>
        <v>196.41802752</v>
      </c>
      <c r="AV363" s="52" t="n">
        <f aca="false">AU363*AT363</f>
        <v>1767.76224768</v>
      </c>
      <c r="AW363" s="52" t="s">
        <v>199</v>
      </c>
      <c r="AX363" s="52" t="n">
        <v>3.726</v>
      </c>
      <c r="AY363" s="52" t="n">
        <f aca="false">IF(AW363="EUR",AA363,IF(AW363="GBP",AB363,1))</f>
        <v>9</v>
      </c>
      <c r="AZ363" s="52" t="n">
        <f aca="false">V363*AX363</f>
        <v>18.311070615552</v>
      </c>
      <c r="BA363" s="52" t="n">
        <f aca="false">AZ363*AY363</f>
        <v>164.799635539968</v>
      </c>
      <c r="BB363" s="52" t="n">
        <f aca="false">AF363+AG363+AL363+AQ363+AV363+BA363</f>
        <v>45520.4777927082</v>
      </c>
      <c r="BC363" s="54" t="n">
        <v>0.988</v>
      </c>
      <c r="BD363" s="32"/>
      <c r="BE363" s="30" t="s">
        <v>205</v>
      </c>
      <c r="BF363" s="30" t="s">
        <v>216</v>
      </c>
      <c r="BG363" s="32" t="s">
        <v>197</v>
      </c>
    </row>
    <row r="364" customFormat="false" ht="39.15" hidden="false" customHeight="false" outlineLevel="0" collapsed="false">
      <c r="A364" s="21" t="s">
        <v>213</v>
      </c>
      <c r="B364" s="21" t="s">
        <v>207</v>
      </c>
      <c r="C364" s="21" t="s">
        <v>214</v>
      </c>
      <c r="D364" s="55" t="n">
        <v>46357</v>
      </c>
      <c r="E364" s="21" t="s">
        <v>130</v>
      </c>
      <c r="F364" s="21" t="s">
        <v>119</v>
      </c>
      <c r="G364" s="21" t="s">
        <v>110</v>
      </c>
      <c r="H364" s="21" t="s">
        <v>107</v>
      </c>
      <c r="I364" s="21" t="s">
        <v>125</v>
      </c>
      <c r="J364" s="56" t="n">
        <v>28600</v>
      </c>
      <c r="K364" s="57" t="n">
        <v>0.4</v>
      </c>
      <c r="L364" s="57" t="n">
        <v>0.04</v>
      </c>
      <c r="M364" s="57" t="n">
        <v>1</v>
      </c>
      <c r="N364" s="58" t="n">
        <f aca="false">J364*K364*L364*M364</f>
        <v>457.6</v>
      </c>
      <c r="O364" s="56" t="n">
        <v>1.17</v>
      </c>
      <c r="P364" s="58" t="n">
        <f aca="false">N364*O364</f>
        <v>535.392</v>
      </c>
      <c r="Q364" s="56" t="n">
        <v>0.92718</v>
      </c>
      <c r="R364" s="58" t="n">
        <f aca="false">P364*Q364</f>
        <v>496.40475456</v>
      </c>
      <c r="S364" s="56" t="n">
        <v>0.09</v>
      </c>
      <c r="T364" s="58" t="n">
        <f aca="false">N364*S364</f>
        <v>41.184</v>
      </c>
      <c r="U364" s="58" t="n">
        <v>0.0126</v>
      </c>
      <c r="V364" s="58" t="n">
        <f aca="false">P364*U364</f>
        <v>6.7459392</v>
      </c>
      <c r="W364" s="59" t="s">
        <v>195</v>
      </c>
      <c r="X364" s="56" t="n">
        <v>6.9345</v>
      </c>
      <c r="Y364" s="59" t="s">
        <v>196</v>
      </c>
      <c r="Z364" s="56" t="n">
        <v>0.108675</v>
      </c>
      <c r="AA364" s="56" t="n">
        <v>7.86</v>
      </c>
      <c r="AB364" s="56" t="n">
        <v>9</v>
      </c>
      <c r="AC364" s="58" t="n">
        <f aca="false">IF(W364="EUR",AA364,IF(W364="GBP",AB364,1))</f>
        <v>7.86</v>
      </c>
      <c r="AD364" s="58" t="n">
        <f aca="false">R364*X364</f>
        <v>3442.31877049632</v>
      </c>
      <c r="AE364" s="58" t="n">
        <f aca="false">IF(Y364="PERCENTAGE_OF_BASE_FREIGHT",AD364*Z364,IF(Y364="PER_CHARGEABLE_KG",R364*Z364,P364*Z364))</f>
        <v>374.093992383688</v>
      </c>
      <c r="AF364" s="58" t="n">
        <f aca="false">AD364*AC364</f>
        <v>27056.6255361011</v>
      </c>
      <c r="AG364" s="58" t="n">
        <f aca="false">AE364*AC364</f>
        <v>2940.37878013578</v>
      </c>
      <c r="AH364" s="58" t="s">
        <v>195</v>
      </c>
      <c r="AI364" s="58" t="n">
        <v>1.08675</v>
      </c>
      <c r="AJ364" s="58" t="n">
        <f aca="false">IF(AH364="EUR",AA364,IF(AH364="GBP",AB364,1))</f>
        <v>7.86</v>
      </c>
      <c r="AK364" s="58" t="n">
        <f aca="false">N364*AI364</f>
        <v>497.2968</v>
      </c>
      <c r="AL364" s="58" t="n">
        <f aca="false">AK364*AJ364</f>
        <v>3908.752848</v>
      </c>
      <c r="AM364" s="58" t="s">
        <v>195</v>
      </c>
      <c r="AN364" s="58" t="n">
        <v>0.3933</v>
      </c>
      <c r="AO364" s="58" t="n">
        <f aca="false">IF(AM364="EUR",AA364,IF(AM364="GBP",AB364,1))</f>
        <v>7.86</v>
      </c>
      <c r="AP364" s="58" t="n">
        <f aca="false">P364*AN364</f>
        <v>210.5696736</v>
      </c>
      <c r="AQ364" s="58" t="n">
        <f aca="false">AP364*AO364</f>
        <v>1655.077634496</v>
      </c>
      <c r="AR364" s="58" t="s">
        <v>195</v>
      </c>
      <c r="AS364" s="58" t="n">
        <v>5.382</v>
      </c>
      <c r="AT364" s="58" t="n">
        <f aca="false">IF(AR364="EUR",AA364,IF(AR364="GBP",AB364,1))</f>
        <v>7.86</v>
      </c>
      <c r="AU364" s="58" t="n">
        <f aca="false">T364*AS364</f>
        <v>221.652288</v>
      </c>
      <c r="AV364" s="58" t="n">
        <f aca="false">AU364*AT364</f>
        <v>1742.18698368</v>
      </c>
      <c r="AW364" s="58" t="s">
        <v>195</v>
      </c>
      <c r="AX364" s="58" t="n">
        <v>2.898</v>
      </c>
      <c r="AY364" s="58" t="n">
        <f aca="false">IF(AW364="EUR",AA364,IF(AW364="GBP",AB364,1))</f>
        <v>7.86</v>
      </c>
      <c r="AZ364" s="58" t="n">
        <f aca="false">V364*AX364</f>
        <v>19.5497318016</v>
      </c>
      <c r="BA364" s="58" t="n">
        <f aca="false">AZ364*AY364</f>
        <v>153.660891960576</v>
      </c>
      <c r="BB364" s="58" t="n">
        <f aca="false">AF364+AG364+AL364+AQ364+AV364+BA364</f>
        <v>37456.6826743734</v>
      </c>
      <c r="BC364" s="60" t="n">
        <v>0.971</v>
      </c>
      <c r="BD364" s="41"/>
      <c r="BE364" s="35" t="s">
        <v>205</v>
      </c>
      <c r="BF364" s="35" t="s">
        <v>216</v>
      </c>
      <c r="BG364" s="41" t="s">
        <v>197</v>
      </c>
    </row>
  </sheetData>
  <mergeCells count="2">
    <mergeCell ref="A1:BG1"/>
    <mergeCell ref="A2:B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1" style="0" width="15"/>
    <col collapsed="false" customWidth="true" hidden="false" outlineLevel="0" max="10" min="10" style="0" width="30"/>
    <col collapsed="false" customWidth="true" hidden="false" outlineLevel="0" max="13" min="11" style="0" width="15"/>
    <col collapsed="false" customWidth="true" hidden="false" outlineLevel="0" max="14" min="14" style="0" width="26"/>
    <col collapsed="false" customWidth="true" hidden="false" outlineLevel="0" max="20" min="15" style="0" width="15"/>
  </cols>
  <sheetData>
    <row r="1" customFormat="false" ht="32" hidden="false" customHeight="true" outlineLevel="0" collapsed="false">
      <c r="A1" s="24" t="s">
        <v>217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customFormat="false" ht="28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  <c r="J4" s="12" t="s">
        <v>219</v>
      </c>
      <c r="K4" s="12" t="s">
        <v>220</v>
      </c>
      <c r="L4" s="12" t="s">
        <v>221</v>
      </c>
      <c r="M4" s="12" t="s">
        <v>222</v>
      </c>
      <c r="N4" s="12" t="s">
        <v>223</v>
      </c>
      <c r="O4" s="12" t="s">
        <v>224</v>
      </c>
      <c r="P4" s="12" t="s">
        <v>225</v>
      </c>
      <c r="Q4" s="12" t="s">
        <v>226</v>
      </c>
      <c r="R4" s="12" t="s">
        <v>227</v>
      </c>
      <c r="S4" s="12" t="s">
        <v>228</v>
      </c>
      <c r="T4" s="13" t="s">
        <v>229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98</v>
      </c>
      <c r="F5" s="15" t="s">
        <v>99</v>
      </c>
      <c r="G5" s="15" t="s">
        <v>100</v>
      </c>
      <c r="H5" s="15" t="s">
        <v>101</v>
      </c>
      <c r="I5" s="15" t="s">
        <v>102</v>
      </c>
      <c r="J5" s="15" t="s">
        <v>230</v>
      </c>
      <c r="K5" s="15" t="s">
        <v>195</v>
      </c>
      <c r="L5" s="61" t="n">
        <v>6166.047888</v>
      </c>
      <c r="M5" s="61" t="n">
        <v>7.8</v>
      </c>
      <c r="N5" s="15" t="s">
        <v>231</v>
      </c>
      <c r="O5" s="62" t="n">
        <v>48095.1735</v>
      </c>
      <c r="P5" s="62"/>
      <c r="Q5" s="62"/>
      <c r="R5" s="62" t="s">
        <v>232</v>
      </c>
      <c r="S5" s="63" t="n">
        <f aca="false">Model_Calc!AF5</f>
        <v>48095.1735264</v>
      </c>
      <c r="T5" s="63" t="n">
        <f aca="false">ROUND(S5-O5,4)</f>
        <v>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98</v>
      </c>
      <c r="F6" s="18" t="s">
        <v>99</v>
      </c>
      <c r="G6" s="18" t="s">
        <v>100</v>
      </c>
      <c r="H6" s="18" t="s">
        <v>101</v>
      </c>
      <c r="I6" s="18" t="s">
        <v>102</v>
      </c>
      <c r="J6" s="18" t="s">
        <v>233</v>
      </c>
      <c r="K6" s="18" t="s">
        <v>195</v>
      </c>
      <c r="L6" s="64" t="n">
        <v>585.77454936</v>
      </c>
      <c r="M6" s="64" t="n">
        <v>7.8</v>
      </c>
      <c r="N6" s="18" t="s">
        <v>234</v>
      </c>
      <c r="O6" s="65" t="n">
        <v>4569.0415</v>
      </c>
      <c r="P6" s="65"/>
      <c r="Q6" s="65"/>
      <c r="R6" s="65" t="s">
        <v>232</v>
      </c>
      <c r="S6" s="66" t="n">
        <f aca="false">Model_Calc!AG5</f>
        <v>4569.041485008</v>
      </c>
      <c r="T6" s="66" t="n">
        <f aca="false">ROUND(S6-O6,4)</f>
        <v>0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98</v>
      </c>
      <c r="F7" s="18" t="s">
        <v>99</v>
      </c>
      <c r="G7" s="18" t="s">
        <v>100</v>
      </c>
      <c r="H7" s="18" t="s">
        <v>101</v>
      </c>
      <c r="I7" s="18" t="s">
        <v>102</v>
      </c>
      <c r="J7" s="18" t="s">
        <v>235</v>
      </c>
      <c r="K7" s="18" t="s">
        <v>195</v>
      </c>
      <c r="L7" s="64" t="n">
        <v>4038.1488</v>
      </c>
      <c r="M7" s="64" t="n">
        <v>7.8</v>
      </c>
      <c r="N7" s="18" t="s">
        <v>236</v>
      </c>
      <c r="O7" s="65" t="n">
        <v>31497.5606</v>
      </c>
      <c r="P7" s="65"/>
      <c r="Q7" s="65"/>
      <c r="R7" s="65" t="s">
        <v>232</v>
      </c>
      <c r="S7" s="66" t="n">
        <f aca="false">Model_Calc!AL5</f>
        <v>31497.56064</v>
      </c>
      <c r="T7" s="66" t="n">
        <f aca="false">ROUND(S7-O7,4)</f>
        <v>0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98</v>
      </c>
      <c r="F8" s="18" t="s">
        <v>99</v>
      </c>
      <c r="G8" s="18" t="s">
        <v>100</v>
      </c>
      <c r="H8" s="18" t="s">
        <v>101</v>
      </c>
      <c r="I8" s="18" t="s">
        <v>102</v>
      </c>
      <c r="J8" s="18" t="s">
        <v>237</v>
      </c>
      <c r="K8" s="18" t="s">
        <v>195</v>
      </c>
      <c r="L8" s="64" t="n">
        <v>1509.17256</v>
      </c>
      <c r="M8" s="64" t="n">
        <v>7.8</v>
      </c>
      <c r="N8" s="18" t="s">
        <v>238</v>
      </c>
      <c r="O8" s="65" t="n">
        <v>11771.546</v>
      </c>
      <c r="P8" s="65"/>
      <c r="Q8" s="65"/>
      <c r="R8" s="65" t="s">
        <v>232</v>
      </c>
      <c r="S8" s="66" t="n">
        <f aca="false">Model_Calc!AQ5</f>
        <v>11771.545968</v>
      </c>
      <c r="T8" s="66" t="n">
        <f aca="false">ROUND(S8-O8,4)</f>
        <v>0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98</v>
      </c>
      <c r="F9" s="18" t="s">
        <v>99</v>
      </c>
      <c r="G9" s="18" t="s">
        <v>100</v>
      </c>
      <c r="H9" s="18" t="s">
        <v>101</v>
      </c>
      <c r="I9" s="18" t="s">
        <v>102</v>
      </c>
      <c r="J9" s="18" t="s">
        <v>239</v>
      </c>
      <c r="K9" s="18" t="s">
        <v>195</v>
      </c>
      <c r="L9" s="64" t="n">
        <v>547.5456</v>
      </c>
      <c r="M9" s="64" t="n">
        <v>7.8</v>
      </c>
      <c r="N9" s="18" t="s">
        <v>240</v>
      </c>
      <c r="O9" s="65" t="n">
        <v>4270.8557</v>
      </c>
      <c r="P9" s="65"/>
      <c r="Q9" s="65"/>
      <c r="R9" s="65" t="s">
        <v>232</v>
      </c>
      <c r="S9" s="66" t="n">
        <f aca="false">Model_Calc!AV5</f>
        <v>4270.85568</v>
      </c>
      <c r="T9" s="66" t="n">
        <f aca="false">ROUND(S9-O9,4)</f>
        <v>0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98</v>
      </c>
      <c r="F10" s="18" t="s">
        <v>99</v>
      </c>
      <c r="G10" s="18" t="s">
        <v>100</v>
      </c>
      <c r="H10" s="18" t="s">
        <v>101</v>
      </c>
      <c r="I10" s="18" t="s">
        <v>102</v>
      </c>
      <c r="J10" s="18" t="s">
        <v>241</v>
      </c>
      <c r="K10" s="18" t="s">
        <v>195</v>
      </c>
      <c r="L10" s="64" t="n">
        <v>132.2322624</v>
      </c>
      <c r="M10" s="64" t="n">
        <v>7.8</v>
      </c>
      <c r="N10" s="18" t="s">
        <v>242</v>
      </c>
      <c r="O10" s="65" t="n">
        <v>1031.4116</v>
      </c>
      <c r="P10" s="65"/>
      <c r="Q10" s="65"/>
      <c r="R10" s="65" t="s">
        <v>232</v>
      </c>
      <c r="S10" s="66" t="n">
        <f aca="false">Model_Calc!BA5</f>
        <v>1031.41164672</v>
      </c>
      <c r="T10" s="66" t="n">
        <f aca="false">ROUND(S10-O10,4)</f>
        <v>0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106</v>
      </c>
      <c r="F11" s="18" t="s">
        <v>99</v>
      </c>
      <c r="G11" s="18" t="s">
        <v>100</v>
      </c>
      <c r="H11" s="18" t="s">
        <v>107</v>
      </c>
      <c r="I11" s="18" t="s">
        <v>102</v>
      </c>
      <c r="J11" s="18" t="s">
        <v>230</v>
      </c>
      <c r="K11" s="18" t="s">
        <v>195</v>
      </c>
      <c r="L11" s="64" t="n">
        <v>5270.1264</v>
      </c>
      <c r="M11" s="64" t="n">
        <v>7.8</v>
      </c>
      <c r="N11" s="18" t="s">
        <v>243</v>
      </c>
      <c r="O11" s="65" t="n">
        <v>41106.9859</v>
      </c>
      <c r="P11" s="65"/>
      <c r="Q11" s="65"/>
      <c r="R11" s="65" t="s">
        <v>232</v>
      </c>
      <c r="S11" s="66" t="n">
        <f aca="false">Model_Calc!AF6</f>
        <v>41106.98592</v>
      </c>
      <c r="T11" s="66" t="n">
        <f aca="false">ROUND(S11-O11,4)</f>
        <v>0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46023</v>
      </c>
      <c r="E12" s="18" t="s">
        <v>106</v>
      </c>
      <c r="F12" s="18" t="s">
        <v>99</v>
      </c>
      <c r="G12" s="18" t="s">
        <v>100</v>
      </c>
      <c r="H12" s="18" t="s">
        <v>107</v>
      </c>
      <c r="I12" s="18" t="s">
        <v>102</v>
      </c>
      <c r="J12" s="18" t="s">
        <v>233</v>
      </c>
      <c r="K12" s="18" t="s">
        <v>195</v>
      </c>
      <c r="L12" s="64" t="n">
        <v>402.446016</v>
      </c>
      <c r="M12" s="64" t="n">
        <v>7.8</v>
      </c>
      <c r="N12" s="18" t="s">
        <v>244</v>
      </c>
      <c r="O12" s="65" t="n">
        <v>3139.0789</v>
      </c>
      <c r="P12" s="65"/>
      <c r="Q12" s="65"/>
      <c r="R12" s="65" t="s">
        <v>232</v>
      </c>
      <c r="S12" s="66" t="n">
        <f aca="false">Model_Calc!AG6</f>
        <v>3139.0789248</v>
      </c>
      <c r="T12" s="66" t="n">
        <f aca="false">ROUND(S12-O12,4)</f>
        <v>0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46023</v>
      </c>
      <c r="E13" s="18" t="s">
        <v>106</v>
      </c>
      <c r="F13" s="18" t="s">
        <v>99</v>
      </c>
      <c r="G13" s="18" t="s">
        <v>100</v>
      </c>
      <c r="H13" s="18" t="s">
        <v>107</v>
      </c>
      <c r="I13" s="18" t="s">
        <v>102</v>
      </c>
      <c r="J13" s="18" t="s">
        <v>235</v>
      </c>
      <c r="K13" s="18" t="s">
        <v>195</v>
      </c>
      <c r="L13" s="64" t="n">
        <v>2692.0992</v>
      </c>
      <c r="M13" s="64" t="n">
        <v>7.8</v>
      </c>
      <c r="N13" s="18" t="s">
        <v>245</v>
      </c>
      <c r="O13" s="65" t="n">
        <v>20998.3738</v>
      </c>
      <c r="P13" s="65"/>
      <c r="Q13" s="65"/>
      <c r="R13" s="65" t="s">
        <v>232</v>
      </c>
      <c r="S13" s="66" t="n">
        <f aca="false">Model_Calc!AL6</f>
        <v>20998.37376</v>
      </c>
      <c r="T13" s="66" t="n">
        <f aca="false">ROUND(S13-O13,4)</f>
        <v>0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46023</v>
      </c>
      <c r="E14" s="18" t="s">
        <v>106</v>
      </c>
      <c r="F14" s="18" t="s">
        <v>99</v>
      </c>
      <c r="G14" s="18" t="s">
        <v>100</v>
      </c>
      <c r="H14" s="18" t="s">
        <v>107</v>
      </c>
      <c r="I14" s="18" t="s">
        <v>102</v>
      </c>
      <c r="J14" s="18" t="s">
        <v>237</v>
      </c>
      <c r="K14" s="18" t="s">
        <v>195</v>
      </c>
      <c r="L14" s="64" t="n">
        <v>1006.11504</v>
      </c>
      <c r="M14" s="64" t="n">
        <v>7.8</v>
      </c>
      <c r="N14" s="18" t="s">
        <v>246</v>
      </c>
      <c r="O14" s="65" t="n">
        <v>7847.6973</v>
      </c>
      <c r="P14" s="65"/>
      <c r="Q14" s="65"/>
      <c r="R14" s="65" t="s">
        <v>232</v>
      </c>
      <c r="S14" s="66" t="n">
        <f aca="false">Model_Calc!AQ6</f>
        <v>7847.697312</v>
      </c>
      <c r="T14" s="66" t="n">
        <f aca="false">ROUND(S14-O14,4)</f>
        <v>0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46023</v>
      </c>
      <c r="E15" s="18" t="s">
        <v>106</v>
      </c>
      <c r="F15" s="18" t="s">
        <v>99</v>
      </c>
      <c r="G15" s="18" t="s">
        <v>100</v>
      </c>
      <c r="H15" s="18" t="s">
        <v>107</v>
      </c>
      <c r="I15" s="18" t="s">
        <v>102</v>
      </c>
      <c r="J15" s="18" t="s">
        <v>239</v>
      </c>
      <c r="K15" s="18" t="s">
        <v>195</v>
      </c>
      <c r="L15" s="64" t="n">
        <v>365.0304</v>
      </c>
      <c r="M15" s="64" t="n">
        <v>7.8</v>
      </c>
      <c r="N15" s="18" t="s">
        <v>247</v>
      </c>
      <c r="O15" s="65" t="n">
        <v>2847.2371</v>
      </c>
      <c r="P15" s="65"/>
      <c r="Q15" s="65"/>
      <c r="R15" s="65" t="s">
        <v>232</v>
      </c>
      <c r="S15" s="66" t="n">
        <f aca="false">Model_Calc!AV6</f>
        <v>2847.23712</v>
      </c>
      <c r="T15" s="66" t="n">
        <f aca="false">ROUND(S15-O15,4)</f>
        <v>0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46023</v>
      </c>
      <c r="E16" s="18" t="s">
        <v>106</v>
      </c>
      <c r="F16" s="18" t="s">
        <v>99</v>
      </c>
      <c r="G16" s="18" t="s">
        <v>100</v>
      </c>
      <c r="H16" s="18" t="s">
        <v>107</v>
      </c>
      <c r="I16" s="18" t="s">
        <v>102</v>
      </c>
      <c r="J16" s="18" t="s">
        <v>241</v>
      </c>
      <c r="K16" s="18" t="s">
        <v>195</v>
      </c>
      <c r="L16" s="64" t="n">
        <v>71.6258088</v>
      </c>
      <c r="M16" s="64" t="n">
        <v>7.8</v>
      </c>
      <c r="N16" s="18" t="s">
        <v>248</v>
      </c>
      <c r="O16" s="65" t="n">
        <v>558.6813</v>
      </c>
      <c r="P16" s="65"/>
      <c r="Q16" s="65"/>
      <c r="R16" s="65" t="s">
        <v>232</v>
      </c>
      <c r="S16" s="66" t="n">
        <f aca="false">Model_Calc!BA6</f>
        <v>558.68130864</v>
      </c>
      <c r="T16" s="66" t="n">
        <f aca="false">ROUND(S16-O16,4)</f>
        <v>0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46023</v>
      </c>
      <c r="E17" s="18" t="s">
        <v>109</v>
      </c>
      <c r="F17" s="18" t="s">
        <v>99</v>
      </c>
      <c r="G17" s="18" t="s">
        <v>110</v>
      </c>
      <c r="H17" s="18" t="s">
        <v>107</v>
      </c>
      <c r="I17" s="18" t="s">
        <v>102</v>
      </c>
      <c r="J17" s="18" t="s">
        <v>230</v>
      </c>
      <c r="K17" s="18" t="s">
        <v>195</v>
      </c>
      <c r="L17" s="64" t="n">
        <v>540.673056</v>
      </c>
      <c r="M17" s="64" t="n">
        <v>7.8</v>
      </c>
      <c r="N17" s="18" t="s">
        <v>249</v>
      </c>
      <c r="O17" s="65" t="n">
        <v>4217.2498</v>
      </c>
      <c r="P17" s="65"/>
      <c r="Q17" s="65"/>
      <c r="R17" s="65" t="s">
        <v>232</v>
      </c>
      <c r="S17" s="66" t="n">
        <f aca="false">Model_Calc!AF7</f>
        <v>4217.2498368</v>
      </c>
      <c r="T17" s="66" t="n">
        <f aca="false">ROUND(S17-O17,4)</f>
        <v>0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46023</v>
      </c>
      <c r="E18" s="18" t="s">
        <v>109</v>
      </c>
      <c r="F18" s="18" t="s">
        <v>99</v>
      </c>
      <c r="G18" s="18" t="s">
        <v>110</v>
      </c>
      <c r="H18" s="18" t="s">
        <v>107</v>
      </c>
      <c r="I18" s="18" t="s">
        <v>102</v>
      </c>
      <c r="J18" s="18" t="s">
        <v>233</v>
      </c>
      <c r="K18" s="18" t="s">
        <v>195</v>
      </c>
      <c r="L18" s="64" t="n">
        <v>39.3216768</v>
      </c>
      <c r="M18" s="64" t="n">
        <v>7.8</v>
      </c>
      <c r="N18" s="18" t="s">
        <v>250</v>
      </c>
      <c r="O18" s="65" t="n">
        <v>306.7091</v>
      </c>
      <c r="P18" s="65"/>
      <c r="Q18" s="65"/>
      <c r="R18" s="65" t="s">
        <v>232</v>
      </c>
      <c r="S18" s="66" t="n">
        <f aca="false">Model_Calc!AG7</f>
        <v>306.70907904</v>
      </c>
      <c r="T18" s="66" t="n">
        <f aca="false">ROUND(S18-O18,4)</f>
        <v>0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46023</v>
      </c>
      <c r="E19" s="18" t="s">
        <v>109</v>
      </c>
      <c r="F19" s="18" t="s">
        <v>99</v>
      </c>
      <c r="G19" s="18" t="s">
        <v>110</v>
      </c>
      <c r="H19" s="18" t="s">
        <v>107</v>
      </c>
      <c r="I19" s="18" t="s">
        <v>102</v>
      </c>
      <c r="J19" s="18" t="s">
        <v>235</v>
      </c>
      <c r="K19" s="18" t="s">
        <v>195</v>
      </c>
      <c r="L19" s="64" t="n">
        <v>185.22</v>
      </c>
      <c r="M19" s="64" t="n">
        <v>7.8</v>
      </c>
      <c r="N19" s="18" t="s">
        <v>251</v>
      </c>
      <c r="O19" s="65" t="n">
        <v>1444.716</v>
      </c>
      <c r="P19" s="65"/>
      <c r="Q19" s="65"/>
      <c r="R19" s="65" t="s">
        <v>232</v>
      </c>
      <c r="S19" s="66" t="n">
        <f aca="false">Model_Calc!AL7</f>
        <v>1444.716</v>
      </c>
      <c r="T19" s="66" t="n">
        <f aca="false">ROUND(S19-O19,4)</f>
        <v>0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46023</v>
      </c>
      <c r="E20" s="18" t="s">
        <v>109</v>
      </c>
      <c r="F20" s="18" t="s">
        <v>99</v>
      </c>
      <c r="G20" s="18" t="s">
        <v>110</v>
      </c>
      <c r="H20" s="18" t="s">
        <v>107</v>
      </c>
      <c r="I20" s="18" t="s">
        <v>102</v>
      </c>
      <c r="J20" s="18" t="s">
        <v>237</v>
      </c>
      <c r="K20" s="18" t="s">
        <v>195</v>
      </c>
      <c r="L20" s="64" t="n">
        <v>72.39456</v>
      </c>
      <c r="M20" s="64" t="n">
        <v>7.8</v>
      </c>
      <c r="N20" s="18" t="s">
        <v>252</v>
      </c>
      <c r="O20" s="65" t="n">
        <v>564.6776</v>
      </c>
      <c r="P20" s="65"/>
      <c r="Q20" s="65"/>
      <c r="R20" s="65" t="s">
        <v>232</v>
      </c>
      <c r="S20" s="66" t="n">
        <f aca="false">Model_Calc!AQ7</f>
        <v>564.677568</v>
      </c>
      <c r="T20" s="66" t="n">
        <f aca="false">ROUND(S20-O20,4)</f>
        <v>0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46023</v>
      </c>
      <c r="E21" s="18" t="s">
        <v>109</v>
      </c>
      <c r="F21" s="18" t="s">
        <v>99</v>
      </c>
      <c r="G21" s="18" t="s">
        <v>110</v>
      </c>
      <c r="H21" s="18" t="s">
        <v>107</v>
      </c>
      <c r="I21" s="18" t="s">
        <v>102</v>
      </c>
      <c r="J21" s="18" t="s">
        <v>239</v>
      </c>
      <c r="K21" s="18" t="s">
        <v>195</v>
      </c>
      <c r="L21" s="64" t="n">
        <v>33.516</v>
      </c>
      <c r="M21" s="64" t="n">
        <v>7.8</v>
      </c>
      <c r="N21" s="18" t="s">
        <v>253</v>
      </c>
      <c r="O21" s="65" t="n">
        <v>261.4248</v>
      </c>
      <c r="P21" s="65"/>
      <c r="Q21" s="65"/>
      <c r="R21" s="65" t="s">
        <v>232</v>
      </c>
      <c r="S21" s="66" t="n">
        <f aca="false">Model_Calc!AV7</f>
        <v>261.4248</v>
      </c>
      <c r="T21" s="66" t="n">
        <f aca="false">ROUND(S21-O21,4)</f>
        <v>0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46023</v>
      </c>
      <c r="E22" s="18" t="s">
        <v>109</v>
      </c>
      <c r="F22" s="18" t="s">
        <v>99</v>
      </c>
      <c r="G22" s="18" t="s">
        <v>110</v>
      </c>
      <c r="H22" s="18" t="s">
        <v>107</v>
      </c>
      <c r="I22" s="18" t="s">
        <v>102</v>
      </c>
      <c r="J22" s="18" t="s">
        <v>241</v>
      </c>
      <c r="K22" s="18" t="s">
        <v>195</v>
      </c>
      <c r="L22" s="64" t="n">
        <v>6.1344864</v>
      </c>
      <c r="M22" s="64" t="n">
        <v>7.8</v>
      </c>
      <c r="N22" s="18" t="s">
        <v>254</v>
      </c>
      <c r="O22" s="65" t="n">
        <v>47.849</v>
      </c>
      <c r="P22" s="65"/>
      <c r="Q22" s="65"/>
      <c r="R22" s="65" t="s">
        <v>232</v>
      </c>
      <c r="S22" s="66" t="n">
        <f aca="false">Model_Calc!BA7</f>
        <v>47.84899392</v>
      </c>
      <c r="T22" s="66" t="n">
        <f aca="false">ROUND(S22-O22,4)</f>
        <v>0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46023</v>
      </c>
      <c r="E23" s="18" t="s">
        <v>112</v>
      </c>
      <c r="F23" s="18" t="s">
        <v>113</v>
      </c>
      <c r="G23" s="18" t="s">
        <v>110</v>
      </c>
      <c r="H23" s="18" t="s">
        <v>101</v>
      </c>
      <c r="I23" s="18" t="s">
        <v>102</v>
      </c>
      <c r="J23" s="18" t="s">
        <v>230</v>
      </c>
      <c r="K23" s="18" t="s">
        <v>195</v>
      </c>
      <c r="L23" s="64" t="n">
        <v>2652.67968</v>
      </c>
      <c r="M23" s="64" t="n">
        <v>7.8</v>
      </c>
      <c r="N23" s="18" t="s">
        <v>255</v>
      </c>
      <c r="O23" s="65" t="n">
        <v>20690.9015</v>
      </c>
      <c r="P23" s="65"/>
      <c r="Q23" s="65"/>
      <c r="R23" s="65" t="s">
        <v>232</v>
      </c>
      <c r="S23" s="66" t="n">
        <f aca="false">Model_Calc!AF8</f>
        <v>20690.901504</v>
      </c>
      <c r="T23" s="66" t="n">
        <f aca="false">ROUND(S23-O23,4)</f>
        <v>0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46023</v>
      </c>
      <c r="E24" s="18" t="s">
        <v>112</v>
      </c>
      <c r="F24" s="18" t="s">
        <v>113</v>
      </c>
      <c r="G24" s="18" t="s">
        <v>110</v>
      </c>
      <c r="H24" s="18" t="s">
        <v>101</v>
      </c>
      <c r="I24" s="18" t="s">
        <v>102</v>
      </c>
      <c r="J24" s="18" t="s">
        <v>233</v>
      </c>
      <c r="K24" s="18" t="s">
        <v>195</v>
      </c>
      <c r="L24" s="64" t="n">
        <v>238.7411712</v>
      </c>
      <c r="M24" s="64" t="n">
        <v>7.8</v>
      </c>
      <c r="N24" s="18" t="s">
        <v>256</v>
      </c>
      <c r="O24" s="65" t="n">
        <v>1862.1811</v>
      </c>
      <c r="P24" s="65"/>
      <c r="Q24" s="65"/>
      <c r="R24" s="65" t="s">
        <v>232</v>
      </c>
      <c r="S24" s="66" t="n">
        <f aca="false">Model_Calc!AG8</f>
        <v>1862.18113536</v>
      </c>
      <c r="T24" s="66" t="n">
        <f aca="false">ROUND(S24-O24,4)</f>
        <v>0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46023</v>
      </c>
      <c r="E25" s="18" t="s">
        <v>112</v>
      </c>
      <c r="F25" s="18" t="s">
        <v>113</v>
      </c>
      <c r="G25" s="18" t="s">
        <v>110</v>
      </c>
      <c r="H25" s="18" t="s">
        <v>101</v>
      </c>
      <c r="I25" s="18" t="s">
        <v>102</v>
      </c>
      <c r="J25" s="18" t="s">
        <v>235</v>
      </c>
      <c r="K25" s="18" t="s">
        <v>195</v>
      </c>
      <c r="L25" s="64" t="n">
        <v>1646.4</v>
      </c>
      <c r="M25" s="64" t="n">
        <v>7.8</v>
      </c>
      <c r="N25" s="18" t="s">
        <v>257</v>
      </c>
      <c r="O25" s="65" t="n">
        <v>12841.92</v>
      </c>
      <c r="P25" s="65"/>
      <c r="Q25" s="65"/>
      <c r="R25" s="65" t="s">
        <v>232</v>
      </c>
      <c r="S25" s="66" t="n">
        <f aca="false">Model_Calc!AL8</f>
        <v>12841.92</v>
      </c>
      <c r="T25" s="66" t="n">
        <f aca="false">ROUND(S25-O25,4)</f>
        <v>0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46023</v>
      </c>
      <c r="E26" s="18" t="s">
        <v>112</v>
      </c>
      <c r="F26" s="18" t="s">
        <v>113</v>
      </c>
      <c r="G26" s="18" t="s">
        <v>110</v>
      </c>
      <c r="H26" s="18" t="s">
        <v>101</v>
      </c>
      <c r="I26" s="18" t="s">
        <v>102</v>
      </c>
      <c r="J26" s="18" t="s">
        <v>237</v>
      </c>
      <c r="K26" s="18" t="s">
        <v>195</v>
      </c>
      <c r="L26" s="64" t="n">
        <v>631.5904</v>
      </c>
      <c r="M26" s="64" t="n">
        <v>7.8</v>
      </c>
      <c r="N26" s="18" t="s">
        <v>258</v>
      </c>
      <c r="O26" s="65" t="n">
        <v>4926.4051</v>
      </c>
      <c r="P26" s="65"/>
      <c r="Q26" s="65"/>
      <c r="R26" s="65" t="s">
        <v>232</v>
      </c>
      <c r="S26" s="66" t="n">
        <f aca="false">Model_Calc!AQ8</f>
        <v>4926.40512</v>
      </c>
      <c r="T26" s="66" t="n">
        <f aca="false">ROUND(S26-O26,4)</f>
        <v>0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46023</v>
      </c>
      <c r="E27" s="18" t="s">
        <v>112</v>
      </c>
      <c r="F27" s="18" t="s">
        <v>113</v>
      </c>
      <c r="G27" s="18" t="s">
        <v>110</v>
      </c>
      <c r="H27" s="18" t="s">
        <v>101</v>
      </c>
      <c r="I27" s="18" t="s">
        <v>102</v>
      </c>
      <c r="J27" s="18" t="s">
        <v>239</v>
      </c>
      <c r="K27" s="18" t="s">
        <v>195</v>
      </c>
      <c r="L27" s="64" t="n">
        <v>282.24</v>
      </c>
      <c r="M27" s="64" t="n">
        <v>7.8</v>
      </c>
      <c r="N27" s="18" t="s">
        <v>259</v>
      </c>
      <c r="O27" s="65" t="n">
        <v>2201.472</v>
      </c>
      <c r="P27" s="65"/>
      <c r="Q27" s="65"/>
      <c r="R27" s="65" t="s">
        <v>232</v>
      </c>
      <c r="S27" s="66" t="n">
        <f aca="false">Model_Calc!AV8</f>
        <v>2201.472</v>
      </c>
      <c r="T27" s="66" t="n">
        <f aca="false">ROUND(S27-O27,4)</f>
        <v>0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46023</v>
      </c>
      <c r="E28" s="18" t="s">
        <v>112</v>
      </c>
      <c r="F28" s="18" t="s">
        <v>113</v>
      </c>
      <c r="G28" s="18" t="s">
        <v>110</v>
      </c>
      <c r="H28" s="18" t="s">
        <v>101</v>
      </c>
      <c r="I28" s="18" t="s">
        <v>102</v>
      </c>
      <c r="J28" s="18" t="s">
        <v>241</v>
      </c>
      <c r="K28" s="18" t="s">
        <v>195</v>
      </c>
      <c r="L28" s="64" t="n">
        <v>64.987328</v>
      </c>
      <c r="M28" s="64" t="n">
        <v>7.8</v>
      </c>
      <c r="N28" s="18" t="s">
        <v>260</v>
      </c>
      <c r="O28" s="65" t="n">
        <v>506.9012</v>
      </c>
      <c r="P28" s="65"/>
      <c r="Q28" s="65"/>
      <c r="R28" s="65" t="s">
        <v>232</v>
      </c>
      <c r="S28" s="66" t="n">
        <f aca="false">Model_Calc!BA8</f>
        <v>506.9011584</v>
      </c>
      <c r="T28" s="66" t="n">
        <f aca="false">ROUND(S28-O28,4)</f>
        <v>0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46023</v>
      </c>
      <c r="E29" s="18" t="s">
        <v>116</v>
      </c>
      <c r="F29" s="18" t="s">
        <v>113</v>
      </c>
      <c r="G29" s="18" t="s">
        <v>110</v>
      </c>
      <c r="H29" s="18" t="s">
        <v>107</v>
      </c>
      <c r="I29" s="18" t="s">
        <v>102</v>
      </c>
      <c r="J29" s="18" t="s">
        <v>230</v>
      </c>
      <c r="K29" s="18" t="s">
        <v>195</v>
      </c>
      <c r="L29" s="64" t="n">
        <v>6340.12288</v>
      </c>
      <c r="M29" s="64" t="n">
        <v>7.8</v>
      </c>
      <c r="N29" s="18" t="s">
        <v>261</v>
      </c>
      <c r="O29" s="65" t="n">
        <v>49452.9585</v>
      </c>
      <c r="P29" s="65"/>
      <c r="Q29" s="65"/>
      <c r="R29" s="65" t="s">
        <v>232</v>
      </c>
      <c r="S29" s="66" t="n">
        <f aca="false">Model_Calc!AF9</f>
        <v>49452.958464</v>
      </c>
      <c r="T29" s="66" t="n">
        <f aca="false">ROUND(S29-O29,4)</f>
        <v>0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46023</v>
      </c>
      <c r="E30" s="18" t="s">
        <v>116</v>
      </c>
      <c r="F30" s="18" t="s">
        <v>113</v>
      </c>
      <c r="G30" s="18" t="s">
        <v>110</v>
      </c>
      <c r="H30" s="18" t="s">
        <v>107</v>
      </c>
      <c r="I30" s="18" t="s">
        <v>102</v>
      </c>
      <c r="J30" s="18" t="s">
        <v>233</v>
      </c>
      <c r="K30" s="18" t="s">
        <v>195</v>
      </c>
      <c r="L30" s="64" t="n">
        <v>487.70176</v>
      </c>
      <c r="M30" s="64" t="n">
        <v>7.8</v>
      </c>
      <c r="N30" s="18" t="s">
        <v>262</v>
      </c>
      <c r="O30" s="65" t="n">
        <v>3804.0737</v>
      </c>
      <c r="P30" s="65"/>
      <c r="Q30" s="65"/>
      <c r="R30" s="65" t="s">
        <v>232</v>
      </c>
      <c r="S30" s="66" t="n">
        <f aca="false">Model_Calc!AG9</f>
        <v>3804.073728</v>
      </c>
      <c r="T30" s="66" t="n">
        <f aca="false">ROUND(S30-O30,4)</f>
        <v>0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46023</v>
      </c>
      <c r="E31" s="18" t="s">
        <v>116</v>
      </c>
      <c r="F31" s="18" t="s">
        <v>113</v>
      </c>
      <c r="G31" s="18" t="s">
        <v>110</v>
      </c>
      <c r="H31" s="18" t="s">
        <v>107</v>
      </c>
      <c r="I31" s="18" t="s">
        <v>102</v>
      </c>
      <c r="J31" s="18" t="s">
        <v>235</v>
      </c>
      <c r="K31" s="18" t="s">
        <v>195</v>
      </c>
      <c r="L31" s="64" t="n">
        <v>3057.6</v>
      </c>
      <c r="M31" s="64" t="n">
        <v>7.8</v>
      </c>
      <c r="N31" s="18" t="s">
        <v>263</v>
      </c>
      <c r="O31" s="65" t="n">
        <v>23849.28</v>
      </c>
      <c r="P31" s="65"/>
      <c r="Q31" s="65"/>
      <c r="R31" s="65" t="s">
        <v>232</v>
      </c>
      <c r="S31" s="66" t="n">
        <f aca="false">Model_Calc!AL9</f>
        <v>23849.28</v>
      </c>
      <c r="T31" s="66" t="n">
        <f aca="false">ROUND(S31-O31,4)</f>
        <v>0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46023</v>
      </c>
      <c r="E32" s="18" t="s">
        <v>116</v>
      </c>
      <c r="F32" s="18" t="s">
        <v>113</v>
      </c>
      <c r="G32" s="18" t="s">
        <v>110</v>
      </c>
      <c r="H32" s="18" t="s">
        <v>107</v>
      </c>
      <c r="I32" s="18" t="s">
        <v>102</v>
      </c>
      <c r="J32" s="18" t="s">
        <v>237</v>
      </c>
      <c r="K32" s="18" t="s">
        <v>195</v>
      </c>
      <c r="L32" s="64" t="n">
        <v>1172.9536</v>
      </c>
      <c r="M32" s="64" t="n">
        <v>7.8</v>
      </c>
      <c r="N32" s="18" t="s">
        <v>264</v>
      </c>
      <c r="O32" s="65" t="n">
        <v>9149.0381</v>
      </c>
      <c r="P32" s="65"/>
      <c r="Q32" s="65"/>
      <c r="R32" s="65" t="s">
        <v>232</v>
      </c>
      <c r="S32" s="66" t="n">
        <f aca="false">Model_Calc!AQ9</f>
        <v>9149.03808</v>
      </c>
      <c r="T32" s="66" t="n">
        <f aca="false">ROUND(S32-O32,4)</f>
        <v>0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46023</v>
      </c>
      <c r="E33" s="18" t="s">
        <v>116</v>
      </c>
      <c r="F33" s="18" t="s">
        <v>113</v>
      </c>
      <c r="G33" s="18" t="s">
        <v>110</v>
      </c>
      <c r="H33" s="18" t="s">
        <v>107</v>
      </c>
      <c r="I33" s="18" t="s">
        <v>102</v>
      </c>
      <c r="J33" s="18" t="s">
        <v>239</v>
      </c>
      <c r="K33" s="18" t="s">
        <v>195</v>
      </c>
      <c r="L33" s="64" t="n">
        <v>524.16</v>
      </c>
      <c r="M33" s="64" t="n">
        <v>7.8</v>
      </c>
      <c r="N33" s="18" t="s">
        <v>265</v>
      </c>
      <c r="O33" s="65" t="n">
        <v>4088.448</v>
      </c>
      <c r="P33" s="65"/>
      <c r="Q33" s="65"/>
      <c r="R33" s="65" t="s">
        <v>232</v>
      </c>
      <c r="S33" s="66" t="n">
        <f aca="false">Model_Calc!AV9</f>
        <v>4088.448</v>
      </c>
      <c r="T33" s="66" t="n">
        <f aca="false">ROUND(S33-O33,4)</f>
        <v>0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46023</v>
      </c>
      <c r="E34" s="18" t="s">
        <v>116</v>
      </c>
      <c r="F34" s="18" t="s">
        <v>113</v>
      </c>
      <c r="G34" s="18" t="s">
        <v>110</v>
      </c>
      <c r="H34" s="18" t="s">
        <v>107</v>
      </c>
      <c r="I34" s="18" t="s">
        <v>102</v>
      </c>
      <c r="J34" s="18" t="s">
        <v>241</v>
      </c>
      <c r="K34" s="18" t="s">
        <v>195</v>
      </c>
      <c r="L34" s="64" t="n">
        <v>99.392384</v>
      </c>
      <c r="M34" s="64" t="n">
        <v>7.8</v>
      </c>
      <c r="N34" s="18" t="s">
        <v>266</v>
      </c>
      <c r="O34" s="65" t="n">
        <v>775.2606</v>
      </c>
      <c r="P34" s="65"/>
      <c r="Q34" s="65"/>
      <c r="R34" s="65" t="s">
        <v>232</v>
      </c>
      <c r="S34" s="66" t="n">
        <f aca="false">Model_Calc!BA9</f>
        <v>775.2605952</v>
      </c>
      <c r="T34" s="66" t="n">
        <f aca="false">ROUND(S34-O34,4)</f>
        <v>0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46023</v>
      </c>
      <c r="E35" s="18" t="s">
        <v>118</v>
      </c>
      <c r="F35" s="18" t="s">
        <v>119</v>
      </c>
      <c r="G35" s="18" t="s">
        <v>100</v>
      </c>
      <c r="H35" s="18" t="s">
        <v>101</v>
      </c>
      <c r="I35" s="18" t="s">
        <v>102</v>
      </c>
      <c r="J35" s="18" t="s">
        <v>230</v>
      </c>
      <c r="K35" s="18" t="s">
        <v>199</v>
      </c>
      <c r="L35" s="64" t="n">
        <v>10379.206656</v>
      </c>
      <c r="M35" s="64" t="n">
        <v>9</v>
      </c>
      <c r="N35" s="18" t="s">
        <v>267</v>
      </c>
      <c r="O35" s="65" t="n">
        <v>93412.8599</v>
      </c>
      <c r="P35" s="65"/>
      <c r="Q35" s="65"/>
      <c r="R35" s="65" t="s">
        <v>232</v>
      </c>
      <c r="S35" s="66" t="n">
        <f aca="false">Model_Calc!AF10</f>
        <v>93412.859904</v>
      </c>
      <c r="T35" s="66" t="n">
        <f aca="false">ROUND(S35-O35,4)</f>
        <v>0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46023</v>
      </c>
      <c r="E36" s="18" t="s">
        <v>118</v>
      </c>
      <c r="F36" s="18" t="s">
        <v>119</v>
      </c>
      <c r="G36" s="18" t="s">
        <v>100</v>
      </c>
      <c r="H36" s="18" t="s">
        <v>101</v>
      </c>
      <c r="I36" s="18" t="s">
        <v>102</v>
      </c>
      <c r="J36" s="18" t="s">
        <v>233</v>
      </c>
      <c r="K36" s="18" t="s">
        <v>199</v>
      </c>
      <c r="L36" s="64" t="n">
        <v>1037.9206656</v>
      </c>
      <c r="M36" s="64" t="n">
        <v>9</v>
      </c>
      <c r="N36" s="18" t="s">
        <v>268</v>
      </c>
      <c r="O36" s="65" t="n">
        <v>9341.286</v>
      </c>
      <c r="P36" s="65"/>
      <c r="Q36" s="65"/>
      <c r="R36" s="65" t="s">
        <v>232</v>
      </c>
      <c r="S36" s="66" t="n">
        <f aca="false">Model_Calc!AG10</f>
        <v>9341.2859904</v>
      </c>
      <c r="T36" s="66" t="n">
        <f aca="false">ROUND(S36-O36,4)</f>
        <v>0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46023</v>
      </c>
      <c r="E37" s="18" t="s">
        <v>118</v>
      </c>
      <c r="F37" s="18" t="s">
        <v>119</v>
      </c>
      <c r="G37" s="18" t="s">
        <v>100</v>
      </c>
      <c r="H37" s="18" t="s">
        <v>101</v>
      </c>
      <c r="I37" s="18" t="s">
        <v>102</v>
      </c>
      <c r="J37" s="18" t="s">
        <v>235</v>
      </c>
      <c r="K37" s="18" t="s">
        <v>195</v>
      </c>
      <c r="L37" s="64" t="n">
        <v>2680.2048</v>
      </c>
      <c r="M37" s="64" t="n">
        <v>7.8</v>
      </c>
      <c r="N37" s="18" t="s">
        <v>269</v>
      </c>
      <c r="O37" s="65" t="n">
        <v>20905.5974</v>
      </c>
      <c r="P37" s="65"/>
      <c r="Q37" s="65"/>
      <c r="R37" s="65" t="s">
        <v>232</v>
      </c>
      <c r="S37" s="66" t="n">
        <f aca="false">Model_Calc!AL10</f>
        <v>20905.59744</v>
      </c>
      <c r="T37" s="66" t="n">
        <f aca="false">ROUND(S37-O37,4)</f>
        <v>0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46023</v>
      </c>
      <c r="E38" s="18" t="s">
        <v>118</v>
      </c>
      <c r="F38" s="18" t="s">
        <v>119</v>
      </c>
      <c r="G38" s="18" t="s">
        <v>100</v>
      </c>
      <c r="H38" s="18" t="s">
        <v>101</v>
      </c>
      <c r="I38" s="18" t="s">
        <v>102</v>
      </c>
      <c r="J38" s="18" t="s">
        <v>237</v>
      </c>
      <c r="K38" s="18" t="s">
        <v>195</v>
      </c>
      <c r="L38" s="64" t="n">
        <v>1068.447744</v>
      </c>
      <c r="M38" s="64" t="n">
        <v>7.8</v>
      </c>
      <c r="N38" s="18" t="s">
        <v>270</v>
      </c>
      <c r="O38" s="65" t="n">
        <v>8333.8924</v>
      </c>
      <c r="P38" s="65"/>
      <c r="Q38" s="65"/>
      <c r="R38" s="65" t="s">
        <v>232</v>
      </c>
      <c r="S38" s="66" t="n">
        <f aca="false">Model_Calc!AQ10</f>
        <v>8333.8924032</v>
      </c>
      <c r="T38" s="66" t="n">
        <f aca="false">ROUND(S38-O38,4)</f>
        <v>0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46023</v>
      </c>
      <c r="E39" s="18" t="s">
        <v>118</v>
      </c>
      <c r="F39" s="18" t="s">
        <v>119</v>
      </c>
      <c r="G39" s="18" t="s">
        <v>100</v>
      </c>
      <c r="H39" s="18" t="s">
        <v>101</v>
      </c>
      <c r="I39" s="18" t="s">
        <v>102</v>
      </c>
      <c r="J39" s="18" t="s">
        <v>239</v>
      </c>
      <c r="K39" s="18" t="s">
        <v>199</v>
      </c>
      <c r="L39" s="64" t="n">
        <v>872.20224</v>
      </c>
      <c r="M39" s="64" t="n">
        <v>9</v>
      </c>
      <c r="N39" s="18" t="s">
        <v>271</v>
      </c>
      <c r="O39" s="65" t="n">
        <v>7849.8202</v>
      </c>
      <c r="P39" s="65"/>
      <c r="Q39" s="65"/>
      <c r="R39" s="65" t="s">
        <v>232</v>
      </c>
      <c r="S39" s="66" t="n">
        <f aca="false">Model_Calc!AV10</f>
        <v>7849.82016</v>
      </c>
      <c r="T39" s="66" t="n">
        <f aca="false">ROUND(S39-O39,4)</f>
        <v>0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46023</v>
      </c>
      <c r="E40" s="18" t="s">
        <v>118</v>
      </c>
      <c r="F40" s="18" t="s">
        <v>119</v>
      </c>
      <c r="G40" s="18" t="s">
        <v>100</v>
      </c>
      <c r="H40" s="18" t="s">
        <v>101</v>
      </c>
      <c r="I40" s="18" t="s">
        <v>102</v>
      </c>
      <c r="J40" s="18" t="s">
        <v>241</v>
      </c>
      <c r="K40" s="18" t="s">
        <v>199</v>
      </c>
      <c r="L40" s="64" t="n">
        <v>128.72251392</v>
      </c>
      <c r="M40" s="64" t="n">
        <v>9</v>
      </c>
      <c r="N40" s="18" t="s">
        <v>272</v>
      </c>
      <c r="O40" s="65" t="n">
        <v>1158.5026</v>
      </c>
      <c r="P40" s="65"/>
      <c r="Q40" s="65"/>
      <c r="R40" s="65" t="s">
        <v>232</v>
      </c>
      <c r="S40" s="66" t="n">
        <f aca="false">Model_Calc!BA10</f>
        <v>1158.50262528</v>
      </c>
      <c r="T40" s="66" t="n">
        <f aca="false">ROUND(S40-O40,4)</f>
        <v>0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46023</v>
      </c>
      <c r="E41" s="18" t="s">
        <v>122</v>
      </c>
      <c r="F41" s="18" t="s">
        <v>119</v>
      </c>
      <c r="G41" s="18" t="s">
        <v>100</v>
      </c>
      <c r="H41" s="18" t="s">
        <v>107</v>
      </c>
      <c r="I41" s="18" t="s">
        <v>102</v>
      </c>
      <c r="J41" s="18" t="s">
        <v>230</v>
      </c>
      <c r="K41" s="18" t="s">
        <v>199</v>
      </c>
      <c r="L41" s="64" t="n">
        <v>4598.6304</v>
      </c>
      <c r="M41" s="64" t="n">
        <v>9</v>
      </c>
      <c r="N41" s="18" t="s">
        <v>273</v>
      </c>
      <c r="O41" s="65" t="n">
        <v>41387.6736</v>
      </c>
      <c r="P41" s="65"/>
      <c r="Q41" s="65"/>
      <c r="R41" s="65" t="s">
        <v>232</v>
      </c>
      <c r="S41" s="66" t="n">
        <f aca="false">Model_Calc!AF11</f>
        <v>41387.6736</v>
      </c>
      <c r="T41" s="66" t="n">
        <f aca="false">ROUND(S41-O41,4)</f>
        <v>0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46023</v>
      </c>
      <c r="E42" s="18" t="s">
        <v>122</v>
      </c>
      <c r="F42" s="18" t="s">
        <v>119</v>
      </c>
      <c r="G42" s="18" t="s">
        <v>100</v>
      </c>
      <c r="H42" s="18" t="s">
        <v>107</v>
      </c>
      <c r="I42" s="18" t="s">
        <v>102</v>
      </c>
      <c r="J42" s="18" t="s">
        <v>233</v>
      </c>
      <c r="K42" s="18" t="s">
        <v>199</v>
      </c>
      <c r="L42" s="64" t="n">
        <v>322.88256</v>
      </c>
      <c r="M42" s="64" t="n">
        <v>9</v>
      </c>
      <c r="N42" s="18" t="s">
        <v>274</v>
      </c>
      <c r="O42" s="65" t="n">
        <v>2905.943</v>
      </c>
      <c r="P42" s="65"/>
      <c r="Q42" s="65"/>
      <c r="R42" s="65" t="s">
        <v>232</v>
      </c>
      <c r="S42" s="66" t="n">
        <f aca="false">Model_Calc!AG11</f>
        <v>2905.94304</v>
      </c>
      <c r="T42" s="66" t="n">
        <f aca="false">ROUND(S42-O42,4)</f>
        <v>0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46023</v>
      </c>
      <c r="E43" s="18" t="s">
        <v>122</v>
      </c>
      <c r="F43" s="18" t="s">
        <v>119</v>
      </c>
      <c r="G43" s="18" t="s">
        <v>100</v>
      </c>
      <c r="H43" s="18" t="s">
        <v>107</v>
      </c>
      <c r="I43" s="18" t="s">
        <v>102</v>
      </c>
      <c r="J43" s="18" t="s">
        <v>235</v>
      </c>
      <c r="K43" s="18" t="s">
        <v>195</v>
      </c>
      <c r="L43" s="64" t="n">
        <v>1030.848</v>
      </c>
      <c r="M43" s="64" t="n">
        <v>7.8</v>
      </c>
      <c r="N43" s="18" t="s">
        <v>275</v>
      </c>
      <c r="O43" s="65" t="n">
        <v>8040.6144</v>
      </c>
      <c r="P43" s="65"/>
      <c r="Q43" s="65"/>
      <c r="R43" s="65" t="s">
        <v>232</v>
      </c>
      <c r="S43" s="66" t="n">
        <f aca="false">Model_Calc!AL11</f>
        <v>8040.6144</v>
      </c>
      <c r="T43" s="66" t="n">
        <f aca="false">ROUND(S43-O43,4)</f>
        <v>0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46023</v>
      </c>
      <c r="E44" s="18" t="s">
        <v>122</v>
      </c>
      <c r="F44" s="18" t="s">
        <v>119</v>
      </c>
      <c r="G44" s="18" t="s">
        <v>100</v>
      </c>
      <c r="H44" s="18" t="s">
        <v>107</v>
      </c>
      <c r="I44" s="18" t="s">
        <v>102</v>
      </c>
      <c r="J44" s="18" t="s">
        <v>237</v>
      </c>
      <c r="K44" s="18" t="s">
        <v>195</v>
      </c>
      <c r="L44" s="64" t="n">
        <v>410.94144</v>
      </c>
      <c r="M44" s="64" t="n">
        <v>7.8</v>
      </c>
      <c r="N44" s="18" t="s">
        <v>276</v>
      </c>
      <c r="O44" s="65" t="n">
        <v>3205.3432</v>
      </c>
      <c r="P44" s="65"/>
      <c r="Q44" s="65"/>
      <c r="R44" s="65" t="s">
        <v>232</v>
      </c>
      <c r="S44" s="66" t="n">
        <f aca="false">Model_Calc!AQ11</f>
        <v>3205.343232</v>
      </c>
      <c r="T44" s="66" t="n">
        <f aca="false">ROUND(S44-O44,4)</f>
        <v>0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46023</v>
      </c>
      <c r="E45" s="18" t="s">
        <v>122</v>
      </c>
      <c r="F45" s="18" t="s">
        <v>119</v>
      </c>
      <c r="G45" s="18" t="s">
        <v>100</v>
      </c>
      <c r="H45" s="18" t="s">
        <v>107</v>
      </c>
      <c r="I45" s="18" t="s">
        <v>102</v>
      </c>
      <c r="J45" s="18" t="s">
        <v>239</v>
      </c>
      <c r="K45" s="18" t="s">
        <v>199</v>
      </c>
      <c r="L45" s="64" t="n">
        <v>335.4624</v>
      </c>
      <c r="M45" s="64" t="n">
        <v>9</v>
      </c>
      <c r="N45" s="18" t="s">
        <v>277</v>
      </c>
      <c r="O45" s="65" t="n">
        <v>3019.1616</v>
      </c>
      <c r="P45" s="65"/>
      <c r="Q45" s="65"/>
      <c r="R45" s="65" t="s">
        <v>232</v>
      </c>
      <c r="S45" s="66" t="n">
        <f aca="false">Model_Calc!AV11</f>
        <v>3019.1616</v>
      </c>
      <c r="T45" s="66" t="n">
        <f aca="false">ROUND(S45-O45,4)</f>
        <v>0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46023</v>
      </c>
      <c r="E46" s="18" t="s">
        <v>122</v>
      </c>
      <c r="F46" s="18" t="s">
        <v>119</v>
      </c>
      <c r="G46" s="18" t="s">
        <v>100</v>
      </c>
      <c r="H46" s="18" t="s">
        <v>107</v>
      </c>
      <c r="I46" s="18" t="s">
        <v>102</v>
      </c>
      <c r="J46" s="18" t="s">
        <v>241</v>
      </c>
      <c r="K46" s="18" t="s">
        <v>199</v>
      </c>
      <c r="L46" s="64" t="n">
        <v>38.2566912</v>
      </c>
      <c r="M46" s="64" t="n">
        <v>9</v>
      </c>
      <c r="N46" s="18" t="s">
        <v>278</v>
      </c>
      <c r="O46" s="65" t="n">
        <v>344.3102</v>
      </c>
      <c r="P46" s="65"/>
      <c r="Q46" s="65"/>
      <c r="R46" s="65" t="s">
        <v>232</v>
      </c>
      <c r="S46" s="66" t="n">
        <f aca="false">Model_Calc!BA11</f>
        <v>344.3102208</v>
      </c>
      <c r="T46" s="66" t="n">
        <f aca="false">ROUND(S46-O46,4)</f>
        <v>0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46023</v>
      </c>
      <c r="E47" s="18" t="s">
        <v>124</v>
      </c>
      <c r="F47" s="18" t="s">
        <v>119</v>
      </c>
      <c r="G47" s="18" t="s">
        <v>100</v>
      </c>
      <c r="H47" s="18" t="s">
        <v>107</v>
      </c>
      <c r="I47" s="18" t="s">
        <v>125</v>
      </c>
      <c r="J47" s="18" t="s">
        <v>230</v>
      </c>
      <c r="K47" s="18" t="s">
        <v>199</v>
      </c>
      <c r="L47" s="64" t="n">
        <v>1596.64447488</v>
      </c>
      <c r="M47" s="64" t="n">
        <v>9</v>
      </c>
      <c r="N47" s="18" t="s">
        <v>279</v>
      </c>
      <c r="O47" s="65" t="n">
        <v>14369.8003</v>
      </c>
      <c r="P47" s="65"/>
      <c r="Q47" s="65"/>
      <c r="R47" s="65" t="s">
        <v>232</v>
      </c>
      <c r="S47" s="66" t="n">
        <f aca="false">Model_Calc!AF12</f>
        <v>14369.80027392</v>
      </c>
      <c r="T47" s="66" t="n">
        <f aca="false">ROUND(S47-O47,4)</f>
        <v>0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46023</v>
      </c>
      <c r="E48" s="18" t="s">
        <v>124</v>
      </c>
      <c r="F48" s="18" t="s">
        <v>119</v>
      </c>
      <c r="G48" s="18" t="s">
        <v>100</v>
      </c>
      <c r="H48" s="18" t="s">
        <v>107</v>
      </c>
      <c r="I48" s="18" t="s">
        <v>125</v>
      </c>
      <c r="J48" s="18" t="s">
        <v>233</v>
      </c>
      <c r="K48" s="18" t="s">
        <v>199</v>
      </c>
      <c r="L48" s="64" t="n">
        <v>183.6141146112</v>
      </c>
      <c r="M48" s="64" t="n">
        <v>9</v>
      </c>
      <c r="N48" s="18" t="s">
        <v>280</v>
      </c>
      <c r="O48" s="65" t="n">
        <v>1652.527</v>
      </c>
      <c r="P48" s="65"/>
      <c r="Q48" s="65"/>
      <c r="R48" s="65" t="s">
        <v>232</v>
      </c>
      <c r="S48" s="66" t="n">
        <f aca="false">Model_Calc!AG12</f>
        <v>1652.5270315008</v>
      </c>
      <c r="T48" s="66" t="n">
        <f aca="false">ROUND(S48-O48,4)</f>
        <v>0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46023</v>
      </c>
      <c r="E49" s="18" t="s">
        <v>124</v>
      </c>
      <c r="F49" s="18" t="s">
        <v>119</v>
      </c>
      <c r="G49" s="18" t="s">
        <v>100</v>
      </c>
      <c r="H49" s="18" t="s">
        <v>107</v>
      </c>
      <c r="I49" s="18" t="s">
        <v>125</v>
      </c>
      <c r="J49" s="18" t="s">
        <v>235</v>
      </c>
      <c r="K49" s="18" t="s">
        <v>195</v>
      </c>
      <c r="L49" s="64" t="n">
        <v>288.63744</v>
      </c>
      <c r="M49" s="64" t="n">
        <v>7.8</v>
      </c>
      <c r="N49" s="18" t="s">
        <v>281</v>
      </c>
      <c r="O49" s="65" t="n">
        <v>2251.372</v>
      </c>
      <c r="P49" s="65"/>
      <c r="Q49" s="65"/>
      <c r="R49" s="65" t="s">
        <v>232</v>
      </c>
      <c r="S49" s="66" t="n">
        <f aca="false">Model_Calc!AL12</f>
        <v>2251.372032</v>
      </c>
      <c r="T49" s="66" t="n">
        <f aca="false">ROUND(S49-O49,4)</f>
        <v>0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46023</v>
      </c>
      <c r="E50" s="18" t="s">
        <v>124</v>
      </c>
      <c r="F50" s="18" t="s">
        <v>119</v>
      </c>
      <c r="G50" s="18" t="s">
        <v>100</v>
      </c>
      <c r="H50" s="18" t="s">
        <v>107</v>
      </c>
      <c r="I50" s="18" t="s">
        <v>125</v>
      </c>
      <c r="J50" s="18" t="s">
        <v>237</v>
      </c>
      <c r="K50" s="18" t="s">
        <v>195</v>
      </c>
      <c r="L50" s="64" t="n">
        <v>115.0636032</v>
      </c>
      <c r="M50" s="64" t="n">
        <v>7.8</v>
      </c>
      <c r="N50" s="18" t="s">
        <v>282</v>
      </c>
      <c r="O50" s="65" t="n">
        <v>897.4961</v>
      </c>
      <c r="P50" s="65"/>
      <c r="Q50" s="65"/>
      <c r="R50" s="65" t="s">
        <v>232</v>
      </c>
      <c r="S50" s="66" t="n">
        <f aca="false">Model_Calc!AQ12</f>
        <v>897.49610496</v>
      </c>
      <c r="T50" s="66" t="n">
        <f aca="false">ROUND(S50-O50,4)</f>
        <v>0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46023</v>
      </c>
      <c r="E51" s="18" t="s">
        <v>124</v>
      </c>
      <c r="F51" s="18" t="s">
        <v>119</v>
      </c>
      <c r="G51" s="18" t="s">
        <v>100</v>
      </c>
      <c r="H51" s="18" t="s">
        <v>107</v>
      </c>
      <c r="I51" s="18" t="s">
        <v>125</v>
      </c>
      <c r="J51" s="18" t="s">
        <v>239</v>
      </c>
      <c r="K51" s="18" t="s">
        <v>199</v>
      </c>
      <c r="L51" s="64" t="n">
        <v>93.929472</v>
      </c>
      <c r="M51" s="64" t="n">
        <v>9</v>
      </c>
      <c r="N51" s="18" t="s">
        <v>283</v>
      </c>
      <c r="O51" s="65" t="n">
        <v>845.3652</v>
      </c>
      <c r="P51" s="65"/>
      <c r="Q51" s="65"/>
      <c r="R51" s="65" t="s">
        <v>232</v>
      </c>
      <c r="S51" s="66" t="n">
        <f aca="false">Model_Calc!AV12</f>
        <v>845.365248</v>
      </c>
      <c r="T51" s="66" t="n">
        <f aca="false">ROUND(S51-O51,4)</f>
        <v>0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46023</v>
      </c>
      <c r="E52" s="18" t="s">
        <v>124</v>
      </c>
      <c r="F52" s="18" t="s">
        <v>119</v>
      </c>
      <c r="G52" s="18" t="s">
        <v>100</v>
      </c>
      <c r="H52" s="18" t="s">
        <v>107</v>
      </c>
      <c r="I52" s="18" t="s">
        <v>125</v>
      </c>
      <c r="J52" s="18" t="s">
        <v>241</v>
      </c>
      <c r="K52" s="18" t="s">
        <v>199</v>
      </c>
      <c r="L52" s="64" t="n">
        <v>9.972178944</v>
      </c>
      <c r="M52" s="64" t="n">
        <v>9</v>
      </c>
      <c r="N52" s="18" t="s">
        <v>284</v>
      </c>
      <c r="O52" s="65" t="n">
        <v>89.7496</v>
      </c>
      <c r="P52" s="65"/>
      <c r="Q52" s="65"/>
      <c r="R52" s="65" t="s">
        <v>232</v>
      </c>
      <c r="S52" s="66" t="n">
        <f aca="false">Model_Calc!BA12</f>
        <v>89.749610496</v>
      </c>
      <c r="T52" s="66" t="n">
        <f aca="false">ROUND(S52-O52,4)</f>
        <v>0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46023</v>
      </c>
      <c r="E53" s="18" t="s">
        <v>127</v>
      </c>
      <c r="F53" s="18" t="s">
        <v>119</v>
      </c>
      <c r="G53" s="18" t="s">
        <v>100</v>
      </c>
      <c r="H53" s="18" t="s">
        <v>128</v>
      </c>
      <c r="I53" s="18" t="s">
        <v>125</v>
      </c>
      <c r="J53" s="18" t="s">
        <v>230</v>
      </c>
      <c r="K53" s="18" t="s">
        <v>199</v>
      </c>
      <c r="L53" s="64" t="n">
        <v>810.141696</v>
      </c>
      <c r="M53" s="64" t="n">
        <v>9</v>
      </c>
      <c r="N53" s="18" t="s">
        <v>285</v>
      </c>
      <c r="O53" s="65" t="n">
        <v>7291.2753</v>
      </c>
      <c r="P53" s="65"/>
      <c r="Q53" s="65"/>
      <c r="R53" s="65" t="s">
        <v>232</v>
      </c>
      <c r="S53" s="66" t="n">
        <f aca="false">Model_Calc!AF13</f>
        <v>7291.275264</v>
      </c>
      <c r="T53" s="66" t="n">
        <f aca="false">ROUND(S53-O53,4)</f>
        <v>0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46023</v>
      </c>
      <c r="E54" s="18" t="s">
        <v>127</v>
      </c>
      <c r="F54" s="18" t="s">
        <v>119</v>
      </c>
      <c r="G54" s="18" t="s">
        <v>100</v>
      </c>
      <c r="H54" s="18" t="s">
        <v>128</v>
      </c>
      <c r="I54" s="18" t="s">
        <v>125</v>
      </c>
      <c r="J54" s="18" t="s">
        <v>233</v>
      </c>
      <c r="K54" s="18" t="s">
        <v>199</v>
      </c>
      <c r="L54" s="64" t="n">
        <v>62.650957824</v>
      </c>
      <c r="M54" s="64" t="n">
        <v>9</v>
      </c>
      <c r="N54" s="18" t="s">
        <v>286</v>
      </c>
      <c r="O54" s="65" t="n">
        <v>563.8586</v>
      </c>
      <c r="P54" s="65"/>
      <c r="Q54" s="65"/>
      <c r="R54" s="65" t="s">
        <v>232</v>
      </c>
      <c r="S54" s="66" t="n">
        <f aca="false">Model_Calc!AG13</f>
        <v>563.858620416</v>
      </c>
      <c r="T54" s="66" t="n">
        <f aca="false">ROUND(S54-O54,4)</f>
        <v>0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46023</v>
      </c>
      <c r="E55" s="18" t="s">
        <v>127</v>
      </c>
      <c r="F55" s="18" t="s">
        <v>119</v>
      </c>
      <c r="G55" s="18" t="s">
        <v>100</v>
      </c>
      <c r="H55" s="18" t="s">
        <v>128</v>
      </c>
      <c r="I55" s="18" t="s">
        <v>125</v>
      </c>
      <c r="J55" s="18" t="s">
        <v>235</v>
      </c>
      <c r="K55" s="18" t="s">
        <v>195</v>
      </c>
      <c r="L55" s="64" t="n">
        <v>123.70176</v>
      </c>
      <c r="M55" s="64" t="n">
        <v>7.8</v>
      </c>
      <c r="N55" s="18" t="s">
        <v>287</v>
      </c>
      <c r="O55" s="65" t="n">
        <v>964.8737</v>
      </c>
      <c r="P55" s="65"/>
      <c r="Q55" s="65"/>
      <c r="R55" s="65" t="s">
        <v>232</v>
      </c>
      <c r="S55" s="66" t="n">
        <f aca="false">Model_Calc!AL13</f>
        <v>964.873728</v>
      </c>
      <c r="T55" s="66" t="n">
        <f aca="false">ROUND(S55-O55,4)</f>
        <v>0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46023</v>
      </c>
      <c r="E56" s="18" t="s">
        <v>127</v>
      </c>
      <c r="F56" s="18" t="s">
        <v>119</v>
      </c>
      <c r="G56" s="18" t="s">
        <v>100</v>
      </c>
      <c r="H56" s="18" t="s">
        <v>128</v>
      </c>
      <c r="I56" s="18" t="s">
        <v>125</v>
      </c>
      <c r="J56" s="18" t="s">
        <v>237</v>
      </c>
      <c r="K56" s="18" t="s">
        <v>195</v>
      </c>
      <c r="L56" s="64" t="n">
        <v>49.3129728</v>
      </c>
      <c r="M56" s="64" t="n">
        <v>7.8</v>
      </c>
      <c r="N56" s="18" t="s">
        <v>288</v>
      </c>
      <c r="O56" s="65" t="n">
        <v>384.6412</v>
      </c>
      <c r="P56" s="65"/>
      <c r="Q56" s="65"/>
      <c r="R56" s="65" t="s">
        <v>232</v>
      </c>
      <c r="S56" s="66" t="n">
        <f aca="false">Model_Calc!AQ13</f>
        <v>384.64118784</v>
      </c>
      <c r="T56" s="66" t="n">
        <f aca="false">ROUND(S56-O56,4)</f>
        <v>0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46023</v>
      </c>
      <c r="E57" s="18" t="s">
        <v>127</v>
      </c>
      <c r="F57" s="18" t="s">
        <v>119</v>
      </c>
      <c r="G57" s="18" t="s">
        <v>100</v>
      </c>
      <c r="H57" s="18" t="s">
        <v>128</v>
      </c>
      <c r="I57" s="18" t="s">
        <v>125</v>
      </c>
      <c r="J57" s="18" t="s">
        <v>239</v>
      </c>
      <c r="K57" s="18" t="s">
        <v>199</v>
      </c>
      <c r="L57" s="64" t="n">
        <v>40.255488</v>
      </c>
      <c r="M57" s="64" t="n">
        <v>9</v>
      </c>
      <c r="N57" s="18" t="s">
        <v>289</v>
      </c>
      <c r="O57" s="65" t="n">
        <v>362.2994</v>
      </c>
      <c r="P57" s="65"/>
      <c r="Q57" s="65"/>
      <c r="R57" s="65" t="s">
        <v>232</v>
      </c>
      <c r="S57" s="66" t="n">
        <f aca="false">Model_Calc!AV13</f>
        <v>362.299392</v>
      </c>
      <c r="T57" s="66" t="n">
        <f aca="false">ROUND(S57-O57,4)</f>
        <v>0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46023</v>
      </c>
      <c r="E58" s="18" t="s">
        <v>127</v>
      </c>
      <c r="F58" s="18" t="s">
        <v>119</v>
      </c>
      <c r="G58" s="18" t="s">
        <v>100</v>
      </c>
      <c r="H58" s="18" t="s">
        <v>128</v>
      </c>
      <c r="I58" s="18" t="s">
        <v>125</v>
      </c>
      <c r="J58" s="18" t="s">
        <v>241</v>
      </c>
      <c r="K58" s="18" t="s">
        <v>199</v>
      </c>
      <c r="L58" s="64" t="n">
        <v>3.804143616</v>
      </c>
      <c r="M58" s="64" t="n">
        <v>9</v>
      </c>
      <c r="N58" s="18" t="s">
        <v>290</v>
      </c>
      <c r="O58" s="65" t="n">
        <v>34.2373</v>
      </c>
      <c r="P58" s="65"/>
      <c r="Q58" s="65"/>
      <c r="R58" s="65" t="s">
        <v>232</v>
      </c>
      <c r="S58" s="66" t="n">
        <f aca="false">Model_Calc!BA13</f>
        <v>34.237292544</v>
      </c>
      <c r="T58" s="66" t="n">
        <f aca="false">ROUND(S58-O58,4)</f>
        <v>0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46023</v>
      </c>
      <c r="E59" s="18" t="s">
        <v>130</v>
      </c>
      <c r="F59" s="18" t="s">
        <v>119</v>
      </c>
      <c r="G59" s="18" t="s">
        <v>110</v>
      </c>
      <c r="H59" s="18" t="s">
        <v>107</v>
      </c>
      <c r="I59" s="18" t="s">
        <v>125</v>
      </c>
      <c r="J59" s="18" t="s">
        <v>230</v>
      </c>
      <c r="K59" s="18" t="s">
        <v>195</v>
      </c>
      <c r="L59" s="64" t="n">
        <v>1009.6632</v>
      </c>
      <c r="M59" s="64" t="n">
        <v>7.8</v>
      </c>
      <c r="N59" s="18" t="s">
        <v>291</v>
      </c>
      <c r="O59" s="65" t="n">
        <v>7875.373</v>
      </c>
      <c r="P59" s="65"/>
      <c r="Q59" s="65"/>
      <c r="R59" s="65" t="s">
        <v>232</v>
      </c>
      <c r="S59" s="66" t="n">
        <f aca="false">Model_Calc!AF14</f>
        <v>7875.37296</v>
      </c>
      <c r="T59" s="66" t="n">
        <f aca="false">ROUND(S59-O59,4)</f>
        <v>0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46023</v>
      </c>
      <c r="E60" s="18" t="s">
        <v>130</v>
      </c>
      <c r="F60" s="18" t="s">
        <v>119</v>
      </c>
      <c r="G60" s="18" t="s">
        <v>110</v>
      </c>
      <c r="H60" s="18" t="s">
        <v>107</v>
      </c>
      <c r="I60" s="18" t="s">
        <v>125</v>
      </c>
      <c r="J60" s="18" t="s">
        <v>233</v>
      </c>
      <c r="K60" s="18" t="s">
        <v>195</v>
      </c>
      <c r="L60" s="64" t="n">
        <v>106.014636</v>
      </c>
      <c r="M60" s="64" t="n">
        <v>7.8</v>
      </c>
      <c r="N60" s="18" t="s">
        <v>292</v>
      </c>
      <c r="O60" s="65" t="n">
        <v>826.9142</v>
      </c>
      <c r="P60" s="65"/>
      <c r="Q60" s="65"/>
      <c r="R60" s="65" t="s">
        <v>232</v>
      </c>
      <c r="S60" s="66" t="n">
        <f aca="false">Model_Calc!AG14</f>
        <v>826.9141608</v>
      </c>
      <c r="T60" s="66" t="n">
        <f aca="false">ROUND(S60-O60,4)</f>
        <v>0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46023</v>
      </c>
      <c r="E61" s="18" t="s">
        <v>130</v>
      </c>
      <c r="F61" s="18" t="s">
        <v>119</v>
      </c>
      <c r="G61" s="18" t="s">
        <v>110</v>
      </c>
      <c r="H61" s="18" t="s">
        <v>107</v>
      </c>
      <c r="I61" s="18" t="s">
        <v>125</v>
      </c>
      <c r="J61" s="18" t="s">
        <v>235</v>
      </c>
      <c r="K61" s="18" t="s">
        <v>195</v>
      </c>
      <c r="L61" s="64" t="n">
        <v>152.88</v>
      </c>
      <c r="M61" s="64" t="n">
        <v>7.8</v>
      </c>
      <c r="N61" s="18" t="s">
        <v>293</v>
      </c>
      <c r="O61" s="65" t="n">
        <v>1192.464</v>
      </c>
      <c r="P61" s="65"/>
      <c r="Q61" s="65"/>
      <c r="R61" s="65" t="s">
        <v>232</v>
      </c>
      <c r="S61" s="66" t="n">
        <f aca="false">Model_Calc!AL14</f>
        <v>1192.464</v>
      </c>
      <c r="T61" s="66" t="n">
        <f aca="false">ROUND(S61-O61,4)</f>
        <v>0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46023</v>
      </c>
      <c r="E62" s="18" t="s">
        <v>130</v>
      </c>
      <c r="F62" s="18" t="s">
        <v>119</v>
      </c>
      <c r="G62" s="18" t="s">
        <v>110</v>
      </c>
      <c r="H62" s="18" t="s">
        <v>107</v>
      </c>
      <c r="I62" s="18" t="s">
        <v>125</v>
      </c>
      <c r="J62" s="18" t="s">
        <v>237</v>
      </c>
      <c r="K62" s="18" t="s">
        <v>195</v>
      </c>
      <c r="L62" s="64" t="n">
        <v>63.6272</v>
      </c>
      <c r="M62" s="64" t="n">
        <v>7.8</v>
      </c>
      <c r="N62" s="18" t="s">
        <v>294</v>
      </c>
      <c r="O62" s="65" t="n">
        <v>496.2922</v>
      </c>
      <c r="P62" s="65"/>
      <c r="Q62" s="65"/>
      <c r="R62" s="65" t="s">
        <v>232</v>
      </c>
      <c r="S62" s="66" t="n">
        <f aca="false">Model_Calc!AQ14</f>
        <v>496.29216</v>
      </c>
      <c r="T62" s="66" t="n">
        <f aca="false">ROUND(S62-O62,4)</f>
        <v>0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46023</v>
      </c>
      <c r="E63" s="18" t="s">
        <v>130</v>
      </c>
      <c r="F63" s="18" t="s">
        <v>119</v>
      </c>
      <c r="G63" s="18" t="s">
        <v>110</v>
      </c>
      <c r="H63" s="18" t="s">
        <v>107</v>
      </c>
      <c r="I63" s="18" t="s">
        <v>125</v>
      </c>
      <c r="J63" s="18" t="s">
        <v>239</v>
      </c>
      <c r="K63" s="18" t="s">
        <v>195</v>
      </c>
      <c r="L63" s="64" t="n">
        <v>60.5696</v>
      </c>
      <c r="M63" s="64" t="n">
        <v>7.8</v>
      </c>
      <c r="N63" s="18" t="s">
        <v>295</v>
      </c>
      <c r="O63" s="65" t="n">
        <v>472.4429</v>
      </c>
      <c r="P63" s="65"/>
      <c r="Q63" s="65"/>
      <c r="R63" s="65" t="s">
        <v>232</v>
      </c>
      <c r="S63" s="66" t="n">
        <f aca="false">Model_Calc!AV14</f>
        <v>472.44288</v>
      </c>
      <c r="T63" s="66" t="n">
        <f aca="false">ROUND(S63-O63,4)</f>
        <v>0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46023</v>
      </c>
      <c r="E64" s="18" t="s">
        <v>130</v>
      </c>
      <c r="F64" s="18" t="s">
        <v>119</v>
      </c>
      <c r="G64" s="18" t="s">
        <v>110</v>
      </c>
      <c r="H64" s="18" t="s">
        <v>107</v>
      </c>
      <c r="I64" s="18" t="s">
        <v>125</v>
      </c>
      <c r="J64" s="18" t="s">
        <v>241</v>
      </c>
      <c r="K64" s="18" t="s">
        <v>195</v>
      </c>
      <c r="L64" s="64" t="n">
        <v>5.625984</v>
      </c>
      <c r="M64" s="64" t="n">
        <v>7.8</v>
      </c>
      <c r="N64" s="18" t="s">
        <v>296</v>
      </c>
      <c r="O64" s="65" t="n">
        <v>43.8827</v>
      </c>
      <c r="P64" s="65"/>
      <c r="Q64" s="65"/>
      <c r="R64" s="65" t="s">
        <v>232</v>
      </c>
      <c r="S64" s="66" t="n">
        <f aca="false">Model_Calc!BA14</f>
        <v>43.8826752</v>
      </c>
      <c r="T64" s="66" t="n">
        <f aca="false">ROUND(S64-O64,4)</f>
        <v>0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46054</v>
      </c>
      <c r="E65" s="18" t="s">
        <v>98</v>
      </c>
      <c r="F65" s="18" t="s">
        <v>99</v>
      </c>
      <c r="G65" s="18" t="s">
        <v>100</v>
      </c>
      <c r="H65" s="18" t="s">
        <v>101</v>
      </c>
      <c r="I65" s="18" t="s">
        <v>102</v>
      </c>
      <c r="J65" s="18" t="s">
        <v>230</v>
      </c>
      <c r="K65" s="18" t="s">
        <v>195</v>
      </c>
      <c r="L65" s="64" t="n">
        <v>5945.831892</v>
      </c>
      <c r="M65" s="64" t="n">
        <v>7.8</v>
      </c>
      <c r="N65" s="18" t="s">
        <v>297</v>
      </c>
      <c r="O65" s="65" t="n">
        <v>46377.4888</v>
      </c>
      <c r="P65" s="65"/>
      <c r="Q65" s="65"/>
      <c r="R65" s="65" t="s">
        <v>232</v>
      </c>
      <c r="S65" s="66" t="n">
        <f aca="false">Model_Calc!AF15</f>
        <v>46377.4887576</v>
      </c>
      <c r="T65" s="66" t="n">
        <f aca="false">ROUND(S65-O65,4)</f>
        <v>0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46054</v>
      </c>
      <c r="E66" s="18" t="s">
        <v>98</v>
      </c>
      <c r="F66" s="18" t="s">
        <v>99</v>
      </c>
      <c r="G66" s="18" t="s">
        <v>100</v>
      </c>
      <c r="H66" s="18" t="s">
        <v>101</v>
      </c>
      <c r="I66" s="18" t="s">
        <v>102</v>
      </c>
      <c r="J66" s="18" t="s">
        <v>233</v>
      </c>
      <c r="K66" s="18" t="s">
        <v>195</v>
      </c>
      <c r="L66" s="64" t="n">
        <v>564.85402974</v>
      </c>
      <c r="M66" s="64" t="n">
        <v>7.8</v>
      </c>
      <c r="N66" s="18" t="s">
        <v>298</v>
      </c>
      <c r="O66" s="65" t="n">
        <v>4405.8614</v>
      </c>
      <c r="P66" s="65"/>
      <c r="Q66" s="65"/>
      <c r="R66" s="65" t="s">
        <v>232</v>
      </c>
      <c r="S66" s="66" t="n">
        <f aca="false">Model_Calc!AG15</f>
        <v>4405.861431972</v>
      </c>
      <c r="T66" s="66" t="n">
        <f aca="false">ROUND(S66-O66,4)</f>
        <v>0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46054</v>
      </c>
      <c r="E67" s="18" t="s">
        <v>98</v>
      </c>
      <c r="F67" s="18" t="s">
        <v>99</v>
      </c>
      <c r="G67" s="18" t="s">
        <v>100</v>
      </c>
      <c r="H67" s="18" t="s">
        <v>101</v>
      </c>
      <c r="I67" s="18" t="s">
        <v>102</v>
      </c>
      <c r="J67" s="18" t="s">
        <v>235</v>
      </c>
      <c r="K67" s="18" t="s">
        <v>195</v>
      </c>
      <c r="L67" s="64" t="n">
        <v>3893.9292</v>
      </c>
      <c r="M67" s="64" t="n">
        <v>7.8</v>
      </c>
      <c r="N67" s="18" t="s">
        <v>299</v>
      </c>
      <c r="O67" s="65" t="n">
        <v>30372.6478</v>
      </c>
      <c r="P67" s="65"/>
      <c r="Q67" s="65"/>
      <c r="R67" s="65" t="s">
        <v>232</v>
      </c>
      <c r="S67" s="66" t="n">
        <f aca="false">Model_Calc!AL15</f>
        <v>30372.64776</v>
      </c>
      <c r="T67" s="66" t="n">
        <f aca="false">ROUND(S67-O67,4)</f>
        <v>0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46054</v>
      </c>
      <c r="E68" s="18" t="s">
        <v>98</v>
      </c>
      <c r="F68" s="18" t="s">
        <v>99</v>
      </c>
      <c r="G68" s="18" t="s">
        <v>100</v>
      </c>
      <c r="H68" s="18" t="s">
        <v>101</v>
      </c>
      <c r="I68" s="18" t="s">
        <v>102</v>
      </c>
      <c r="J68" s="18" t="s">
        <v>237</v>
      </c>
      <c r="K68" s="18" t="s">
        <v>195</v>
      </c>
      <c r="L68" s="64" t="n">
        <v>1455.27354</v>
      </c>
      <c r="M68" s="64" t="n">
        <v>7.8</v>
      </c>
      <c r="N68" s="18" t="s">
        <v>300</v>
      </c>
      <c r="O68" s="65" t="n">
        <v>11351.1336</v>
      </c>
      <c r="P68" s="65"/>
      <c r="Q68" s="65"/>
      <c r="R68" s="65" t="s">
        <v>232</v>
      </c>
      <c r="S68" s="66" t="n">
        <f aca="false">Model_Calc!AQ15</f>
        <v>11351.133612</v>
      </c>
      <c r="T68" s="66" t="n">
        <f aca="false">ROUND(S68-O68,4)</f>
        <v>0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46054</v>
      </c>
      <c r="E69" s="18" t="s">
        <v>98</v>
      </c>
      <c r="F69" s="18" t="s">
        <v>99</v>
      </c>
      <c r="G69" s="18" t="s">
        <v>100</v>
      </c>
      <c r="H69" s="18" t="s">
        <v>101</v>
      </c>
      <c r="I69" s="18" t="s">
        <v>102</v>
      </c>
      <c r="J69" s="18" t="s">
        <v>239</v>
      </c>
      <c r="K69" s="18" t="s">
        <v>195</v>
      </c>
      <c r="L69" s="64" t="n">
        <v>527.9904</v>
      </c>
      <c r="M69" s="64" t="n">
        <v>7.8</v>
      </c>
      <c r="N69" s="18" t="s">
        <v>301</v>
      </c>
      <c r="O69" s="65" t="n">
        <v>4118.3251</v>
      </c>
      <c r="P69" s="65"/>
      <c r="Q69" s="65"/>
      <c r="R69" s="65" t="s">
        <v>232</v>
      </c>
      <c r="S69" s="66" t="n">
        <f aca="false">Model_Calc!AV15</f>
        <v>4118.32512</v>
      </c>
      <c r="T69" s="66" t="n">
        <f aca="false">ROUND(S69-O69,4)</f>
        <v>0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46054</v>
      </c>
      <c r="E70" s="18" t="s">
        <v>98</v>
      </c>
      <c r="F70" s="18" t="s">
        <v>99</v>
      </c>
      <c r="G70" s="18" t="s">
        <v>100</v>
      </c>
      <c r="H70" s="18" t="s">
        <v>101</v>
      </c>
      <c r="I70" s="18" t="s">
        <v>102</v>
      </c>
      <c r="J70" s="18" t="s">
        <v>241</v>
      </c>
      <c r="K70" s="18" t="s">
        <v>195</v>
      </c>
      <c r="L70" s="64" t="n">
        <v>127.5096816</v>
      </c>
      <c r="M70" s="64" t="n">
        <v>7.8</v>
      </c>
      <c r="N70" s="18" t="s">
        <v>302</v>
      </c>
      <c r="O70" s="65" t="n">
        <v>994.5755</v>
      </c>
      <c r="P70" s="65"/>
      <c r="Q70" s="65"/>
      <c r="R70" s="65" t="s">
        <v>232</v>
      </c>
      <c r="S70" s="66" t="n">
        <f aca="false">Model_Calc!BA15</f>
        <v>994.57551648</v>
      </c>
      <c r="T70" s="66" t="n">
        <f aca="false">ROUND(S70-O70,4)</f>
        <v>0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46054</v>
      </c>
      <c r="E71" s="18" t="s">
        <v>106</v>
      </c>
      <c r="F71" s="18" t="s">
        <v>99</v>
      </c>
      <c r="G71" s="18" t="s">
        <v>100</v>
      </c>
      <c r="H71" s="18" t="s">
        <v>107</v>
      </c>
      <c r="I71" s="18" t="s">
        <v>102</v>
      </c>
      <c r="J71" s="18" t="s">
        <v>230</v>
      </c>
      <c r="K71" s="18" t="s">
        <v>195</v>
      </c>
      <c r="L71" s="64" t="n">
        <v>5081.9076</v>
      </c>
      <c r="M71" s="64" t="n">
        <v>7.8</v>
      </c>
      <c r="N71" s="18" t="s">
        <v>303</v>
      </c>
      <c r="O71" s="65" t="n">
        <v>39638.8793</v>
      </c>
      <c r="P71" s="65"/>
      <c r="Q71" s="65"/>
      <c r="R71" s="65" t="s">
        <v>232</v>
      </c>
      <c r="S71" s="66" t="n">
        <f aca="false">Model_Calc!AF16</f>
        <v>39638.87928</v>
      </c>
      <c r="T71" s="66" t="n">
        <f aca="false">ROUND(S71-O71,4)</f>
        <v>0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46054</v>
      </c>
      <c r="E72" s="18" t="s">
        <v>106</v>
      </c>
      <c r="F72" s="18" t="s">
        <v>99</v>
      </c>
      <c r="G72" s="18" t="s">
        <v>100</v>
      </c>
      <c r="H72" s="18" t="s">
        <v>107</v>
      </c>
      <c r="I72" s="18" t="s">
        <v>102</v>
      </c>
      <c r="J72" s="18" t="s">
        <v>233</v>
      </c>
      <c r="K72" s="18" t="s">
        <v>195</v>
      </c>
      <c r="L72" s="64" t="n">
        <v>388.072944</v>
      </c>
      <c r="M72" s="64" t="n">
        <v>7.8</v>
      </c>
      <c r="N72" s="18" t="s">
        <v>304</v>
      </c>
      <c r="O72" s="65" t="n">
        <v>3026.969</v>
      </c>
      <c r="P72" s="65"/>
      <c r="Q72" s="65"/>
      <c r="R72" s="65" t="s">
        <v>232</v>
      </c>
      <c r="S72" s="66" t="n">
        <f aca="false">Model_Calc!AG16</f>
        <v>3026.9689632</v>
      </c>
      <c r="T72" s="66" t="n">
        <f aca="false">ROUND(S72-O72,4)</f>
        <v>0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46054</v>
      </c>
      <c r="E73" s="18" t="s">
        <v>106</v>
      </c>
      <c r="F73" s="18" t="s">
        <v>99</v>
      </c>
      <c r="G73" s="18" t="s">
        <v>100</v>
      </c>
      <c r="H73" s="18" t="s">
        <v>107</v>
      </c>
      <c r="I73" s="18" t="s">
        <v>102</v>
      </c>
      <c r="J73" s="18" t="s">
        <v>235</v>
      </c>
      <c r="K73" s="18" t="s">
        <v>195</v>
      </c>
      <c r="L73" s="64" t="n">
        <v>2595.9528</v>
      </c>
      <c r="M73" s="64" t="n">
        <v>7.8</v>
      </c>
      <c r="N73" s="18" t="s">
        <v>305</v>
      </c>
      <c r="O73" s="65" t="n">
        <v>20248.4318</v>
      </c>
      <c r="P73" s="65"/>
      <c r="Q73" s="65"/>
      <c r="R73" s="65" t="s">
        <v>232</v>
      </c>
      <c r="S73" s="66" t="n">
        <f aca="false">Model_Calc!AL16</f>
        <v>20248.43184</v>
      </c>
      <c r="T73" s="66" t="n">
        <f aca="false">ROUND(S73-O73,4)</f>
        <v>0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46054</v>
      </c>
      <c r="E74" s="18" t="s">
        <v>106</v>
      </c>
      <c r="F74" s="18" t="s">
        <v>99</v>
      </c>
      <c r="G74" s="18" t="s">
        <v>100</v>
      </c>
      <c r="H74" s="18" t="s">
        <v>107</v>
      </c>
      <c r="I74" s="18" t="s">
        <v>102</v>
      </c>
      <c r="J74" s="18" t="s">
        <v>237</v>
      </c>
      <c r="K74" s="18" t="s">
        <v>195</v>
      </c>
      <c r="L74" s="64" t="n">
        <v>970.18236</v>
      </c>
      <c r="M74" s="64" t="n">
        <v>7.8</v>
      </c>
      <c r="N74" s="18" t="s">
        <v>306</v>
      </c>
      <c r="O74" s="65" t="n">
        <v>7567.4224</v>
      </c>
      <c r="P74" s="65"/>
      <c r="Q74" s="65"/>
      <c r="R74" s="65" t="s">
        <v>232</v>
      </c>
      <c r="S74" s="66" t="n">
        <f aca="false">Model_Calc!AQ16</f>
        <v>7567.422408</v>
      </c>
      <c r="T74" s="66" t="n">
        <f aca="false">ROUND(S74-O74,4)</f>
        <v>0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46054</v>
      </c>
      <c r="E75" s="18" t="s">
        <v>106</v>
      </c>
      <c r="F75" s="18" t="s">
        <v>99</v>
      </c>
      <c r="G75" s="18" t="s">
        <v>100</v>
      </c>
      <c r="H75" s="18" t="s">
        <v>107</v>
      </c>
      <c r="I75" s="18" t="s">
        <v>102</v>
      </c>
      <c r="J75" s="18" t="s">
        <v>239</v>
      </c>
      <c r="K75" s="18" t="s">
        <v>195</v>
      </c>
      <c r="L75" s="64" t="n">
        <v>351.9936</v>
      </c>
      <c r="M75" s="64" t="n">
        <v>7.8</v>
      </c>
      <c r="N75" s="18" t="s">
        <v>307</v>
      </c>
      <c r="O75" s="65" t="n">
        <v>2745.5501</v>
      </c>
      <c r="P75" s="65"/>
      <c r="Q75" s="65"/>
      <c r="R75" s="65" t="s">
        <v>232</v>
      </c>
      <c r="S75" s="66" t="n">
        <f aca="false">Model_Calc!AV16</f>
        <v>2745.55008</v>
      </c>
      <c r="T75" s="66" t="n">
        <f aca="false">ROUND(S75-O75,4)</f>
        <v>0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46054</v>
      </c>
      <c r="E76" s="18" t="s">
        <v>106</v>
      </c>
      <c r="F76" s="18" t="s">
        <v>99</v>
      </c>
      <c r="G76" s="18" t="s">
        <v>100</v>
      </c>
      <c r="H76" s="18" t="s">
        <v>107</v>
      </c>
      <c r="I76" s="18" t="s">
        <v>102</v>
      </c>
      <c r="J76" s="18" t="s">
        <v>241</v>
      </c>
      <c r="K76" s="18" t="s">
        <v>195</v>
      </c>
      <c r="L76" s="64" t="n">
        <v>69.0677442</v>
      </c>
      <c r="M76" s="64" t="n">
        <v>7.8</v>
      </c>
      <c r="N76" s="18" t="s">
        <v>308</v>
      </c>
      <c r="O76" s="65" t="n">
        <v>538.7284</v>
      </c>
      <c r="P76" s="65"/>
      <c r="Q76" s="65"/>
      <c r="R76" s="65" t="s">
        <v>232</v>
      </c>
      <c r="S76" s="66" t="n">
        <f aca="false">Model_Calc!BA16</f>
        <v>538.72840476</v>
      </c>
      <c r="T76" s="66" t="n">
        <f aca="false">ROUND(S76-O76,4)</f>
        <v>0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46054</v>
      </c>
      <c r="E77" s="18" t="s">
        <v>109</v>
      </c>
      <c r="F77" s="18" t="s">
        <v>99</v>
      </c>
      <c r="G77" s="18" t="s">
        <v>110</v>
      </c>
      <c r="H77" s="18" t="s">
        <v>107</v>
      </c>
      <c r="I77" s="18" t="s">
        <v>102</v>
      </c>
      <c r="J77" s="18" t="s">
        <v>230</v>
      </c>
      <c r="K77" s="18" t="s">
        <v>195</v>
      </c>
      <c r="L77" s="64" t="n">
        <v>521.363304</v>
      </c>
      <c r="M77" s="64" t="n">
        <v>7.8</v>
      </c>
      <c r="N77" s="18" t="s">
        <v>309</v>
      </c>
      <c r="O77" s="65" t="n">
        <v>4066.6338</v>
      </c>
      <c r="P77" s="65"/>
      <c r="Q77" s="65"/>
      <c r="R77" s="65" t="s">
        <v>232</v>
      </c>
      <c r="S77" s="66" t="n">
        <f aca="false">Model_Calc!AF17</f>
        <v>4066.6337712</v>
      </c>
      <c r="T77" s="66" t="n">
        <f aca="false">ROUND(S77-O77,4)</f>
        <v>0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46054</v>
      </c>
      <c r="E78" s="18" t="s">
        <v>109</v>
      </c>
      <c r="F78" s="18" t="s">
        <v>99</v>
      </c>
      <c r="G78" s="18" t="s">
        <v>110</v>
      </c>
      <c r="H78" s="18" t="s">
        <v>107</v>
      </c>
      <c r="I78" s="18" t="s">
        <v>102</v>
      </c>
      <c r="J78" s="18" t="s">
        <v>233</v>
      </c>
      <c r="K78" s="18" t="s">
        <v>195</v>
      </c>
      <c r="L78" s="64" t="n">
        <v>37.9173312</v>
      </c>
      <c r="M78" s="64" t="n">
        <v>7.8</v>
      </c>
      <c r="N78" s="18" t="s">
        <v>310</v>
      </c>
      <c r="O78" s="65" t="n">
        <v>295.7552</v>
      </c>
      <c r="P78" s="65"/>
      <c r="Q78" s="65"/>
      <c r="R78" s="65" t="s">
        <v>232</v>
      </c>
      <c r="S78" s="66" t="n">
        <f aca="false">Model_Calc!AG17</f>
        <v>295.75518336</v>
      </c>
      <c r="T78" s="66" t="n">
        <f aca="false">ROUND(S78-O78,4)</f>
        <v>0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46054</v>
      </c>
      <c r="E79" s="18" t="s">
        <v>109</v>
      </c>
      <c r="F79" s="18" t="s">
        <v>99</v>
      </c>
      <c r="G79" s="18" t="s">
        <v>110</v>
      </c>
      <c r="H79" s="18" t="s">
        <v>107</v>
      </c>
      <c r="I79" s="18" t="s">
        <v>102</v>
      </c>
      <c r="J79" s="18" t="s">
        <v>235</v>
      </c>
      <c r="K79" s="18" t="s">
        <v>195</v>
      </c>
      <c r="L79" s="64" t="n">
        <v>178.605</v>
      </c>
      <c r="M79" s="64" t="n">
        <v>7.8</v>
      </c>
      <c r="N79" s="18" t="s">
        <v>311</v>
      </c>
      <c r="O79" s="65" t="n">
        <v>1393.119</v>
      </c>
      <c r="P79" s="65"/>
      <c r="Q79" s="65"/>
      <c r="R79" s="65" t="s">
        <v>232</v>
      </c>
      <c r="S79" s="66" t="n">
        <f aca="false">Model_Calc!AL17</f>
        <v>1393.119</v>
      </c>
      <c r="T79" s="66" t="n">
        <f aca="false">ROUND(S79-O79,4)</f>
        <v>0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46054</v>
      </c>
      <c r="E80" s="18" t="s">
        <v>109</v>
      </c>
      <c r="F80" s="18" t="s">
        <v>99</v>
      </c>
      <c r="G80" s="18" t="s">
        <v>110</v>
      </c>
      <c r="H80" s="18" t="s">
        <v>107</v>
      </c>
      <c r="I80" s="18" t="s">
        <v>102</v>
      </c>
      <c r="J80" s="18" t="s">
        <v>237</v>
      </c>
      <c r="K80" s="18" t="s">
        <v>195</v>
      </c>
      <c r="L80" s="64" t="n">
        <v>69.80904</v>
      </c>
      <c r="M80" s="64" t="n">
        <v>7.8</v>
      </c>
      <c r="N80" s="18" t="s">
        <v>312</v>
      </c>
      <c r="O80" s="65" t="n">
        <v>544.5105</v>
      </c>
      <c r="P80" s="65"/>
      <c r="Q80" s="65"/>
      <c r="R80" s="65" t="s">
        <v>232</v>
      </c>
      <c r="S80" s="66" t="n">
        <f aca="false">Model_Calc!AQ17</f>
        <v>544.510512</v>
      </c>
      <c r="T80" s="66" t="n">
        <f aca="false">ROUND(S80-O80,4)</f>
        <v>0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46054</v>
      </c>
      <c r="E81" s="18" t="s">
        <v>109</v>
      </c>
      <c r="F81" s="18" t="s">
        <v>99</v>
      </c>
      <c r="G81" s="18" t="s">
        <v>110</v>
      </c>
      <c r="H81" s="18" t="s">
        <v>107</v>
      </c>
      <c r="I81" s="18" t="s">
        <v>102</v>
      </c>
      <c r="J81" s="18" t="s">
        <v>239</v>
      </c>
      <c r="K81" s="18" t="s">
        <v>195</v>
      </c>
      <c r="L81" s="64" t="n">
        <v>32.319</v>
      </c>
      <c r="M81" s="64" t="n">
        <v>7.8</v>
      </c>
      <c r="N81" s="18" t="s">
        <v>313</v>
      </c>
      <c r="O81" s="65" t="n">
        <v>252.0882</v>
      </c>
      <c r="P81" s="65"/>
      <c r="Q81" s="65"/>
      <c r="R81" s="65" t="s">
        <v>232</v>
      </c>
      <c r="S81" s="66" t="n">
        <f aca="false">Model_Calc!AV17</f>
        <v>252.0882</v>
      </c>
      <c r="T81" s="66" t="n">
        <f aca="false">ROUND(S81-O81,4)</f>
        <v>0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46054</v>
      </c>
      <c r="E82" s="18" t="s">
        <v>109</v>
      </c>
      <c r="F82" s="18" t="s">
        <v>99</v>
      </c>
      <c r="G82" s="18" t="s">
        <v>110</v>
      </c>
      <c r="H82" s="18" t="s">
        <v>107</v>
      </c>
      <c r="I82" s="18" t="s">
        <v>102</v>
      </c>
      <c r="J82" s="18" t="s">
        <v>241</v>
      </c>
      <c r="K82" s="18" t="s">
        <v>195</v>
      </c>
      <c r="L82" s="64" t="n">
        <v>5.9153976</v>
      </c>
      <c r="M82" s="64" t="n">
        <v>7.8</v>
      </c>
      <c r="N82" s="18" t="s">
        <v>314</v>
      </c>
      <c r="O82" s="65" t="n">
        <v>46.1401</v>
      </c>
      <c r="P82" s="65"/>
      <c r="Q82" s="65"/>
      <c r="R82" s="65" t="s">
        <v>232</v>
      </c>
      <c r="S82" s="66" t="n">
        <f aca="false">Model_Calc!BA17</f>
        <v>46.14010128</v>
      </c>
      <c r="T82" s="66" t="n">
        <f aca="false">ROUND(S82-O82,4)</f>
        <v>0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46054</v>
      </c>
      <c r="E83" s="18" t="s">
        <v>112</v>
      </c>
      <c r="F83" s="18" t="s">
        <v>113</v>
      </c>
      <c r="G83" s="18" t="s">
        <v>110</v>
      </c>
      <c r="H83" s="18" t="s">
        <v>101</v>
      </c>
      <c r="I83" s="18" t="s">
        <v>102</v>
      </c>
      <c r="J83" s="18" t="s">
        <v>230</v>
      </c>
      <c r="K83" s="18" t="s">
        <v>195</v>
      </c>
      <c r="L83" s="64" t="n">
        <v>2557.94112</v>
      </c>
      <c r="M83" s="64" t="n">
        <v>7.8</v>
      </c>
      <c r="N83" s="18" t="s">
        <v>315</v>
      </c>
      <c r="O83" s="65" t="n">
        <v>19951.9407</v>
      </c>
      <c r="P83" s="65"/>
      <c r="Q83" s="65"/>
      <c r="R83" s="65" t="s">
        <v>232</v>
      </c>
      <c r="S83" s="66" t="n">
        <f aca="false">Model_Calc!AF18</f>
        <v>19951.940736</v>
      </c>
      <c r="T83" s="66" t="n">
        <f aca="false">ROUND(S83-O83,4)</f>
        <v>0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46054</v>
      </c>
      <c r="E84" s="18" t="s">
        <v>112</v>
      </c>
      <c r="F84" s="18" t="s">
        <v>113</v>
      </c>
      <c r="G84" s="18" t="s">
        <v>110</v>
      </c>
      <c r="H84" s="18" t="s">
        <v>101</v>
      </c>
      <c r="I84" s="18" t="s">
        <v>102</v>
      </c>
      <c r="J84" s="18" t="s">
        <v>233</v>
      </c>
      <c r="K84" s="18" t="s">
        <v>195</v>
      </c>
      <c r="L84" s="64" t="n">
        <v>230.2147008</v>
      </c>
      <c r="M84" s="64" t="n">
        <v>7.8</v>
      </c>
      <c r="N84" s="18" t="s">
        <v>316</v>
      </c>
      <c r="O84" s="65" t="n">
        <v>1795.6747</v>
      </c>
      <c r="P84" s="65"/>
      <c r="Q84" s="65"/>
      <c r="R84" s="65" t="s">
        <v>232</v>
      </c>
      <c r="S84" s="66" t="n">
        <f aca="false">Model_Calc!AG18</f>
        <v>1795.67466624</v>
      </c>
      <c r="T84" s="66" t="n">
        <f aca="false">ROUND(S84-O84,4)</f>
        <v>0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46054</v>
      </c>
      <c r="E85" s="18" t="s">
        <v>112</v>
      </c>
      <c r="F85" s="18" t="s">
        <v>113</v>
      </c>
      <c r="G85" s="18" t="s">
        <v>110</v>
      </c>
      <c r="H85" s="18" t="s">
        <v>101</v>
      </c>
      <c r="I85" s="18" t="s">
        <v>102</v>
      </c>
      <c r="J85" s="18" t="s">
        <v>235</v>
      </c>
      <c r="K85" s="18" t="s">
        <v>195</v>
      </c>
      <c r="L85" s="64" t="n">
        <v>1587.6</v>
      </c>
      <c r="M85" s="64" t="n">
        <v>7.8</v>
      </c>
      <c r="N85" s="18" t="s">
        <v>317</v>
      </c>
      <c r="O85" s="65" t="n">
        <v>12383.28</v>
      </c>
      <c r="P85" s="65"/>
      <c r="Q85" s="65"/>
      <c r="R85" s="65" t="s">
        <v>232</v>
      </c>
      <c r="S85" s="66" t="n">
        <f aca="false">Model_Calc!AL18</f>
        <v>12383.28</v>
      </c>
      <c r="T85" s="66" t="n">
        <f aca="false">ROUND(S85-O85,4)</f>
        <v>0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46054</v>
      </c>
      <c r="E86" s="18" t="s">
        <v>112</v>
      </c>
      <c r="F86" s="18" t="s">
        <v>113</v>
      </c>
      <c r="G86" s="18" t="s">
        <v>110</v>
      </c>
      <c r="H86" s="18" t="s">
        <v>101</v>
      </c>
      <c r="I86" s="18" t="s">
        <v>102</v>
      </c>
      <c r="J86" s="18" t="s">
        <v>237</v>
      </c>
      <c r="K86" s="18" t="s">
        <v>195</v>
      </c>
      <c r="L86" s="64" t="n">
        <v>609.0336</v>
      </c>
      <c r="M86" s="64" t="n">
        <v>7.8</v>
      </c>
      <c r="N86" s="18" t="s">
        <v>318</v>
      </c>
      <c r="O86" s="65" t="n">
        <v>4750.4621</v>
      </c>
      <c r="P86" s="65"/>
      <c r="Q86" s="65"/>
      <c r="R86" s="65" t="s">
        <v>232</v>
      </c>
      <c r="S86" s="66" t="n">
        <f aca="false">Model_Calc!AQ18</f>
        <v>4750.46208</v>
      </c>
      <c r="T86" s="66" t="n">
        <f aca="false">ROUND(S86-O86,4)</f>
        <v>0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46054</v>
      </c>
      <c r="E87" s="18" t="s">
        <v>112</v>
      </c>
      <c r="F87" s="18" t="s">
        <v>113</v>
      </c>
      <c r="G87" s="18" t="s">
        <v>110</v>
      </c>
      <c r="H87" s="18" t="s">
        <v>101</v>
      </c>
      <c r="I87" s="18" t="s">
        <v>102</v>
      </c>
      <c r="J87" s="18" t="s">
        <v>239</v>
      </c>
      <c r="K87" s="18" t="s">
        <v>195</v>
      </c>
      <c r="L87" s="64" t="n">
        <v>272.16</v>
      </c>
      <c r="M87" s="64" t="n">
        <v>7.8</v>
      </c>
      <c r="N87" s="18" t="s">
        <v>319</v>
      </c>
      <c r="O87" s="65" t="n">
        <v>2122.848</v>
      </c>
      <c r="P87" s="65"/>
      <c r="Q87" s="65"/>
      <c r="R87" s="65" t="s">
        <v>232</v>
      </c>
      <c r="S87" s="66" t="n">
        <f aca="false">Model_Calc!AV18</f>
        <v>2122.848</v>
      </c>
      <c r="T87" s="66" t="n">
        <f aca="false">ROUND(S87-O87,4)</f>
        <v>0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46054</v>
      </c>
      <c r="E88" s="18" t="s">
        <v>112</v>
      </c>
      <c r="F88" s="18" t="s">
        <v>113</v>
      </c>
      <c r="G88" s="18" t="s">
        <v>110</v>
      </c>
      <c r="H88" s="18" t="s">
        <v>101</v>
      </c>
      <c r="I88" s="18" t="s">
        <v>102</v>
      </c>
      <c r="J88" s="18" t="s">
        <v>241</v>
      </c>
      <c r="K88" s="18" t="s">
        <v>195</v>
      </c>
      <c r="L88" s="64" t="n">
        <v>62.666352</v>
      </c>
      <c r="M88" s="64" t="n">
        <v>7.8</v>
      </c>
      <c r="N88" s="18" t="s">
        <v>320</v>
      </c>
      <c r="O88" s="65" t="n">
        <v>488.7975</v>
      </c>
      <c r="P88" s="65"/>
      <c r="Q88" s="65"/>
      <c r="R88" s="65" t="s">
        <v>232</v>
      </c>
      <c r="S88" s="66" t="n">
        <f aca="false">Model_Calc!BA18</f>
        <v>488.7975456</v>
      </c>
      <c r="T88" s="66" t="n">
        <f aca="false">ROUND(S88-O88,4)</f>
        <v>0</v>
      </c>
    </row>
    <row r="89" customFormat="false" ht="15" hidden="false" customHeight="false" outlineLevel="0" collapsed="false">
      <c r="A89" s="18" t="s">
        <v>193</v>
      </c>
      <c r="B89" s="18" t="s">
        <v>194</v>
      </c>
      <c r="C89" s="18"/>
      <c r="D89" s="49" t="n">
        <v>46054</v>
      </c>
      <c r="E89" s="18" t="s">
        <v>116</v>
      </c>
      <c r="F89" s="18" t="s">
        <v>113</v>
      </c>
      <c r="G89" s="18" t="s">
        <v>110</v>
      </c>
      <c r="H89" s="18" t="s">
        <v>107</v>
      </c>
      <c r="I89" s="18" t="s">
        <v>102</v>
      </c>
      <c r="J89" s="18" t="s">
        <v>230</v>
      </c>
      <c r="K89" s="18" t="s">
        <v>195</v>
      </c>
      <c r="L89" s="64" t="n">
        <v>6113.68992</v>
      </c>
      <c r="M89" s="64" t="n">
        <v>7.8</v>
      </c>
      <c r="N89" s="18" t="s">
        <v>321</v>
      </c>
      <c r="O89" s="65" t="n">
        <v>47686.7814</v>
      </c>
      <c r="P89" s="65"/>
      <c r="Q89" s="65"/>
      <c r="R89" s="65" t="s">
        <v>232</v>
      </c>
      <c r="S89" s="66" t="n">
        <f aca="false">Model_Calc!AF19</f>
        <v>47686.781376</v>
      </c>
      <c r="T89" s="66" t="n">
        <f aca="false">ROUND(S89-O89,4)</f>
        <v>0</v>
      </c>
    </row>
    <row r="90" customFormat="false" ht="15" hidden="false" customHeight="false" outlineLevel="0" collapsed="false">
      <c r="A90" s="18" t="s">
        <v>193</v>
      </c>
      <c r="B90" s="18" t="s">
        <v>194</v>
      </c>
      <c r="C90" s="18"/>
      <c r="D90" s="49" t="n">
        <v>46054</v>
      </c>
      <c r="E90" s="18" t="s">
        <v>116</v>
      </c>
      <c r="F90" s="18" t="s">
        <v>113</v>
      </c>
      <c r="G90" s="18" t="s">
        <v>110</v>
      </c>
      <c r="H90" s="18" t="s">
        <v>107</v>
      </c>
      <c r="I90" s="18" t="s">
        <v>102</v>
      </c>
      <c r="J90" s="18" t="s">
        <v>233</v>
      </c>
      <c r="K90" s="18" t="s">
        <v>195</v>
      </c>
      <c r="L90" s="64" t="n">
        <v>470.28384</v>
      </c>
      <c r="M90" s="64" t="n">
        <v>7.8</v>
      </c>
      <c r="N90" s="18" t="s">
        <v>322</v>
      </c>
      <c r="O90" s="65" t="n">
        <v>3668.214</v>
      </c>
      <c r="P90" s="65"/>
      <c r="Q90" s="65"/>
      <c r="R90" s="65" t="s">
        <v>232</v>
      </c>
      <c r="S90" s="66" t="n">
        <f aca="false">Model_Calc!AG19</f>
        <v>3668.213952</v>
      </c>
      <c r="T90" s="66" t="n">
        <f aca="false">ROUND(S90-O90,4)</f>
        <v>0</v>
      </c>
    </row>
    <row r="91" customFormat="false" ht="15" hidden="false" customHeight="false" outlineLevel="0" collapsed="false">
      <c r="A91" s="18" t="s">
        <v>193</v>
      </c>
      <c r="B91" s="18" t="s">
        <v>194</v>
      </c>
      <c r="C91" s="18"/>
      <c r="D91" s="49" t="n">
        <v>46054</v>
      </c>
      <c r="E91" s="18" t="s">
        <v>116</v>
      </c>
      <c r="F91" s="18" t="s">
        <v>113</v>
      </c>
      <c r="G91" s="18" t="s">
        <v>110</v>
      </c>
      <c r="H91" s="18" t="s">
        <v>107</v>
      </c>
      <c r="I91" s="18" t="s">
        <v>102</v>
      </c>
      <c r="J91" s="18" t="s">
        <v>235</v>
      </c>
      <c r="K91" s="18" t="s">
        <v>195</v>
      </c>
      <c r="L91" s="64" t="n">
        <v>2948.4</v>
      </c>
      <c r="M91" s="64" t="n">
        <v>7.8</v>
      </c>
      <c r="N91" s="18" t="s">
        <v>323</v>
      </c>
      <c r="O91" s="65" t="n">
        <v>22997.52</v>
      </c>
      <c r="P91" s="65"/>
      <c r="Q91" s="65"/>
      <c r="R91" s="65" t="s">
        <v>232</v>
      </c>
      <c r="S91" s="66" t="n">
        <f aca="false">Model_Calc!AL19</f>
        <v>22997.52</v>
      </c>
      <c r="T91" s="66" t="n">
        <f aca="false">ROUND(S91-O91,4)</f>
        <v>0</v>
      </c>
    </row>
    <row r="92" customFormat="false" ht="15" hidden="false" customHeight="false" outlineLevel="0" collapsed="false">
      <c r="A92" s="18" t="s">
        <v>193</v>
      </c>
      <c r="B92" s="18" t="s">
        <v>194</v>
      </c>
      <c r="C92" s="18"/>
      <c r="D92" s="49" t="n">
        <v>46054</v>
      </c>
      <c r="E92" s="18" t="s">
        <v>116</v>
      </c>
      <c r="F92" s="18" t="s">
        <v>113</v>
      </c>
      <c r="G92" s="18" t="s">
        <v>110</v>
      </c>
      <c r="H92" s="18" t="s">
        <v>107</v>
      </c>
      <c r="I92" s="18" t="s">
        <v>102</v>
      </c>
      <c r="J92" s="18" t="s">
        <v>237</v>
      </c>
      <c r="K92" s="18" t="s">
        <v>195</v>
      </c>
      <c r="L92" s="64" t="n">
        <v>1131.0624</v>
      </c>
      <c r="M92" s="64" t="n">
        <v>7.8</v>
      </c>
      <c r="N92" s="18" t="s">
        <v>324</v>
      </c>
      <c r="O92" s="65" t="n">
        <v>8822.2867</v>
      </c>
      <c r="P92" s="65"/>
      <c r="Q92" s="65"/>
      <c r="R92" s="65" t="s">
        <v>232</v>
      </c>
      <c r="S92" s="66" t="n">
        <f aca="false">Model_Calc!AQ19</f>
        <v>8822.28672</v>
      </c>
      <c r="T92" s="66" t="n">
        <f aca="false">ROUND(S92-O92,4)</f>
        <v>0</v>
      </c>
    </row>
    <row r="93" customFormat="false" ht="15" hidden="false" customHeight="false" outlineLevel="0" collapsed="false">
      <c r="A93" s="18" t="s">
        <v>193</v>
      </c>
      <c r="B93" s="18" t="s">
        <v>194</v>
      </c>
      <c r="C93" s="18"/>
      <c r="D93" s="49" t="n">
        <v>46054</v>
      </c>
      <c r="E93" s="18" t="s">
        <v>116</v>
      </c>
      <c r="F93" s="18" t="s">
        <v>113</v>
      </c>
      <c r="G93" s="18" t="s">
        <v>110</v>
      </c>
      <c r="H93" s="18" t="s">
        <v>107</v>
      </c>
      <c r="I93" s="18" t="s">
        <v>102</v>
      </c>
      <c r="J93" s="18" t="s">
        <v>239</v>
      </c>
      <c r="K93" s="18" t="s">
        <v>195</v>
      </c>
      <c r="L93" s="64" t="n">
        <v>505.44</v>
      </c>
      <c r="M93" s="64" t="n">
        <v>7.8</v>
      </c>
      <c r="N93" s="18" t="s">
        <v>325</v>
      </c>
      <c r="O93" s="65" t="n">
        <v>3942.432</v>
      </c>
      <c r="P93" s="65"/>
      <c r="Q93" s="65"/>
      <c r="R93" s="65" t="s">
        <v>232</v>
      </c>
      <c r="S93" s="66" t="n">
        <f aca="false">Model_Calc!AV19</f>
        <v>3942.432</v>
      </c>
      <c r="T93" s="66" t="n">
        <f aca="false">ROUND(S93-O93,4)</f>
        <v>0</v>
      </c>
    </row>
    <row r="94" customFormat="false" ht="15" hidden="false" customHeight="false" outlineLevel="0" collapsed="false">
      <c r="A94" s="18" t="s">
        <v>193</v>
      </c>
      <c r="B94" s="18" t="s">
        <v>194</v>
      </c>
      <c r="C94" s="18"/>
      <c r="D94" s="49" t="n">
        <v>46054</v>
      </c>
      <c r="E94" s="18" t="s">
        <v>116</v>
      </c>
      <c r="F94" s="18" t="s">
        <v>113</v>
      </c>
      <c r="G94" s="18" t="s">
        <v>110</v>
      </c>
      <c r="H94" s="18" t="s">
        <v>107</v>
      </c>
      <c r="I94" s="18" t="s">
        <v>102</v>
      </c>
      <c r="J94" s="18" t="s">
        <v>241</v>
      </c>
      <c r="K94" s="18" t="s">
        <v>195</v>
      </c>
      <c r="L94" s="64" t="n">
        <v>95.842656</v>
      </c>
      <c r="M94" s="64" t="n">
        <v>7.8</v>
      </c>
      <c r="N94" s="18" t="s">
        <v>326</v>
      </c>
      <c r="O94" s="65" t="n">
        <v>747.5727</v>
      </c>
      <c r="P94" s="65"/>
      <c r="Q94" s="65"/>
      <c r="R94" s="65" t="s">
        <v>232</v>
      </c>
      <c r="S94" s="66" t="n">
        <f aca="false">Model_Calc!BA19</f>
        <v>747.5727168</v>
      </c>
      <c r="T94" s="66" t="n">
        <f aca="false">ROUND(S94-O94,4)</f>
        <v>0</v>
      </c>
    </row>
    <row r="95" customFormat="false" ht="15" hidden="false" customHeight="false" outlineLevel="0" collapsed="false">
      <c r="A95" s="18" t="s">
        <v>193</v>
      </c>
      <c r="B95" s="18" t="s">
        <v>194</v>
      </c>
      <c r="C95" s="18"/>
      <c r="D95" s="49" t="n">
        <v>46054</v>
      </c>
      <c r="E95" s="18" t="s">
        <v>118</v>
      </c>
      <c r="F95" s="18" t="s">
        <v>119</v>
      </c>
      <c r="G95" s="18" t="s">
        <v>100</v>
      </c>
      <c r="H95" s="18" t="s">
        <v>101</v>
      </c>
      <c r="I95" s="18" t="s">
        <v>102</v>
      </c>
      <c r="J95" s="18" t="s">
        <v>230</v>
      </c>
      <c r="K95" s="18" t="s">
        <v>199</v>
      </c>
      <c r="L95" s="64" t="n">
        <v>10008.520704</v>
      </c>
      <c r="M95" s="64" t="n">
        <v>9</v>
      </c>
      <c r="N95" s="18" t="s">
        <v>327</v>
      </c>
      <c r="O95" s="65" t="n">
        <v>90076.6863</v>
      </c>
      <c r="P95" s="65"/>
      <c r="Q95" s="65"/>
      <c r="R95" s="65" t="s">
        <v>232</v>
      </c>
      <c r="S95" s="66" t="n">
        <f aca="false">Model_Calc!AF20</f>
        <v>90076.686336</v>
      </c>
      <c r="T95" s="66" t="n">
        <f aca="false">ROUND(S95-O95,4)</f>
        <v>0</v>
      </c>
    </row>
    <row r="96" customFormat="false" ht="15" hidden="false" customHeight="false" outlineLevel="0" collapsed="false">
      <c r="A96" s="18" t="s">
        <v>193</v>
      </c>
      <c r="B96" s="18" t="s">
        <v>194</v>
      </c>
      <c r="C96" s="18"/>
      <c r="D96" s="49" t="n">
        <v>46054</v>
      </c>
      <c r="E96" s="18" t="s">
        <v>118</v>
      </c>
      <c r="F96" s="18" t="s">
        <v>119</v>
      </c>
      <c r="G96" s="18" t="s">
        <v>100</v>
      </c>
      <c r="H96" s="18" t="s">
        <v>101</v>
      </c>
      <c r="I96" s="18" t="s">
        <v>102</v>
      </c>
      <c r="J96" s="18" t="s">
        <v>233</v>
      </c>
      <c r="K96" s="18" t="s">
        <v>199</v>
      </c>
      <c r="L96" s="64" t="n">
        <v>1000.8520704</v>
      </c>
      <c r="M96" s="64" t="n">
        <v>9</v>
      </c>
      <c r="N96" s="18" t="s">
        <v>328</v>
      </c>
      <c r="O96" s="65" t="n">
        <v>9007.6686</v>
      </c>
      <c r="P96" s="65"/>
      <c r="Q96" s="65"/>
      <c r="R96" s="65" t="s">
        <v>232</v>
      </c>
      <c r="S96" s="66" t="n">
        <f aca="false">Model_Calc!AG20</f>
        <v>9007.6686336</v>
      </c>
      <c r="T96" s="66" t="n">
        <f aca="false">ROUND(S96-O96,4)</f>
        <v>0</v>
      </c>
    </row>
    <row r="97" customFormat="false" ht="15" hidden="false" customHeight="false" outlineLevel="0" collapsed="false">
      <c r="A97" s="18" t="s">
        <v>193</v>
      </c>
      <c r="B97" s="18" t="s">
        <v>194</v>
      </c>
      <c r="C97" s="18"/>
      <c r="D97" s="49" t="n">
        <v>46054</v>
      </c>
      <c r="E97" s="18" t="s">
        <v>118</v>
      </c>
      <c r="F97" s="18" t="s">
        <v>119</v>
      </c>
      <c r="G97" s="18" t="s">
        <v>100</v>
      </c>
      <c r="H97" s="18" t="s">
        <v>101</v>
      </c>
      <c r="I97" s="18" t="s">
        <v>102</v>
      </c>
      <c r="J97" s="18" t="s">
        <v>235</v>
      </c>
      <c r="K97" s="18" t="s">
        <v>195</v>
      </c>
      <c r="L97" s="64" t="n">
        <v>2584.4832</v>
      </c>
      <c r="M97" s="64" t="n">
        <v>7.8</v>
      </c>
      <c r="N97" s="18" t="s">
        <v>329</v>
      </c>
      <c r="O97" s="65" t="n">
        <v>20158.969</v>
      </c>
      <c r="P97" s="65"/>
      <c r="Q97" s="65"/>
      <c r="R97" s="65" t="s">
        <v>232</v>
      </c>
      <c r="S97" s="66" t="n">
        <f aca="false">Model_Calc!AL20</f>
        <v>20158.96896</v>
      </c>
      <c r="T97" s="66" t="n">
        <f aca="false">ROUND(S97-O97,4)</f>
        <v>0</v>
      </c>
    </row>
    <row r="98" customFormat="false" ht="15" hidden="false" customHeight="false" outlineLevel="0" collapsed="false">
      <c r="A98" s="18" t="s">
        <v>193</v>
      </c>
      <c r="B98" s="18" t="s">
        <v>194</v>
      </c>
      <c r="C98" s="18"/>
      <c r="D98" s="49" t="n">
        <v>46054</v>
      </c>
      <c r="E98" s="18" t="s">
        <v>118</v>
      </c>
      <c r="F98" s="18" t="s">
        <v>119</v>
      </c>
      <c r="G98" s="18" t="s">
        <v>100</v>
      </c>
      <c r="H98" s="18" t="s">
        <v>101</v>
      </c>
      <c r="I98" s="18" t="s">
        <v>102</v>
      </c>
      <c r="J98" s="18" t="s">
        <v>237</v>
      </c>
      <c r="K98" s="18" t="s">
        <v>195</v>
      </c>
      <c r="L98" s="64" t="n">
        <v>1030.288896</v>
      </c>
      <c r="M98" s="64" t="n">
        <v>7.8</v>
      </c>
      <c r="N98" s="18" t="s">
        <v>330</v>
      </c>
      <c r="O98" s="65" t="n">
        <v>8036.2534</v>
      </c>
      <c r="P98" s="65"/>
      <c r="Q98" s="65"/>
      <c r="R98" s="65" t="s">
        <v>232</v>
      </c>
      <c r="S98" s="66" t="n">
        <f aca="false">Model_Calc!AQ20</f>
        <v>8036.2533888</v>
      </c>
      <c r="T98" s="66" t="n">
        <f aca="false">ROUND(S98-O98,4)</f>
        <v>0</v>
      </c>
    </row>
    <row r="99" customFormat="false" ht="15" hidden="false" customHeight="false" outlineLevel="0" collapsed="false">
      <c r="A99" s="18" t="s">
        <v>193</v>
      </c>
      <c r="B99" s="18" t="s">
        <v>194</v>
      </c>
      <c r="C99" s="18"/>
      <c r="D99" s="49" t="n">
        <v>46054</v>
      </c>
      <c r="E99" s="18" t="s">
        <v>118</v>
      </c>
      <c r="F99" s="18" t="s">
        <v>119</v>
      </c>
      <c r="G99" s="18" t="s">
        <v>100</v>
      </c>
      <c r="H99" s="18" t="s">
        <v>101</v>
      </c>
      <c r="I99" s="18" t="s">
        <v>102</v>
      </c>
      <c r="J99" s="18" t="s">
        <v>239</v>
      </c>
      <c r="K99" s="18" t="s">
        <v>199</v>
      </c>
      <c r="L99" s="64" t="n">
        <v>841.05216</v>
      </c>
      <c r="M99" s="64" t="n">
        <v>9</v>
      </c>
      <c r="N99" s="18" t="s">
        <v>331</v>
      </c>
      <c r="O99" s="65" t="n">
        <v>7569.4694</v>
      </c>
      <c r="P99" s="65"/>
      <c r="Q99" s="65"/>
      <c r="R99" s="65" t="s">
        <v>232</v>
      </c>
      <c r="S99" s="66" t="n">
        <f aca="false">Model_Calc!AV20</f>
        <v>7569.46944</v>
      </c>
      <c r="T99" s="66" t="n">
        <f aca="false">ROUND(S99-O99,4)</f>
        <v>0</v>
      </c>
    </row>
    <row r="100" customFormat="false" ht="15" hidden="false" customHeight="false" outlineLevel="0" collapsed="false">
      <c r="A100" s="18" t="s">
        <v>193</v>
      </c>
      <c r="B100" s="18" t="s">
        <v>194</v>
      </c>
      <c r="C100" s="18"/>
      <c r="D100" s="49" t="n">
        <v>46054</v>
      </c>
      <c r="E100" s="18" t="s">
        <v>118</v>
      </c>
      <c r="F100" s="18" t="s">
        <v>119</v>
      </c>
      <c r="G100" s="18" t="s">
        <v>100</v>
      </c>
      <c r="H100" s="18" t="s">
        <v>101</v>
      </c>
      <c r="I100" s="18" t="s">
        <v>102</v>
      </c>
      <c r="J100" s="18" t="s">
        <v>241</v>
      </c>
      <c r="K100" s="18" t="s">
        <v>199</v>
      </c>
      <c r="L100" s="64" t="n">
        <v>124.12528128</v>
      </c>
      <c r="M100" s="64" t="n">
        <v>9</v>
      </c>
      <c r="N100" s="18" t="s">
        <v>332</v>
      </c>
      <c r="O100" s="65" t="n">
        <v>1117.1275</v>
      </c>
      <c r="P100" s="65"/>
      <c r="Q100" s="65"/>
      <c r="R100" s="65" t="s">
        <v>232</v>
      </c>
      <c r="S100" s="66" t="n">
        <f aca="false">Model_Calc!BA20</f>
        <v>1117.12753152</v>
      </c>
      <c r="T100" s="66" t="n">
        <f aca="false">ROUND(S100-O100,4)</f>
        <v>0</v>
      </c>
    </row>
    <row r="101" customFormat="false" ht="15" hidden="false" customHeight="false" outlineLevel="0" collapsed="false">
      <c r="A101" s="18" t="s">
        <v>193</v>
      </c>
      <c r="B101" s="18" t="s">
        <v>194</v>
      </c>
      <c r="C101" s="18"/>
      <c r="D101" s="49" t="n">
        <v>46054</v>
      </c>
      <c r="E101" s="18" t="s">
        <v>122</v>
      </c>
      <c r="F101" s="18" t="s">
        <v>119</v>
      </c>
      <c r="G101" s="18" t="s">
        <v>100</v>
      </c>
      <c r="H101" s="18" t="s">
        <v>107</v>
      </c>
      <c r="I101" s="18" t="s">
        <v>102</v>
      </c>
      <c r="J101" s="18" t="s">
        <v>230</v>
      </c>
      <c r="K101" s="18" t="s">
        <v>199</v>
      </c>
      <c r="L101" s="64" t="n">
        <v>4434.3936</v>
      </c>
      <c r="M101" s="64" t="n">
        <v>9</v>
      </c>
      <c r="N101" s="18" t="s">
        <v>333</v>
      </c>
      <c r="O101" s="65" t="n">
        <v>39909.5424</v>
      </c>
      <c r="P101" s="65"/>
      <c r="Q101" s="65"/>
      <c r="R101" s="65" t="s">
        <v>232</v>
      </c>
      <c r="S101" s="66" t="n">
        <f aca="false">Model_Calc!AF21</f>
        <v>39909.5424</v>
      </c>
      <c r="T101" s="66" t="n">
        <f aca="false">ROUND(S101-O101,4)</f>
        <v>0</v>
      </c>
    </row>
    <row r="102" customFormat="false" ht="15" hidden="false" customHeight="false" outlineLevel="0" collapsed="false">
      <c r="A102" s="18" t="s">
        <v>193</v>
      </c>
      <c r="B102" s="18" t="s">
        <v>194</v>
      </c>
      <c r="C102" s="18"/>
      <c r="D102" s="49" t="n">
        <v>46054</v>
      </c>
      <c r="E102" s="18" t="s">
        <v>122</v>
      </c>
      <c r="F102" s="18" t="s">
        <v>119</v>
      </c>
      <c r="G102" s="18" t="s">
        <v>100</v>
      </c>
      <c r="H102" s="18" t="s">
        <v>107</v>
      </c>
      <c r="I102" s="18" t="s">
        <v>102</v>
      </c>
      <c r="J102" s="18" t="s">
        <v>233</v>
      </c>
      <c r="K102" s="18" t="s">
        <v>199</v>
      </c>
      <c r="L102" s="64" t="n">
        <v>311.35104</v>
      </c>
      <c r="M102" s="64" t="n">
        <v>9</v>
      </c>
      <c r="N102" s="18" t="s">
        <v>334</v>
      </c>
      <c r="O102" s="65" t="n">
        <v>2802.1594</v>
      </c>
      <c r="P102" s="65"/>
      <c r="Q102" s="65"/>
      <c r="R102" s="65" t="s">
        <v>232</v>
      </c>
      <c r="S102" s="66" t="n">
        <f aca="false">Model_Calc!AG21</f>
        <v>2802.15936</v>
      </c>
      <c r="T102" s="66" t="n">
        <f aca="false">ROUND(S102-O102,4)</f>
        <v>0</v>
      </c>
    </row>
    <row r="103" customFormat="false" ht="15" hidden="false" customHeight="false" outlineLevel="0" collapsed="false">
      <c r="A103" s="18" t="s">
        <v>193</v>
      </c>
      <c r="B103" s="18" t="s">
        <v>194</v>
      </c>
      <c r="C103" s="18"/>
      <c r="D103" s="49" t="n">
        <v>46054</v>
      </c>
      <c r="E103" s="18" t="s">
        <v>122</v>
      </c>
      <c r="F103" s="18" t="s">
        <v>119</v>
      </c>
      <c r="G103" s="18" t="s">
        <v>100</v>
      </c>
      <c r="H103" s="18" t="s">
        <v>107</v>
      </c>
      <c r="I103" s="18" t="s">
        <v>102</v>
      </c>
      <c r="J103" s="18" t="s">
        <v>235</v>
      </c>
      <c r="K103" s="18" t="s">
        <v>195</v>
      </c>
      <c r="L103" s="64" t="n">
        <v>994.032</v>
      </c>
      <c r="M103" s="64" t="n">
        <v>7.8</v>
      </c>
      <c r="N103" s="18" t="s">
        <v>335</v>
      </c>
      <c r="O103" s="65" t="n">
        <v>7753.4496</v>
      </c>
      <c r="P103" s="65"/>
      <c r="Q103" s="65"/>
      <c r="R103" s="65" t="s">
        <v>232</v>
      </c>
      <c r="S103" s="66" t="n">
        <f aca="false">Model_Calc!AL21</f>
        <v>7753.4496</v>
      </c>
      <c r="T103" s="66" t="n">
        <f aca="false">ROUND(S103-O103,4)</f>
        <v>0</v>
      </c>
    </row>
    <row r="104" customFormat="false" ht="15" hidden="false" customHeight="false" outlineLevel="0" collapsed="false">
      <c r="A104" s="18" t="s">
        <v>193</v>
      </c>
      <c r="B104" s="18" t="s">
        <v>194</v>
      </c>
      <c r="C104" s="18"/>
      <c r="D104" s="49" t="n">
        <v>46054</v>
      </c>
      <c r="E104" s="18" t="s">
        <v>122</v>
      </c>
      <c r="F104" s="18" t="s">
        <v>119</v>
      </c>
      <c r="G104" s="18" t="s">
        <v>100</v>
      </c>
      <c r="H104" s="18" t="s">
        <v>107</v>
      </c>
      <c r="I104" s="18" t="s">
        <v>102</v>
      </c>
      <c r="J104" s="18" t="s">
        <v>237</v>
      </c>
      <c r="K104" s="18" t="s">
        <v>195</v>
      </c>
      <c r="L104" s="64" t="n">
        <v>396.26496</v>
      </c>
      <c r="M104" s="64" t="n">
        <v>7.8</v>
      </c>
      <c r="N104" s="18" t="s">
        <v>336</v>
      </c>
      <c r="O104" s="65" t="n">
        <v>3090.8667</v>
      </c>
      <c r="P104" s="65"/>
      <c r="Q104" s="65"/>
      <c r="R104" s="65" t="s">
        <v>232</v>
      </c>
      <c r="S104" s="66" t="n">
        <f aca="false">Model_Calc!AQ21</f>
        <v>3090.866688</v>
      </c>
      <c r="T104" s="66" t="n">
        <f aca="false">ROUND(S104-O104,4)</f>
        <v>0</v>
      </c>
    </row>
    <row r="105" customFormat="false" ht="15" hidden="false" customHeight="false" outlineLevel="0" collapsed="false">
      <c r="A105" s="18" t="s">
        <v>193</v>
      </c>
      <c r="B105" s="18" t="s">
        <v>194</v>
      </c>
      <c r="C105" s="18"/>
      <c r="D105" s="49" t="n">
        <v>46054</v>
      </c>
      <c r="E105" s="18" t="s">
        <v>122</v>
      </c>
      <c r="F105" s="18" t="s">
        <v>119</v>
      </c>
      <c r="G105" s="18" t="s">
        <v>100</v>
      </c>
      <c r="H105" s="18" t="s">
        <v>107</v>
      </c>
      <c r="I105" s="18" t="s">
        <v>102</v>
      </c>
      <c r="J105" s="18" t="s">
        <v>239</v>
      </c>
      <c r="K105" s="18" t="s">
        <v>199</v>
      </c>
      <c r="L105" s="64" t="n">
        <v>323.4816</v>
      </c>
      <c r="M105" s="64" t="n">
        <v>9</v>
      </c>
      <c r="N105" s="18" t="s">
        <v>337</v>
      </c>
      <c r="O105" s="65" t="n">
        <v>2911.3344</v>
      </c>
      <c r="P105" s="65"/>
      <c r="Q105" s="65"/>
      <c r="R105" s="65" t="s">
        <v>232</v>
      </c>
      <c r="S105" s="66" t="n">
        <f aca="false">Model_Calc!AV21</f>
        <v>2911.3344</v>
      </c>
      <c r="T105" s="66" t="n">
        <f aca="false">ROUND(S105-O105,4)</f>
        <v>0</v>
      </c>
    </row>
    <row r="106" customFormat="false" ht="15" hidden="false" customHeight="false" outlineLevel="0" collapsed="false">
      <c r="A106" s="18" t="s">
        <v>193</v>
      </c>
      <c r="B106" s="18" t="s">
        <v>194</v>
      </c>
      <c r="C106" s="18"/>
      <c r="D106" s="49" t="n">
        <v>46054</v>
      </c>
      <c r="E106" s="18" t="s">
        <v>122</v>
      </c>
      <c r="F106" s="18" t="s">
        <v>119</v>
      </c>
      <c r="G106" s="18" t="s">
        <v>100</v>
      </c>
      <c r="H106" s="18" t="s">
        <v>107</v>
      </c>
      <c r="I106" s="18" t="s">
        <v>102</v>
      </c>
      <c r="J106" s="18" t="s">
        <v>241</v>
      </c>
      <c r="K106" s="18" t="s">
        <v>199</v>
      </c>
      <c r="L106" s="64" t="n">
        <v>36.8903808</v>
      </c>
      <c r="M106" s="64" t="n">
        <v>9</v>
      </c>
      <c r="N106" s="18" t="s">
        <v>338</v>
      </c>
      <c r="O106" s="65" t="n">
        <v>332.0134</v>
      </c>
      <c r="P106" s="65"/>
      <c r="Q106" s="65"/>
      <c r="R106" s="65" t="s">
        <v>232</v>
      </c>
      <c r="S106" s="66" t="n">
        <f aca="false">Model_Calc!BA21</f>
        <v>332.0134272</v>
      </c>
      <c r="T106" s="66" t="n">
        <f aca="false">ROUND(S106-O106,4)</f>
        <v>0</v>
      </c>
    </row>
    <row r="107" customFormat="false" ht="15" hidden="false" customHeight="false" outlineLevel="0" collapsed="false">
      <c r="A107" s="18" t="s">
        <v>193</v>
      </c>
      <c r="B107" s="18" t="s">
        <v>194</v>
      </c>
      <c r="C107" s="18"/>
      <c r="D107" s="49" t="n">
        <v>46054</v>
      </c>
      <c r="E107" s="18" t="s">
        <v>124</v>
      </c>
      <c r="F107" s="18" t="s">
        <v>119</v>
      </c>
      <c r="G107" s="18" t="s">
        <v>100</v>
      </c>
      <c r="H107" s="18" t="s">
        <v>107</v>
      </c>
      <c r="I107" s="18" t="s">
        <v>125</v>
      </c>
      <c r="J107" s="18" t="s">
        <v>230</v>
      </c>
      <c r="K107" s="18" t="s">
        <v>199</v>
      </c>
      <c r="L107" s="64" t="n">
        <v>1539.62145792</v>
      </c>
      <c r="M107" s="64" t="n">
        <v>9</v>
      </c>
      <c r="N107" s="18" t="s">
        <v>339</v>
      </c>
      <c r="O107" s="65" t="n">
        <v>13856.5931</v>
      </c>
      <c r="P107" s="65"/>
      <c r="Q107" s="65"/>
      <c r="R107" s="65" t="s">
        <v>232</v>
      </c>
      <c r="S107" s="66" t="n">
        <f aca="false">Model_Calc!AF22</f>
        <v>13856.59312128</v>
      </c>
      <c r="T107" s="66" t="n">
        <f aca="false">ROUND(S107-O107,4)</f>
        <v>0</v>
      </c>
    </row>
    <row r="108" customFormat="false" ht="15" hidden="false" customHeight="false" outlineLevel="0" collapsed="false">
      <c r="A108" s="18" t="s">
        <v>193</v>
      </c>
      <c r="B108" s="18" t="s">
        <v>194</v>
      </c>
      <c r="C108" s="18"/>
      <c r="D108" s="49" t="n">
        <v>46054</v>
      </c>
      <c r="E108" s="18" t="s">
        <v>124</v>
      </c>
      <c r="F108" s="18" t="s">
        <v>119</v>
      </c>
      <c r="G108" s="18" t="s">
        <v>100</v>
      </c>
      <c r="H108" s="18" t="s">
        <v>107</v>
      </c>
      <c r="I108" s="18" t="s">
        <v>125</v>
      </c>
      <c r="J108" s="18" t="s">
        <v>233</v>
      </c>
      <c r="K108" s="18" t="s">
        <v>199</v>
      </c>
      <c r="L108" s="64" t="n">
        <v>177.0564676608</v>
      </c>
      <c r="M108" s="64" t="n">
        <v>9</v>
      </c>
      <c r="N108" s="18" t="s">
        <v>340</v>
      </c>
      <c r="O108" s="65" t="n">
        <v>1593.5082</v>
      </c>
      <c r="P108" s="65"/>
      <c r="Q108" s="65"/>
      <c r="R108" s="65" t="s">
        <v>232</v>
      </c>
      <c r="S108" s="66" t="n">
        <f aca="false">Model_Calc!AG22</f>
        <v>1593.5082089472</v>
      </c>
      <c r="T108" s="66" t="n">
        <f aca="false">ROUND(S108-O108,4)</f>
        <v>0</v>
      </c>
    </row>
    <row r="109" customFormat="false" ht="15" hidden="false" customHeight="false" outlineLevel="0" collapsed="false">
      <c r="A109" s="18" t="s">
        <v>193</v>
      </c>
      <c r="B109" s="18" t="s">
        <v>194</v>
      </c>
      <c r="C109" s="18"/>
      <c r="D109" s="49" t="n">
        <v>46054</v>
      </c>
      <c r="E109" s="18" t="s">
        <v>124</v>
      </c>
      <c r="F109" s="18" t="s">
        <v>119</v>
      </c>
      <c r="G109" s="18" t="s">
        <v>100</v>
      </c>
      <c r="H109" s="18" t="s">
        <v>107</v>
      </c>
      <c r="I109" s="18" t="s">
        <v>125</v>
      </c>
      <c r="J109" s="18" t="s">
        <v>235</v>
      </c>
      <c r="K109" s="18" t="s">
        <v>195</v>
      </c>
      <c r="L109" s="64" t="n">
        <v>278.32896</v>
      </c>
      <c r="M109" s="64" t="n">
        <v>7.8</v>
      </c>
      <c r="N109" s="18" t="s">
        <v>341</v>
      </c>
      <c r="O109" s="65" t="n">
        <v>2170.9659</v>
      </c>
      <c r="P109" s="65"/>
      <c r="Q109" s="65"/>
      <c r="R109" s="65" t="s">
        <v>232</v>
      </c>
      <c r="S109" s="66" t="n">
        <f aca="false">Model_Calc!AL22</f>
        <v>2170.965888</v>
      </c>
      <c r="T109" s="66" t="n">
        <f aca="false">ROUND(S109-O109,4)</f>
        <v>0</v>
      </c>
    </row>
    <row r="110" customFormat="false" ht="15" hidden="false" customHeight="false" outlineLevel="0" collapsed="false">
      <c r="A110" s="18" t="s">
        <v>193</v>
      </c>
      <c r="B110" s="18" t="s">
        <v>194</v>
      </c>
      <c r="C110" s="18"/>
      <c r="D110" s="49" t="n">
        <v>46054</v>
      </c>
      <c r="E110" s="18" t="s">
        <v>124</v>
      </c>
      <c r="F110" s="18" t="s">
        <v>119</v>
      </c>
      <c r="G110" s="18" t="s">
        <v>100</v>
      </c>
      <c r="H110" s="18" t="s">
        <v>107</v>
      </c>
      <c r="I110" s="18" t="s">
        <v>125</v>
      </c>
      <c r="J110" s="18" t="s">
        <v>237</v>
      </c>
      <c r="K110" s="18" t="s">
        <v>195</v>
      </c>
      <c r="L110" s="64" t="n">
        <v>110.9541888</v>
      </c>
      <c r="M110" s="64" t="n">
        <v>7.8</v>
      </c>
      <c r="N110" s="18" t="s">
        <v>342</v>
      </c>
      <c r="O110" s="65" t="n">
        <v>865.4427</v>
      </c>
      <c r="P110" s="65"/>
      <c r="Q110" s="65"/>
      <c r="R110" s="65" t="s">
        <v>232</v>
      </c>
      <c r="S110" s="66" t="n">
        <f aca="false">Model_Calc!AQ22</f>
        <v>865.44267264</v>
      </c>
      <c r="T110" s="66" t="n">
        <f aca="false">ROUND(S110-O110,4)</f>
        <v>0</v>
      </c>
    </row>
    <row r="111" customFormat="false" ht="15" hidden="false" customHeight="false" outlineLevel="0" collapsed="false">
      <c r="A111" s="18" t="s">
        <v>193</v>
      </c>
      <c r="B111" s="18" t="s">
        <v>194</v>
      </c>
      <c r="C111" s="18"/>
      <c r="D111" s="49" t="n">
        <v>46054</v>
      </c>
      <c r="E111" s="18" t="s">
        <v>124</v>
      </c>
      <c r="F111" s="18" t="s">
        <v>119</v>
      </c>
      <c r="G111" s="18" t="s">
        <v>100</v>
      </c>
      <c r="H111" s="18" t="s">
        <v>107</v>
      </c>
      <c r="I111" s="18" t="s">
        <v>125</v>
      </c>
      <c r="J111" s="18" t="s">
        <v>239</v>
      </c>
      <c r="K111" s="18" t="s">
        <v>199</v>
      </c>
      <c r="L111" s="64" t="n">
        <v>90.574848</v>
      </c>
      <c r="M111" s="64" t="n">
        <v>9</v>
      </c>
      <c r="N111" s="18" t="s">
        <v>343</v>
      </c>
      <c r="O111" s="65" t="n">
        <v>815.1736</v>
      </c>
      <c r="P111" s="65"/>
      <c r="Q111" s="65"/>
      <c r="R111" s="65" t="s">
        <v>232</v>
      </c>
      <c r="S111" s="66" t="n">
        <f aca="false">Model_Calc!AV22</f>
        <v>815.173632</v>
      </c>
      <c r="T111" s="66" t="n">
        <f aca="false">ROUND(S111-O111,4)</f>
        <v>0</v>
      </c>
    </row>
    <row r="112" customFormat="false" ht="15" hidden="false" customHeight="false" outlineLevel="0" collapsed="false">
      <c r="A112" s="18" t="s">
        <v>193</v>
      </c>
      <c r="B112" s="18" t="s">
        <v>194</v>
      </c>
      <c r="C112" s="18"/>
      <c r="D112" s="49" t="n">
        <v>46054</v>
      </c>
      <c r="E112" s="18" t="s">
        <v>124</v>
      </c>
      <c r="F112" s="18" t="s">
        <v>119</v>
      </c>
      <c r="G112" s="18" t="s">
        <v>100</v>
      </c>
      <c r="H112" s="18" t="s">
        <v>107</v>
      </c>
      <c r="I112" s="18" t="s">
        <v>125</v>
      </c>
      <c r="J112" s="18" t="s">
        <v>241</v>
      </c>
      <c r="K112" s="18" t="s">
        <v>199</v>
      </c>
      <c r="L112" s="64" t="n">
        <v>9.616029696</v>
      </c>
      <c r="M112" s="64" t="n">
        <v>9</v>
      </c>
      <c r="N112" s="18" t="s">
        <v>344</v>
      </c>
      <c r="O112" s="65" t="n">
        <v>86.5443</v>
      </c>
      <c r="P112" s="65"/>
      <c r="Q112" s="65"/>
      <c r="R112" s="65" t="s">
        <v>232</v>
      </c>
      <c r="S112" s="66" t="n">
        <f aca="false">Model_Calc!BA22</f>
        <v>86.544267264</v>
      </c>
      <c r="T112" s="66" t="n">
        <f aca="false">ROUND(S112-O112,4)</f>
        <v>0</v>
      </c>
    </row>
    <row r="113" customFormat="false" ht="15" hidden="false" customHeight="false" outlineLevel="0" collapsed="false">
      <c r="A113" s="18" t="s">
        <v>193</v>
      </c>
      <c r="B113" s="18" t="s">
        <v>194</v>
      </c>
      <c r="C113" s="18"/>
      <c r="D113" s="49" t="n">
        <v>46054</v>
      </c>
      <c r="E113" s="18" t="s">
        <v>127</v>
      </c>
      <c r="F113" s="18" t="s">
        <v>119</v>
      </c>
      <c r="G113" s="18" t="s">
        <v>100</v>
      </c>
      <c r="H113" s="18" t="s">
        <v>128</v>
      </c>
      <c r="I113" s="18" t="s">
        <v>125</v>
      </c>
      <c r="J113" s="18" t="s">
        <v>230</v>
      </c>
      <c r="K113" s="18" t="s">
        <v>199</v>
      </c>
      <c r="L113" s="64" t="n">
        <v>781.208064</v>
      </c>
      <c r="M113" s="64" t="n">
        <v>9</v>
      </c>
      <c r="N113" s="18" t="s">
        <v>345</v>
      </c>
      <c r="O113" s="65" t="n">
        <v>7030.8726</v>
      </c>
      <c r="P113" s="65"/>
      <c r="Q113" s="65"/>
      <c r="R113" s="65" t="s">
        <v>232</v>
      </c>
      <c r="S113" s="66" t="n">
        <f aca="false">Model_Calc!AF23</f>
        <v>7030.872576</v>
      </c>
      <c r="T113" s="66" t="n">
        <f aca="false">ROUND(S113-O113,4)</f>
        <v>0</v>
      </c>
    </row>
    <row r="114" customFormat="false" ht="15" hidden="false" customHeight="false" outlineLevel="0" collapsed="false">
      <c r="A114" s="18" t="s">
        <v>193</v>
      </c>
      <c r="B114" s="18" t="s">
        <v>194</v>
      </c>
      <c r="C114" s="18"/>
      <c r="D114" s="49" t="n">
        <v>46054</v>
      </c>
      <c r="E114" s="18" t="s">
        <v>127</v>
      </c>
      <c r="F114" s="18" t="s">
        <v>119</v>
      </c>
      <c r="G114" s="18" t="s">
        <v>100</v>
      </c>
      <c r="H114" s="18" t="s">
        <v>128</v>
      </c>
      <c r="I114" s="18" t="s">
        <v>125</v>
      </c>
      <c r="J114" s="18" t="s">
        <v>233</v>
      </c>
      <c r="K114" s="18" t="s">
        <v>199</v>
      </c>
      <c r="L114" s="64" t="n">
        <v>60.413423616</v>
      </c>
      <c r="M114" s="64" t="n">
        <v>9</v>
      </c>
      <c r="N114" s="18" t="s">
        <v>346</v>
      </c>
      <c r="O114" s="65" t="n">
        <v>543.7208</v>
      </c>
      <c r="P114" s="65"/>
      <c r="Q114" s="65"/>
      <c r="R114" s="65" t="s">
        <v>232</v>
      </c>
      <c r="S114" s="66" t="n">
        <f aca="false">Model_Calc!AG23</f>
        <v>543.720812544</v>
      </c>
      <c r="T114" s="66" t="n">
        <f aca="false">ROUND(S114-O114,4)</f>
        <v>0</v>
      </c>
    </row>
    <row r="115" customFormat="false" ht="15" hidden="false" customHeight="false" outlineLevel="0" collapsed="false">
      <c r="A115" s="18" t="s">
        <v>193</v>
      </c>
      <c r="B115" s="18" t="s">
        <v>194</v>
      </c>
      <c r="C115" s="18"/>
      <c r="D115" s="49" t="n">
        <v>46054</v>
      </c>
      <c r="E115" s="18" t="s">
        <v>127</v>
      </c>
      <c r="F115" s="18" t="s">
        <v>119</v>
      </c>
      <c r="G115" s="18" t="s">
        <v>100</v>
      </c>
      <c r="H115" s="18" t="s">
        <v>128</v>
      </c>
      <c r="I115" s="18" t="s">
        <v>125</v>
      </c>
      <c r="J115" s="18" t="s">
        <v>235</v>
      </c>
      <c r="K115" s="18" t="s">
        <v>195</v>
      </c>
      <c r="L115" s="64" t="n">
        <v>119.28384</v>
      </c>
      <c r="M115" s="64" t="n">
        <v>7.8</v>
      </c>
      <c r="N115" s="18" t="s">
        <v>347</v>
      </c>
      <c r="O115" s="65" t="n">
        <v>930.414</v>
      </c>
      <c r="P115" s="65"/>
      <c r="Q115" s="65"/>
      <c r="R115" s="65" t="s">
        <v>232</v>
      </c>
      <c r="S115" s="66" t="n">
        <f aca="false">Model_Calc!AL23</f>
        <v>930.413952</v>
      </c>
      <c r="T115" s="66" t="n">
        <f aca="false">ROUND(S115-O115,4)</f>
        <v>0</v>
      </c>
    </row>
    <row r="116" customFormat="false" ht="15" hidden="false" customHeight="false" outlineLevel="0" collapsed="false">
      <c r="A116" s="18" t="s">
        <v>193</v>
      </c>
      <c r="B116" s="18" t="s">
        <v>194</v>
      </c>
      <c r="C116" s="18"/>
      <c r="D116" s="49" t="n">
        <v>46054</v>
      </c>
      <c r="E116" s="18" t="s">
        <v>127</v>
      </c>
      <c r="F116" s="18" t="s">
        <v>119</v>
      </c>
      <c r="G116" s="18" t="s">
        <v>100</v>
      </c>
      <c r="H116" s="18" t="s">
        <v>128</v>
      </c>
      <c r="I116" s="18" t="s">
        <v>125</v>
      </c>
      <c r="J116" s="18" t="s">
        <v>237</v>
      </c>
      <c r="K116" s="18" t="s">
        <v>195</v>
      </c>
      <c r="L116" s="64" t="n">
        <v>47.5517952</v>
      </c>
      <c r="M116" s="64" t="n">
        <v>7.8</v>
      </c>
      <c r="N116" s="18" t="s">
        <v>348</v>
      </c>
      <c r="O116" s="65" t="n">
        <v>370.904</v>
      </c>
      <c r="P116" s="65"/>
      <c r="Q116" s="65"/>
      <c r="R116" s="65" t="s">
        <v>232</v>
      </c>
      <c r="S116" s="66" t="n">
        <f aca="false">Model_Calc!AQ23</f>
        <v>370.90400256</v>
      </c>
      <c r="T116" s="66" t="n">
        <f aca="false">ROUND(S116-O116,4)</f>
        <v>0</v>
      </c>
    </row>
    <row r="117" customFormat="false" ht="15" hidden="false" customHeight="false" outlineLevel="0" collapsed="false">
      <c r="A117" s="18" t="s">
        <v>193</v>
      </c>
      <c r="B117" s="18" t="s">
        <v>194</v>
      </c>
      <c r="C117" s="18"/>
      <c r="D117" s="49" t="n">
        <v>46054</v>
      </c>
      <c r="E117" s="18" t="s">
        <v>127</v>
      </c>
      <c r="F117" s="18" t="s">
        <v>119</v>
      </c>
      <c r="G117" s="18" t="s">
        <v>100</v>
      </c>
      <c r="H117" s="18" t="s">
        <v>128</v>
      </c>
      <c r="I117" s="18" t="s">
        <v>125</v>
      </c>
      <c r="J117" s="18" t="s">
        <v>239</v>
      </c>
      <c r="K117" s="18" t="s">
        <v>199</v>
      </c>
      <c r="L117" s="64" t="n">
        <v>38.817792</v>
      </c>
      <c r="M117" s="64" t="n">
        <v>9</v>
      </c>
      <c r="N117" s="18" t="s">
        <v>349</v>
      </c>
      <c r="O117" s="65" t="n">
        <v>349.3601</v>
      </c>
      <c r="P117" s="65"/>
      <c r="Q117" s="65"/>
      <c r="R117" s="65" t="s">
        <v>232</v>
      </c>
      <c r="S117" s="66" t="n">
        <f aca="false">Model_Calc!AV23</f>
        <v>349.360128</v>
      </c>
      <c r="T117" s="66" t="n">
        <f aca="false">ROUND(S117-O117,4)</f>
        <v>0</v>
      </c>
    </row>
    <row r="118" customFormat="false" ht="15" hidden="false" customHeight="false" outlineLevel="0" collapsed="false">
      <c r="A118" s="18" t="s">
        <v>193</v>
      </c>
      <c r="B118" s="18" t="s">
        <v>194</v>
      </c>
      <c r="C118" s="18"/>
      <c r="D118" s="49" t="n">
        <v>46054</v>
      </c>
      <c r="E118" s="18" t="s">
        <v>127</v>
      </c>
      <c r="F118" s="18" t="s">
        <v>119</v>
      </c>
      <c r="G118" s="18" t="s">
        <v>100</v>
      </c>
      <c r="H118" s="18" t="s">
        <v>128</v>
      </c>
      <c r="I118" s="18" t="s">
        <v>125</v>
      </c>
      <c r="J118" s="18" t="s">
        <v>241</v>
      </c>
      <c r="K118" s="18" t="s">
        <v>199</v>
      </c>
      <c r="L118" s="64" t="n">
        <v>3.668281344</v>
      </c>
      <c r="M118" s="64" t="n">
        <v>9</v>
      </c>
      <c r="N118" s="18" t="s">
        <v>350</v>
      </c>
      <c r="O118" s="65" t="n">
        <v>33.0145</v>
      </c>
      <c r="P118" s="65"/>
      <c r="Q118" s="65"/>
      <c r="R118" s="65" t="s">
        <v>232</v>
      </c>
      <c r="S118" s="66" t="n">
        <f aca="false">Model_Calc!BA23</f>
        <v>33.014532096</v>
      </c>
      <c r="T118" s="66" t="n">
        <f aca="false">ROUND(S118-O118,4)</f>
        <v>0</v>
      </c>
    </row>
    <row r="119" customFormat="false" ht="15" hidden="false" customHeight="false" outlineLevel="0" collapsed="false">
      <c r="A119" s="18" t="s">
        <v>193</v>
      </c>
      <c r="B119" s="18" t="s">
        <v>194</v>
      </c>
      <c r="C119" s="18"/>
      <c r="D119" s="49" t="n">
        <v>46054</v>
      </c>
      <c r="E119" s="18" t="s">
        <v>130</v>
      </c>
      <c r="F119" s="18" t="s">
        <v>119</v>
      </c>
      <c r="G119" s="18" t="s">
        <v>110</v>
      </c>
      <c r="H119" s="18" t="s">
        <v>107</v>
      </c>
      <c r="I119" s="18" t="s">
        <v>125</v>
      </c>
      <c r="J119" s="18" t="s">
        <v>230</v>
      </c>
      <c r="K119" s="18" t="s">
        <v>195</v>
      </c>
      <c r="L119" s="64" t="n">
        <v>973.6038</v>
      </c>
      <c r="M119" s="64" t="n">
        <v>7.8</v>
      </c>
      <c r="N119" s="18" t="s">
        <v>351</v>
      </c>
      <c r="O119" s="65" t="n">
        <v>7594.1096</v>
      </c>
      <c r="P119" s="65"/>
      <c r="Q119" s="65"/>
      <c r="R119" s="65" t="s">
        <v>232</v>
      </c>
      <c r="S119" s="66" t="n">
        <f aca="false">Model_Calc!AF24</f>
        <v>7594.10964</v>
      </c>
      <c r="T119" s="66" t="n">
        <f aca="false">ROUND(S119-O119,4)</f>
        <v>0</v>
      </c>
    </row>
    <row r="120" customFormat="false" ht="15" hidden="false" customHeight="false" outlineLevel="0" collapsed="false">
      <c r="A120" s="18" t="s">
        <v>193</v>
      </c>
      <c r="B120" s="18" t="s">
        <v>194</v>
      </c>
      <c r="C120" s="18"/>
      <c r="D120" s="49" t="n">
        <v>46054</v>
      </c>
      <c r="E120" s="18" t="s">
        <v>130</v>
      </c>
      <c r="F120" s="18" t="s">
        <v>119</v>
      </c>
      <c r="G120" s="18" t="s">
        <v>110</v>
      </c>
      <c r="H120" s="18" t="s">
        <v>107</v>
      </c>
      <c r="I120" s="18" t="s">
        <v>125</v>
      </c>
      <c r="J120" s="18" t="s">
        <v>233</v>
      </c>
      <c r="K120" s="18" t="s">
        <v>195</v>
      </c>
      <c r="L120" s="64" t="n">
        <v>102.228399</v>
      </c>
      <c r="M120" s="64" t="n">
        <v>7.8</v>
      </c>
      <c r="N120" s="18" t="s">
        <v>352</v>
      </c>
      <c r="O120" s="65" t="n">
        <v>797.3815</v>
      </c>
      <c r="P120" s="65"/>
      <c r="Q120" s="65"/>
      <c r="R120" s="65" t="s">
        <v>232</v>
      </c>
      <c r="S120" s="66" t="n">
        <f aca="false">Model_Calc!AG24</f>
        <v>797.3815122</v>
      </c>
      <c r="T120" s="66" t="n">
        <f aca="false">ROUND(S120-O120,4)</f>
        <v>0</v>
      </c>
    </row>
    <row r="121" customFormat="false" ht="15" hidden="false" customHeight="false" outlineLevel="0" collapsed="false">
      <c r="A121" s="18" t="s">
        <v>193</v>
      </c>
      <c r="B121" s="18" t="s">
        <v>194</v>
      </c>
      <c r="C121" s="18"/>
      <c r="D121" s="49" t="n">
        <v>46054</v>
      </c>
      <c r="E121" s="18" t="s">
        <v>130</v>
      </c>
      <c r="F121" s="18" t="s">
        <v>119</v>
      </c>
      <c r="G121" s="18" t="s">
        <v>110</v>
      </c>
      <c r="H121" s="18" t="s">
        <v>107</v>
      </c>
      <c r="I121" s="18" t="s">
        <v>125</v>
      </c>
      <c r="J121" s="18" t="s">
        <v>235</v>
      </c>
      <c r="K121" s="18" t="s">
        <v>195</v>
      </c>
      <c r="L121" s="64" t="n">
        <v>147.42</v>
      </c>
      <c r="M121" s="64" t="n">
        <v>7.8</v>
      </c>
      <c r="N121" s="18" t="s">
        <v>353</v>
      </c>
      <c r="O121" s="65" t="n">
        <v>1149.876</v>
      </c>
      <c r="P121" s="65"/>
      <c r="Q121" s="65"/>
      <c r="R121" s="65" t="s">
        <v>232</v>
      </c>
      <c r="S121" s="66" t="n">
        <f aca="false">Model_Calc!AL24</f>
        <v>1149.876</v>
      </c>
      <c r="T121" s="66" t="n">
        <f aca="false">ROUND(S121-O121,4)</f>
        <v>0</v>
      </c>
    </row>
    <row r="122" customFormat="false" ht="15" hidden="false" customHeight="false" outlineLevel="0" collapsed="false">
      <c r="A122" s="18" t="s">
        <v>193</v>
      </c>
      <c r="B122" s="18" t="s">
        <v>194</v>
      </c>
      <c r="C122" s="18"/>
      <c r="D122" s="49" t="n">
        <v>46054</v>
      </c>
      <c r="E122" s="18" t="s">
        <v>130</v>
      </c>
      <c r="F122" s="18" t="s">
        <v>119</v>
      </c>
      <c r="G122" s="18" t="s">
        <v>110</v>
      </c>
      <c r="H122" s="18" t="s">
        <v>107</v>
      </c>
      <c r="I122" s="18" t="s">
        <v>125</v>
      </c>
      <c r="J122" s="18" t="s">
        <v>237</v>
      </c>
      <c r="K122" s="18" t="s">
        <v>195</v>
      </c>
      <c r="L122" s="64" t="n">
        <v>61.3548</v>
      </c>
      <c r="M122" s="64" t="n">
        <v>7.8</v>
      </c>
      <c r="N122" s="18" t="s">
        <v>354</v>
      </c>
      <c r="O122" s="65" t="n">
        <v>478.5674</v>
      </c>
      <c r="P122" s="65"/>
      <c r="Q122" s="65"/>
      <c r="R122" s="65" t="s">
        <v>232</v>
      </c>
      <c r="S122" s="66" t="n">
        <f aca="false">Model_Calc!AQ24</f>
        <v>478.56744</v>
      </c>
      <c r="T122" s="66" t="n">
        <f aca="false">ROUND(S122-O122,4)</f>
        <v>0</v>
      </c>
    </row>
    <row r="123" customFormat="false" ht="15" hidden="false" customHeight="false" outlineLevel="0" collapsed="false">
      <c r="A123" s="18" t="s">
        <v>193</v>
      </c>
      <c r="B123" s="18" t="s">
        <v>194</v>
      </c>
      <c r="C123" s="18"/>
      <c r="D123" s="49" t="n">
        <v>46054</v>
      </c>
      <c r="E123" s="18" t="s">
        <v>130</v>
      </c>
      <c r="F123" s="18" t="s">
        <v>119</v>
      </c>
      <c r="G123" s="18" t="s">
        <v>110</v>
      </c>
      <c r="H123" s="18" t="s">
        <v>107</v>
      </c>
      <c r="I123" s="18" t="s">
        <v>125</v>
      </c>
      <c r="J123" s="18" t="s">
        <v>239</v>
      </c>
      <c r="K123" s="18" t="s">
        <v>195</v>
      </c>
      <c r="L123" s="64" t="n">
        <v>58.4064</v>
      </c>
      <c r="M123" s="64" t="n">
        <v>7.8</v>
      </c>
      <c r="N123" s="18" t="s">
        <v>355</v>
      </c>
      <c r="O123" s="65" t="n">
        <v>455.5699</v>
      </c>
      <c r="P123" s="65"/>
      <c r="Q123" s="65"/>
      <c r="R123" s="65" t="s">
        <v>232</v>
      </c>
      <c r="S123" s="66" t="n">
        <f aca="false">Model_Calc!AV24</f>
        <v>455.56992</v>
      </c>
      <c r="T123" s="66" t="n">
        <f aca="false">ROUND(S123-O123,4)</f>
        <v>0</v>
      </c>
    </row>
    <row r="124" customFormat="false" ht="15" hidden="false" customHeight="false" outlineLevel="0" collapsed="false">
      <c r="A124" s="18" t="s">
        <v>193</v>
      </c>
      <c r="B124" s="18" t="s">
        <v>194</v>
      </c>
      <c r="C124" s="18"/>
      <c r="D124" s="49" t="n">
        <v>46054</v>
      </c>
      <c r="E124" s="18" t="s">
        <v>130</v>
      </c>
      <c r="F124" s="18" t="s">
        <v>119</v>
      </c>
      <c r="G124" s="18" t="s">
        <v>110</v>
      </c>
      <c r="H124" s="18" t="s">
        <v>107</v>
      </c>
      <c r="I124" s="18" t="s">
        <v>125</v>
      </c>
      <c r="J124" s="18" t="s">
        <v>241</v>
      </c>
      <c r="K124" s="18" t="s">
        <v>195</v>
      </c>
      <c r="L124" s="64" t="n">
        <v>5.425056</v>
      </c>
      <c r="M124" s="64" t="n">
        <v>7.8</v>
      </c>
      <c r="N124" s="18" t="s">
        <v>356</v>
      </c>
      <c r="O124" s="65" t="n">
        <v>42.3154</v>
      </c>
      <c r="P124" s="65"/>
      <c r="Q124" s="65"/>
      <c r="R124" s="65" t="s">
        <v>232</v>
      </c>
      <c r="S124" s="66" t="n">
        <f aca="false">Model_Calc!BA24</f>
        <v>42.3154368</v>
      </c>
      <c r="T124" s="66" t="n">
        <f aca="false">ROUND(S124-O124,4)</f>
        <v>0</v>
      </c>
    </row>
    <row r="125" customFormat="false" ht="15" hidden="false" customHeight="false" outlineLevel="0" collapsed="false">
      <c r="A125" s="18" t="s">
        <v>193</v>
      </c>
      <c r="B125" s="18" t="s">
        <v>194</v>
      </c>
      <c r="C125" s="18"/>
      <c r="D125" s="49" t="n">
        <v>46082</v>
      </c>
      <c r="E125" s="18" t="s">
        <v>98</v>
      </c>
      <c r="F125" s="18" t="s">
        <v>99</v>
      </c>
      <c r="G125" s="18" t="s">
        <v>100</v>
      </c>
      <c r="H125" s="18" t="s">
        <v>101</v>
      </c>
      <c r="I125" s="18" t="s">
        <v>102</v>
      </c>
      <c r="J125" s="18" t="s">
        <v>230</v>
      </c>
      <c r="K125" s="18" t="s">
        <v>195</v>
      </c>
      <c r="L125" s="64" t="n">
        <v>6291.8856</v>
      </c>
      <c r="M125" s="64" t="n">
        <v>7.8</v>
      </c>
      <c r="N125" s="18" t="s">
        <v>357</v>
      </c>
      <c r="O125" s="65" t="n">
        <v>49076.7077</v>
      </c>
      <c r="P125" s="65"/>
      <c r="Q125" s="65"/>
      <c r="R125" s="65" t="s">
        <v>232</v>
      </c>
      <c r="S125" s="66" t="n">
        <f aca="false">Model_Calc!AF25</f>
        <v>49076.70768</v>
      </c>
      <c r="T125" s="66" t="n">
        <f aca="false">ROUND(S125-O125,4)</f>
        <v>0</v>
      </c>
    </row>
    <row r="126" customFormat="false" ht="15" hidden="false" customHeight="false" outlineLevel="0" collapsed="false">
      <c r="A126" s="18" t="s">
        <v>193</v>
      </c>
      <c r="B126" s="18" t="s">
        <v>194</v>
      </c>
      <c r="C126" s="18"/>
      <c r="D126" s="49" t="n">
        <v>46082</v>
      </c>
      <c r="E126" s="18" t="s">
        <v>98</v>
      </c>
      <c r="F126" s="18" t="s">
        <v>99</v>
      </c>
      <c r="G126" s="18" t="s">
        <v>100</v>
      </c>
      <c r="H126" s="18" t="s">
        <v>101</v>
      </c>
      <c r="I126" s="18" t="s">
        <v>102</v>
      </c>
      <c r="J126" s="18" t="s">
        <v>233</v>
      </c>
      <c r="K126" s="18" t="s">
        <v>195</v>
      </c>
      <c r="L126" s="64" t="n">
        <v>597.729132</v>
      </c>
      <c r="M126" s="64" t="n">
        <v>7.8</v>
      </c>
      <c r="N126" s="18" t="s">
        <v>358</v>
      </c>
      <c r="O126" s="65" t="n">
        <v>4662.2872</v>
      </c>
      <c r="P126" s="65"/>
      <c r="Q126" s="65"/>
      <c r="R126" s="65" t="s">
        <v>232</v>
      </c>
      <c r="S126" s="66" t="n">
        <f aca="false">Model_Calc!AG25</f>
        <v>4662.2872296</v>
      </c>
      <c r="T126" s="66" t="n">
        <f aca="false">ROUND(S126-O126,4)</f>
        <v>0</v>
      </c>
    </row>
    <row r="127" customFormat="false" ht="15" hidden="false" customHeight="false" outlineLevel="0" collapsed="false">
      <c r="A127" s="18" t="s">
        <v>193</v>
      </c>
      <c r="B127" s="18" t="s">
        <v>194</v>
      </c>
      <c r="C127" s="18"/>
      <c r="D127" s="49" t="n">
        <v>46082</v>
      </c>
      <c r="E127" s="18" t="s">
        <v>98</v>
      </c>
      <c r="F127" s="18" t="s">
        <v>99</v>
      </c>
      <c r="G127" s="18" t="s">
        <v>100</v>
      </c>
      <c r="H127" s="18" t="s">
        <v>101</v>
      </c>
      <c r="I127" s="18" t="s">
        <v>102</v>
      </c>
      <c r="J127" s="18" t="s">
        <v>235</v>
      </c>
      <c r="K127" s="18" t="s">
        <v>195</v>
      </c>
      <c r="L127" s="64" t="n">
        <v>4120.56</v>
      </c>
      <c r="M127" s="64" t="n">
        <v>7.8</v>
      </c>
      <c r="N127" s="18" t="s">
        <v>359</v>
      </c>
      <c r="O127" s="65" t="n">
        <v>32140.368</v>
      </c>
      <c r="P127" s="65"/>
      <c r="Q127" s="65"/>
      <c r="R127" s="65" t="s">
        <v>232</v>
      </c>
      <c r="S127" s="66" t="n">
        <f aca="false">Model_Calc!AL25</f>
        <v>32140.368</v>
      </c>
      <c r="T127" s="66" t="n">
        <f aca="false">ROUND(S127-O127,4)</f>
        <v>0</v>
      </c>
    </row>
    <row r="128" customFormat="false" ht="15" hidden="false" customHeight="false" outlineLevel="0" collapsed="false">
      <c r="A128" s="18" t="s">
        <v>193</v>
      </c>
      <c r="B128" s="18" t="s">
        <v>194</v>
      </c>
      <c r="C128" s="18"/>
      <c r="D128" s="49" t="n">
        <v>46082</v>
      </c>
      <c r="E128" s="18" t="s">
        <v>98</v>
      </c>
      <c r="F128" s="18" t="s">
        <v>99</v>
      </c>
      <c r="G128" s="18" t="s">
        <v>100</v>
      </c>
      <c r="H128" s="18" t="s">
        <v>101</v>
      </c>
      <c r="I128" s="18" t="s">
        <v>102</v>
      </c>
      <c r="J128" s="18" t="s">
        <v>237</v>
      </c>
      <c r="K128" s="18" t="s">
        <v>195</v>
      </c>
      <c r="L128" s="64" t="n">
        <v>1539.972</v>
      </c>
      <c r="M128" s="64" t="n">
        <v>7.8</v>
      </c>
      <c r="N128" s="18" t="s">
        <v>360</v>
      </c>
      <c r="O128" s="65" t="n">
        <v>12011.7816</v>
      </c>
      <c r="P128" s="65"/>
      <c r="Q128" s="65"/>
      <c r="R128" s="65" t="s">
        <v>232</v>
      </c>
      <c r="S128" s="66" t="n">
        <f aca="false">Model_Calc!AQ25</f>
        <v>12011.7816</v>
      </c>
      <c r="T128" s="66" t="n">
        <f aca="false">ROUND(S128-O128,4)</f>
        <v>0</v>
      </c>
    </row>
    <row r="129" customFormat="false" ht="15" hidden="false" customHeight="false" outlineLevel="0" collapsed="false">
      <c r="A129" s="18" t="s">
        <v>193</v>
      </c>
      <c r="B129" s="18" t="s">
        <v>194</v>
      </c>
      <c r="C129" s="18"/>
      <c r="D129" s="49" t="n">
        <v>46082</v>
      </c>
      <c r="E129" s="18" t="s">
        <v>98</v>
      </c>
      <c r="F129" s="18" t="s">
        <v>99</v>
      </c>
      <c r="G129" s="18" t="s">
        <v>100</v>
      </c>
      <c r="H129" s="18" t="s">
        <v>101</v>
      </c>
      <c r="I129" s="18" t="s">
        <v>102</v>
      </c>
      <c r="J129" s="18" t="s">
        <v>239</v>
      </c>
      <c r="K129" s="18" t="s">
        <v>195</v>
      </c>
      <c r="L129" s="64" t="n">
        <v>558.72</v>
      </c>
      <c r="M129" s="64" t="n">
        <v>7.8</v>
      </c>
      <c r="N129" s="18" t="s">
        <v>361</v>
      </c>
      <c r="O129" s="65" t="n">
        <v>4358.016</v>
      </c>
      <c r="P129" s="65"/>
      <c r="Q129" s="65"/>
      <c r="R129" s="65" t="s">
        <v>232</v>
      </c>
      <c r="S129" s="66" t="n">
        <f aca="false">Model_Calc!AV25</f>
        <v>4358.016</v>
      </c>
      <c r="T129" s="66" t="n">
        <f aca="false">ROUND(S129-O129,4)</f>
        <v>0</v>
      </c>
    </row>
    <row r="130" customFormat="false" ht="15" hidden="false" customHeight="false" outlineLevel="0" collapsed="false">
      <c r="A130" s="18" t="s">
        <v>193</v>
      </c>
      <c r="B130" s="18" t="s">
        <v>194</v>
      </c>
      <c r="C130" s="18"/>
      <c r="D130" s="49" t="n">
        <v>46082</v>
      </c>
      <c r="E130" s="18" t="s">
        <v>98</v>
      </c>
      <c r="F130" s="18" t="s">
        <v>99</v>
      </c>
      <c r="G130" s="18" t="s">
        <v>100</v>
      </c>
      <c r="H130" s="18" t="s">
        <v>101</v>
      </c>
      <c r="I130" s="18" t="s">
        <v>102</v>
      </c>
      <c r="J130" s="18" t="s">
        <v>241</v>
      </c>
      <c r="K130" s="18" t="s">
        <v>195</v>
      </c>
      <c r="L130" s="64" t="n">
        <v>134.93088</v>
      </c>
      <c r="M130" s="64" t="n">
        <v>7.8</v>
      </c>
      <c r="N130" s="18" t="s">
        <v>362</v>
      </c>
      <c r="O130" s="65" t="n">
        <v>1052.4609</v>
      </c>
      <c r="P130" s="65"/>
      <c r="Q130" s="65"/>
      <c r="R130" s="65" t="s">
        <v>232</v>
      </c>
      <c r="S130" s="66" t="n">
        <f aca="false">Model_Calc!BA25</f>
        <v>1052.460864</v>
      </c>
      <c r="T130" s="66" t="n">
        <f aca="false">ROUND(S130-O130,4)</f>
        <v>0</v>
      </c>
    </row>
    <row r="131" customFormat="false" ht="15" hidden="false" customHeight="false" outlineLevel="0" collapsed="false">
      <c r="A131" s="18" t="s">
        <v>193</v>
      </c>
      <c r="B131" s="18" t="s">
        <v>194</v>
      </c>
      <c r="C131" s="18"/>
      <c r="D131" s="49" t="n">
        <v>46082</v>
      </c>
      <c r="E131" s="18" t="s">
        <v>106</v>
      </c>
      <c r="F131" s="18" t="s">
        <v>99</v>
      </c>
      <c r="G131" s="18" t="s">
        <v>100</v>
      </c>
      <c r="H131" s="18" t="s">
        <v>107</v>
      </c>
      <c r="I131" s="18" t="s">
        <v>102</v>
      </c>
      <c r="J131" s="18" t="s">
        <v>230</v>
      </c>
      <c r="K131" s="18" t="s">
        <v>195</v>
      </c>
      <c r="L131" s="64" t="n">
        <v>5377.68</v>
      </c>
      <c r="M131" s="64" t="n">
        <v>7.8</v>
      </c>
      <c r="N131" s="18" t="s">
        <v>363</v>
      </c>
      <c r="O131" s="65" t="n">
        <v>41945.904</v>
      </c>
      <c r="P131" s="65"/>
      <c r="Q131" s="65"/>
      <c r="R131" s="65" t="s">
        <v>232</v>
      </c>
      <c r="S131" s="66" t="n">
        <f aca="false">Model_Calc!AF26</f>
        <v>41945.904</v>
      </c>
      <c r="T131" s="66" t="n">
        <f aca="false">ROUND(S131-O131,4)</f>
        <v>0</v>
      </c>
    </row>
    <row r="132" customFormat="false" ht="15" hidden="false" customHeight="false" outlineLevel="0" collapsed="false">
      <c r="A132" s="18" t="s">
        <v>193</v>
      </c>
      <c r="B132" s="18" t="s">
        <v>194</v>
      </c>
      <c r="C132" s="18"/>
      <c r="D132" s="49" t="n">
        <v>46082</v>
      </c>
      <c r="E132" s="18" t="s">
        <v>106</v>
      </c>
      <c r="F132" s="18" t="s">
        <v>99</v>
      </c>
      <c r="G132" s="18" t="s">
        <v>100</v>
      </c>
      <c r="H132" s="18" t="s">
        <v>107</v>
      </c>
      <c r="I132" s="18" t="s">
        <v>102</v>
      </c>
      <c r="J132" s="18" t="s">
        <v>233</v>
      </c>
      <c r="K132" s="18" t="s">
        <v>195</v>
      </c>
      <c r="L132" s="64" t="n">
        <v>410.6592</v>
      </c>
      <c r="M132" s="64" t="n">
        <v>7.8</v>
      </c>
      <c r="N132" s="18" t="s">
        <v>364</v>
      </c>
      <c r="O132" s="65" t="n">
        <v>3203.1418</v>
      </c>
      <c r="P132" s="65"/>
      <c r="Q132" s="65"/>
      <c r="R132" s="65" t="s">
        <v>232</v>
      </c>
      <c r="S132" s="66" t="n">
        <f aca="false">Model_Calc!AG26</f>
        <v>3203.14176</v>
      </c>
      <c r="T132" s="66" t="n">
        <f aca="false">ROUND(S132-O132,4)</f>
        <v>0</v>
      </c>
    </row>
    <row r="133" customFormat="false" ht="15" hidden="false" customHeight="false" outlineLevel="0" collapsed="false">
      <c r="A133" s="18" t="s">
        <v>193</v>
      </c>
      <c r="B133" s="18" t="s">
        <v>194</v>
      </c>
      <c r="C133" s="18"/>
      <c r="D133" s="49" t="n">
        <v>46082</v>
      </c>
      <c r="E133" s="18" t="s">
        <v>106</v>
      </c>
      <c r="F133" s="18" t="s">
        <v>99</v>
      </c>
      <c r="G133" s="18" t="s">
        <v>100</v>
      </c>
      <c r="H133" s="18" t="s">
        <v>107</v>
      </c>
      <c r="I133" s="18" t="s">
        <v>102</v>
      </c>
      <c r="J133" s="18" t="s">
        <v>235</v>
      </c>
      <c r="K133" s="18" t="s">
        <v>195</v>
      </c>
      <c r="L133" s="64" t="n">
        <v>2747.04</v>
      </c>
      <c r="M133" s="64" t="n">
        <v>7.8</v>
      </c>
      <c r="N133" s="18" t="s">
        <v>365</v>
      </c>
      <c r="O133" s="65" t="n">
        <v>21426.912</v>
      </c>
      <c r="P133" s="65"/>
      <c r="Q133" s="65"/>
      <c r="R133" s="65" t="s">
        <v>232</v>
      </c>
      <c r="S133" s="66" t="n">
        <f aca="false">Model_Calc!AL26</f>
        <v>21426.912</v>
      </c>
      <c r="T133" s="66" t="n">
        <f aca="false">ROUND(S133-O133,4)</f>
        <v>0</v>
      </c>
    </row>
    <row r="134" customFormat="false" ht="15" hidden="false" customHeight="false" outlineLevel="0" collapsed="false">
      <c r="A134" s="18" t="s">
        <v>193</v>
      </c>
      <c r="B134" s="18" t="s">
        <v>194</v>
      </c>
      <c r="C134" s="18"/>
      <c r="D134" s="49" t="n">
        <v>46082</v>
      </c>
      <c r="E134" s="18" t="s">
        <v>106</v>
      </c>
      <c r="F134" s="18" t="s">
        <v>99</v>
      </c>
      <c r="G134" s="18" t="s">
        <v>100</v>
      </c>
      <c r="H134" s="18" t="s">
        <v>107</v>
      </c>
      <c r="I134" s="18" t="s">
        <v>102</v>
      </c>
      <c r="J134" s="18" t="s">
        <v>237</v>
      </c>
      <c r="K134" s="18" t="s">
        <v>195</v>
      </c>
      <c r="L134" s="64" t="n">
        <v>1026.648</v>
      </c>
      <c r="M134" s="64" t="n">
        <v>7.8</v>
      </c>
      <c r="N134" s="18" t="s">
        <v>366</v>
      </c>
      <c r="O134" s="65" t="n">
        <v>8007.8544</v>
      </c>
      <c r="P134" s="65"/>
      <c r="Q134" s="65"/>
      <c r="R134" s="65" t="s">
        <v>232</v>
      </c>
      <c r="S134" s="66" t="n">
        <f aca="false">Model_Calc!AQ26</f>
        <v>8007.8544</v>
      </c>
      <c r="T134" s="66" t="n">
        <f aca="false">ROUND(S134-O134,4)</f>
        <v>0</v>
      </c>
    </row>
    <row r="135" customFormat="false" ht="15" hidden="false" customHeight="false" outlineLevel="0" collapsed="false">
      <c r="A135" s="18" t="s">
        <v>193</v>
      </c>
      <c r="B135" s="18" t="s">
        <v>194</v>
      </c>
      <c r="C135" s="18"/>
      <c r="D135" s="49" t="n">
        <v>46082</v>
      </c>
      <c r="E135" s="18" t="s">
        <v>106</v>
      </c>
      <c r="F135" s="18" t="s">
        <v>99</v>
      </c>
      <c r="G135" s="18" t="s">
        <v>100</v>
      </c>
      <c r="H135" s="18" t="s">
        <v>107</v>
      </c>
      <c r="I135" s="18" t="s">
        <v>102</v>
      </c>
      <c r="J135" s="18" t="s">
        <v>239</v>
      </c>
      <c r="K135" s="18" t="s">
        <v>195</v>
      </c>
      <c r="L135" s="64" t="n">
        <v>372.48</v>
      </c>
      <c r="M135" s="64" t="n">
        <v>7.8</v>
      </c>
      <c r="N135" s="18" t="s">
        <v>367</v>
      </c>
      <c r="O135" s="65" t="n">
        <v>2905.344</v>
      </c>
      <c r="P135" s="65"/>
      <c r="Q135" s="65"/>
      <c r="R135" s="65" t="s">
        <v>232</v>
      </c>
      <c r="S135" s="66" t="n">
        <f aca="false">Model_Calc!AV26</f>
        <v>2905.344</v>
      </c>
      <c r="T135" s="66" t="n">
        <f aca="false">ROUND(S135-O135,4)</f>
        <v>0</v>
      </c>
    </row>
    <row r="136" customFormat="false" ht="15" hidden="false" customHeight="false" outlineLevel="0" collapsed="false">
      <c r="A136" s="18" t="s">
        <v>193</v>
      </c>
      <c r="B136" s="18" t="s">
        <v>194</v>
      </c>
      <c r="C136" s="18"/>
      <c r="D136" s="49" t="n">
        <v>46082</v>
      </c>
      <c r="E136" s="18" t="s">
        <v>106</v>
      </c>
      <c r="F136" s="18" t="s">
        <v>99</v>
      </c>
      <c r="G136" s="18" t="s">
        <v>100</v>
      </c>
      <c r="H136" s="18" t="s">
        <v>107</v>
      </c>
      <c r="I136" s="18" t="s">
        <v>102</v>
      </c>
      <c r="J136" s="18" t="s">
        <v>241</v>
      </c>
      <c r="K136" s="18" t="s">
        <v>195</v>
      </c>
      <c r="L136" s="64" t="n">
        <v>73.08756</v>
      </c>
      <c r="M136" s="64" t="n">
        <v>7.8</v>
      </c>
      <c r="N136" s="18" t="s">
        <v>368</v>
      </c>
      <c r="O136" s="65" t="n">
        <v>570.083</v>
      </c>
      <c r="P136" s="65"/>
      <c r="Q136" s="65"/>
      <c r="R136" s="65" t="s">
        <v>232</v>
      </c>
      <c r="S136" s="66" t="n">
        <f aca="false">Model_Calc!BA26</f>
        <v>570.082968</v>
      </c>
      <c r="T136" s="66" t="n">
        <f aca="false">ROUND(S136-O136,4)</f>
        <v>0</v>
      </c>
    </row>
    <row r="137" customFormat="false" ht="15" hidden="false" customHeight="false" outlineLevel="0" collapsed="false">
      <c r="A137" s="18" t="s">
        <v>193</v>
      </c>
      <c r="B137" s="18" t="s">
        <v>194</v>
      </c>
      <c r="C137" s="18"/>
      <c r="D137" s="49" t="n">
        <v>46082</v>
      </c>
      <c r="E137" s="18" t="s">
        <v>109</v>
      </c>
      <c r="F137" s="18" t="s">
        <v>99</v>
      </c>
      <c r="G137" s="18" t="s">
        <v>110</v>
      </c>
      <c r="H137" s="18" t="s">
        <v>107</v>
      </c>
      <c r="I137" s="18" t="s">
        <v>102</v>
      </c>
      <c r="J137" s="18" t="s">
        <v>230</v>
      </c>
      <c r="K137" s="18" t="s">
        <v>195</v>
      </c>
      <c r="L137" s="64" t="n">
        <v>551.7072</v>
      </c>
      <c r="M137" s="64" t="n">
        <v>7.8</v>
      </c>
      <c r="N137" s="18" t="s">
        <v>369</v>
      </c>
      <c r="O137" s="65" t="n">
        <v>4303.3162</v>
      </c>
      <c r="P137" s="65"/>
      <c r="Q137" s="65"/>
      <c r="R137" s="65" t="s">
        <v>232</v>
      </c>
      <c r="S137" s="66" t="n">
        <f aca="false">Model_Calc!AF27</f>
        <v>4303.31616</v>
      </c>
      <c r="T137" s="66" t="n">
        <f aca="false">ROUND(S137-O137,4)</f>
        <v>0</v>
      </c>
    </row>
    <row r="138" customFormat="false" ht="15" hidden="false" customHeight="false" outlineLevel="0" collapsed="false">
      <c r="A138" s="18" t="s">
        <v>193</v>
      </c>
      <c r="B138" s="18" t="s">
        <v>194</v>
      </c>
      <c r="C138" s="18"/>
      <c r="D138" s="49" t="n">
        <v>46082</v>
      </c>
      <c r="E138" s="18" t="s">
        <v>109</v>
      </c>
      <c r="F138" s="18" t="s">
        <v>99</v>
      </c>
      <c r="G138" s="18" t="s">
        <v>110</v>
      </c>
      <c r="H138" s="18" t="s">
        <v>107</v>
      </c>
      <c r="I138" s="18" t="s">
        <v>102</v>
      </c>
      <c r="J138" s="18" t="s">
        <v>233</v>
      </c>
      <c r="K138" s="18" t="s">
        <v>195</v>
      </c>
      <c r="L138" s="64" t="n">
        <v>40.12416</v>
      </c>
      <c r="M138" s="64" t="n">
        <v>7.8</v>
      </c>
      <c r="N138" s="18" t="s">
        <v>370</v>
      </c>
      <c r="O138" s="65" t="n">
        <v>312.9684</v>
      </c>
      <c r="P138" s="65"/>
      <c r="Q138" s="65"/>
      <c r="R138" s="65" t="s">
        <v>232</v>
      </c>
      <c r="S138" s="66" t="n">
        <f aca="false">Model_Calc!AG27</f>
        <v>312.968448</v>
      </c>
      <c r="T138" s="66" t="n">
        <f aca="false">ROUND(S138-O138,4)</f>
        <v>0</v>
      </c>
    </row>
    <row r="139" customFormat="false" ht="15" hidden="false" customHeight="false" outlineLevel="0" collapsed="false">
      <c r="A139" s="18" t="s">
        <v>193</v>
      </c>
      <c r="B139" s="18" t="s">
        <v>194</v>
      </c>
      <c r="C139" s="18"/>
      <c r="D139" s="49" t="n">
        <v>46082</v>
      </c>
      <c r="E139" s="18" t="s">
        <v>109</v>
      </c>
      <c r="F139" s="18" t="s">
        <v>99</v>
      </c>
      <c r="G139" s="18" t="s">
        <v>110</v>
      </c>
      <c r="H139" s="18" t="s">
        <v>107</v>
      </c>
      <c r="I139" s="18" t="s">
        <v>102</v>
      </c>
      <c r="J139" s="18" t="s">
        <v>235</v>
      </c>
      <c r="K139" s="18" t="s">
        <v>195</v>
      </c>
      <c r="L139" s="64" t="n">
        <v>189</v>
      </c>
      <c r="M139" s="64" t="n">
        <v>7.8</v>
      </c>
      <c r="N139" s="18" t="s">
        <v>371</v>
      </c>
      <c r="O139" s="65" t="n">
        <v>1474.2</v>
      </c>
      <c r="P139" s="65"/>
      <c r="Q139" s="65"/>
      <c r="R139" s="65" t="s">
        <v>232</v>
      </c>
      <c r="S139" s="66" t="n">
        <f aca="false">Model_Calc!AL27</f>
        <v>1474.2</v>
      </c>
      <c r="T139" s="66" t="n">
        <f aca="false">ROUND(S139-O139,4)</f>
        <v>0</v>
      </c>
    </row>
    <row r="140" customFormat="false" ht="15" hidden="false" customHeight="false" outlineLevel="0" collapsed="false">
      <c r="A140" s="18" t="s">
        <v>193</v>
      </c>
      <c r="B140" s="18" t="s">
        <v>194</v>
      </c>
      <c r="C140" s="18"/>
      <c r="D140" s="49" t="n">
        <v>46082</v>
      </c>
      <c r="E140" s="18" t="s">
        <v>109</v>
      </c>
      <c r="F140" s="18" t="s">
        <v>99</v>
      </c>
      <c r="G140" s="18" t="s">
        <v>110</v>
      </c>
      <c r="H140" s="18" t="s">
        <v>107</v>
      </c>
      <c r="I140" s="18" t="s">
        <v>102</v>
      </c>
      <c r="J140" s="18" t="s">
        <v>237</v>
      </c>
      <c r="K140" s="18" t="s">
        <v>195</v>
      </c>
      <c r="L140" s="64" t="n">
        <v>73.872</v>
      </c>
      <c r="M140" s="64" t="n">
        <v>7.8</v>
      </c>
      <c r="N140" s="18" t="s">
        <v>372</v>
      </c>
      <c r="O140" s="65" t="n">
        <v>576.2016</v>
      </c>
      <c r="P140" s="65"/>
      <c r="Q140" s="65"/>
      <c r="R140" s="65" t="s">
        <v>232</v>
      </c>
      <c r="S140" s="66" t="n">
        <f aca="false">Model_Calc!AQ27</f>
        <v>576.2016</v>
      </c>
      <c r="T140" s="66" t="n">
        <f aca="false">ROUND(S140-O140,4)</f>
        <v>0</v>
      </c>
    </row>
    <row r="141" customFormat="false" ht="15" hidden="false" customHeight="false" outlineLevel="0" collapsed="false">
      <c r="A141" s="18" t="s">
        <v>193</v>
      </c>
      <c r="B141" s="18" t="s">
        <v>194</v>
      </c>
      <c r="C141" s="18"/>
      <c r="D141" s="49" t="n">
        <v>46082</v>
      </c>
      <c r="E141" s="18" t="s">
        <v>109</v>
      </c>
      <c r="F141" s="18" t="s">
        <v>99</v>
      </c>
      <c r="G141" s="18" t="s">
        <v>110</v>
      </c>
      <c r="H141" s="18" t="s">
        <v>107</v>
      </c>
      <c r="I141" s="18" t="s">
        <v>102</v>
      </c>
      <c r="J141" s="18" t="s">
        <v>239</v>
      </c>
      <c r="K141" s="18" t="s">
        <v>195</v>
      </c>
      <c r="L141" s="64" t="n">
        <v>34.2</v>
      </c>
      <c r="M141" s="64" t="n">
        <v>7.8</v>
      </c>
      <c r="N141" s="18" t="s">
        <v>373</v>
      </c>
      <c r="O141" s="65" t="n">
        <v>266.76</v>
      </c>
      <c r="P141" s="65"/>
      <c r="Q141" s="65"/>
      <c r="R141" s="65" t="s">
        <v>232</v>
      </c>
      <c r="S141" s="66" t="n">
        <f aca="false">Model_Calc!AV27</f>
        <v>266.76</v>
      </c>
      <c r="T141" s="66" t="n">
        <f aca="false">ROUND(S141-O141,4)</f>
        <v>0</v>
      </c>
    </row>
    <row r="142" customFormat="false" ht="15" hidden="false" customHeight="false" outlineLevel="0" collapsed="false">
      <c r="A142" s="18" t="s">
        <v>193</v>
      </c>
      <c r="B142" s="18" t="s">
        <v>194</v>
      </c>
      <c r="C142" s="18"/>
      <c r="D142" s="49" t="n">
        <v>46082</v>
      </c>
      <c r="E142" s="18" t="s">
        <v>109</v>
      </c>
      <c r="F142" s="18" t="s">
        <v>99</v>
      </c>
      <c r="G142" s="18" t="s">
        <v>110</v>
      </c>
      <c r="H142" s="18" t="s">
        <v>107</v>
      </c>
      <c r="I142" s="18" t="s">
        <v>102</v>
      </c>
      <c r="J142" s="18" t="s">
        <v>241</v>
      </c>
      <c r="K142" s="18" t="s">
        <v>195</v>
      </c>
      <c r="L142" s="64" t="n">
        <v>6.25968</v>
      </c>
      <c r="M142" s="64" t="n">
        <v>7.8</v>
      </c>
      <c r="N142" s="18" t="s">
        <v>374</v>
      </c>
      <c r="O142" s="65" t="n">
        <v>48.8255</v>
      </c>
      <c r="P142" s="65"/>
      <c r="Q142" s="65"/>
      <c r="R142" s="65" t="s">
        <v>232</v>
      </c>
      <c r="S142" s="66" t="n">
        <f aca="false">Model_Calc!BA27</f>
        <v>48.825504</v>
      </c>
      <c r="T142" s="66" t="n">
        <f aca="false">ROUND(S142-O142,4)</f>
        <v>0</v>
      </c>
    </row>
    <row r="143" customFormat="false" ht="15" hidden="false" customHeight="false" outlineLevel="0" collapsed="false">
      <c r="A143" s="18" t="s">
        <v>193</v>
      </c>
      <c r="B143" s="18" t="s">
        <v>194</v>
      </c>
      <c r="C143" s="18"/>
      <c r="D143" s="49" t="n">
        <v>46082</v>
      </c>
      <c r="E143" s="18" t="s">
        <v>112</v>
      </c>
      <c r="F143" s="18" t="s">
        <v>113</v>
      </c>
      <c r="G143" s="18" t="s">
        <v>110</v>
      </c>
      <c r="H143" s="18" t="s">
        <v>101</v>
      </c>
      <c r="I143" s="18" t="s">
        <v>102</v>
      </c>
      <c r="J143" s="18" t="s">
        <v>230</v>
      </c>
      <c r="K143" s="18" t="s">
        <v>195</v>
      </c>
      <c r="L143" s="64" t="n">
        <v>2842.1568</v>
      </c>
      <c r="M143" s="64" t="n">
        <v>7.8</v>
      </c>
      <c r="N143" s="18" t="s">
        <v>375</v>
      </c>
      <c r="O143" s="65" t="n">
        <v>22168.823</v>
      </c>
      <c r="P143" s="65"/>
      <c r="Q143" s="65"/>
      <c r="R143" s="65" t="s">
        <v>232</v>
      </c>
      <c r="S143" s="66" t="n">
        <f aca="false">Model_Calc!AF28</f>
        <v>22168.82304</v>
      </c>
      <c r="T143" s="66" t="n">
        <f aca="false">ROUND(S143-O143,4)</f>
        <v>0</v>
      </c>
    </row>
    <row r="144" customFormat="false" ht="15" hidden="false" customHeight="false" outlineLevel="0" collapsed="false">
      <c r="A144" s="18" t="s">
        <v>193</v>
      </c>
      <c r="B144" s="18" t="s">
        <v>194</v>
      </c>
      <c r="C144" s="18"/>
      <c r="D144" s="49" t="n">
        <v>46082</v>
      </c>
      <c r="E144" s="18" t="s">
        <v>112</v>
      </c>
      <c r="F144" s="18" t="s">
        <v>113</v>
      </c>
      <c r="G144" s="18" t="s">
        <v>110</v>
      </c>
      <c r="H144" s="18" t="s">
        <v>101</v>
      </c>
      <c r="I144" s="18" t="s">
        <v>102</v>
      </c>
      <c r="J144" s="18" t="s">
        <v>233</v>
      </c>
      <c r="K144" s="18" t="s">
        <v>195</v>
      </c>
      <c r="L144" s="64" t="n">
        <v>255.794112</v>
      </c>
      <c r="M144" s="64" t="n">
        <v>7.8</v>
      </c>
      <c r="N144" s="18" t="s">
        <v>376</v>
      </c>
      <c r="O144" s="65" t="n">
        <v>1995.1941</v>
      </c>
      <c r="P144" s="65"/>
      <c r="Q144" s="65"/>
      <c r="R144" s="65" t="s">
        <v>232</v>
      </c>
      <c r="S144" s="66" t="n">
        <f aca="false">Model_Calc!AG28</f>
        <v>1995.1940736</v>
      </c>
      <c r="T144" s="66" t="n">
        <f aca="false">ROUND(S144-O144,4)</f>
        <v>0</v>
      </c>
    </row>
    <row r="145" customFormat="false" ht="15" hidden="false" customHeight="false" outlineLevel="0" collapsed="false">
      <c r="A145" s="18" t="s">
        <v>193</v>
      </c>
      <c r="B145" s="18" t="s">
        <v>194</v>
      </c>
      <c r="C145" s="18"/>
      <c r="D145" s="49" t="n">
        <v>46082</v>
      </c>
      <c r="E145" s="18" t="s">
        <v>112</v>
      </c>
      <c r="F145" s="18" t="s">
        <v>113</v>
      </c>
      <c r="G145" s="18" t="s">
        <v>110</v>
      </c>
      <c r="H145" s="18" t="s">
        <v>101</v>
      </c>
      <c r="I145" s="18" t="s">
        <v>102</v>
      </c>
      <c r="J145" s="18" t="s">
        <v>235</v>
      </c>
      <c r="K145" s="18" t="s">
        <v>195</v>
      </c>
      <c r="L145" s="64" t="n">
        <v>1764</v>
      </c>
      <c r="M145" s="64" t="n">
        <v>7.8</v>
      </c>
      <c r="N145" s="18" t="s">
        <v>377</v>
      </c>
      <c r="O145" s="65" t="n">
        <v>13759.2</v>
      </c>
      <c r="P145" s="65"/>
      <c r="Q145" s="65"/>
      <c r="R145" s="65" t="s">
        <v>232</v>
      </c>
      <c r="S145" s="66" t="n">
        <f aca="false">Model_Calc!AL28</f>
        <v>13759.2</v>
      </c>
      <c r="T145" s="66" t="n">
        <f aca="false">ROUND(S145-O145,4)</f>
        <v>0</v>
      </c>
    </row>
    <row r="146" customFormat="false" ht="15" hidden="false" customHeight="false" outlineLevel="0" collapsed="false">
      <c r="A146" s="18" t="s">
        <v>193</v>
      </c>
      <c r="B146" s="18" t="s">
        <v>194</v>
      </c>
      <c r="C146" s="18"/>
      <c r="D146" s="49" t="n">
        <v>46082</v>
      </c>
      <c r="E146" s="18" t="s">
        <v>112</v>
      </c>
      <c r="F146" s="18" t="s">
        <v>113</v>
      </c>
      <c r="G146" s="18" t="s">
        <v>110</v>
      </c>
      <c r="H146" s="18" t="s">
        <v>101</v>
      </c>
      <c r="I146" s="18" t="s">
        <v>102</v>
      </c>
      <c r="J146" s="18" t="s">
        <v>237</v>
      </c>
      <c r="K146" s="18" t="s">
        <v>195</v>
      </c>
      <c r="L146" s="64" t="n">
        <v>676.704</v>
      </c>
      <c r="M146" s="64" t="n">
        <v>7.8</v>
      </c>
      <c r="N146" s="18" t="s">
        <v>378</v>
      </c>
      <c r="O146" s="65" t="n">
        <v>5278.2912</v>
      </c>
      <c r="P146" s="65"/>
      <c r="Q146" s="65"/>
      <c r="R146" s="65" t="s">
        <v>232</v>
      </c>
      <c r="S146" s="66" t="n">
        <f aca="false">Model_Calc!AQ28</f>
        <v>5278.2912</v>
      </c>
      <c r="T146" s="66" t="n">
        <f aca="false">ROUND(S146-O146,4)</f>
        <v>0</v>
      </c>
    </row>
    <row r="147" customFormat="false" ht="15" hidden="false" customHeight="false" outlineLevel="0" collapsed="false">
      <c r="A147" s="18" t="s">
        <v>193</v>
      </c>
      <c r="B147" s="18" t="s">
        <v>194</v>
      </c>
      <c r="C147" s="18"/>
      <c r="D147" s="49" t="n">
        <v>46082</v>
      </c>
      <c r="E147" s="18" t="s">
        <v>112</v>
      </c>
      <c r="F147" s="18" t="s">
        <v>113</v>
      </c>
      <c r="G147" s="18" t="s">
        <v>110</v>
      </c>
      <c r="H147" s="18" t="s">
        <v>101</v>
      </c>
      <c r="I147" s="18" t="s">
        <v>102</v>
      </c>
      <c r="J147" s="18" t="s">
        <v>239</v>
      </c>
      <c r="K147" s="18" t="s">
        <v>195</v>
      </c>
      <c r="L147" s="64" t="n">
        <v>302.4</v>
      </c>
      <c r="M147" s="64" t="n">
        <v>7.8</v>
      </c>
      <c r="N147" s="18" t="s">
        <v>379</v>
      </c>
      <c r="O147" s="65" t="n">
        <v>2358.72</v>
      </c>
      <c r="P147" s="65"/>
      <c r="Q147" s="65"/>
      <c r="R147" s="65" t="s">
        <v>232</v>
      </c>
      <c r="S147" s="66" t="n">
        <f aca="false">Model_Calc!AV28</f>
        <v>2358.72</v>
      </c>
      <c r="T147" s="66" t="n">
        <f aca="false">ROUND(S147-O147,4)</f>
        <v>0</v>
      </c>
    </row>
    <row r="148" customFormat="false" ht="15" hidden="false" customHeight="false" outlineLevel="0" collapsed="false">
      <c r="A148" s="18" t="s">
        <v>193</v>
      </c>
      <c r="B148" s="18" t="s">
        <v>194</v>
      </c>
      <c r="C148" s="18"/>
      <c r="D148" s="49" t="n">
        <v>46082</v>
      </c>
      <c r="E148" s="18" t="s">
        <v>112</v>
      </c>
      <c r="F148" s="18" t="s">
        <v>113</v>
      </c>
      <c r="G148" s="18" t="s">
        <v>110</v>
      </c>
      <c r="H148" s="18" t="s">
        <v>101</v>
      </c>
      <c r="I148" s="18" t="s">
        <v>102</v>
      </c>
      <c r="J148" s="18" t="s">
        <v>241</v>
      </c>
      <c r="K148" s="18" t="s">
        <v>195</v>
      </c>
      <c r="L148" s="64" t="n">
        <v>69.62928</v>
      </c>
      <c r="M148" s="64" t="n">
        <v>7.8</v>
      </c>
      <c r="N148" s="18" t="s">
        <v>380</v>
      </c>
      <c r="O148" s="65" t="n">
        <v>543.1084</v>
      </c>
      <c r="P148" s="65"/>
      <c r="Q148" s="65"/>
      <c r="R148" s="65" t="s">
        <v>232</v>
      </c>
      <c r="S148" s="66" t="n">
        <f aca="false">Model_Calc!BA28</f>
        <v>543.108384</v>
      </c>
      <c r="T148" s="66" t="n">
        <f aca="false">ROUND(S148-O148,4)</f>
        <v>0</v>
      </c>
    </row>
    <row r="149" customFormat="false" ht="15" hidden="false" customHeight="false" outlineLevel="0" collapsed="false">
      <c r="A149" s="18" t="s">
        <v>193</v>
      </c>
      <c r="B149" s="18" t="s">
        <v>194</v>
      </c>
      <c r="C149" s="18"/>
      <c r="D149" s="49" t="n">
        <v>46082</v>
      </c>
      <c r="E149" s="18" t="s">
        <v>116</v>
      </c>
      <c r="F149" s="18" t="s">
        <v>113</v>
      </c>
      <c r="G149" s="18" t="s">
        <v>110</v>
      </c>
      <c r="H149" s="18" t="s">
        <v>107</v>
      </c>
      <c r="I149" s="18" t="s">
        <v>102</v>
      </c>
      <c r="J149" s="18" t="s">
        <v>230</v>
      </c>
      <c r="K149" s="18" t="s">
        <v>195</v>
      </c>
      <c r="L149" s="64" t="n">
        <v>6792.9888</v>
      </c>
      <c r="M149" s="64" t="n">
        <v>7.8</v>
      </c>
      <c r="N149" s="18" t="s">
        <v>381</v>
      </c>
      <c r="O149" s="65" t="n">
        <v>52985.3126</v>
      </c>
      <c r="P149" s="65"/>
      <c r="Q149" s="65"/>
      <c r="R149" s="65" t="s">
        <v>232</v>
      </c>
      <c r="S149" s="66" t="n">
        <f aca="false">Model_Calc!AF29</f>
        <v>52985.31264</v>
      </c>
      <c r="T149" s="66" t="n">
        <f aca="false">ROUND(S149-O149,4)</f>
        <v>0</v>
      </c>
    </row>
    <row r="150" customFormat="false" ht="15" hidden="false" customHeight="false" outlineLevel="0" collapsed="false">
      <c r="A150" s="18" t="s">
        <v>193</v>
      </c>
      <c r="B150" s="18" t="s">
        <v>194</v>
      </c>
      <c r="C150" s="18"/>
      <c r="D150" s="49" t="n">
        <v>46082</v>
      </c>
      <c r="E150" s="18" t="s">
        <v>116</v>
      </c>
      <c r="F150" s="18" t="s">
        <v>113</v>
      </c>
      <c r="G150" s="18" t="s">
        <v>110</v>
      </c>
      <c r="H150" s="18" t="s">
        <v>107</v>
      </c>
      <c r="I150" s="18" t="s">
        <v>102</v>
      </c>
      <c r="J150" s="18" t="s">
        <v>233</v>
      </c>
      <c r="K150" s="18" t="s">
        <v>195</v>
      </c>
      <c r="L150" s="64" t="n">
        <v>522.5376</v>
      </c>
      <c r="M150" s="64" t="n">
        <v>7.8</v>
      </c>
      <c r="N150" s="18" t="s">
        <v>382</v>
      </c>
      <c r="O150" s="65" t="n">
        <v>4075.7933</v>
      </c>
      <c r="P150" s="65"/>
      <c r="Q150" s="65"/>
      <c r="R150" s="65" t="s">
        <v>232</v>
      </c>
      <c r="S150" s="66" t="n">
        <f aca="false">Model_Calc!AG29</f>
        <v>4075.79328</v>
      </c>
      <c r="T150" s="66" t="n">
        <f aca="false">ROUND(S150-O150,4)</f>
        <v>0</v>
      </c>
    </row>
    <row r="151" customFormat="false" ht="15" hidden="false" customHeight="false" outlineLevel="0" collapsed="false">
      <c r="A151" s="18" t="s">
        <v>193</v>
      </c>
      <c r="B151" s="18" t="s">
        <v>194</v>
      </c>
      <c r="C151" s="18"/>
      <c r="D151" s="49" t="n">
        <v>46082</v>
      </c>
      <c r="E151" s="18" t="s">
        <v>116</v>
      </c>
      <c r="F151" s="18" t="s">
        <v>113</v>
      </c>
      <c r="G151" s="18" t="s">
        <v>110</v>
      </c>
      <c r="H151" s="18" t="s">
        <v>107</v>
      </c>
      <c r="I151" s="18" t="s">
        <v>102</v>
      </c>
      <c r="J151" s="18" t="s">
        <v>235</v>
      </c>
      <c r="K151" s="18" t="s">
        <v>195</v>
      </c>
      <c r="L151" s="64" t="n">
        <v>3276</v>
      </c>
      <c r="M151" s="64" t="n">
        <v>7.8</v>
      </c>
      <c r="N151" s="18" t="s">
        <v>383</v>
      </c>
      <c r="O151" s="65" t="n">
        <v>25552.8</v>
      </c>
      <c r="P151" s="65"/>
      <c r="Q151" s="65"/>
      <c r="R151" s="65" t="s">
        <v>232</v>
      </c>
      <c r="S151" s="66" t="n">
        <f aca="false">Model_Calc!AL29</f>
        <v>25552.8</v>
      </c>
      <c r="T151" s="66" t="n">
        <f aca="false">ROUND(S151-O151,4)</f>
        <v>0</v>
      </c>
    </row>
    <row r="152" customFormat="false" ht="15" hidden="false" customHeight="false" outlineLevel="0" collapsed="false">
      <c r="A152" s="18" t="s">
        <v>193</v>
      </c>
      <c r="B152" s="18" t="s">
        <v>194</v>
      </c>
      <c r="C152" s="18"/>
      <c r="D152" s="49" t="n">
        <v>46082</v>
      </c>
      <c r="E152" s="18" t="s">
        <v>116</v>
      </c>
      <c r="F152" s="18" t="s">
        <v>113</v>
      </c>
      <c r="G152" s="18" t="s">
        <v>110</v>
      </c>
      <c r="H152" s="18" t="s">
        <v>107</v>
      </c>
      <c r="I152" s="18" t="s">
        <v>102</v>
      </c>
      <c r="J152" s="18" t="s">
        <v>237</v>
      </c>
      <c r="K152" s="18" t="s">
        <v>195</v>
      </c>
      <c r="L152" s="64" t="n">
        <v>1256.736</v>
      </c>
      <c r="M152" s="64" t="n">
        <v>7.8</v>
      </c>
      <c r="N152" s="18" t="s">
        <v>384</v>
      </c>
      <c r="O152" s="65" t="n">
        <v>9802.5408</v>
      </c>
      <c r="P152" s="65"/>
      <c r="Q152" s="65"/>
      <c r="R152" s="65" t="s">
        <v>232</v>
      </c>
      <c r="S152" s="66" t="n">
        <f aca="false">Model_Calc!AQ29</f>
        <v>9802.5408</v>
      </c>
      <c r="T152" s="66" t="n">
        <f aca="false">ROUND(S152-O152,4)</f>
        <v>0</v>
      </c>
    </row>
    <row r="153" customFormat="false" ht="15" hidden="false" customHeight="false" outlineLevel="0" collapsed="false">
      <c r="A153" s="18" t="s">
        <v>193</v>
      </c>
      <c r="B153" s="18" t="s">
        <v>194</v>
      </c>
      <c r="C153" s="18"/>
      <c r="D153" s="49" t="n">
        <v>46082</v>
      </c>
      <c r="E153" s="18" t="s">
        <v>116</v>
      </c>
      <c r="F153" s="18" t="s">
        <v>113</v>
      </c>
      <c r="G153" s="18" t="s">
        <v>110</v>
      </c>
      <c r="H153" s="18" t="s">
        <v>107</v>
      </c>
      <c r="I153" s="18" t="s">
        <v>102</v>
      </c>
      <c r="J153" s="18" t="s">
        <v>239</v>
      </c>
      <c r="K153" s="18" t="s">
        <v>195</v>
      </c>
      <c r="L153" s="64" t="n">
        <v>561.6</v>
      </c>
      <c r="M153" s="64" t="n">
        <v>7.8</v>
      </c>
      <c r="N153" s="18" t="s">
        <v>385</v>
      </c>
      <c r="O153" s="65" t="n">
        <v>4380.48</v>
      </c>
      <c r="P153" s="65"/>
      <c r="Q153" s="65"/>
      <c r="R153" s="65" t="s">
        <v>232</v>
      </c>
      <c r="S153" s="66" t="n">
        <f aca="false">Model_Calc!AV29</f>
        <v>4380.48</v>
      </c>
      <c r="T153" s="66" t="n">
        <f aca="false">ROUND(S153-O153,4)</f>
        <v>0</v>
      </c>
    </row>
    <row r="154" customFormat="false" ht="15" hidden="false" customHeight="false" outlineLevel="0" collapsed="false">
      <c r="A154" s="18" t="s">
        <v>193</v>
      </c>
      <c r="B154" s="18" t="s">
        <v>194</v>
      </c>
      <c r="C154" s="18"/>
      <c r="D154" s="49" t="n">
        <v>46082</v>
      </c>
      <c r="E154" s="18" t="s">
        <v>116</v>
      </c>
      <c r="F154" s="18" t="s">
        <v>113</v>
      </c>
      <c r="G154" s="18" t="s">
        <v>110</v>
      </c>
      <c r="H154" s="18" t="s">
        <v>107</v>
      </c>
      <c r="I154" s="18" t="s">
        <v>102</v>
      </c>
      <c r="J154" s="18" t="s">
        <v>241</v>
      </c>
      <c r="K154" s="18" t="s">
        <v>195</v>
      </c>
      <c r="L154" s="64" t="n">
        <v>106.49184</v>
      </c>
      <c r="M154" s="64" t="n">
        <v>7.8</v>
      </c>
      <c r="N154" s="18" t="s">
        <v>386</v>
      </c>
      <c r="O154" s="65" t="n">
        <v>830.6364</v>
      </c>
      <c r="P154" s="65"/>
      <c r="Q154" s="65"/>
      <c r="R154" s="65" t="s">
        <v>232</v>
      </c>
      <c r="S154" s="66" t="n">
        <f aca="false">Model_Calc!BA29</f>
        <v>830.636352</v>
      </c>
      <c r="T154" s="66" t="n">
        <f aca="false">ROUND(S154-O154,4)</f>
        <v>0</v>
      </c>
    </row>
    <row r="155" customFormat="false" ht="15" hidden="false" customHeight="false" outlineLevel="0" collapsed="false">
      <c r="A155" s="18" t="s">
        <v>193</v>
      </c>
      <c r="B155" s="18" t="s">
        <v>194</v>
      </c>
      <c r="C155" s="18"/>
      <c r="D155" s="49" t="n">
        <v>46082</v>
      </c>
      <c r="E155" s="18" t="s">
        <v>118</v>
      </c>
      <c r="F155" s="18" t="s">
        <v>119</v>
      </c>
      <c r="G155" s="18" t="s">
        <v>100</v>
      </c>
      <c r="H155" s="18" t="s">
        <v>101</v>
      </c>
      <c r="I155" s="18" t="s">
        <v>102</v>
      </c>
      <c r="J155" s="18" t="s">
        <v>230</v>
      </c>
      <c r="K155" s="18" t="s">
        <v>199</v>
      </c>
      <c r="L155" s="64" t="n">
        <v>11976.00768</v>
      </c>
      <c r="M155" s="64" t="n">
        <v>9</v>
      </c>
      <c r="N155" s="18" t="s">
        <v>387</v>
      </c>
      <c r="O155" s="65" t="n">
        <v>107784.0691</v>
      </c>
      <c r="P155" s="65"/>
      <c r="Q155" s="65"/>
      <c r="R155" s="65" t="s">
        <v>232</v>
      </c>
      <c r="S155" s="66" t="n">
        <f aca="false">Model_Calc!AF30</f>
        <v>107784.06912</v>
      </c>
      <c r="T155" s="66" t="n">
        <f aca="false">ROUND(S155-O155,4)</f>
        <v>0</v>
      </c>
    </row>
    <row r="156" customFormat="false" ht="15" hidden="false" customHeight="false" outlineLevel="0" collapsed="false">
      <c r="A156" s="18" t="s">
        <v>193</v>
      </c>
      <c r="B156" s="18" t="s">
        <v>194</v>
      </c>
      <c r="C156" s="18"/>
      <c r="D156" s="49" t="n">
        <v>46082</v>
      </c>
      <c r="E156" s="18" t="s">
        <v>118</v>
      </c>
      <c r="F156" s="18" t="s">
        <v>119</v>
      </c>
      <c r="G156" s="18" t="s">
        <v>100</v>
      </c>
      <c r="H156" s="18" t="s">
        <v>101</v>
      </c>
      <c r="I156" s="18" t="s">
        <v>102</v>
      </c>
      <c r="J156" s="18" t="s">
        <v>233</v>
      </c>
      <c r="K156" s="18" t="s">
        <v>199</v>
      </c>
      <c r="L156" s="64" t="n">
        <v>1197.600768</v>
      </c>
      <c r="M156" s="64" t="n">
        <v>9</v>
      </c>
      <c r="N156" s="18" t="s">
        <v>388</v>
      </c>
      <c r="O156" s="65" t="n">
        <v>10778.4069</v>
      </c>
      <c r="P156" s="65"/>
      <c r="Q156" s="65"/>
      <c r="R156" s="65" t="s">
        <v>232</v>
      </c>
      <c r="S156" s="66" t="n">
        <f aca="false">Model_Calc!AG30</f>
        <v>10778.406912</v>
      </c>
      <c r="T156" s="66" t="n">
        <f aca="false">ROUND(S156-O156,4)</f>
        <v>0</v>
      </c>
    </row>
    <row r="157" customFormat="false" ht="15" hidden="false" customHeight="false" outlineLevel="0" collapsed="false">
      <c r="A157" s="18" t="s">
        <v>193</v>
      </c>
      <c r="B157" s="18" t="s">
        <v>194</v>
      </c>
      <c r="C157" s="18"/>
      <c r="D157" s="49" t="n">
        <v>46082</v>
      </c>
      <c r="E157" s="18" t="s">
        <v>118</v>
      </c>
      <c r="F157" s="18" t="s">
        <v>119</v>
      </c>
      <c r="G157" s="18" t="s">
        <v>100</v>
      </c>
      <c r="H157" s="18" t="s">
        <v>101</v>
      </c>
      <c r="I157" s="18" t="s">
        <v>102</v>
      </c>
      <c r="J157" s="18" t="s">
        <v>235</v>
      </c>
      <c r="K157" s="18" t="s">
        <v>195</v>
      </c>
      <c r="L157" s="64" t="n">
        <v>3092.544</v>
      </c>
      <c r="M157" s="64" t="n">
        <v>7.8</v>
      </c>
      <c r="N157" s="18" t="s">
        <v>389</v>
      </c>
      <c r="O157" s="65" t="n">
        <v>24121.8432</v>
      </c>
      <c r="P157" s="65"/>
      <c r="Q157" s="65"/>
      <c r="R157" s="65" t="s">
        <v>232</v>
      </c>
      <c r="S157" s="66" t="n">
        <f aca="false">Model_Calc!AL30</f>
        <v>24121.8432</v>
      </c>
      <c r="T157" s="66" t="n">
        <f aca="false">ROUND(S157-O157,4)</f>
        <v>0</v>
      </c>
    </row>
    <row r="158" customFormat="false" ht="15" hidden="false" customHeight="false" outlineLevel="0" collapsed="false">
      <c r="A158" s="18" t="s">
        <v>193</v>
      </c>
      <c r="B158" s="18" t="s">
        <v>194</v>
      </c>
      <c r="C158" s="18"/>
      <c r="D158" s="49" t="n">
        <v>46082</v>
      </c>
      <c r="E158" s="18" t="s">
        <v>118</v>
      </c>
      <c r="F158" s="18" t="s">
        <v>119</v>
      </c>
      <c r="G158" s="18" t="s">
        <v>100</v>
      </c>
      <c r="H158" s="18" t="s">
        <v>101</v>
      </c>
      <c r="I158" s="18" t="s">
        <v>102</v>
      </c>
      <c r="J158" s="18" t="s">
        <v>237</v>
      </c>
      <c r="K158" s="18" t="s">
        <v>195</v>
      </c>
      <c r="L158" s="64" t="n">
        <v>1232.82432</v>
      </c>
      <c r="M158" s="64" t="n">
        <v>7.8</v>
      </c>
      <c r="N158" s="18" t="s">
        <v>390</v>
      </c>
      <c r="O158" s="65" t="n">
        <v>9616.0297</v>
      </c>
      <c r="P158" s="65"/>
      <c r="Q158" s="65"/>
      <c r="R158" s="65" t="s">
        <v>232</v>
      </c>
      <c r="S158" s="66" t="n">
        <f aca="false">Model_Calc!AQ30</f>
        <v>9616.029696</v>
      </c>
      <c r="T158" s="66" t="n">
        <f aca="false">ROUND(S158-O158,4)</f>
        <v>0</v>
      </c>
    </row>
    <row r="159" customFormat="false" ht="15" hidden="false" customHeight="false" outlineLevel="0" collapsed="false">
      <c r="A159" s="18" t="s">
        <v>193</v>
      </c>
      <c r="B159" s="18" t="s">
        <v>194</v>
      </c>
      <c r="C159" s="18"/>
      <c r="D159" s="49" t="n">
        <v>46082</v>
      </c>
      <c r="E159" s="18" t="s">
        <v>118</v>
      </c>
      <c r="F159" s="18" t="s">
        <v>119</v>
      </c>
      <c r="G159" s="18" t="s">
        <v>100</v>
      </c>
      <c r="H159" s="18" t="s">
        <v>101</v>
      </c>
      <c r="I159" s="18" t="s">
        <v>102</v>
      </c>
      <c r="J159" s="18" t="s">
        <v>239</v>
      </c>
      <c r="K159" s="18" t="s">
        <v>199</v>
      </c>
      <c r="L159" s="64" t="n">
        <v>1006.3872</v>
      </c>
      <c r="M159" s="64" t="n">
        <v>9</v>
      </c>
      <c r="N159" s="18" t="s">
        <v>391</v>
      </c>
      <c r="O159" s="65" t="n">
        <v>9057.4848</v>
      </c>
      <c r="P159" s="65"/>
      <c r="Q159" s="65"/>
      <c r="R159" s="65" t="s">
        <v>232</v>
      </c>
      <c r="S159" s="66" t="n">
        <f aca="false">Model_Calc!AV30</f>
        <v>9057.4848</v>
      </c>
      <c r="T159" s="66" t="n">
        <f aca="false">ROUND(S159-O159,4)</f>
        <v>0</v>
      </c>
    </row>
    <row r="160" customFormat="false" ht="15" hidden="false" customHeight="false" outlineLevel="0" collapsed="false">
      <c r="A160" s="18" t="s">
        <v>193</v>
      </c>
      <c r="B160" s="18" t="s">
        <v>194</v>
      </c>
      <c r="C160" s="18"/>
      <c r="D160" s="49" t="n">
        <v>46082</v>
      </c>
      <c r="E160" s="18" t="s">
        <v>118</v>
      </c>
      <c r="F160" s="18" t="s">
        <v>119</v>
      </c>
      <c r="G160" s="18" t="s">
        <v>100</v>
      </c>
      <c r="H160" s="18" t="s">
        <v>101</v>
      </c>
      <c r="I160" s="18" t="s">
        <v>102</v>
      </c>
      <c r="J160" s="18" t="s">
        <v>241</v>
      </c>
      <c r="K160" s="18" t="s">
        <v>199</v>
      </c>
      <c r="L160" s="64" t="n">
        <v>148.5259776</v>
      </c>
      <c r="M160" s="64" t="n">
        <v>9</v>
      </c>
      <c r="N160" s="18" t="s">
        <v>392</v>
      </c>
      <c r="O160" s="65" t="n">
        <v>1336.7338</v>
      </c>
      <c r="P160" s="65"/>
      <c r="Q160" s="65"/>
      <c r="R160" s="65" t="s">
        <v>232</v>
      </c>
      <c r="S160" s="66" t="n">
        <f aca="false">Model_Calc!BA30</f>
        <v>1336.7337984</v>
      </c>
      <c r="T160" s="66" t="n">
        <f aca="false">ROUND(S160-O160,4)</f>
        <v>0</v>
      </c>
    </row>
    <row r="161" customFormat="false" ht="15" hidden="false" customHeight="false" outlineLevel="0" collapsed="false">
      <c r="A161" s="18" t="s">
        <v>193</v>
      </c>
      <c r="B161" s="18" t="s">
        <v>194</v>
      </c>
      <c r="C161" s="18"/>
      <c r="D161" s="49" t="n">
        <v>46082</v>
      </c>
      <c r="E161" s="18" t="s">
        <v>122</v>
      </c>
      <c r="F161" s="18" t="s">
        <v>119</v>
      </c>
      <c r="G161" s="18" t="s">
        <v>100</v>
      </c>
      <c r="H161" s="18" t="s">
        <v>107</v>
      </c>
      <c r="I161" s="18" t="s">
        <v>102</v>
      </c>
      <c r="J161" s="18" t="s">
        <v>230</v>
      </c>
      <c r="K161" s="18" t="s">
        <v>199</v>
      </c>
      <c r="L161" s="64" t="n">
        <v>5306.112</v>
      </c>
      <c r="M161" s="64" t="n">
        <v>9</v>
      </c>
      <c r="N161" s="18" t="s">
        <v>393</v>
      </c>
      <c r="O161" s="65" t="n">
        <v>47755.008</v>
      </c>
      <c r="P161" s="65"/>
      <c r="Q161" s="65"/>
      <c r="R161" s="65" t="s">
        <v>232</v>
      </c>
      <c r="S161" s="66" t="n">
        <f aca="false">Model_Calc!AF31</f>
        <v>47755.008</v>
      </c>
      <c r="T161" s="66" t="n">
        <f aca="false">ROUND(S161-O161,4)</f>
        <v>0</v>
      </c>
    </row>
    <row r="162" customFormat="false" ht="15" hidden="false" customHeight="false" outlineLevel="0" collapsed="false">
      <c r="A162" s="18" t="s">
        <v>193</v>
      </c>
      <c r="B162" s="18" t="s">
        <v>194</v>
      </c>
      <c r="C162" s="18"/>
      <c r="D162" s="49" t="n">
        <v>46082</v>
      </c>
      <c r="E162" s="18" t="s">
        <v>122</v>
      </c>
      <c r="F162" s="18" t="s">
        <v>119</v>
      </c>
      <c r="G162" s="18" t="s">
        <v>100</v>
      </c>
      <c r="H162" s="18" t="s">
        <v>107</v>
      </c>
      <c r="I162" s="18" t="s">
        <v>102</v>
      </c>
      <c r="J162" s="18" t="s">
        <v>233</v>
      </c>
      <c r="K162" s="18" t="s">
        <v>199</v>
      </c>
      <c r="L162" s="64" t="n">
        <v>372.5568</v>
      </c>
      <c r="M162" s="64" t="n">
        <v>9</v>
      </c>
      <c r="N162" s="18" t="s">
        <v>394</v>
      </c>
      <c r="O162" s="65" t="n">
        <v>3353.0112</v>
      </c>
      <c r="P162" s="65"/>
      <c r="Q162" s="65"/>
      <c r="R162" s="65" t="s">
        <v>232</v>
      </c>
      <c r="S162" s="66" t="n">
        <f aca="false">Model_Calc!AG31</f>
        <v>3353.0112</v>
      </c>
      <c r="T162" s="66" t="n">
        <f aca="false">ROUND(S162-O162,4)</f>
        <v>0</v>
      </c>
    </row>
    <row r="163" customFormat="false" ht="15" hidden="false" customHeight="false" outlineLevel="0" collapsed="false">
      <c r="A163" s="18" t="s">
        <v>193</v>
      </c>
      <c r="B163" s="18" t="s">
        <v>194</v>
      </c>
      <c r="C163" s="18"/>
      <c r="D163" s="49" t="n">
        <v>46082</v>
      </c>
      <c r="E163" s="18" t="s">
        <v>122</v>
      </c>
      <c r="F163" s="18" t="s">
        <v>119</v>
      </c>
      <c r="G163" s="18" t="s">
        <v>100</v>
      </c>
      <c r="H163" s="18" t="s">
        <v>107</v>
      </c>
      <c r="I163" s="18" t="s">
        <v>102</v>
      </c>
      <c r="J163" s="18" t="s">
        <v>235</v>
      </c>
      <c r="K163" s="18" t="s">
        <v>195</v>
      </c>
      <c r="L163" s="64" t="n">
        <v>1189.44</v>
      </c>
      <c r="M163" s="64" t="n">
        <v>7.8</v>
      </c>
      <c r="N163" s="18" t="s">
        <v>395</v>
      </c>
      <c r="O163" s="65" t="n">
        <v>9277.632</v>
      </c>
      <c r="P163" s="65"/>
      <c r="Q163" s="65"/>
      <c r="R163" s="65" t="s">
        <v>232</v>
      </c>
      <c r="S163" s="66" t="n">
        <f aca="false">Model_Calc!AL31</f>
        <v>9277.632</v>
      </c>
      <c r="T163" s="66" t="n">
        <f aca="false">ROUND(S163-O163,4)</f>
        <v>0</v>
      </c>
    </row>
    <row r="164" customFormat="false" ht="15" hidden="false" customHeight="false" outlineLevel="0" collapsed="false">
      <c r="A164" s="18" t="s">
        <v>193</v>
      </c>
      <c r="B164" s="18" t="s">
        <v>194</v>
      </c>
      <c r="C164" s="18"/>
      <c r="D164" s="49" t="n">
        <v>46082</v>
      </c>
      <c r="E164" s="18" t="s">
        <v>122</v>
      </c>
      <c r="F164" s="18" t="s">
        <v>119</v>
      </c>
      <c r="G164" s="18" t="s">
        <v>100</v>
      </c>
      <c r="H164" s="18" t="s">
        <v>107</v>
      </c>
      <c r="I164" s="18" t="s">
        <v>102</v>
      </c>
      <c r="J164" s="18" t="s">
        <v>237</v>
      </c>
      <c r="K164" s="18" t="s">
        <v>195</v>
      </c>
      <c r="L164" s="64" t="n">
        <v>474.1632</v>
      </c>
      <c r="M164" s="64" t="n">
        <v>7.8</v>
      </c>
      <c r="N164" s="18" t="s">
        <v>396</v>
      </c>
      <c r="O164" s="65" t="n">
        <v>3698.473</v>
      </c>
      <c r="P164" s="65"/>
      <c r="Q164" s="65"/>
      <c r="R164" s="65" t="s">
        <v>232</v>
      </c>
      <c r="S164" s="66" t="n">
        <f aca="false">Model_Calc!AQ31</f>
        <v>3698.47296</v>
      </c>
      <c r="T164" s="66" t="n">
        <f aca="false">ROUND(S164-O164,4)</f>
        <v>0</v>
      </c>
    </row>
    <row r="165" customFormat="false" ht="15" hidden="false" customHeight="false" outlineLevel="0" collapsed="false">
      <c r="A165" s="18" t="s">
        <v>193</v>
      </c>
      <c r="B165" s="18" t="s">
        <v>194</v>
      </c>
      <c r="C165" s="18"/>
      <c r="D165" s="49" t="n">
        <v>46082</v>
      </c>
      <c r="E165" s="18" t="s">
        <v>122</v>
      </c>
      <c r="F165" s="18" t="s">
        <v>119</v>
      </c>
      <c r="G165" s="18" t="s">
        <v>100</v>
      </c>
      <c r="H165" s="18" t="s">
        <v>107</v>
      </c>
      <c r="I165" s="18" t="s">
        <v>102</v>
      </c>
      <c r="J165" s="18" t="s">
        <v>239</v>
      </c>
      <c r="K165" s="18" t="s">
        <v>199</v>
      </c>
      <c r="L165" s="64" t="n">
        <v>387.072</v>
      </c>
      <c r="M165" s="64" t="n">
        <v>9</v>
      </c>
      <c r="N165" s="18" t="s">
        <v>397</v>
      </c>
      <c r="O165" s="65" t="n">
        <v>3483.648</v>
      </c>
      <c r="P165" s="65"/>
      <c r="Q165" s="65"/>
      <c r="R165" s="65" t="s">
        <v>232</v>
      </c>
      <c r="S165" s="66" t="n">
        <f aca="false">Model_Calc!AV31</f>
        <v>3483.648</v>
      </c>
      <c r="T165" s="66" t="n">
        <f aca="false">ROUND(S165-O165,4)</f>
        <v>0</v>
      </c>
    </row>
    <row r="166" customFormat="false" ht="15" hidden="false" customHeight="false" outlineLevel="0" collapsed="false">
      <c r="A166" s="18" t="s">
        <v>193</v>
      </c>
      <c r="B166" s="18" t="s">
        <v>194</v>
      </c>
      <c r="C166" s="18"/>
      <c r="D166" s="49" t="n">
        <v>46082</v>
      </c>
      <c r="E166" s="18" t="s">
        <v>122</v>
      </c>
      <c r="F166" s="18" t="s">
        <v>119</v>
      </c>
      <c r="G166" s="18" t="s">
        <v>100</v>
      </c>
      <c r="H166" s="18" t="s">
        <v>107</v>
      </c>
      <c r="I166" s="18" t="s">
        <v>102</v>
      </c>
      <c r="J166" s="18" t="s">
        <v>241</v>
      </c>
      <c r="K166" s="18" t="s">
        <v>199</v>
      </c>
      <c r="L166" s="64" t="n">
        <v>44.142336</v>
      </c>
      <c r="M166" s="64" t="n">
        <v>9</v>
      </c>
      <c r="N166" s="18" t="s">
        <v>398</v>
      </c>
      <c r="O166" s="65" t="n">
        <v>397.281</v>
      </c>
      <c r="P166" s="65"/>
      <c r="Q166" s="65"/>
      <c r="R166" s="65" t="s">
        <v>232</v>
      </c>
      <c r="S166" s="66" t="n">
        <f aca="false">Model_Calc!BA31</f>
        <v>397.281024</v>
      </c>
      <c r="T166" s="66" t="n">
        <f aca="false">ROUND(S166-O166,4)</f>
        <v>0</v>
      </c>
    </row>
    <row r="167" customFormat="false" ht="15" hidden="false" customHeight="false" outlineLevel="0" collapsed="false">
      <c r="A167" s="18" t="s">
        <v>193</v>
      </c>
      <c r="B167" s="18" t="s">
        <v>194</v>
      </c>
      <c r="C167" s="18"/>
      <c r="D167" s="49" t="n">
        <v>46082</v>
      </c>
      <c r="E167" s="18" t="s">
        <v>124</v>
      </c>
      <c r="F167" s="18" t="s">
        <v>119</v>
      </c>
      <c r="G167" s="18" t="s">
        <v>100</v>
      </c>
      <c r="H167" s="18" t="s">
        <v>107</v>
      </c>
      <c r="I167" s="18" t="s">
        <v>125</v>
      </c>
      <c r="J167" s="18" t="s">
        <v>230</v>
      </c>
      <c r="K167" s="18" t="s">
        <v>199</v>
      </c>
      <c r="L167" s="64" t="n">
        <v>1842.2820864</v>
      </c>
      <c r="M167" s="64" t="n">
        <v>9</v>
      </c>
      <c r="N167" s="18" t="s">
        <v>399</v>
      </c>
      <c r="O167" s="65" t="n">
        <v>16580.5388</v>
      </c>
      <c r="P167" s="65"/>
      <c r="Q167" s="65"/>
      <c r="R167" s="65" t="s">
        <v>232</v>
      </c>
      <c r="S167" s="66" t="n">
        <f aca="false">Model_Calc!AF32</f>
        <v>16580.5387776</v>
      </c>
      <c r="T167" s="66" t="n">
        <f aca="false">ROUND(S167-O167,4)</f>
        <v>0</v>
      </c>
    </row>
    <row r="168" customFormat="false" ht="15" hidden="false" customHeight="false" outlineLevel="0" collapsed="false">
      <c r="A168" s="18" t="s">
        <v>193</v>
      </c>
      <c r="B168" s="18" t="s">
        <v>194</v>
      </c>
      <c r="C168" s="18"/>
      <c r="D168" s="49" t="n">
        <v>46082</v>
      </c>
      <c r="E168" s="18" t="s">
        <v>124</v>
      </c>
      <c r="F168" s="18" t="s">
        <v>119</v>
      </c>
      <c r="G168" s="18" t="s">
        <v>100</v>
      </c>
      <c r="H168" s="18" t="s">
        <v>107</v>
      </c>
      <c r="I168" s="18" t="s">
        <v>125</v>
      </c>
      <c r="J168" s="18" t="s">
        <v>233</v>
      </c>
      <c r="K168" s="18" t="s">
        <v>199</v>
      </c>
      <c r="L168" s="64" t="n">
        <v>211.862439936</v>
      </c>
      <c r="M168" s="64" t="n">
        <v>9</v>
      </c>
      <c r="N168" s="18" t="s">
        <v>400</v>
      </c>
      <c r="O168" s="65" t="n">
        <v>1906.762</v>
      </c>
      <c r="P168" s="65"/>
      <c r="Q168" s="65"/>
      <c r="R168" s="65" t="s">
        <v>232</v>
      </c>
      <c r="S168" s="66" t="n">
        <f aca="false">Model_Calc!AG32</f>
        <v>1906.761959424</v>
      </c>
      <c r="T168" s="66" t="n">
        <f aca="false">ROUND(S168-O168,4)</f>
        <v>0</v>
      </c>
    </row>
    <row r="169" customFormat="false" ht="15" hidden="false" customHeight="false" outlineLevel="0" collapsed="false">
      <c r="A169" s="18" t="s">
        <v>193</v>
      </c>
      <c r="B169" s="18" t="s">
        <v>194</v>
      </c>
      <c r="C169" s="18"/>
      <c r="D169" s="49" t="n">
        <v>46082</v>
      </c>
      <c r="E169" s="18" t="s">
        <v>124</v>
      </c>
      <c r="F169" s="18" t="s">
        <v>119</v>
      </c>
      <c r="G169" s="18" t="s">
        <v>100</v>
      </c>
      <c r="H169" s="18" t="s">
        <v>107</v>
      </c>
      <c r="I169" s="18" t="s">
        <v>125</v>
      </c>
      <c r="J169" s="18" t="s">
        <v>235</v>
      </c>
      <c r="K169" s="18" t="s">
        <v>195</v>
      </c>
      <c r="L169" s="64" t="n">
        <v>333.0432</v>
      </c>
      <c r="M169" s="64" t="n">
        <v>7.8</v>
      </c>
      <c r="N169" s="18" t="s">
        <v>401</v>
      </c>
      <c r="O169" s="65" t="n">
        <v>2597.737</v>
      </c>
      <c r="P169" s="65"/>
      <c r="Q169" s="65"/>
      <c r="R169" s="65" t="s">
        <v>232</v>
      </c>
      <c r="S169" s="66" t="n">
        <f aca="false">Model_Calc!AL32</f>
        <v>2597.73696</v>
      </c>
      <c r="T169" s="66" t="n">
        <f aca="false">ROUND(S169-O169,4)</f>
        <v>0</v>
      </c>
    </row>
    <row r="170" customFormat="false" ht="15" hidden="false" customHeight="false" outlineLevel="0" collapsed="false">
      <c r="A170" s="18" t="s">
        <v>193</v>
      </c>
      <c r="B170" s="18" t="s">
        <v>194</v>
      </c>
      <c r="C170" s="18"/>
      <c r="D170" s="49" t="n">
        <v>46082</v>
      </c>
      <c r="E170" s="18" t="s">
        <v>124</v>
      </c>
      <c r="F170" s="18" t="s">
        <v>119</v>
      </c>
      <c r="G170" s="18" t="s">
        <v>100</v>
      </c>
      <c r="H170" s="18" t="s">
        <v>107</v>
      </c>
      <c r="I170" s="18" t="s">
        <v>125</v>
      </c>
      <c r="J170" s="18" t="s">
        <v>237</v>
      </c>
      <c r="K170" s="18" t="s">
        <v>195</v>
      </c>
      <c r="L170" s="64" t="n">
        <v>132.765696</v>
      </c>
      <c r="M170" s="64" t="n">
        <v>7.8</v>
      </c>
      <c r="N170" s="18" t="s">
        <v>402</v>
      </c>
      <c r="O170" s="65" t="n">
        <v>1035.5724</v>
      </c>
      <c r="P170" s="65"/>
      <c r="Q170" s="65"/>
      <c r="R170" s="65" t="s">
        <v>232</v>
      </c>
      <c r="S170" s="66" t="n">
        <f aca="false">Model_Calc!AQ32</f>
        <v>1035.5724288</v>
      </c>
      <c r="T170" s="66" t="n">
        <f aca="false">ROUND(S170-O170,4)</f>
        <v>0</v>
      </c>
    </row>
    <row r="171" customFormat="false" ht="15" hidden="false" customHeight="false" outlineLevel="0" collapsed="false">
      <c r="A171" s="18" t="s">
        <v>193</v>
      </c>
      <c r="B171" s="18" t="s">
        <v>194</v>
      </c>
      <c r="C171" s="18"/>
      <c r="D171" s="49" t="n">
        <v>46082</v>
      </c>
      <c r="E171" s="18" t="s">
        <v>124</v>
      </c>
      <c r="F171" s="18" t="s">
        <v>119</v>
      </c>
      <c r="G171" s="18" t="s">
        <v>100</v>
      </c>
      <c r="H171" s="18" t="s">
        <v>107</v>
      </c>
      <c r="I171" s="18" t="s">
        <v>125</v>
      </c>
      <c r="J171" s="18" t="s">
        <v>239</v>
      </c>
      <c r="K171" s="18" t="s">
        <v>199</v>
      </c>
      <c r="L171" s="64" t="n">
        <v>108.38016</v>
      </c>
      <c r="M171" s="64" t="n">
        <v>9</v>
      </c>
      <c r="N171" s="18" t="s">
        <v>403</v>
      </c>
      <c r="O171" s="65" t="n">
        <v>975.4214</v>
      </c>
      <c r="P171" s="65"/>
      <c r="Q171" s="65"/>
      <c r="R171" s="65" t="s">
        <v>232</v>
      </c>
      <c r="S171" s="66" t="n">
        <f aca="false">Model_Calc!AV32</f>
        <v>975.42144</v>
      </c>
      <c r="T171" s="66" t="n">
        <f aca="false">ROUND(S171-O171,4)</f>
        <v>0</v>
      </c>
    </row>
    <row r="172" customFormat="false" ht="15" hidden="false" customHeight="false" outlineLevel="0" collapsed="false">
      <c r="A172" s="18" t="s">
        <v>193</v>
      </c>
      <c r="B172" s="18" t="s">
        <v>194</v>
      </c>
      <c r="C172" s="18"/>
      <c r="D172" s="49" t="n">
        <v>46082</v>
      </c>
      <c r="E172" s="18" t="s">
        <v>124</v>
      </c>
      <c r="F172" s="18" t="s">
        <v>119</v>
      </c>
      <c r="G172" s="18" t="s">
        <v>100</v>
      </c>
      <c r="H172" s="18" t="s">
        <v>107</v>
      </c>
      <c r="I172" s="18" t="s">
        <v>125</v>
      </c>
      <c r="J172" s="18" t="s">
        <v>241</v>
      </c>
      <c r="K172" s="18" t="s">
        <v>199</v>
      </c>
      <c r="L172" s="64" t="n">
        <v>11.50636032</v>
      </c>
      <c r="M172" s="64" t="n">
        <v>9</v>
      </c>
      <c r="N172" s="18" t="s">
        <v>404</v>
      </c>
      <c r="O172" s="65" t="n">
        <v>103.5572</v>
      </c>
      <c r="P172" s="65"/>
      <c r="Q172" s="65"/>
      <c r="R172" s="65" t="s">
        <v>232</v>
      </c>
      <c r="S172" s="66" t="n">
        <f aca="false">Model_Calc!BA32</f>
        <v>103.55724288</v>
      </c>
      <c r="T172" s="66" t="n">
        <f aca="false">ROUND(S172-O172,4)</f>
        <v>0</v>
      </c>
    </row>
    <row r="173" customFormat="false" ht="15" hidden="false" customHeight="false" outlineLevel="0" collapsed="false">
      <c r="A173" s="18" t="s">
        <v>193</v>
      </c>
      <c r="B173" s="18" t="s">
        <v>194</v>
      </c>
      <c r="C173" s="18"/>
      <c r="D173" s="49" t="n">
        <v>46082</v>
      </c>
      <c r="E173" s="18" t="s">
        <v>127</v>
      </c>
      <c r="F173" s="18" t="s">
        <v>119</v>
      </c>
      <c r="G173" s="18" t="s">
        <v>100</v>
      </c>
      <c r="H173" s="18" t="s">
        <v>128</v>
      </c>
      <c r="I173" s="18" t="s">
        <v>125</v>
      </c>
      <c r="J173" s="18" t="s">
        <v>230</v>
      </c>
      <c r="K173" s="18" t="s">
        <v>199</v>
      </c>
      <c r="L173" s="64" t="n">
        <v>934.77888</v>
      </c>
      <c r="M173" s="64" t="n">
        <v>9</v>
      </c>
      <c r="N173" s="18" t="s">
        <v>405</v>
      </c>
      <c r="O173" s="65" t="n">
        <v>8413.0099</v>
      </c>
      <c r="P173" s="65"/>
      <c r="Q173" s="65"/>
      <c r="R173" s="65" t="s">
        <v>232</v>
      </c>
      <c r="S173" s="66" t="n">
        <f aca="false">Model_Calc!AF33</f>
        <v>8413.00992</v>
      </c>
      <c r="T173" s="66" t="n">
        <f aca="false">ROUND(S173-O173,4)</f>
        <v>0</v>
      </c>
    </row>
    <row r="174" customFormat="false" ht="15" hidden="false" customHeight="false" outlineLevel="0" collapsed="false">
      <c r="A174" s="18" t="s">
        <v>193</v>
      </c>
      <c r="B174" s="18" t="s">
        <v>194</v>
      </c>
      <c r="C174" s="18"/>
      <c r="D174" s="49" t="n">
        <v>46082</v>
      </c>
      <c r="E174" s="18" t="s">
        <v>127</v>
      </c>
      <c r="F174" s="18" t="s">
        <v>119</v>
      </c>
      <c r="G174" s="18" t="s">
        <v>100</v>
      </c>
      <c r="H174" s="18" t="s">
        <v>128</v>
      </c>
      <c r="I174" s="18" t="s">
        <v>125</v>
      </c>
      <c r="J174" s="18" t="s">
        <v>233</v>
      </c>
      <c r="K174" s="18" t="s">
        <v>199</v>
      </c>
      <c r="L174" s="64" t="n">
        <v>72.28956672</v>
      </c>
      <c r="M174" s="64" t="n">
        <v>9</v>
      </c>
      <c r="N174" s="18" t="s">
        <v>406</v>
      </c>
      <c r="O174" s="65" t="n">
        <v>650.6061</v>
      </c>
      <c r="P174" s="65"/>
      <c r="Q174" s="65"/>
      <c r="R174" s="65" t="s">
        <v>232</v>
      </c>
      <c r="S174" s="66" t="n">
        <f aca="false">Model_Calc!AG33</f>
        <v>650.60610048</v>
      </c>
      <c r="T174" s="66" t="n">
        <f aca="false">ROUND(S174-O174,4)</f>
        <v>0</v>
      </c>
    </row>
    <row r="175" customFormat="false" ht="15" hidden="false" customHeight="false" outlineLevel="0" collapsed="false">
      <c r="A175" s="18" t="s">
        <v>193</v>
      </c>
      <c r="B175" s="18" t="s">
        <v>194</v>
      </c>
      <c r="C175" s="18"/>
      <c r="D175" s="49" t="n">
        <v>46082</v>
      </c>
      <c r="E175" s="18" t="s">
        <v>127</v>
      </c>
      <c r="F175" s="18" t="s">
        <v>119</v>
      </c>
      <c r="G175" s="18" t="s">
        <v>100</v>
      </c>
      <c r="H175" s="18" t="s">
        <v>128</v>
      </c>
      <c r="I175" s="18" t="s">
        <v>125</v>
      </c>
      <c r="J175" s="18" t="s">
        <v>235</v>
      </c>
      <c r="K175" s="18" t="s">
        <v>195</v>
      </c>
      <c r="L175" s="64" t="n">
        <v>142.7328</v>
      </c>
      <c r="M175" s="64" t="n">
        <v>7.8</v>
      </c>
      <c r="N175" s="18" t="s">
        <v>407</v>
      </c>
      <c r="O175" s="65" t="n">
        <v>1113.3158</v>
      </c>
      <c r="P175" s="65"/>
      <c r="Q175" s="65"/>
      <c r="R175" s="65" t="s">
        <v>232</v>
      </c>
      <c r="S175" s="66" t="n">
        <f aca="false">Model_Calc!AL33</f>
        <v>1113.31584</v>
      </c>
      <c r="T175" s="66" t="n">
        <f aca="false">ROUND(S175-O175,4)</f>
        <v>0</v>
      </c>
    </row>
    <row r="176" customFormat="false" ht="15" hidden="false" customHeight="false" outlineLevel="0" collapsed="false">
      <c r="A176" s="18" t="s">
        <v>193</v>
      </c>
      <c r="B176" s="18" t="s">
        <v>194</v>
      </c>
      <c r="C176" s="18"/>
      <c r="D176" s="49" t="n">
        <v>46082</v>
      </c>
      <c r="E176" s="18" t="s">
        <v>127</v>
      </c>
      <c r="F176" s="18" t="s">
        <v>119</v>
      </c>
      <c r="G176" s="18" t="s">
        <v>100</v>
      </c>
      <c r="H176" s="18" t="s">
        <v>128</v>
      </c>
      <c r="I176" s="18" t="s">
        <v>125</v>
      </c>
      <c r="J176" s="18" t="s">
        <v>237</v>
      </c>
      <c r="K176" s="18" t="s">
        <v>195</v>
      </c>
      <c r="L176" s="64" t="n">
        <v>56.899584</v>
      </c>
      <c r="M176" s="64" t="n">
        <v>7.8</v>
      </c>
      <c r="N176" s="18" t="s">
        <v>408</v>
      </c>
      <c r="O176" s="65" t="n">
        <v>443.8168</v>
      </c>
      <c r="P176" s="65"/>
      <c r="Q176" s="65"/>
      <c r="R176" s="65" t="s">
        <v>232</v>
      </c>
      <c r="S176" s="66" t="n">
        <f aca="false">Model_Calc!AQ33</f>
        <v>443.8167552</v>
      </c>
      <c r="T176" s="66" t="n">
        <f aca="false">ROUND(S176-O176,4)</f>
        <v>0</v>
      </c>
    </row>
    <row r="177" customFormat="false" ht="15" hidden="false" customHeight="false" outlineLevel="0" collapsed="false">
      <c r="A177" s="18" t="s">
        <v>193</v>
      </c>
      <c r="B177" s="18" t="s">
        <v>194</v>
      </c>
      <c r="C177" s="18"/>
      <c r="D177" s="49" t="n">
        <v>46082</v>
      </c>
      <c r="E177" s="18" t="s">
        <v>127</v>
      </c>
      <c r="F177" s="18" t="s">
        <v>119</v>
      </c>
      <c r="G177" s="18" t="s">
        <v>100</v>
      </c>
      <c r="H177" s="18" t="s">
        <v>128</v>
      </c>
      <c r="I177" s="18" t="s">
        <v>125</v>
      </c>
      <c r="J177" s="18" t="s">
        <v>239</v>
      </c>
      <c r="K177" s="18" t="s">
        <v>199</v>
      </c>
      <c r="L177" s="64" t="n">
        <v>46.44864</v>
      </c>
      <c r="M177" s="64" t="n">
        <v>9</v>
      </c>
      <c r="N177" s="18" t="s">
        <v>409</v>
      </c>
      <c r="O177" s="65" t="n">
        <v>418.0378</v>
      </c>
      <c r="P177" s="65"/>
      <c r="Q177" s="65"/>
      <c r="R177" s="65" t="s">
        <v>232</v>
      </c>
      <c r="S177" s="66" t="n">
        <f aca="false">Model_Calc!AV33</f>
        <v>418.03776</v>
      </c>
      <c r="T177" s="66" t="n">
        <f aca="false">ROUND(S177-O177,4)</f>
        <v>0</v>
      </c>
    </row>
    <row r="178" customFormat="false" ht="15" hidden="false" customHeight="false" outlineLevel="0" collapsed="false">
      <c r="A178" s="18" t="s">
        <v>193</v>
      </c>
      <c r="B178" s="18" t="s">
        <v>194</v>
      </c>
      <c r="C178" s="18"/>
      <c r="D178" s="49" t="n">
        <v>46082</v>
      </c>
      <c r="E178" s="18" t="s">
        <v>127</v>
      </c>
      <c r="F178" s="18" t="s">
        <v>119</v>
      </c>
      <c r="G178" s="18" t="s">
        <v>100</v>
      </c>
      <c r="H178" s="18" t="s">
        <v>128</v>
      </c>
      <c r="I178" s="18" t="s">
        <v>125</v>
      </c>
      <c r="J178" s="18" t="s">
        <v>241</v>
      </c>
      <c r="K178" s="18" t="s">
        <v>199</v>
      </c>
      <c r="L178" s="64" t="n">
        <v>4.38939648</v>
      </c>
      <c r="M178" s="64" t="n">
        <v>9</v>
      </c>
      <c r="N178" s="18" t="s">
        <v>410</v>
      </c>
      <c r="O178" s="65" t="n">
        <v>39.5046</v>
      </c>
      <c r="P178" s="65"/>
      <c r="Q178" s="65"/>
      <c r="R178" s="65" t="s">
        <v>232</v>
      </c>
      <c r="S178" s="66" t="n">
        <f aca="false">Model_Calc!BA33</f>
        <v>39.50456832</v>
      </c>
      <c r="T178" s="66" t="n">
        <f aca="false">ROUND(S178-O178,4)</f>
        <v>0</v>
      </c>
    </row>
    <row r="179" customFormat="false" ht="15" hidden="false" customHeight="false" outlineLevel="0" collapsed="false">
      <c r="A179" s="18" t="s">
        <v>193</v>
      </c>
      <c r="B179" s="18" t="s">
        <v>194</v>
      </c>
      <c r="C179" s="18"/>
      <c r="D179" s="49" t="n">
        <v>46082</v>
      </c>
      <c r="E179" s="18" t="s">
        <v>130</v>
      </c>
      <c r="F179" s="18" t="s">
        <v>119</v>
      </c>
      <c r="G179" s="18" t="s">
        <v>110</v>
      </c>
      <c r="H179" s="18" t="s">
        <v>107</v>
      </c>
      <c r="I179" s="18" t="s">
        <v>125</v>
      </c>
      <c r="J179" s="18" t="s">
        <v>230</v>
      </c>
      <c r="K179" s="18" t="s">
        <v>195</v>
      </c>
      <c r="L179" s="64" t="n">
        <v>1164.996</v>
      </c>
      <c r="M179" s="64" t="n">
        <v>7.8</v>
      </c>
      <c r="N179" s="18" t="s">
        <v>411</v>
      </c>
      <c r="O179" s="65" t="n">
        <v>9086.9688</v>
      </c>
      <c r="P179" s="65"/>
      <c r="Q179" s="65"/>
      <c r="R179" s="65" t="s">
        <v>232</v>
      </c>
      <c r="S179" s="66" t="n">
        <f aca="false">Model_Calc!AF34</f>
        <v>9086.9688</v>
      </c>
      <c r="T179" s="66" t="n">
        <f aca="false">ROUND(S179-O179,4)</f>
        <v>0</v>
      </c>
    </row>
    <row r="180" customFormat="false" ht="15" hidden="false" customHeight="false" outlineLevel="0" collapsed="false">
      <c r="A180" s="18" t="s">
        <v>193</v>
      </c>
      <c r="B180" s="18" t="s">
        <v>194</v>
      </c>
      <c r="C180" s="18"/>
      <c r="D180" s="49" t="n">
        <v>46082</v>
      </c>
      <c r="E180" s="18" t="s">
        <v>130</v>
      </c>
      <c r="F180" s="18" t="s">
        <v>119</v>
      </c>
      <c r="G180" s="18" t="s">
        <v>110</v>
      </c>
      <c r="H180" s="18" t="s">
        <v>107</v>
      </c>
      <c r="I180" s="18" t="s">
        <v>125</v>
      </c>
      <c r="J180" s="18" t="s">
        <v>233</v>
      </c>
      <c r="K180" s="18" t="s">
        <v>195</v>
      </c>
      <c r="L180" s="64" t="n">
        <v>122.32458</v>
      </c>
      <c r="M180" s="64" t="n">
        <v>7.8</v>
      </c>
      <c r="N180" s="18" t="s">
        <v>412</v>
      </c>
      <c r="O180" s="65" t="n">
        <v>954.1317</v>
      </c>
      <c r="P180" s="65"/>
      <c r="Q180" s="65"/>
      <c r="R180" s="65" t="s">
        <v>232</v>
      </c>
      <c r="S180" s="66" t="n">
        <f aca="false">Model_Calc!AG34</f>
        <v>954.131724</v>
      </c>
      <c r="T180" s="66" t="n">
        <f aca="false">ROUND(S180-O180,4)</f>
        <v>0</v>
      </c>
    </row>
    <row r="181" customFormat="false" ht="15" hidden="false" customHeight="false" outlineLevel="0" collapsed="false">
      <c r="A181" s="18" t="s">
        <v>193</v>
      </c>
      <c r="B181" s="18" t="s">
        <v>194</v>
      </c>
      <c r="C181" s="18"/>
      <c r="D181" s="49" t="n">
        <v>46082</v>
      </c>
      <c r="E181" s="18" t="s">
        <v>130</v>
      </c>
      <c r="F181" s="18" t="s">
        <v>119</v>
      </c>
      <c r="G181" s="18" t="s">
        <v>110</v>
      </c>
      <c r="H181" s="18" t="s">
        <v>107</v>
      </c>
      <c r="I181" s="18" t="s">
        <v>125</v>
      </c>
      <c r="J181" s="18" t="s">
        <v>235</v>
      </c>
      <c r="K181" s="18" t="s">
        <v>195</v>
      </c>
      <c r="L181" s="64" t="n">
        <v>176.4</v>
      </c>
      <c r="M181" s="64" t="n">
        <v>7.8</v>
      </c>
      <c r="N181" s="18" t="s">
        <v>413</v>
      </c>
      <c r="O181" s="65" t="n">
        <v>1375.92</v>
      </c>
      <c r="P181" s="65"/>
      <c r="Q181" s="65"/>
      <c r="R181" s="65" t="s">
        <v>232</v>
      </c>
      <c r="S181" s="66" t="n">
        <f aca="false">Model_Calc!AL34</f>
        <v>1375.92</v>
      </c>
      <c r="T181" s="66" t="n">
        <f aca="false">ROUND(S181-O181,4)</f>
        <v>0</v>
      </c>
    </row>
    <row r="182" customFormat="false" ht="15" hidden="false" customHeight="false" outlineLevel="0" collapsed="false">
      <c r="A182" s="18" t="s">
        <v>193</v>
      </c>
      <c r="B182" s="18" t="s">
        <v>194</v>
      </c>
      <c r="C182" s="18"/>
      <c r="D182" s="49" t="n">
        <v>46082</v>
      </c>
      <c r="E182" s="18" t="s">
        <v>130</v>
      </c>
      <c r="F182" s="18" t="s">
        <v>119</v>
      </c>
      <c r="G182" s="18" t="s">
        <v>110</v>
      </c>
      <c r="H182" s="18" t="s">
        <v>107</v>
      </c>
      <c r="I182" s="18" t="s">
        <v>125</v>
      </c>
      <c r="J182" s="18" t="s">
        <v>237</v>
      </c>
      <c r="K182" s="18" t="s">
        <v>195</v>
      </c>
      <c r="L182" s="64" t="n">
        <v>73.416</v>
      </c>
      <c r="M182" s="64" t="n">
        <v>7.8</v>
      </c>
      <c r="N182" s="18" t="s">
        <v>414</v>
      </c>
      <c r="O182" s="65" t="n">
        <v>572.6448</v>
      </c>
      <c r="P182" s="65"/>
      <c r="Q182" s="65"/>
      <c r="R182" s="65" t="s">
        <v>232</v>
      </c>
      <c r="S182" s="66" t="n">
        <f aca="false">Model_Calc!AQ34</f>
        <v>572.6448</v>
      </c>
      <c r="T182" s="66" t="n">
        <f aca="false">ROUND(S182-O182,4)</f>
        <v>0</v>
      </c>
    </row>
    <row r="183" customFormat="false" ht="15" hidden="false" customHeight="false" outlineLevel="0" collapsed="false">
      <c r="A183" s="18" t="s">
        <v>193</v>
      </c>
      <c r="B183" s="18" t="s">
        <v>194</v>
      </c>
      <c r="C183" s="18"/>
      <c r="D183" s="49" t="n">
        <v>46082</v>
      </c>
      <c r="E183" s="18" t="s">
        <v>130</v>
      </c>
      <c r="F183" s="18" t="s">
        <v>119</v>
      </c>
      <c r="G183" s="18" t="s">
        <v>110</v>
      </c>
      <c r="H183" s="18" t="s">
        <v>107</v>
      </c>
      <c r="I183" s="18" t="s">
        <v>125</v>
      </c>
      <c r="J183" s="18" t="s">
        <v>239</v>
      </c>
      <c r="K183" s="18" t="s">
        <v>195</v>
      </c>
      <c r="L183" s="64" t="n">
        <v>69.888</v>
      </c>
      <c r="M183" s="64" t="n">
        <v>7.8</v>
      </c>
      <c r="N183" s="18" t="s">
        <v>415</v>
      </c>
      <c r="O183" s="65" t="n">
        <v>545.1264</v>
      </c>
      <c r="P183" s="65"/>
      <c r="Q183" s="65"/>
      <c r="R183" s="65" t="s">
        <v>232</v>
      </c>
      <c r="S183" s="66" t="n">
        <f aca="false">Model_Calc!AV34</f>
        <v>545.1264</v>
      </c>
      <c r="T183" s="66" t="n">
        <f aca="false">ROUND(S183-O183,4)</f>
        <v>0</v>
      </c>
    </row>
    <row r="184" customFormat="false" ht="15" hidden="false" customHeight="false" outlineLevel="0" collapsed="false">
      <c r="A184" s="18" t="s">
        <v>193</v>
      </c>
      <c r="B184" s="18" t="s">
        <v>194</v>
      </c>
      <c r="C184" s="18"/>
      <c r="D184" s="49" t="n">
        <v>46082</v>
      </c>
      <c r="E184" s="18" t="s">
        <v>130</v>
      </c>
      <c r="F184" s="18" t="s">
        <v>119</v>
      </c>
      <c r="G184" s="18" t="s">
        <v>110</v>
      </c>
      <c r="H184" s="18" t="s">
        <v>107</v>
      </c>
      <c r="I184" s="18" t="s">
        <v>125</v>
      </c>
      <c r="J184" s="18" t="s">
        <v>241</v>
      </c>
      <c r="K184" s="18" t="s">
        <v>195</v>
      </c>
      <c r="L184" s="64" t="n">
        <v>6.49152</v>
      </c>
      <c r="M184" s="64" t="n">
        <v>7.8</v>
      </c>
      <c r="N184" s="18" t="s">
        <v>416</v>
      </c>
      <c r="O184" s="65" t="n">
        <v>50.6339</v>
      </c>
      <c r="P184" s="65"/>
      <c r="Q184" s="65"/>
      <c r="R184" s="65" t="s">
        <v>232</v>
      </c>
      <c r="S184" s="66" t="n">
        <f aca="false">Model_Calc!BA34</f>
        <v>50.633856</v>
      </c>
      <c r="T184" s="66" t="n">
        <f aca="false">ROUND(S184-O184,4)</f>
        <v>0</v>
      </c>
    </row>
    <row r="185" customFormat="false" ht="15" hidden="false" customHeight="false" outlineLevel="0" collapsed="false">
      <c r="A185" s="18" t="s">
        <v>193</v>
      </c>
      <c r="B185" s="18" t="s">
        <v>194</v>
      </c>
      <c r="C185" s="18"/>
      <c r="D185" s="49" t="n">
        <v>46113</v>
      </c>
      <c r="E185" s="18" t="s">
        <v>98</v>
      </c>
      <c r="F185" s="18" t="s">
        <v>99</v>
      </c>
      <c r="G185" s="18" t="s">
        <v>100</v>
      </c>
      <c r="H185" s="18" t="s">
        <v>101</v>
      </c>
      <c r="I185" s="18" t="s">
        <v>102</v>
      </c>
      <c r="J185" s="18" t="s">
        <v>230</v>
      </c>
      <c r="K185" s="18" t="s">
        <v>195</v>
      </c>
      <c r="L185" s="64" t="n">
        <v>6501.61512</v>
      </c>
      <c r="M185" s="64" t="n">
        <v>7.8</v>
      </c>
      <c r="N185" s="18" t="s">
        <v>417</v>
      </c>
      <c r="O185" s="65" t="n">
        <v>50712.5979</v>
      </c>
      <c r="P185" s="65"/>
      <c r="Q185" s="65"/>
      <c r="R185" s="65" t="s">
        <v>232</v>
      </c>
      <c r="S185" s="66" t="n">
        <f aca="false">Model_Calc!AF35</f>
        <v>50712.597936</v>
      </c>
      <c r="T185" s="66" t="n">
        <f aca="false">ROUND(S185-O185,4)</f>
        <v>0</v>
      </c>
    </row>
    <row r="186" customFormat="false" ht="15" hidden="false" customHeight="false" outlineLevel="0" collapsed="false">
      <c r="A186" s="18" t="s">
        <v>193</v>
      </c>
      <c r="B186" s="18" t="s">
        <v>194</v>
      </c>
      <c r="C186" s="18"/>
      <c r="D186" s="49" t="n">
        <v>46113</v>
      </c>
      <c r="E186" s="18" t="s">
        <v>98</v>
      </c>
      <c r="F186" s="18" t="s">
        <v>99</v>
      </c>
      <c r="G186" s="18" t="s">
        <v>100</v>
      </c>
      <c r="H186" s="18" t="s">
        <v>101</v>
      </c>
      <c r="I186" s="18" t="s">
        <v>102</v>
      </c>
      <c r="J186" s="18" t="s">
        <v>233</v>
      </c>
      <c r="K186" s="18" t="s">
        <v>195</v>
      </c>
      <c r="L186" s="64" t="n">
        <v>617.6534364</v>
      </c>
      <c r="M186" s="64" t="n">
        <v>7.8</v>
      </c>
      <c r="N186" s="18" t="s">
        <v>418</v>
      </c>
      <c r="O186" s="65" t="n">
        <v>4817.6968</v>
      </c>
      <c r="P186" s="65"/>
      <c r="Q186" s="65"/>
      <c r="R186" s="65" t="s">
        <v>232</v>
      </c>
      <c r="S186" s="66" t="n">
        <f aca="false">Model_Calc!AG35</f>
        <v>4817.69680392</v>
      </c>
      <c r="T186" s="66" t="n">
        <f aca="false">ROUND(S186-O186,4)</f>
        <v>0</v>
      </c>
    </row>
    <row r="187" customFormat="false" ht="15" hidden="false" customHeight="false" outlineLevel="0" collapsed="false">
      <c r="A187" s="18" t="s">
        <v>193</v>
      </c>
      <c r="B187" s="18" t="s">
        <v>194</v>
      </c>
      <c r="C187" s="18"/>
      <c r="D187" s="49" t="n">
        <v>46113</v>
      </c>
      <c r="E187" s="18" t="s">
        <v>98</v>
      </c>
      <c r="F187" s="18" t="s">
        <v>99</v>
      </c>
      <c r="G187" s="18" t="s">
        <v>100</v>
      </c>
      <c r="H187" s="18" t="s">
        <v>101</v>
      </c>
      <c r="I187" s="18" t="s">
        <v>102</v>
      </c>
      <c r="J187" s="18" t="s">
        <v>235</v>
      </c>
      <c r="K187" s="18" t="s">
        <v>195</v>
      </c>
      <c r="L187" s="64" t="n">
        <v>4257.912</v>
      </c>
      <c r="M187" s="64" t="n">
        <v>7.8</v>
      </c>
      <c r="N187" s="18" t="s">
        <v>419</v>
      </c>
      <c r="O187" s="65" t="n">
        <v>33211.7136</v>
      </c>
      <c r="P187" s="65"/>
      <c r="Q187" s="65"/>
      <c r="R187" s="65" t="s">
        <v>232</v>
      </c>
      <c r="S187" s="66" t="n">
        <f aca="false">Model_Calc!AL35</f>
        <v>33211.7136</v>
      </c>
      <c r="T187" s="66" t="n">
        <f aca="false">ROUND(S187-O187,4)</f>
        <v>0</v>
      </c>
    </row>
    <row r="188" customFormat="false" ht="15" hidden="false" customHeight="false" outlineLevel="0" collapsed="false">
      <c r="A188" s="18" t="s">
        <v>193</v>
      </c>
      <c r="B188" s="18" t="s">
        <v>194</v>
      </c>
      <c r="C188" s="18"/>
      <c r="D188" s="49" t="n">
        <v>46113</v>
      </c>
      <c r="E188" s="18" t="s">
        <v>98</v>
      </c>
      <c r="F188" s="18" t="s">
        <v>99</v>
      </c>
      <c r="G188" s="18" t="s">
        <v>100</v>
      </c>
      <c r="H188" s="18" t="s">
        <v>101</v>
      </c>
      <c r="I188" s="18" t="s">
        <v>102</v>
      </c>
      <c r="J188" s="18" t="s">
        <v>237</v>
      </c>
      <c r="K188" s="18" t="s">
        <v>195</v>
      </c>
      <c r="L188" s="64" t="n">
        <v>1591.3044</v>
      </c>
      <c r="M188" s="64" t="n">
        <v>7.8</v>
      </c>
      <c r="N188" s="18" t="s">
        <v>420</v>
      </c>
      <c r="O188" s="65" t="n">
        <v>12412.1743</v>
      </c>
      <c r="P188" s="65"/>
      <c r="Q188" s="65"/>
      <c r="R188" s="65" t="s">
        <v>232</v>
      </c>
      <c r="S188" s="66" t="n">
        <f aca="false">Model_Calc!AQ35</f>
        <v>12412.17432</v>
      </c>
      <c r="T188" s="66" t="n">
        <f aca="false">ROUND(S188-O188,4)</f>
        <v>0</v>
      </c>
    </row>
    <row r="189" customFormat="false" ht="15" hidden="false" customHeight="false" outlineLevel="0" collapsed="false">
      <c r="A189" s="18" t="s">
        <v>193</v>
      </c>
      <c r="B189" s="18" t="s">
        <v>194</v>
      </c>
      <c r="C189" s="18"/>
      <c r="D189" s="49" t="n">
        <v>46113</v>
      </c>
      <c r="E189" s="18" t="s">
        <v>98</v>
      </c>
      <c r="F189" s="18" t="s">
        <v>99</v>
      </c>
      <c r="G189" s="18" t="s">
        <v>100</v>
      </c>
      <c r="H189" s="18" t="s">
        <v>101</v>
      </c>
      <c r="I189" s="18" t="s">
        <v>102</v>
      </c>
      <c r="J189" s="18" t="s">
        <v>239</v>
      </c>
      <c r="K189" s="18" t="s">
        <v>195</v>
      </c>
      <c r="L189" s="64" t="n">
        <v>577.344</v>
      </c>
      <c r="M189" s="64" t="n">
        <v>7.8</v>
      </c>
      <c r="N189" s="18" t="s">
        <v>421</v>
      </c>
      <c r="O189" s="65" t="n">
        <v>4503.2832</v>
      </c>
      <c r="P189" s="65"/>
      <c r="Q189" s="65"/>
      <c r="R189" s="65" t="s">
        <v>232</v>
      </c>
      <c r="S189" s="66" t="n">
        <f aca="false">Model_Calc!AV35</f>
        <v>4503.2832</v>
      </c>
      <c r="T189" s="66" t="n">
        <f aca="false">ROUND(S189-O189,4)</f>
        <v>0</v>
      </c>
    </row>
    <row r="190" customFormat="false" ht="15" hidden="false" customHeight="false" outlineLevel="0" collapsed="false">
      <c r="A190" s="18" t="s">
        <v>193</v>
      </c>
      <c r="B190" s="18" t="s">
        <v>194</v>
      </c>
      <c r="C190" s="18"/>
      <c r="D190" s="49" t="n">
        <v>46113</v>
      </c>
      <c r="E190" s="18" t="s">
        <v>98</v>
      </c>
      <c r="F190" s="18" t="s">
        <v>99</v>
      </c>
      <c r="G190" s="18" t="s">
        <v>100</v>
      </c>
      <c r="H190" s="18" t="s">
        <v>101</v>
      </c>
      <c r="I190" s="18" t="s">
        <v>102</v>
      </c>
      <c r="J190" s="18" t="s">
        <v>241</v>
      </c>
      <c r="K190" s="18" t="s">
        <v>195</v>
      </c>
      <c r="L190" s="64" t="n">
        <v>139.428576</v>
      </c>
      <c r="M190" s="64" t="n">
        <v>7.8</v>
      </c>
      <c r="N190" s="18" t="s">
        <v>422</v>
      </c>
      <c r="O190" s="65" t="n">
        <v>1087.5429</v>
      </c>
      <c r="P190" s="65"/>
      <c r="Q190" s="65"/>
      <c r="R190" s="65" t="s">
        <v>232</v>
      </c>
      <c r="S190" s="66" t="n">
        <f aca="false">Model_Calc!BA35</f>
        <v>1087.5428928</v>
      </c>
      <c r="T190" s="66" t="n">
        <f aca="false">ROUND(S190-O190,4)</f>
        <v>0</v>
      </c>
    </row>
    <row r="191" customFormat="false" ht="15" hidden="false" customHeight="false" outlineLevel="0" collapsed="false">
      <c r="A191" s="18" t="s">
        <v>193</v>
      </c>
      <c r="B191" s="18" t="s">
        <v>194</v>
      </c>
      <c r="C191" s="18"/>
      <c r="D191" s="49" t="n">
        <v>46113</v>
      </c>
      <c r="E191" s="18" t="s">
        <v>106</v>
      </c>
      <c r="F191" s="18" t="s">
        <v>99</v>
      </c>
      <c r="G191" s="18" t="s">
        <v>100</v>
      </c>
      <c r="H191" s="18" t="s">
        <v>107</v>
      </c>
      <c r="I191" s="18" t="s">
        <v>102</v>
      </c>
      <c r="J191" s="18" t="s">
        <v>230</v>
      </c>
      <c r="K191" s="18" t="s">
        <v>195</v>
      </c>
      <c r="L191" s="64" t="n">
        <v>5556.936</v>
      </c>
      <c r="M191" s="64" t="n">
        <v>7.8</v>
      </c>
      <c r="N191" s="18" t="s">
        <v>423</v>
      </c>
      <c r="O191" s="65" t="n">
        <v>43344.1008</v>
      </c>
      <c r="P191" s="65"/>
      <c r="Q191" s="65"/>
      <c r="R191" s="65" t="s">
        <v>232</v>
      </c>
      <c r="S191" s="66" t="n">
        <f aca="false">Model_Calc!AF36</f>
        <v>43344.1008</v>
      </c>
      <c r="T191" s="66" t="n">
        <f aca="false">ROUND(S191-O191,4)</f>
        <v>0</v>
      </c>
    </row>
    <row r="192" customFormat="false" ht="15" hidden="false" customHeight="false" outlineLevel="0" collapsed="false">
      <c r="A192" s="18" t="s">
        <v>193</v>
      </c>
      <c r="B192" s="18" t="s">
        <v>194</v>
      </c>
      <c r="C192" s="18"/>
      <c r="D192" s="49" t="n">
        <v>46113</v>
      </c>
      <c r="E192" s="18" t="s">
        <v>106</v>
      </c>
      <c r="F192" s="18" t="s">
        <v>99</v>
      </c>
      <c r="G192" s="18" t="s">
        <v>100</v>
      </c>
      <c r="H192" s="18" t="s">
        <v>107</v>
      </c>
      <c r="I192" s="18" t="s">
        <v>102</v>
      </c>
      <c r="J192" s="18" t="s">
        <v>233</v>
      </c>
      <c r="K192" s="18" t="s">
        <v>195</v>
      </c>
      <c r="L192" s="64" t="n">
        <v>424.34784</v>
      </c>
      <c r="M192" s="64" t="n">
        <v>7.8</v>
      </c>
      <c r="N192" s="18" t="s">
        <v>424</v>
      </c>
      <c r="O192" s="65" t="n">
        <v>3309.9132</v>
      </c>
      <c r="P192" s="65"/>
      <c r="Q192" s="65"/>
      <c r="R192" s="65" t="s">
        <v>232</v>
      </c>
      <c r="S192" s="66" t="n">
        <f aca="false">Model_Calc!AG36</f>
        <v>3309.913152</v>
      </c>
      <c r="T192" s="66" t="n">
        <f aca="false">ROUND(S192-O192,4)</f>
        <v>0</v>
      </c>
    </row>
    <row r="193" customFormat="false" ht="15" hidden="false" customHeight="false" outlineLevel="0" collapsed="false">
      <c r="A193" s="18" t="s">
        <v>193</v>
      </c>
      <c r="B193" s="18" t="s">
        <v>194</v>
      </c>
      <c r="C193" s="18"/>
      <c r="D193" s="49" t="n">
        <v>46113</v>
      </c>
      <c r="E193" s="18" t="s">
        <v>106</v>
      </c>
      <c r="F193" s="18" t="s">
        <v>99</v>
      </c>
      <c r="G193" s="18" t="s">
        <v>100</v>
      </c>
      <c r="H193" s="18" t="s">
        <v>107</v>
      </c>
      <c r="I193" s="18" t="s">
        <v>102</v>
      </c>
      <c r="J193" s="18" t="s">
        <v>235</v>
      </c>
      <c r="K193" s="18" t="s">
        <v>195</v>
      </c>
      <c r="L193" s="64" t="n">
        <v>2838.608</v>
      </c>
      <c r="M193" s="64" t="n">
        <v>7.8</v>
      </c>
      <c r="N193" s="18" t="s">
        <v>425</v>
      </c>
      <c r="O193" s="65" t="n">
        <v>22141.1424</v>
      </c>
      <c r="P193" s="65"/>
      <c r="Q193" s="65"/>
      <c r="R193" s="65" t="s">
        <v>232</v>
      </c>
      <c r="S193" s="66" t="n">
        <f aca="false">Model_Calc!AL36</f>
        <v>22141.1424</v>
      </c>
      <c r="T193" s="66" t="n">
        <f aca="false">ROUND(S193-O193,4)</f>
        <v>0</v>
      </c>
    </row>
    <row r="194" customFormat="false" ht="15" hidden="false" customHeight="false" outlineLevel="0" collapsed="false">
      <c r="A194" s="18" t="s">
        <v>193</v>
      </c>
      <c r="B194" s="18" t="s">
        <v>194</v>
      </c>
      <c r="C194" s="18"/>
      <c r="D194" s="49" t="n">
        <v>46113</v>
      </c>
      <c r="E194" s="18" t="s">
        <v>106</v>
      </c>
      <c r="F194" s="18" t="s">
        <v>99</v>
      </c>
      <c r="G194" s="18" t="s">
        <v>100</v>
      </c>
      <c r="H194" s="18" t="s">
        <v>107</v>
      </c>
      <c r="I194" s="18" t="s">
        <v>102</v>
      </c>
      <c r="J194" s="18" t="s">
        <v>237</v>
      </c>
      <c r="K194" s="18" t="s">
        <v>195</v>
      </c>
      <c r="L194" s="64" t="n">
        <v>1060.8696</v>
      </c>
      <c r="M194" s="64" t="n">
        <v>7.8</v>
      </c>
      <c r="N194" s="18" t="s">
        <v>426</v>
      </c>
      <c r="O194" s="65" t="n">
        <v>8274.7829</v>
      </c>
      <c r="P194" s="65"/>
      <c r="Q194" s="65"/>
      <c r="R194" s="65" t="s">
        <v>232</v>
      </c>
      <c r="S194" s="66" t="n">
        <f aca="false">Model_Calc!AQ36</f>
        <v>8274.78288</v>
      </c>
      <c r="T194" s="66" t="n">
        <f aca="false">ROUND(S194-O194,4)</f>
        <v>0</v>
      </c>
    </row>
    <row r="195" customFormat="false" ht="15" hidden="false" customHeight="false" outlineLevel="0" collapsed="false">
      <c r="A195" s="18" t="s">
        <v>193</v>
      </c>
      <c r="B195" s="18" t="s">
        <v>194</v>
      </c>
      <c r="C195" s="18"/>
      <c r="D195" s="49" t="n">
        <v>46113</v>
      </c>
      <c r="E195" s="18" t="s">
        <v>106</v>
      </c>
      <c r="F195" s="18" t="s">
        <v>99</v>
      </c>
      <c r="G195" s="18" t="s">
        <v>100</v>
      </c>
      <c r="H195" s="18" t="s">
        <v>107</v>
      </c>
      <c r="I195" s="18" t="s">
        <v>102</v>
      </c>
      <c r="J195" s="18" t="s">
        <v>239</v>
      </c>
      <c r="K195" s="18" t="s">
        <v>195</v>
      </c>
      <c r="L195" s="64" t="n">
        <v>384.896</v>
      </c>
      <c r="M195" s="64" t="n">
        <v>7.8</v>
      </c>
      <c r="N195" s="18" t="s">
        <v>427</v>
      </c>
      <c r="O195" s="65" t="n">
        <v>3002.1888</v>
      </c>
      <c r="P195" s="65"/>
      <c r="Q195" s="65"/>
      <c r="R195" s="65" t="s">
        <v>232</v>
      </c>
      <c r="S195" s="66" t="n">
        <f aca="false">Model_Calc!AV36</f>
        <v>3002.1888</v>
      </c>
      <c r="T195" s="66" t="n">
        <f aca="false">ROUND(S195-O195,4)</f>
        <v>0</v>
      </c>
    </row>
    <row r="196" customFormat="false" ht="15" hidden="false" customHeight="false" outlineLevel="0" collapsed="false">
      <c r="A196" s="18" t="s">
        <v>193</v>
      </c>
      <c r="B196" s="18" t="s">
        <v>194</v>
      </c>
      <c r="C196" s="18"/>
      <c r="D196" s="49" t="n">
        <v>46113</v>
      </c>
      <c r="E196" s="18" t="s">
        <v>106</v>
      </c>
      <c r="F196" s="18" t="s">
        <v>99</v>
      </c>
      <c r="G196" s="18" t="s">
        <v>100</v>
      </c>
      <c r="H196" s="18" t="s">
        <v>107</v>
      </c>
      <c r="I196" s="18" t="s">
        <v>102</v>
      </c>
      <c r="J196" s="18" t="s">
        <v>241</v>
      </c>
      <c r="K196" s="18" t="s">
        <v>195</v>
      </c>
      <c r="L196" s="64" t="n">
        <v>75.523812</v>
      </c>
      <c r="M196" s="64" t="n">
        <v>7.8</v>
      </c>
      <c r="N196" s="18" t="s">
        <v>428</v>
      </c>
      <c r="O196" s="65" t="n">
        <v>589.0857</v>
      </c>
      <c r="P196" s="65"/>
      <c r="Q196" s="65"/>
      <c r="R196" s="65" t="s">
        <v>232</v>
      </c>
      <c r="S196" s="66" t="n">
        <f aca="false">Model_Calc!BA36</f>
        <v>589.0857336</v>
      </c>
      <c r="T196" s="66" t="n">
        <f aca="false">ROUND(S196-O196,4)</f>
        <v>0</v>
      </c>
    </row>
    <row r="197" customFormat="false" ht="15" hidden="false" customHeight="false" outlineLevel="0" collapsed="false">
      <c r="A197" s="18" t="s">
        <v>193</v>
      </c>
      <c r="B197" s="18" t="s">
        <v>194</v>
      </c>
      <c r="C197" s="18"/>
      <c r="D197" s="49" t="n">
        <v>46113</v>
      </c>
      <c r="E197" s="18" t="s">
        <v>109</v>
      </c>
      <c r="F197" s="18" t="s">
        <v>99</v>
      </c>
      <c r="G197" s="18" t="s">
        <v>110</v>
      </c>
      <c r="H197" s="18" t="s">
        <v>107</v>
      </c>
      <c r="I197" s="18" t="s">
        <v>102</v>
      </c>
      <c r="J197" s="18" t="s">
        <v>230</v>
      </c>
      <c r="K197" s="18" t="s">
        <v>195</v>
      </c>
      <c r="L197" s="64" t="n">
        <v>570.09744</v>
      </c>
      <c r="M197" s="64" t="n">
        <v>7.8</v>
      </c>
      <c r="N197" s="18" t="s">
        <v>429</v>
      </c>
      <c r="O197" s="65" t="n">
        <v>4446.76</v>
      </c>
      <c r="P197" s="65"/>
      <c r="Q197" s="65"/>
      <c r="R197" s="65" t="s">
        <v>232</v>
      </c>
      <c r="S197" s="66" t="n">
        <f aca="false">Model_Calc!AF37</f>
        <v>4446.760032</v>
      </c>
      <c r="T197" s="66" t="n">
        <f aca="false">ROUND(S197-O197,4)</f>
        <v>0</v>
      </c>
    </row>
    <row r="198" customFormat="false" ht="15" hidden="false" customHeight="false" outlineLevel="0" collapsed="false">
      <c r="A198" s="18" t="s">
        <v>193</v>
      </c>
      <c r="B198" s="18" t="s">
        <v>194</v>
      </c>
      <c r="C198" s="18"/>
      <c r="D198" s="49" t="n">
        <v>46113</v>
      </c>
      <c r="E198" s="18" t="s">
        <v>109</v>
      </c>
      <c r="F198" s="18" t="s">
        <v>99</v>
      </c>
      <c r="G198" s="18" t="s">
        <v>110</v>
      </c>
      <c r="H198" s="18" t="s">
        <v>107</v>
      </c>
      <c r="I198" s="18" t="s">
        <v>102</v>
      </c>
      <c r="J198" s="18" t="s">
        <v>233</v>
      </c>
      <c r="K198" s="18" t="s">
        <v>195</v>
      </c>
      <c r="L198" s="64" t="n">
        <v>41.461632</v>
      </c>
      <c r="M198" s="64" t="n">
        <v>7.8</v>
      </c>
      <c r="N198" s="18" t="s">
        <v>430</v>
      </c>
      <c r="O198" s="65" t="n">
        <v>323.4007</v>
      </c>
      <c r="P198" s="65"/>
      <c r="Q198" s="65"/>
      <c r="R198" s="65" t="s">
        <v>232</v>
      </c>
      <c r="S198" s="66" t="n">
        <f aca="false">Model_Calc!AG37</f>
        <v>323.4007296</v>
      </c>
      <c r="T198" s="66" t="n">
        <f aca="false">ROUND(S198-O198,4)</f>
        <v>0</v>
      </c>
    </row>
    <row r="199" customFormat="false" ht="15" hidden="false" customHeight="false" outlineLevel="0" collapsed="false">
      <c r="A199" s="18" t="s">
        <v>193</v>
      </c>
      <c r="B199" s="18" t="s">
        <v>194</v>
      </c>
      <c r="C199" s="18"/>
      <c r="D199" s="49" t="n">
        <v>46113</v>
      </c>
      <c r="E199" s="18" t="s">
        <v>109</v>
      </c>
      <c r="F199" s="18" t="s">
        <v>99</v>
      </c>
      <c r="G199" s="18" t="s">
        <v>110</v>
      </c>
      <c r="H199" s="18" t="s">
        <v>107</v>
      </c>
      <c r="I199" s="18" t="s">
        <v>102</v>
      </c>
      <c r="J199" s="18" t="s">
        <v>235</v>
      </c>
      <c r="K199" s="18" t="s">
        <v>195</v>
      </c>
      <c r="L199" s="64" t="n">
        <v>195.3</v>
      </c>
      <c r="M199" s="64" t="n">
        <v>7.8</v>
      </c>
      <c r="N199" s="18" t="s">
        <v>431</v>
      </c>
      <c r="O199" s="65" t="n">
        <v>1523.34</v>
      </c>
      <c r="P199" s="65"/>
      <c r="Q199" s="65"/>
      <c r="R199" s="65" t="s">
        <v>232</v>
      </c>
      <c r="S199" s="66" t="n">
        <f aca="false">Model_Calc!AL37</f>
        <v>1523.34</v>
      </c>
      <c r="T199" s="66" t="n">
        <f aca="false">ROUND(S199-O199,4)</f>
        <v>0</v>
      </c>
    </row>
    <row r="200" customFormat="false" ht="15" hidden="false" customHeight="false" outlineLevel="0" collapsed="false">
      <c r="A200" s="18" t="s">
        <v>193</v>
      </c>
      <c r="B200" s="18" t="s">
        <v>194</v>
      </c>
      <c r="C200" s="18"/>
      <c r="D200" s="49" t="n">
        <v>46113</v>
      </c>
      <c r="E200" s="18" t="s">
        <v>109</v>
      </c>
      <c r="F200" s="18" t="s">
        <v>99</v>
      </c>
      <c r="G200" s="18" t="s">
        <v>110</v>
      </c>
      <c r="H200" s="18" t="s">
        <v>107</v>
      </c>
      <c r="I200" s="18" t="s">
        <v>102</v>
      </c>
      <c r="J200" s="18" t="s">
        <v>237</v>
      </c>
      <c r="K200" s="18" t="s">
        <v>195</v>
      </c>
      <c r="L200" s="64" t="n">
        <v>76.3344</v>
      </c>
      <c r="M200" s="64" t="n">
        <v>7.8</v>
      </c>
      <c r="N200" s="18" t="s">
        <v>432</v>
      </c>
      <c r="O200" s="65" t="n">
        <v>595.4083</v>
      </c>
      <c r="P200" s="65"/>
      <c r="Q200" s="65"/>
      <c r="R200" s="65" t="s">
        <v>232</v>
      </c>
      <c r="S200" s="66" t="n">
        <f aca="false">Model_Calc!AQ37</f>
        <v>595.40832</v>
      </c>
      <c r="T200" s="66" t="n">
        <f aca="false">ROUND(S200-O200,4)</f>
        <v>0</v>
      </c>
    </row>
    <row r="201" customFormat="false" ht="15" hidden="false" customHeight="false" outlineLevel="0" collapsed="false">
      <c r="A201" s="18" t="s">
        <v>193</v>
      </c>
      <c r="B201" s="18" t="s">
        <v>194</v>
      </c>
      <c r="C201" s="18"/>
      <c r="D201" s="49" t="n">
        <v>46113</v>
      </c>
      <c r="E201" s="18" t="s">
        <v>109</v>
      </c>
      <c r="F201" s="18" t="s">
        <v>99</v>
      </c>
      <c r="G201" s="18" t="s">
        <v>110</v>
      </c>
      <c r="H201" s="18" t="s">
        <v>107</v>
      </c>
      <c r="I201" s="18" t="s">
        <v>102</v>
      </c>
      <c r="J201" s="18" t="s">
        <v>239</v>
      </c>
      <c r="K201" s="18" t="s">
        <v>195</v>
      </c>
      <c r="L201" s="64" t="n">
        <v>35.34</v>
      </c>
      <c r="M201" s="64" t="n">
        <v>7.8</v>
      </c>
      <c r="N201" s="18" t="s">
        <v>433</v>
      </c>
      <c r="O201" s="65" t="n">
        <v>275.652</v>
      </c>
      <c r="P201" s="65"/>
      <c r="Q201" s="65"/>
      <c r="R201" s="65" t="s">
        <v>232</v>
      </c>
      <c r="S201" s="66" t="n">
        <f aca="false">Model_Calc!AV37</f>
        <v>275.652</v>
      </c>
      <c r="T201" s="66" t="n">
        <f aca="false">ROUND(S201-O201,4)</f>
        <v>0</v>
      </c>
    </row>
    <row r="202" customFormat="false" ht="15" hidden="false" customHeight="false" outlineLevel="0" collapsed="false">
      <c r="A202" s="18" t="s">
        <v>193</v>
      </c>
      <c r="B202" s="18" t="s">
        <v>194</v>
      </c>
      <c r="C202" s="18"/>
      <c r="D202" s="49" t="n">
        <v>46113</v>
      </c>
      <c r="E202" s="18" t="s">
        <v>109</v>
      </c>
      <c r="F202" s="18" t="s">
        <v>99</v>
      </c>
      <c r="G202" s="18" t="s">
        <v>110</v>
      </c>
      <c r="H202" s="18" t="s">
        <v>107</v>
      </c>
      <c r="I202" s="18" t="s">
        <v>102</v>
      </c>
      <c r="J202" s="18" t="s">
        <v>241</v>
      </c>
      <c r="K202" s="18" t="s">
        <v>195</v>
      </c>
      <c r="L202" s="64" t="n">
        <v>6.468336</v>
      </c>
      <c r="M202" s="64" t="n">
        <v>7.8</v>
      </c>
      <c r="N202" s="18" t="s">
        <v>434</v>
      </c>
      <c r="O202" s="65" t="n">
        <v>50.453</v>
      </c>
      <c r="P202" s="65"/>
      <c r="Q202" s="65"/>
      <c r="R202" s="65" t="s">
        <v>232</v>
      </c>
      <c r="S202" s="66" t="n">
        <f aca="false">Model_Calc!BA37</f>
        <v>50.4530208</v>
      </c>
      <c r="T202" s="66" t="n">
        <f aca="false">ROUND(S202-O202,4)</f>
        <v>0</v>
      </c>
    </row>
    <row r="203" customFormat="false" ht="15" hidden="false" customHeight="false" outlineLevel="0" collapsed="false">
      <c r="A203" s="18" t="s">
        <v>193</v>
      </c>
      <c r="B203" s="18" t="s">
        <v>194</v>
      </c>
      <c r="C203" s="18"/>
      <c r="D203" s="49" t="n">
        <v>46113</v>
      </c>
      <c r="E203" s="18" t="s">
        <v>112</v>
      </c>
      <c r="F203" s="18" t="s">
        <v>113</v>
      </c>
      <c r="G203" s="18" t="s">
        <v>110</v>
      </c>
      <c r="H203" s="18" t="s">
        <v>101</v>
      </c>
      <c r="I203" s="18" t="s">
        <v>102</v>
      </c>
      <c r="J203" s="18" t="s">
        <v>230</v>
      </c>
      <c r="K203" s="18" t="s">
        <v>195</v>
      </c>
      <c r="L203" s="64" t="n">
        <v>2936.89536</v>
      </c>
      <c r="M203" s="64" t="n">
        <v>7.8</v>
      </c>
      <c r="N203" s="18" t="s">
        <v>435</v>
      </c>
      <c r="O203" s="65" t="n">
        <v>22907.7838</v>
      </c>
      <c r="P203" s="65"/>
      <c r="Q203" s="65"/>
      <c r="R203" s="65" t="s">
        <v>232</v>
      </c>
      <c r="S203" s="66" t="n">
        <f aca="false">Model_Calc!AF38</f>
        <v>22907.783808</v>
      </c>
      <c r="T203" s="66" t="n">
        <f aca="false">ROUND(S203-O203,4)</f>
        <v>0</v>
      </c>
    </row>
    <row r="204" customFormat="false" ht="15" hidden="false" customHeight="false" outlineLevel="0" collapsed="false">
      <c r="A204" s="18" t="s">
        <v>193</v>
      </c>
      <c r="B204" s="18" t="s">
        <v>194</v>
      </c>
      <c r="C204" s="18"/>
      <c r="D204" s="49" t="n">
        <v>46113</v>
      </c>
      <c r="E204" s="18" t="s">
        <v>112</v>
      </c>
      <c r="F204" s="18" t="s">
        <v>113</v>
      </c>
      <c r="G204" s="18" t="s">
        <v>110</v>
      </c>
      <c r="H204" s="18" t="s">
        <v>101</v>
      </c>
      <c r="I204" s="18" t="s">
        <v>102</v>
      </c>
      <c r="J204" s="18" t="s">
        <v>233</v>
      </c>
      <c r="K204" s="18" t="s">
        <v>195</v>
      </c>
      <c r="L204" s="64" t="n">
        <v>264.3205824</v>
      </c>
      <c r="M204" s="64" t="n">
        <v>7.8</v>
      </c>
      <c r="N204" s="18" t="s">
        <v>436</v>
      </c>
      <c r="O204" s="65" t="n">
        <v>2061.7005</v>
      </c>
      <c r="P204" s="65"/>
      <c r="Q204" s="65"/>
      <c r="R204" s="65" t="s">
        <v>232</v>
      </c>
      <c r="S204" s="66" t="n">
        <f aca="false">Model_Calc!AG38</f>
        <v>2061.70054272</v>
      </c>
      <c r="T204" s="66" t="n">
        <f aca="false">ROUND(S204-O204,4)</f>
        <v>0</v>
      </c>
    </row>
    <row r="205" customFormat="false" ht="15" hidden="false" customHeight="false" outlineLevel="0" collapsed="false">
      <c r="A205" s="18" t="s">
        <v>193</v>
      </c>
      <c r="B205" s="18" t="s">
        <v>194</v>
      </c>
      <c r="C205" s="18"/>
      <c r="D205" s="49" t="n">
        <v>46113</v>
      </c>
      <c r="E205" s="18" t="s">
        <v>112</v>
      </c>
      <c r="F205" s="18" t="s">
        <v>113</v>
      </c>
      <c r="G205" s="18" t="s">
        <v>110</v>
      </c>
      <c r="H205" s="18" t="s">
        <v>101</v>
      </c>
      <c r="I205" s="18" t="s">
        <v>102</v>
      </c>
      <c r="J205" s="18" t="s">
        <v>235</v>
      </c>
      <c r="K205" s="18" t="s">
        <v>195</v>
      </c>
      <c r="L205" s="64" t="n">
        <v>1822.8</v>
      </c>
      <c r="M205" s="64" t="n">
        <v>7.8</v>
      </c>
      <c r="N205" s="18" t="s">
        <v>437</v>
      </c>
      <c r="O205" s="65" t="n">
        <v>14217.84</v>
      </c>
      <c r="P205" s="65"/>
      <c r="Q205" s="65"/>
      <c r="R205" s="65" t="s">
        <v>232</v>
      </c>
      <c r="S205" s="66" t="n">
        <f aca="false">Model_Calc!AL38</f>
        <v>14217.84</v>
      </c>
      <c r="T205" s="66" t="n">
        <f aca="false">ROUND(S205-O205,4)</f>
        <v>0</v>
      </c>
    </row>
    <row r="206" customFormat="false" ht="15" hidden="false" customHeight="false" outlineLevel="0" collapsed="false">
      <c r="A206" s="18" t="s">
        <v>193</v>
      </c>
      <c r="B206" s="18" t="s">
        <v>194</v>
      </c>
      <c r="C206" s="18"/>
      <c r="D206" s="49" t="n">
        <v>46113</v>
      </c>
      <c r="E206" s="18" t="s">
        <v>112</v>
      </c>
      <c r="F206" s="18" t="s">
        <v>113</v>
      </c>
      <c r="G206" s="18" t="s">
        <v>110</v>
      </c>
      <c r="H206" s="18" t="s">
        <v>101</v>
      </c>
      <c r="I206" s="18" t="s">
        <v>102</v>
      </c>
      <c r="J206" s="18" t="s">
        <v>237</v>
      </c>
      <c r="K206" s="18" t="s">
        <v>195</v>
      </c>
      <c r="L206" s="64" t="n">
        <v>699.2608</v>
      </c>
      <c r="M206" s="64" t="n">
        <v>7.8</v>
      </c>
      <c r="N206" s="18" t="s">
        <v>438</v>
      </c>
      <c r="O206" s="65" t="n">
        <v>5454.2342</v>
      </c>
      <c r="P206" s="65"/>
      <c r="Q206" s="65"/>
      <c r="R206" s="65" t="s">
        <v>232</v>
      </c>
      <c r="S206" s="66" t="n">
        <f aca="false">Model_Calc!AQ38</f>
        <v>5454.23424</v>
      </c>
      <c r="T206" s="66" t="n">
        <f aca="false">ROUND(S206-O206,4)</f>
        <v>0</v>
      </c>
    </row>
    <row r="207" customFormat="false" ht="15" hidden="false" customHeight="false" outlineLevel="0" collapsed="false">
      <c r="A207" s="18" t="s">
        <v>193</v>
      </c>
      <c r="B207" s="18" t="s">
        <v>194</v>
      </c>
      <c r="C207" s="18"/>
      <c r="D207" s="49" t="n">
        <v>46113</v>
      </c>
      <c r="E207" s="18" t="s">
        <v>112</v>
      </c>
      <c r="F207" s="18" t="s">
        <v>113</v>
      </c>
      <c r="G207" s="18" t="s">
        <v>110</v>
      </c>
      <c r="H207" s="18" t="s">
        <v>101</v>
      </c>
      <c r="I207" s="18" t="s">
        <v>102</v>
      </c>
      <c r="J207" s="18" t="s">
        <v>239</v>
      </c>
      <c r="K207" s="18" t="s">
        <v>195</v>
      </c>
      <c r="L207" s="64" t="n">
        <v>312.48</v>
      </c>
      <c r="M207" s="64" t="n">
        <v>7.8</v>
      </c>
      <c r="N207" s="18" t="s">
        <v>439</v>
      </c>
      <c r="O207" s="65" t="n">
        <v>2437.344</v>
      </c>
      <c r="P207" s="65"/>
      <c r="Q207" s="65"/>
      <c r="R207" s="65" t="s">
        <v>232</v>
      </c>
      <c r="S207" s="66" t="n">
        <f aca="false">Model_Calc!AV38</f>
        <v>2437.344</v>
      </c>
      <c r="T207" s="66" t="n">
        <f aca="false">ROUND(S207-O207,4)</f>
        <v>0</v>
      </c>
    </row>
    <row r="208" customFormat="false" ht="15" hidden="false" customHeight="false" outlineLevel="0" collapsed="false">
      <c r="A208" s="18" t="s">
        <v>193</v>
      </c>
      <c r="B208" s="18" t="s">
        <v>194</v>
      </c>
      <c r="C208" s="18"/>
      <c r="D208" s="49" t="n">
        <v>46113</v>
      </c>
      <c r="E208" s="18" t="s">
        <v>112</v>
      </c>
      <c r="F208" s="18" t="s">
        <v>113</v>
      </c>
      <c r="G208" s="18" t="s">
        <v>110</v>
      </c>
      <c r="H208" s="18" t="s">
        <v>101</v>
      </c>
      <c r="I208" s="18" t="s">
        <v>102</v>
      </c>
      <c r="J208" s="18" t="s">
        <v>241</v>
      </c>
      <c r="K208" s="18" t="s">
        <v>195</v>
      </c>
      <c r="L208" s="64" t="n">
        <v>71.950256</v>
      </c>
      <c r="M208" s="64" t="n">
        <v>7.8</v>
      </c>
      <c r="N208" s="18" t="s">
        <v>440</v>
      </c>
      <c r="O208" s="65" t="n">
        <v>561.212</v>
      </c>
      <c r="P208" s="65"/>
      <c r="Q208" s="65"/>
      <c r="R208" s="65" t="s">
        <v>232</v>
      </c>
      <c r="S208" s="66" t="n">
        <f aca="false">Model_Calc!BA38</f>
        <v>561.2119968</v>
      </c>
      <c r="T208" s="66" t="n">
        <f aca="false">ROUND(S208-O208,4)</f>
        <v>0</v>
      </c>
    </row>
    <row r="209" customFormat="false" ht="15" hidden="false" customHeight="false" outlineLevel="0" collapsed="false">
      <c r="A209" s="18" t="s">
        <v>193</v>
      </c>
      <c r="B209" s="18" t="s">
        <v>194</v>
      </c>
      <c r="C209" s="18"/>
      <c r="D209" s="49" t="n">
        <v>46113</v>
      </c>
      <c r="E209" s="18" t="s">
        <v>116</v>
      </c>
      <c r="F209" s="18" t="s">
        <v>113</v>
      </c>
      <c r="G209" s="18" t="s">
        <v>110</v>
      </c>
      <c r="H209" s="18" t="s">
        <v>107</v>
      </c>
      <c r="I209" s="18" t="s">
        <v>102</v>
      </c>
      <c r="J209" s="18" t="s">
        <v>230</v>
      </c>
      <c r="K209" s="18" t="s">
        <v>195</v>
      </c>
      <c r="L209" s="64" t="n">
        <v>7019.42176</v>
      </c>
      <c r="M209" s="64" t="n">
        <v>7.8</v>
      </c>
      <c r="N209" s="18" t="s">
        <v>441</v>
      </c>
      <c r="O209" s="65" t="n">
        <v>54751.4897</v>
      </c>
      <c r="P209" s="65"/>
      <c r="Q209" s="65"/>
      <c r="R209" s="65" t="s">
        <v>232</v>
      </c>
      <c r="S209" s="66" t="n">
        <f aca="false">Model_Calc!AF39</f>
        <v>54751.489728</v>
      </c>
      <c r="T209" s="66" t="n">
        <f aca="false">ROUND(S209-O209,4)</f>
        <v>0</v>
      </c>
    </row>
    <row r="210" customFormat="false" ht="15" hidden="false" customHeight="false" outlineLevel="0" collapsed="false">
      <c r="A210" s="18" t="s">
        <v>193</v>
      </c>
      <c r="B210" s="18" t="s">
        <v>194</v>
      </c>
      <c r="C210" s="18"/>
      <c r="D210" s="49" t="n">
        <v>46113</v>
      </c>
      <c r="E210" s="18" t="s">
        <v>116</v>
      </c>
      <c r="F210" s="18" t="s">
        <v>113</v>
      </c>
      <c r="G210" s="18" t="s">
        <v>110</v>
      </c>
      <c r="H210" s="18" t="s">
        <v>107</v>
      </c>
      <c r="I210" s="18" t="s">
        <v>102</v>
      </c>
      <c r="J210" s="18" t="s">
        <v>233</v>
      </c>
      <c r="K210" s="18" t="s">
        <v>195</v>
      </c>
      <c r="L210" s="64" t="n">
        <v>539.95552</v>
      </c>
      <c r="M210" s="64" t="n">
        <v>7.8</v>
      </c>
      <c r="N210" s="18" t="s">
        <v>442</v>
      </c>
      <c r="O210" s="65" t="n">
        <v>4211.6531</v>
      </c>
      <c r="P210" s="65"/>
      <c r="Q210" s="65"/>
      <c r="R210" s="65" t="s">
        <v>232</v>
      </c>
      <c r="S210" s="66" t="n">
        <f aca="false">Model_Calc!AG39</f>
        <v>4211.653056</v>
      </c>
      <c r="T210" s="66" t="n">
        <f aca="false">ROUND(S210-O210,4)</f>
        <v>0</v>
      </c>
    </row>
    <row r="211" customFormat="false" ht="15" hidden="false" customHeight="false" outlineLevel="0" collapsed="false">
      <c r="A211" s="18" t="s">
        <v>193</v>
      </c>
      <c r="B211" s="18" t="s">
        <v>194</v>
      </c>
      <c r="C211" s="18"/>
      <c r="D211" s="49" t="n">
        <v>46113</v>
      </c>
      <c r="E211" s="18" t="s">
        <v>116</v>
      </c>
      <c r="F211" s="18" t="s">
        <v>113</v>
      </c>
      <c r="G211" s="18" t="s">
        <v>110</v>
      </c>
      <c r="H211" s="18" t="s">
        <v>107</v>
      </c>
      <c r="I211" s="18" t="s">
        <v>102</v>
      </c>
      <c r="J211" s="18" t="s">
        <v>235</v>
      </c>
      <c r="K211" s="18" t="s">
        <v>195</v>
      </c>
      <c r="L211" s="64" t="n">
        <v>3385.2</v>
      </c>
      <c r="M211" s="64" t="n">
        <v>7.8</v>
      </c>
      <c r="N211" s="18" t="s">
        <v>443</v>
      </c>
      <c r="O211" s="65" t="n">
        <v>26404.56</v>
      </c>
      <c r="P211" s="65"/>
      <c r="Q211" s="65"/>
      <c r="R211" s="65" t="s">
        <v>232</v>
      </c>
      <c r="S211" s="66" t="n">
        <f aca="false">Model_Calc!AL39</f>
        <v>26404.56</v>
      </c>
      <c r="T211" s="66" t="n">
        <f aca="false">ROUND(S211-O211,4)</f>
        <v>0</v>
      </c>
    </row>
    <row r="212" customFormat="false" ht="15" hidden="false" customHeight="false" outlineLevel="0" collapsed="false">
      <c r="A212" s="18" t="s">
        <v>193</v>
      </c>
      <c r="B212" s="18" t="s">
        <v>194</v>
      </c>
      <c r="C212" s="18"/>
      <c r="D212" s="49" t="n">
        <v>46113</v>
      </c>
      <c r="E212" s="18" t="s">
        <v>116</v>
      </c>
      <c r="F212" s="18" t="s">
        <v>113</v>
      </c>
      <c r="G212" s="18" t="s">
        <v>110</v>
      </c>
      <c r="H212" s="18" t="s">
        <v>107</v>
      </c>
      <c r="I212" s="18" t="s">
        <v>102</v>
      </c>
      <c r="J212" s="18" t="s">
        <v>237</v>
      </c>
      <c r="K212" s="18" t="s">
        <v>195</v>
      </c>
      <c r="L212" s="64" t="n">
        <v>1298.6272</v>
      </c>
      <c r="M212" s="64" t="n">
        <v>7.8</v>
      </c>
      <c r="N212" s="18" t="s">
        <v>444</v>
      </c>
      <c r="O212" s="65" t="n">
        <v>10129.2922</v>
      </c>
      <c r="P212" s="65"/>
      <c r="Q212" s="65"/>
      <c r="R212" s="65" t="s">
        <v>232</v>
      </c>
      <c r="S212" s="66" t="n">
        <f aca="false">Model_Calc!AQ39</f>
        <v>10129.29216</v>
      </c>
      <c r="T212" s="66" t="n">
        <f aca="false">ROUND(S212-O212,4)</f>
        <v>0</v>
      </c>
    </row>
    <row r="213" customFormat="false" ht="15" hidden="false" customHeight="false" outlineLevel="0" collapsed="false">
      <c r="A213" s="18" t="s">
        <v>193</v>
      </c>
      <c r="B213" s="18" t="s">
        <v>194</v>
      </c>
      <c r="C213" s="18"/>
      <c r="D213" s="49" t="n">
        <v>46113</v>
      </c>
      <c r="E213" s="18" t="s">
        <v>116</v>
      </c>
      <c r="F213" s="18" t="s">
        <v>113</v>
      </c>
      <c r="G213" s="18" t="s">
        <v>110</v>
      </c>
      <c r="H213" s="18" t="s">
        <v>107</v>
      </c>
      <c r="I213" s="18" t="s">
        <v>102</v>
      </c>
      <c r="J213" s="18" t="s">
        <v>239</v>
      </c>
      <c r="K213" s="18" t="s">
        <v>195</v>
      </c>
      <c r="L213" s="64" t="n">
        <v>580.32</v>
      </c>
      <c r="M213" s="64" t="n">
        <v>7.8</v>
      </c>
      <c r="N213" s="18" t="s">
        <v>445</v>
      </c>
      <c r="O213" s="65" t="n">
        <v>4526.496</v>
      </c>
      <c r="P213" s="65"/>
      <c r="Q213" s="65"/>
      <c r="R213" s="65" t="s">
        <v>232</v>
      </c>
      <c r="S213" s="66" t="n">
        <f aca="false">Model_Calc!AV39</f>
        <v>4526.496</v>
      </c>
      <c r="T213" s="66" t="n">
        <f aca="false">ROUND(S213-O213,4)</f>
        <v>0</v>
      </c>
    </row>
    <row r="214" customFormat="false" ht="15" hidden="false" customHeight="false" outlineLevel="0" collapsed="false">
      <c r="A214" s="18" t="s">
        <v>193</v>
      </c>
      <c r="B214" s="18" t="s">
        <v>194</v>
      </c>
      <c r="C214" s="18"/>
      <c r="D214" s="49" t="n">
        <v>46113</v>
      </c>
      <c r="E214" s="18" t="s">
        <v>116</v>
      </c>
      <c r="F214" s="18" t="s">
        <v>113</v>
      </c>
      <c r="G214" s="18" t="s">
        <v>110</v>
      </c>
      <c r="H214" s="18" t="s">
        <v>107</v>
      </c>
      <c r="I214" s="18" t="s">
        <v>102</v>
      </c>
      <c r="J214" s="18" t="s">
        <v>241</v>
      </c>
      <c r="K214" s="18" t="s">
        <v>195</v>
      </c>
      <c r="L214" s="64" t="n">
        <v>110.041568</v>
      </c>
      <c r="M214" s="64" t="n">
        <v>7.8</v>
      </c>
      <c r="N214" s="18" t="s">
        <v>446</v>
      </c>
      <c r="O214" s="65" t="n">
        <v>858.3242</v>
      </c>
      <c r="P214" s="65"/>
      <c r="Q214" s="65"/>
      <c r="R214" s="65" t="s">
        <v>232</v>
      </c>
      <c r="S214" s="66" t="n">
        <f aca="false">Model_Calc!BA39</f>
        <v>858.3242304</v>
      </c>
      <c r="T214" s="66" t="n">
        <f aca="false">ROUND(S214-O214,4)</f>
        <v>0</v>
      </c>
    </row>
    <row r="215" customFormat="false" ht="15" hidden="false" customHeight="false" outlineLevel="0" collapsed="false">
      <c r="A215" s="18" t="s">
        <v>193</v>
      </c>
      <c r="B215" s="18" t="s">
        <v>194</v>
      </c>
      <c r="C215" s="18"/>
      <c r="D215" s="49" t="n">
        <v>46113</v>
      </c>
      <c r="E215" s="18" t="s">
        <v>118</v>
      </c>
      <c r="F215" s="18" t="s">
        <v>119</v>
      </c>
      <c r="G215" s="18" t="s">
        <v>100</v>
      </c>
      <c r="H215" s="18" t="s">
        <v>101</v>
      </c>
      <c r="I215" s="18" t="s">
        <v>102</v>
      </c>
      <c r="J215" s="18" t="s">
        <v>230</v>
      </c>
      <c r="K215" s="18" t="s">
        <v>199</v>
      </c>
      <c r="L215" s="64" t="n">
        <v>12375.207936</v>
      </c>
      <c r="M215" s="64" t="n">
        <v>9</v>
      </c>
      <c r="N215" s="18" t="s">
        <v>447</v>
      </c>
      <c r="O215" s="65" t="n">
        <v>111376.8714</v>
      </c>
      <c r="P215" s="65"/>
      <c r="Q215" s="65"/>
      <c r="R215" s="65" t="s">
        <v>232</v>
      </c>
      <c r="S215" s="66" t="n">
        <f aca="false">Model_Calc!AF40</f>
        <v>111376.871424</v>
      </c>
      <c r="T215" s="66" t="n">
        <f aca="false">ROUND(S215-O215,4)</f>
        <v>0</v>
      </c>
    </row>
    <row r="216" customFormat="false" ht="15" hidden="false" customHeight="false" outlineLevel="0" collapsed="false">
      <c r="A216" s="18" t="s">
        <v>193</v>
      </c>
      <c r="B216" s="18" t="s">
        <v>194</v>
      </c>
      <c r="C216" s="18"/>
      <c r="D216" s="49" t="n">
        <v>46113</v>
      </c>
      <c r="E216" s="18" t="s">
        <v>118</v>
      </c>
      <c r="F216" s="18" t="s">
        <v>119</v>
      </c>
      <c r="G216" s="18" t="s">
        <v>100</v>
      </c>
      <c r="H216" s="18" t="s">
        <v>101</v>
      </c>
      <c r="I216" s="18" t="s">
        <v>102</v>
      </c>
      <c r="J216" s="18" t="s">
        <v>233</v>
      </c>
      <c r="K216" s="18" t="s">
        <v>199</v>
      </c>
      <c r="L216" s="64" t="n">
        <v>1237.5207936</v>
      </c>
      <c r="M216" s="64" t="n">
        <v>9</v>
      </c>
      <c r="N216" s="18" t="s">
        <v>448</v>
      </c>
      <c r="O216" s="65" t="n">
        <v>11137.6871</v>
      </c>
      <c r="P216" s="65"/>
      <c r="Q216" s="65"/>
      <c r="R216" s="65" t="s">
        <v>232</v>
      </c>
      <c r="S216" s="66" t="n">
        <f aca="false">Model_Calc!AG40</f>
        <v>11137.6871424</v>
      </c>
      <c r="T216" s="66" t="n">
        <f aca="false">ROUND(S216-O216,4)</f>
        <v>0</v>
      </c>
    </row>
    <row r="217" customFormat="false" ht="15" hidden="false" customHeight="false" outlineLevel="0" collapsed="false">
      <c r="A217" s="18" t="s">
        <v>193</v>
      </c>
      <c r="B217" s="18" t="s">
        <v>194</v>
      </c>
      <c r="C217" s="18"/>
      <c r="D217" s="49" t="n">
        <v>46113</v>
      </c>
      <c r="E217" s="18" t="s">
        <v>118</v>
      </c>
      <c r="F217" s="18" t="s">
        <v>119</v>
      </c>
      <c r="G217" s="18" t="s">
        <v>100</v>
      </c>
      <c r="H217" s="18" t="s">
        <v>101</v>
      </c>
      <c r="I217" s="18" t="s">
        <v>102</v>
      </c>
      <c r="J217" s="18" t="s">
        <v>235</v>
      </c>
      <c r="K217" s="18" t="s">
        <v>195</v>
      </c>
      <c r="L217" s="64" t="n">
        <v>3195.6288</v>
      </c>
      <c r="M217" s="64" t="n">
        <v>7.8</v>
      </c>
      <c r="N217" s="18" t="s">
        <v>449</v>
      </c>
      <c r="O217" s="65" t="n">
        <v>24925.9046</v>
      </c>
      <c r="P217" s="65"/>
      <c r="Q217" s="65"/>
      <c r="R217" s="65" t="s">
        <v>232</v>
      </c>
      <c r="S217" s="66" t="n">
        <f aca="false">Model_Calc!AL40</f>
        <v>24925.90464</v>
      </c>
      <c r="T217" s="66" t="n">
        <f aca="false">ROUND(S217-O217,4)</f>
        <v>0</v>
      </c>
    </row>
    <row r="218" customFormat="false" ht="15" hidden="false" customHeight="false" outlineLevel="0" collapsed="false">
      <c r="A218" s="18" t="s">
        <v>193</v>
      </c>
      <c r="B218" s="18" t="s">
        <v>194</v>
      </c>
      <c r="C218" s="18"/>
      <c r="D218" s="49" t="n">
        <v>46113</v>
      </c>
      <c r="E218" s="18" t="s">
        <v>118</v>
      </c>
      <c r="F218" s="18" t="s">
        <v>119</v>
      </c>
      <c r="G218" s="18" t="s">
        <v>100</v>
      </c>
      <c r="H218" s="18" t="s">
        <v>101</v>
      </c>
      <c r="I218" s="18" t="s">
        <v>102</v>
      </c>
      <c r="J218" s="18" t="s">
        <v>237</v>
      </c>
      <c r="K218" s="18" t="s">
        <v>195</v>
      </c>
      <c r="L218" s="64" t="n">
        <v>1273.918464</v>
      </c>
      <c r="M218" s="64" t="n">
        <v>7.8</v>
      </c>
      <c r="N218" s="18" t="s">
        <v>450</v>
      </c>
      <c r="O218" s="65" t="n">
        <v>9936.564</v>
      </c>
      <c r="P218" s="65"/>
      <c r="Q218" s="65"/>
      <c r="R218" s="65" t="s">
        <v>232</v>
      </c>
      <c r="S218" s="66" t="n">
        <f aca="false">Model_Calc!AQ40</f>
        <v>9936.5640192</v>
      </c>
      <c r="T218" s="66" t="n">
        <f aca="false">ROUND(S218-O218,4)</f>
        <v>0</v>
      </c>
    </row>
    <row r="219" customFormat="false" ht="15" hidden="false" customHeight="false" outlineLevel="0" collapsed="false">
      <c r="A219" s="18" t="s">
        <v>193</v>
      </c>
      <c r="B219" s="18" t="s">
        <v>194</v>
      </c>
      <c r="C219" s="18"/>
      <c r="D219" s="49" t="n">
        <v>46113</v>
      </c>
      <c r="E219" s="18" t="s">
        <v>118</v>
      </c>
      <c r="F219" s="18" t="s">
        <v>119</v>
      </c>
      <c r="G219" s="18" t="s">
        <v>100</v>
      </c>
      <c r="H219" s="18" t="s">
        <v>101</v>
      </c>
      <c r="I219" s="18" t="s">
        <v>102</v>
      </c>
      <c r="J219" s="18" t="s">
        <v>239</v>
      </c>
      <c r="K219" s="18" t="s">
        <v>199</v>
      </c>
      <c r="L219" s="64" t="n">
        <v>1039.93344</v>
      </c>
      <c r="M219" s="64" t="n">
        <v>9</v>
      </c>
      <c r="N219" s="18" t="s">
        <v>451</v>
      </c>
      <c r="O219" s="65" t="n">
        <v>9359.401</v>
      </c>
      <c r="P219" s="65"/>
      <c r="Q219" s="65"/>
      <c r="R219" s="65" t="s">
        <v>232</v>
      </c>
      <c r="S219" s="66" t="n">
        <f aca="false">Model_Calc!AV40</f>
        <v>9359.40096</v>
      </c>
      <c r="T219" s="66" t="n">
        <f aca="false">ROUND(S219-O219,4)</f>
        <v>0</v>
      </c>
    </row>
    <row r="220" customFormat="false" ht="15" hidden="false" customHeight="false" outlineLevel="0" collapsed="false">
      <c r="A220" s="18" t="s">
        <v>193</v>
      </c>
      <c r="B220" s="18" t="s">
        <v>194</v>
      </c>
      <c r="C220" s="18"/>
      <c r="D220" s="49" t="n">
        <v>46113</v>
      </c>
      <c r="E220" s="18" t="s">
        <v>118</v>
      </c>
      <c r="F220" s="18" t="s">
        <v>119</v>
      </c>
      <c r="G220" s="18" t="s">
        <v>100</v>
      </c>
      <c r="H220" s="18" t="s">
        <v>101</v>
      </c>
      <c r="I220" s="18" t="s">
        <v>102</v>
      </c>
      <c r="J220" s="18" t="s">
        <v>241</v>
      </c>
      <c r="K220" s="18" t="s">
        <v>199</v>
      </c>
      <c r="L220" s="64" t="n">
        <v>153.47684352</v>
      </c>
      <c r="M220" s="64" t="n">
        <v>9</v>
      </c>
      <c r="N220" s="18" t="s">
        <v>452</v>
      </c>
      <c r="O220" s="65" t="n">
        <v>1381.2916</v>
      </c>
      <c r="P220" s="65"/>
      <c r="Q220" s="65"/>
      <c r="R220" s="65" t="s">
        <v>232</v>
      </c>
      <c r="S220" s="66" t="n">
        <f aca="false">Model_Calc!BA40</f>
        <v>1381.29159168</v>
      </c>
      <c r="T220" s="66" t="n">
        <f aca="false">ROUND(S220-O220,4)</f>
        <v>0</v>
      </c>
    </row>
    <row r="221" customFormat="false" ht="15" hidden="false" customHeight="false" outlineLevel="0" collapsed="false">
      <c r="A221" s="18" t="s">
        <v>193</v>
      </c>
      <c r="B221" s="18" t="s">
        <v>194</v>
      </c>
      <c r="C221" s="18"/>
      <c r="D221" s="49" t="n">
        <v>46113</v>
      </c>
      <c r="E221" s="18" t="s">
        <v>122</v>
      </c>
      <c r="F221" s="18" t="s">
        <v>119</v>
      </c>
      <c r="G221" s="18" t="s">
        <v>100</v>
      </c>
      <c r="H221" s="18" t="s">
        <v>107</v>
      </c>
      <c r="I221" s="18" t="s">
        <v>102</v>
      </c>
      <c r="J221" s="18" t="s">
        <v>230</v>
      </c>
      <c r="K221" s="18" t="s">
        <v>199</v>
      </c>
      <c r="L221" s="64" t="n">
        <v>5482.9824</v>
      </c>
      <c r="M221" s="64" t="n">
        <v>9</v>
      </c>
      <c r="N221" s="18" t="s">
        <v>453</v>
      </c>
      <c r="O221" s="65" t="n">
        <v>49346.8416</v>
      </c>
      <c r="P221" s="65"/>
      <c r="Q221" s="65"/>
      <c r="R221" s="65" t="s">
        <v>232</v>
      </c>
      <c r="S221" s="66" t="n">
        <f aca="false">Model_Calc!AF41</f>
        <v>49346.8416</v>
      </c>
      <c r="T221" s="66" t="n">
        <f aca="false">ROUND(S221-O221,4)</f>
        <v>0</v>
      </c>
    </row>
    <row r="222" customFormat="false" ht="15" hidden="false" customHeight="false" outlineLevel="0" collapsed="false">
      <c r="A222" s="18" t="s">
        <v>193</v>
      </c>
      <c r="B222" s="18" t="s">
        <v>194</v>
      </c>
      <c r="C222" s="18"/>
      <c r="D222" s="49" t="n">
        <v>46113</v>
      </c>
      <c r="E222" s="18" t="s">
        <v>122</v>
      </c>
      <c r="F222" s="18" t="s">
        <v>119</v>
      </c>
      <c r="G222" s="18" t="s">
        <v>100</v>
      </c>
      <c r="H222" s="18" t="s">
        <v>107</v>
      </c>
      <c r="I222" s="18" t="s">
        <v>102</v>
      </c>
      <c r="J222" s="18" t="s">
        <v>233</v>
      </c>
      <c r="K222" s="18" t="s">
        <v>199</v>
      </c>
      <c r="L222" s="64" t="n">
        <v>384.97536</v>
      </c>
      <c r="M222" s="64" t="n">
        <v>9</v>
      </c>
      <c r="N222" s="18" t="s">
        <v>454</v>
      </c>
      <c r="O222" s="65" t="n">
        <v>3464.7782</v>
      </c>
      <c r="P222" s="65"/>
      <c r="Q222" s="65"/>
      <c r="R222" s="65" t="s">
        <v>232</v>
      </c>
      <c r="S222" s="66" t="n">
        <f aca="false">Model_Calc!AG41</f>
        <v>3464.77824</v>
      </c>
      <c r="T222" s="66" t="n">
        <f aca="false">ROUND(S222-O222,4)</f>
        <v>0</v>
      </c>
    </row>
    <row r="223" customFormat="false" ht="15" hidden="false" customHeight="false" outlineLevel="0" collapsed="false">
      <c r="A223" s="18" t="s">
        <v>193</v>
      </c>
      <c r="B223" s="18" t="s">
        <v>194</v>
      </c>
      <c r="C223" s="18"/>
      <c r="D223" s="49" t="n">
        <v>46113</v>
      </c>
      <c r="E223" s="18" t="s">
        <v>122</v>
      </c>
      <c r="F223" s="18" t="s">
        <v>119</v>
      </c>
      <c r="G223" s="18" t="s">
        <v>100</v>
      </c>
      <c r="H223" s="18" t="s">
        <v>107</v>
      </c>
      <c r="I223" s="18" t="s">
        <v>102</v>
      </c>
      <c r="J223" s="18" t="s">
        <v>235</v>
      </c>
      <c r="K223" s="18" t="s">
        <v>195</v>
      </c>
      <c r="L223" s="64" t="n">
        <v>1229.088</v>
      </c>
      <c r="M223" s="64" t="n">
        <v>7.8</v>
      </c>
      <c r="N223" s="18" t="s">
        <v>455</v>
      </c>
      <c r="O223" s="65" t="n">
        <v>9586.8864</v>
      </c>
      <c r="P223" s="65"/>
      <c r="Q223" s="65"/>
      <c r="R223" s="65" t="s">
        <v>232</v>
      </c>
      <c r="S223" s="66" t="n">
        <f aca="false">Model_Calc!AL41</f>
        <v>9586.8864</v>
      </c>
      <c r="T223" s="66" t="n">
        <f aca="false">ROUND(S223-O223,4)</f>
        <v>0</v>
      </c>
    </row>
    <row r="224" customFormat="false" ht="15" hidden="false" customHeight="false" outlineLevel="0" collapsed="false">
      <c r="A224" s="18" t="s">
        <v>193</v>
      </c>
      <c r="B224" s="18" t="s">
        <v>194</v>
      </c>
      <c r="C224" s="18"/>
      <c r="D224" s="49" t="n">
        <v>46113</v>
      </c>
      <c r="E224" s="18" t="s">
        <v>122</v>
      </c>
      <c r="F224" s="18" t="s">
        <v>119</v>
      </c>
      <c r="G224" s="18" t="s">
        <v>100</v>
      </c>
      <c r="H224" s="18" t="s">
        <v>107</v>
      </c>
      <c r="I224" s="18" t="s">
        <v>102</v>
      </c>
      <c r="J224" s="18" t="s">
        <v>237</v>
      </c>
      <c r="K224" s="18" t="s">
        <v>195</v>
      </c>
      <c r="L224" s="64" t="n">
        <v>489.96864</v>
      </c>
      <c r="M224" s="64" t="n">
        <v>7.8</v>
      </c>
      <c r="N224" s="18" t="s">
        <v>456</v>
      </c>
      <c r="O224" s="65" t="n">
        <v>3821.7554</v>
      </c>
      <c r="P224" s="65"/>
      <c r="Q224" s="65"/>
      <c r="R224" s="65" t="s">
        <v>232</v>
      </c>
      <c r="S224" s="66" t="n">
        <f aca="false">Model_Calc!AQ41</f>
        <v>3821.755392</v>
      </c>
      <c r="T224" s="66" t="n">
        <f aca="false">ROUND(S224-O224,4)</f>
        <v>0</v>
      </c>
    </row>
    <row r="225" customFormat="false" ht="15" hidden="false" customHeight="false" outlineLevel="0" collapsed="false">
      <c r="A225" s="18" t="s">
        <v>193</v>
      </c>
      <c r="B225" s="18" t="s">
        <v>194</v>
      </c>
      <c r="C225" s="18"/>
      <c r="D225" s="49" t="n">
        <v>46113</v>
      </c>
      <c r="E225" s="18" t="s">
        <v>122</v>
      </c>
      <c r="F225" s="18" t="s">
        <v>119</v>
      </c>
      <c r="G225" s="18" t="s">
        <v>100</v>
      </c>
      <c r="H225" s="18" t="s">
        <v>107</v>
      </c>
      <c r="I225" s="18" t="s">
        <v>102</v>
      </c>
      <c r="J225" s="18" t="s">
        <v>239</v>
      </c>
      <c r="K225" s="18" t="s">
        <v>199</v>
      </c>
      <c r="L225" s="64" t="n">
        <v>399.9744</v>
      </c>
      <c r="M225" s="64" t="n">
        <v>9</v>
      </c>
      <c r="N225" s="18" t="s">
        <v>457</v>
      </c>
      <c r="O225" s="65" t="n">
        <v>3599.7696</v>
      </c>
      <c r="P225" s="65"/>
      <c r="Q225" s="65"/>
      <c r="R225" s="65" t="s">
        <v>232</v>
      </c>
      <c r="S225" s="66" t="n">
        <f aca="false">Model_Calc!AV41</f>
        <v>3599.7696</v>
      </c>
      <c r="T225" s="66" t="n">
        <f aca="false">ROUND(S225-O225,4)</f>
        <v>0</v>
      </c>
    </row>
    <row r="226" customFormat="false" ht="15" hidden="false" customHeight="false" outlineLevel="0" collapsed="false">
      <c r="A226" s="18" t="s">
        <v>193</v>
      </c>
      <c r="B226" s="18" t="s">
        <v>194</v>
      </c>
      <c r="C226" s="18"/>
      <c r="D226" s="49" t="n">
        <v>46113</v>
      </c>
      <c r="E226" s="18" t="s">
        <v>122</v>
      </c>
      <c r="F226" s="18" t="s">
        <v>119</v>
      </c>
      <c r="G226" s="18" t="s">
        <v>100</v>
      </c>
      <c r="H226" s="18" t="s">
        <v>107</v>
      </c>
      <c r="I226" s="18" t="s">
        <v>102</v>
      </c>
      <c r="J226" s="18" t="s">
        <v>241</v>
      </c>
      <c r="K226" s="18" t="s">
        <v>199</v>
      </c>
      <c r="L226" s="64" t="n">
        <v>45.6137472</v>
      </c>
      <c r="M226" s="64" t="n">
        <v>9</v>
      </c>
      <c r="N226" s="18" t="s">
        <v>458</v>
      </c>
      <c r="O226" s="65" t="n">
        <v>410.5237</v>
      </c>
      <c r="P226" s="65"/>
      <c r="Q226" s="65"/>
      <c r="R226" s="65" t="s">
        <v>232</v>
      </c>
      <c r="S226" s="66" t="n">
        <f aca="false">Model_Calc!BA41</f>
        <v>410.5237248</v>
      </c>
      <c r="T226" s="66" t="n">
        <f aca="false">ROUND(S226-O226,4)</f>
        <v>0</v>
      </c>
    </row>
    <row r="227" customFormat="false" ht="15" hidden="false" customHeight="false" outlineLevel="0" collapsed="false">
      <c r="A227" s="18" t="s">
        <v>193</v>
      </c>
      <c r="B227" s="18" t="s">
        <v>194</v>
      </c>
      <c r="C227" s="18"/>
      <c r="D227" s="49" t="n">
        <v>46113</v>
      </c>
      <c r="E227" s="18" t="s">
        <v>124</v>
      </c>
      <c r="F227" s="18" t="s">
        <v>119</v>
      </c>
      <c r="G227" s="18" t="s">
        <v>100</v>
      </c>
      <c r="H227" s="18" t="s">
        <v>107</v>
      </c>
      <c r="I227" s="18" t="s">
        <v>125</v>
      </c>
      <c r="J227" s="18" t="s">
        <v>230</v>
      </c>
      <c r="K227" s="18" t="s">
        <v>199</v>
      </c>
      <c r="L227" s="64" t="n">
        <v>1903.69148928</v>
      </c>
      <c r="M227" s="64" t="n">
        <v>9</v>
      </c>
      <c r="N227" s="18" t="s">
        <v>459</v>
      </c>
      <c r="O227" s="65" t="n">
        <v>17133.2234</v>
      </c>
      <c r="P227" s="65"/>
      <c r="Q227" s="65"/>
      <c r="R227" s="65" t="s">
        <v>232</v>
      </c>
      <c r="S227" s="66" t="n">
        <f aca="false">Model_Calc!AF42</f>
        <v>17133.22340352</v>
      </c>
      <c r="T227" s="66" t="n">
        <f aca="false">ROUND(S227-O227,4)</f>
        <v>0</v>
      </c>
    </row>
    <row r="228" customFormat="false" ht="15" hidden="false" customHeight="false" outlineLevel="0" collapsed="false">
      <c r="A228" s="18" t="s">
        <v>193</v>
      </c>
      <c r="B228" s="18" t="s">
        <v>194</v>
      </c>
      <c r="C228" s="18"/>
      <c r="D228" s="49" t="n">
        <v>46113</v>
      </c>
      <c r="E228" s="18" t="s">
        <v>124</v>
      </c>
      <c r="F228" s="18" t="s">
        <v>119</v>
      </c>
      <c r="G228" s="18" t="s">
        <v>100</v>
      </c>
      <c r="H228" s="18" t="s">
        <v>107</v>
      </c>
      <c r="I228" s="18" t="s">
        <v>125</v>
      </c>
      <c r="J228" s="18" t="s">
        <v>233</v>
      </c>
      <c r="K228" s="18" t="s">
        <v>199</v>
      </c>
      <c r="L228" s="64" t="n">
        <v>218.9245212672</v>
      </c>
      <c r="M228" s="64" t="n">
        <v>9</v>
      </c>
      <c r="N228" s="18" t="s">
        <v>460</v>
      </c>
      <c r="O228" s="65" t="n">
        <v>1970.3207</v>
      </c>
      <c r="P228" s="65"/>
      <c r="Q228" s="65"/>
      <c r="R228" s="65" t="s">
        <v>232</v>
      </c>
      <c r="S228" s="66" t="n">
        <f aca="false">Model_Calc!AG42</f>
        <v>1970.3206914048</v>
      </c>
      <c r="T228" s="66" t="n">
        <f aca="false">ROUND(S228-O228,4)</f>
        <v>0</v>
      </c>
    </row>
    <row r="229" customFormat="false" ht="15" hidden="false" customHeight="false" outlineLevel="0" collapsed="false">
      <c r="A229" s="18" t="s">
        <v>193</v>
      </c>
      <c r="B229" s="18" t="s">
        <v>194</v>
      </c>
      <c r="C229" s="18"/>
      <c r="D229" s="49" t="n">
        <v>46113</v>
      </c>
      <c r="E229" s="18" t="s">
        <v>124</v>
      </c>
      <c r="F229" s="18" t="s">
        <v>119</v>
      </c>
      <c r="G229" s="18" t="s">
        <v>100</v>
      </c>
      <c r="H229" s="18" t="s">
        <v>107</v>
      </c>
      <c r="I229" s="18" t="s">
        <v>125</v>
      </c>
      <c r="J229" s="18" t="s">
        <v>235</v>
      </c>
      <c r="K229" s="18" t="s">
        <v>195</v>
      </c>
      <c r="L229" s="64" t="n">
        <v>344.14464</v>
      </c>
      <c r="M229" s="64" t="n">
        <v>7.8</v>
      </c>
      <c r="N229" s="18" t="s">
        <v>461</v>
      </c>
      <c r="O229" s="65" t="n">
        <v>2684.3282</v>
      </c>
      <c r="P229" s="65"/>
      <c r="Q229" s="65"/>
      <c r="R229" s="65" t="s">
        <v>232</v>
      </c>
      <c r="S229" s="66" t="n">
        <f aca="false">Model_Calc!AL42</f>
        <v>2684.328192</v>
      </c>
      <c r="T229" s="66" t="n">
        <f aca="false">ROUND(S229-O229,4)</f>
        <v>0</v>
      </c>
    </row>
    <row r="230" customFormat="false" ht="15" hidden="false" customHeight="false" outlineLevel="0" collapsed="false">
      <c r="A230" s="18" t="s">
        <v>193</v>
      </c>
      <c r="B230" s="18" t="s">
        <v>194</v>
      </c>
      <c r="C230" s="18"/>
      <c r="D230" s="49" t="n">
        <v>46113</v>
      </c>
      <c r="E230" s="18" t="s">
        <v>124</v>
      </c>
      <c r="F230" s="18" t="s">
        <v>119</v>
      </c>
      <c r="G230" s="18" t="s">
        <v>100</v>
      </c>
      <c r="H230" s="18" t="s">
        <v>107</v>
      </c>
      <c r="I230" s="18" t="s">
        <v>125</v>
      </c>
      <c r="J230" s="18" t="s">
        <v>237</v>
      </c>
      <c r="K230" s="18" t="s">
        <v>195</v>
      </c>
      <c r="L230" s="64" t="n">
        <v>137.1912192</v>
      </c>
      <c r="M230" s="64" t="n">
        <v>7.8</v>
      </c>
      <c r="N230" s="18" t="s">
        <v>462</v>
      </c>
      <c r="O230" s="65" t="n">
        <v>1070.0915</v>
      </c>
      <c r="P230" s="65"/>
      <c r="Q230" s="65"/>
      <c r="R230" s="65" t="s">
        <v>232</v>
      </c>
      <c r="S230" s="66" t="n">
        <f aca="false">Model_Calc!AQ42</f>
        <v>1070.09150976</v>
      </c>
      <c r="T230" s="66" t="n">
        <f aca="false">ROUND(S230-O230,4)</f>
        <v>0</v>
      </c>
    </row>
    <row r="231" customFormat="false" ht="15" hidden="false" customHeight="false" outlineLevel="0" collapsed="false">
      <c r="A231" s="18" t="s">
        <v>193</v>
      </c>
      <c r="B231" s="18" t="s">
        <v>194</v>
      </c>
      <c r="C231" s="18"/>
      <c r="D231" s="49" t="n">
        <v>46113</v>
      </c>
      <c r="E231" s="18" t="s">
        <v>124</v>
      </c>
      <c r="F231" s="18" t="s">
        <v>119</v>
      </c>
      <c r="G231" s="18" t="s">
        <v>100</v>
      </c>
      <c r="H231" s="18" t="s">
        <v>107</v>
      </c>
      <c r="I231" s="18" t="s">
        <v>125</v>
      </c>
      <c r="J231" s="18" t="s">
        <v>239</v>
      </c>
      <c r="K231" s="18" t="s">
        <v>199</v>
      </c>
      <c r="L231" s="64" t="n">
        <v>111.992832</v>
      </c>
      <c r="M231" s="64" t="n">
        <v>9</v>
      </c>
      <c r="N231" s="18" t="s">
        <v>463</v>
      </c>
      <c r="O231" s="65" t="n">
        <v>1007.9355</v>
      </c>
      <c r="P231" s="65"/>
      <c r="Q231" s="65"/>
      <c r="R231" s="65" t="s">
        <v>232</v>
      </c>
      <c r="S231" s="66" t="n">
        <f aca="false">Model_Calc!AV42</f>
        <v>1007.935488</v>
      </c>
      <c r="T231" s="66" t="n">
        <f aca="false">ROUND(S231-O231,4)</f>
        <v>0</v>
      </c>
    </row>
    <row r="232" customFormat="false" ht="15" hidden="false" customHeight="false" outlineLevel="0" collapsed="false">
      <c r="A232" s="18" t="s">
        <v>193</v>
      </c>
      <c r="B232" s="18" t="s">
        <v>194</v>
      </c>
      <c r="C232" s="18"/>
      <c r="D232" s="49" t="n">
        <v>46113</v>
      </c>
      <c r="E232" s="18" t="s">
        <v>124</v>
      </c>
      <c r="F232" s="18" t="s">
        <v>119</v>
      </c>
      <c r="G232" s="18" t="s">
        <v>100</v>
      </c>
      <c r="H232" s="18" t="s">
        <v>107</v>
      </c>
      <c r="I232" s="18" t="s">
        <v>125</v>
      </c>
      <c r="J232" s="18" t="s">
        <v>241</v>
      </c>
      <c r="K232" s="18" t="s">
        <v>199</v>
      </c>
      <c r="L232" s="64" t="n">
        <v>11.889905664</v>
      </c>
      <c r="M232" s="64" t="n">
        <v>9</v>
      </c>
      <c r="N232" s="18" t="s">
        <v>464</v>
      </c>
      <c r="O232" s="65" t="n">
        <v>107.0092</v>
      </c>
      <c r="P232" s="65"/>
      <c r="Q232" s="65"/>
      <c r="R232" s="65" t="s">
        <v>232</v>
      </c>
      <c r="S232" s="66" t="n">
        <f aca="false">Model_Calc!BA42</f>
        <v>107.009150976</v>
      </c>
      <c r="T232" s="66" t="n">
        <f aca="false">ROUND(S232-O232,4)</f>
        <v>0</v>
      </c>
    </row>
    <row r="233" customFormat="false" ht="15" hidden="false" customHeight="false" outlineLevel="0" collapsed="false">
      <c r="A233" s="18" t="s">
        <v>193</v>
      </c>
      <c r="B233" s="18" t="s">
        <v>194</v>
      </c>
      <c r="C233" s="18"/>
      <c r="D233" s="49" t="n">
        <v>46113</v>
      </c>
      <c r="E233" s="18" t="s">
        <v>127</v>
      </c>
      <c r="F233" s="18" t="s">
        <v>119</v>
      </c>
      <c r="G233" s="18" t="s">
        <v>100</v>
      </c>
      <c r="H233" s="18" t="s">
        <v>128</v>
      </c>
      <c r="I233" s="18" t="s">
        <v>125</v>
      </c>
      <c r="J233" s="18" t="s">
        <v>230</v>
      </c>
      <c r="K233" s="18" t="s">
        <v>199</v>
      </c>
      <c r="L233" s="64" t="n">
        <v>965.938176</v>
      </c>
      <c r="M233" s="64" t="n">
        <v>9</v>
      </c>
      <c r="N233" s="18" t="s">
        <v>465</v>
      </c>
      <c r="O233" s="65" t="n">
        <v>8693.4436</v>
      </c>
      <c r="P233" s="65"/>
      <c r="Q233" s="65"/>
      <c r="R233" s="65" t="s">
        <v>232</v>
      </c>
      <c r="S233" s="66" t="n">
        <f aca="false">Model_Calc!AF43</f>
        <v>8693.443584</v>
      </c>
      <c r="T233" s="66" t="n">
        <f aca="false">ROUND(S233-O233,4)</f>
        <v>0</v>
      </c>
    </row>
    <row r="234" customFormat="false" ht="15" hidden="false" customHeight="false" outlineLevel="0" collapsed="false">
      <c r="A234" s="18" t="s">
        <v>193</v>
      </c>
      <c r="B234" s="18" t="s">
        <v>194</v>
      </c>
      <c r="C234" s="18"/>
      <c r="D234" s="49" t="n">
        <v>46113</v>
      </c>
      <c r="E234" s="18" t="s">
        <v>127</v>
      </c>
      <c r="F234" s="18" t="s">
        <v>119</v>
      </c>
      <c r="G234" s="18" t="s">
        <v>100</v>
      </c>
      <c r="H234" s="18" t="s">
        <v>128</v>
      </c>
      <c r="I234" s="18" t="s">
        <v>125</v>
      </c>
      <c r="J234" s="18" t="s">
        <v>233</v>
      </c>
      <c r="K234" s="18" t="s">
        <v>199</v>
      </c>
      <c r="L234" s="64" t="n">
        <v>74.699218944</v>
      </c>
      <c r="M234" s="64" t="n">
        <v>9</v>
      </c>
      <c r="N234" s="18" t="s">
        <v>466</v>
      </c>
      <c r="O234" s="65" t="n">
        <v>672.293</v>
      </c>
      <c r="P234" s="65"/>
      <c r="Q234" s="65"/>
      <c r="R234" s="65" t="s">
        <v>232</v>
      </c>
      <c r="S234" s="66" t="n">
        <f aca="false">Model_Calc!AG43</f>
        <v>672.292970496</v>
      </c>
      <c r="T234" s="66" t="n">
        <f aca="false">ROUND(S234-O234,4)</f>
        <v>0</v>
      </c>
    </row>
    <row r="235" customFormat="false" ht="15" hidden="false" customHeight="false" outlineLevel="0" collapsed="false">
      <c r="A235" s="18" t="s">
        <v>193</v>
      </c>
      <c r="B235" s="18" t="s">
        <v>194</v>
      </c>
      <c r="C235" s="18"/>
      <c r="D235" s="49" t="n">
        <v>46113</v>
      </c>
      <c r="E235" s="18" t="s">
        <v>127</v>
      </c>
      <c r="F235" s="18" t="s">
        <v>119</v>
      </c>
      <c r="G235" s="18" t="s">
        <v>100</v>
      </c>
      <c r="H235" s="18" t="s">
        <v>128</v>
      </c>
      <c r="I235" s="18" t="s">
        <v>125</v>
      </c>
      <c r="J235" s="18" t="s">
        <v>235</v>
      </c>
      <c r="K235" s="18" t="s">
        <v>195</v>
      </c>
      <c r="L235" s="64" t="n">
        <v>147.49056</v>
      </c>
      <c r="M235" s="64" t="n">
        <v>7.8</v>
      </c>
      <c r="N235" s="18" t="s">
        <v>467</v>
      </c>
      <c r="O235" s="65" t="n">
        <v>1150.4264</v>
      </c>
      <c r="P235" s="65"/>
      <c r="Q235" s="65"/>
      <c r="R235" s="65" t="s">
        <v>232</v>
      </c>
      <c r="S235" s="66" t="n">
        <f aca="false">Model_Calc!AL43</f>
        <v>1150.426368</v>
      </c>
      <c r="T235" s="66" t="n">
        <f aca="false">ROUND(S235-O235,4)</f>
        <v>0</v>
      </c>
    </row>
    <row r="236" customFormat="false" ht="15" hidden="false" customHeight="false" outlineLevel="0" collapsed="false">
      <c r="A236" s="18" t="s">
        <v>193</v>
      </c>
      <c r="B236" s="18" t="s">
        <v>194</v>
      </c>
      <c r="C236" s="18"/>
      <c r="D236" s="49" t="n">
        <v>46113</v>
      </c>
      <c r="E236" s="18" t="s">
        <v>127</v>
      </c>
      <c r="F236" s="18" t="s">
        <v>119</v>
      </c>
      <c r="G236" s="18" t="s">
        <v>100</v>
      </c>
      <c r="H236" s="18" t="s">
        <v>128</v>
      </c>
      <c r="I236" s="18" t="s">
        <v>125</v>
      </c>
      <c r="J236" s="18" t="s">
        <v>237</v>
      </c>
      <c r="K236" s="18" t="s">
        <v>195</v>
      </c>
      <c r="L236" s="64" t="n">
        <v>58.7962368</v>
      </c>
      <c r="M236" s="64" t="n">
        <v>7.8</v>
      </c>
      <c r="N236" s="18" t="s">
        <v>468</v>
      </c>
      <c r="O236" s="65" t="n">
        <v>458.6106</v>
      </c>
      <c r="P236" s="65"/>
      <c r="Q236" s="65"/>
      <c r="R236" s="65" t="s">
        <v>232</v>
      </c>
      <c r="S236" s="66" t="n">
        <f aca="false">Model_Calc!AQ43</f>
        <v>458.61064704</v>
      </c>
      <c r="T236" s="66" t="n">
        <f aca="false">ROUND(S236-O236,4)</f>
        <v>0</v>
      </c>
    </row>
    <row r="237" customFormat="false" ht="15" hidden="false" customHeight="false" outlineLevel="0" collapsed="false">
      <c r="A237" s="18" t="s">
        <v>193</v>
      </c>
      <c r="B237" s="18" t="s">
        <v>194</v>
      </c>
      <c r="C237" s="18"/>
      <c r="D237" s="49" t="n">
        <v>46113</v>
      </c>
      <c r="E237" s="18" t="s">
        <v>127</v>
      </c>
      <c r="F237" s="18" t="s">
        <v>119</v>
      </c>
      <c r="G237" s="18" t="s">
        <v>100</v>
      </c>
      <c r="H237" s="18" t="s">
        <v>128</v>
      </c>
      <c r="I237" s="18" t="s">
        <v>125</v>
      </c>
      <c r="J237" s="18" t="s">
        <v>239</v>
      </c>
      <c r="K237" s="18" t="s">
        <v>199</v>
      </c>
      <c r="L237" s="64" t="n">
        <v>47.996928</v>
      </c>
      <c r="M237" s="64" t="n">
        <v>9</v>
      </c>
      <c r="N237" s="18" t="s">
        <v>469</v>
      </c>
      <c r="O237" s="65" t="n">
        <v>431.9724</v>
      </c>
      <c r="P237" s="65"/>
      <c r="Q237" s="65"/>
      <c r="R237" s="65" t="s">
        <v>232</v>
      </c>
      <c r="S237" s="66" t="n">
        <f aca="false">Model_Calc!AV43</f>
        <v>431.972352</v>
      </c>
      <c r="T237" s="66" t="n">
        <f aca="false">ROUND(S237-O237,4)</f>
        <v>0</v>
      </c>
    </row>
    <row r="238" customFormat="false" ht="15" hidden="false" customHeight="false" outlineLevel="0" collapsed="false">
      <c r="A238" s="18" t="s">
        <v>193</v>
      </c>
      <c r="B238" s="18" t="s">
        <v>194</v>
      </c>
      <c r="C238" s="18"/>
      <c r="D238" s="49" t="n">
        <v>46113</v>
      </c>
      <c r="E238" s="18" t="s">
        <v>127</v>
      </c>
      <c r="F238" s="18" t="s">
        <v>119</v>
      </c>
      <c r="G238" s="18" t="s">
        <v>100</v>
      </c>
      <c r="H238" s="18" t="s">
        <v>128</v>
      </c>
      <c r="I238" s="18" t="s">
        <v>125</v>
      </c>
      <c r="J238" s="18" t="s">
        <v>241</v>
      </c>
      <c r="K238" s="18" t="s">
        <v>199</v>
      </c>
      <c r="L238" s="64" t="n">
        <v>4.535709696</v>
      </c>
      <c r="M238" s="64" t="n">
        <v>9</v>
      </c>
      <c r="N238" s="18" t="s">
        <v>470</v>
      </c>
      <c r="O238" s="65" t="n">
        <v>40.8214</v>
      </c>
      <c r="P238" s="65"/>
      <c r="Q238" s="65"/>
      <c r="R238" s="65" t="s">
        <v>232</v>
      </c>
      <c r="S238" s="66" t="n">
        <f aca="false">Model_Calc!BA43</f>
        <v>40.821387264</v>
      </c>
      <c r="T238" s="66" t="n">
        <f aca="false">ROUND(S238-O238,4)</f>
        <v>0</v>
      </c>
    </row>
    <row r="239" customFormat="false" ht="15" hidden="false" customHeight="false" outlineLevel="0" collapsed="false">
      <c r="A239" s="18" t="s">
        <v>193</v>
      </c>
      <c r="B239" s="18" t="s">
        <v>194</v>
      </c>
      <c r="C239" s="18"/>
      <c r="D239" s="49" t="n">
        <v>46113</v>
      </c>
      <c r="E239" s="18" t="s">
        <v>130</v>
      </c>
      <c r="F239" s="18" t="s">
        <v>119</v>
      </c>
      <c r="G239" s="18" t="s">
        <v>110</v>
      </c>
      <c r="H239" s="18" t="s">
        <v>107</v>
      </c>
      <c r="I239" s="18" t="s">
        <v>125</v>
      </c>
      <c r="J239" s="18" t="s">
        <v>230</v>
      </c>
      <c r="K239" s="18" t="s">
        <v>195</v>
      </c>
      <c r="L239" s="64" t="n">
        <v>1203.8292</v>
      </c>
      <c r="M239" s="64" t="n">
        <v>7.8</v>
      </c>
      <c r="N239" s="18" t="s">
        <v>471</v>
      </c>
      <c r="O239" s="65" t="n">
        <v>9389.8678</v>
      </c>
      <c r="P239" s="65"/>
      <c r="Q239" s="65"/>
      <c r="R239" s="65" t="s">
        <v>232</v>
      </c>
      <c r="S239" s="66" t="n">
        <f aca="false">Model_Calc!AF44</f>
        <v>9389.86776</v>
      </c>
      <c r="T239" s="66" t="n">
        <f aca="false">ROUND(S239-O239,4)</f>
        <v>0</v>
      </c>
    </row>
    <row r="240" customFormat="false" ht="15" hidden="false" customHeight="false" outlineLevel="0" collapsed="false">
      <c r="A240" s="18" t="s">
        <v>193</v>
      </c>
      <c r="B240" s="18" t="s">
        <v>194</v>
      </c>
      <c r="C240" s="18"/>
      <c r="D240" s="49" t="n">
        <v>46113</v>
      </c>
      <c r="E240" s="18" t="s">
        <v>130</v>
      </c>
      <c r="F240" s="18" t="s">
        <v>119</v>
      </c>
      <c r="G240" s="18" t="s">
        <v>110</v>
      </c>
      <c r="H240" s="18" t="s">
        <v>107</v>
      </c>
      <c r="I240" s="18" t="s">
        <v>125</v>
      </c>
      <c r="J240" s="18" t="s">
        <v>233</v>
      </c>
      <c r="K240" s="18" t="s">
        <v>195</v>
      </c>
      <c r="L240" s="64" t="n">
        <v>126.402066</v>
      </c>
      <c r="M240" s="64" t="n">
        <v>7.8</v>
      </c>
      <c r="N240" s="18" t="s">
        <v>472</v>
      </c>
      <c r="O240" s="65" t="n">
        <v>985.9361</v>
      </c>
      <c r="P240" s="65"/>
      <c r="Q240" s="65"/>
      <c r="R240" s="65" t="s">
        <v>232</v>
      </c>
      <c r="S240" s="66" t="n">
        <f aca="false">Model_Calc!AG44</f>
        <v>985.9361148</v>
      </c>
      <c r="T240" s="66" t="n">
        <f aca="false">ROUND(S240-O240,4)</f>
        <v>0</v>
      </c>
    </row>
    <row r="241" customFormat="false" ht="15" hidden="false" customHeight="false" outlineLevel="0" collapsed="false">
      <c r="A241" s="18" t="s">
        <v>193</v>
      </c>
      <c r="B241" s="18" t="s">
        <v>194</v>
      </c>
      <c r="C241" s="18"/>
      <c r="D241" s="49" t="n">
        <v>46113</v>
      </c>
      <c r="E241" s="18" t="s">
        <v>130</v>
      </c>
      <c r="F241" s="18" t="s">
        <v>119</v>
      </c>
      <c r="G241" s="18" t="s">
        <v>110</v>
      </c>
      <c r="H241" s="18" t="s">
        <v>107</v>
      </c>
      <c r="I241" s="18" t="s">
        <v>125</v>
      </c>
      <c r="J241" s="18" t="s">
        <v>235</v>
      </c>
      <c r="K241" s="18" t="s">
        <v>195</v>
      </c>
      <c r="L241" s="64" t="n">
        <v>182.28</v>
      </c>
      <c r="M241" s="64" t="n">
        <v>7.8</v>
      </c>
      <c r="N241" s="18" t="s">
        <v>473</v>
      </c>
      <c r="O241" s="65" t="n">
        <v>1421.784</v>
      </c>
      <c r="P241" s="65"/>
      <c r="Q241" s="65"/>
      <c r="R241" s="65" t="s">
        <v>232</v>
      </c>
      <c r="S241" s="66" t="n">
        <f aca="false">Model_Calc!AL44</f>
        <v>1421.784</v>
      </c>
      <c r="T241" s="66" t="n">
        <f aca="false">ROUND(S241-O241,4)</f>
        <v>0</v>
      </c>
    </row>
    <row r="242" customFormat="false" ht="15" hidden="false" customHeight="false" outlineLevel="0" collapsed="false">
      <c r="A242" s="18" t="s">
        <v>193</v>
      </c>
      <c r="B242" s="18" t="s">
        <v>194</v>
      </c>
      <c r="C242" s="18"/>
      <c r="D242" s="49" t="n">
        <v>46113</v>
      </c>
      <c r="E242" s="18" t="s">
        <v>130</v>
      </c>
      <c r="F242" s="18" t="s">
        <v>119</v>
      </c>
      <c r="G242" s="18" t="s">
        <v>110</v>
      </c>
      <c r="H242" s="18" t="s">
        <v>107</v>
      </c>
      <c r="I242" s="18" t="s">
        <v>125</v>
      </c>
      <c r="J242" s="18" t="s">
        <v>237</v>
      </c>
      <c r="K242" s="18" t="s">
        <v>195</v>
      </c>
      <c r="L242" s="64" t="n">
        <v>75.8632</v>
      </c>
      <c r="M242" s="64" t="n">
        <v>7.8</v>
      </c>
      <c r="N242" s="18" t="s">
        <v>474</v>
      </c>
      <c r="O242" s="65" t="n">
        <v>591.733</v>
      </c>
      <c r="P242" s="65"/>
      <c r="Q242" s="65"/>
      <c r="R242" s="65" t="s">
        <v>232</v>
      </c>
      <c r="S242" s="66" t="n">
        <f aca="false">Model_Calc!AQ44</f>
        <v>591.73296</v>
      </c>
      <c r="T242" s="66" t="n">
        <f aca="false">ROUND(S242-O242,4)</f>
        <v>0</v>
      </c>
    </row>
    <row r="243" customFormat="false" ht="15" hidden="false" customHeight="false" outlineLevel="0" collapsed="false">
      <c r="A243" s="18" t="s">
        <v>193</v>
      </c>
      <c r="B243" s="18" t="s">
        <v>194</v>
      </c>
      <c r="C243" s="18"/>
      <c r="D243" s="49" t="n">
        <v>46113</v>
      </c>
      <c r="E243" s="18" t="s">
        <v>130</v>
      </c>
      <c r="F243" s="18" t="s">
        <v>119</v>
      </c>
      <c r="G243" s="18" t="s">
        <v>110</v>
      </c>
      <c r="H243" s="18" t="s">
        <v>107</v>
      </c>
      <c r="I243" s="18" t="s">
        <v>125</v>
      </c>
      <c r="J243" s="18" t="s">
        <v>239</v>
      </c>
      <c r="K243" s="18" t="s">
        <v>195</v>
      </c>
      <c r="L243" s="64" t="n">
        <v>72.2176</v>
      </c>
      <c r="M243" s="64" t="n">
        <v>7.8</v>
      </c>
      <c r="N243" s="18" t="s">
        <v>475</v>
      </c>
      <c r="O243" s="65" t="n">
        <v>563.2973</v>
      </c>
      <c r="P243" s="65"/>
      <c r="Q243" s="65"/>
      <c r="R243" s="65" t="s">
        <v>232</v>
      </c>
      <c r="S243" s="66" t="n">
        <f aca="false">Model_Calc!AV44</f>
        <v>563.29728</v>
      </c>
      <c r="T243" s="66" t="n">
        <f aca="false">ROUND(S243-O243,4)</f>
        <v>0</v>
      </c>
    </row>
    <row r="244" customFormat="false" ht="15" hidden="false" customHeight="false" outlineLevel="0" collapsed="false">
      <c r="A244" s="18" t="s">
        <v>193</v>
      </c>
      <c r="B244" s="18" t="s">
        <v>194</v>
      </c>
      <c r="C244" s="18"/>
      <c r="D244" s="49" t="n">
        <v>46113</v>
      </c>
      <c r="E244" s="18" t="s">
        <v>130</v>
      </c>
      <c r="F244" s="18" t="s">
        <v>119</v>
      </c>
      <c r="G244" s="18" t="s">
        <v>110</v>
      </c>
      <c r="H244" s="18" t="s">
        <v>107</v>
      </c>
      <c r="I244" s="18" t="s">
        <v>125</v>
      </c>
      <c r="J244" s="18" t="s">
        <v>241</v>
      </c>
      <c r="K244" s="18" t="s">
        <v>195</v>
      </c>
      <c r="L244" s="64" t="n">
        <v>6.707904</v>
      </c>
      <c r="M244" s="64" t="n">
        <v>7.8</v>
      </c>
      <c r="N244" s="18" t="s">
        <v>476</v>
      </c>
      <c r="O244" s="65" t="n">
        <v>52.3217</v>
      </c>
      <c r="P244" s="65"/>
      <c r="Q244" s="65"/>
      <c r="R244" s="65" t="s">
        <v>232</v>
      </c>
      <c r="S244" s="66" t="n">
        <f aca="false">Model_Calc!BA44</f>
        <v>52.3216512</v>
      </c>
      <c r="T244" s="66" t="n">
        <f aca="false">ROUND(S244-O244,4)</f>
        <v>0</v>
      </c>
    </row>
    <row r="245" customFormat="false" ht="15" hidden="false" customHeight="false" outlineLevel="0" collapsed="false">
      <c r="A245" s="18" t="s">
        <v>193</v>
      </c>
      <c r="B245" s="18" t="s">
        <v>194</v>
      </c>
      <c r="C245" s="18"/>
      <c r="D245" s="49" t="n">
        <v>46143</v>
      </c>
      <c r="E245" s="18" t="s">
        <v>98</v>
      </c>
      <c r="F245" s="18" t="s">
        <v>99</v>
      </c>
      <c r="G245" s="18" t="s">
        <v>100</v>
      </c>
      <c r="H245" s="18" t="s">
        <v>101</v>
      </c>
      <c r="I245" s="18" t="s">
        <v>102</v>
      </c>
      <c r="J245" s="18" t="s">
        <v>230</v>
      </c>
      <c r="K245" s="18" t="s">
        <v>195</v>
      </c>
      <c r="L245" s="64" t="n">
        <v>6543.561024</v>
      </c>
      <c r="M245" s="64" t="n">
        <v>7.8</v>
      </c>
      <c r="N245" s="18" t="s">
        <v>477</v>
      </c>
      <c r="O245" s="65" t="n">
        <v>51039.776</v>
      </c>
      <c r="P245" s="65"/>
      <c r="Q245" s="65"/>
      <c r="R245" s="65" t="s">
        <v>232</v>
      </c>
      <c r="S245" s="66" t="n">
        <f aca="false">Model_Calc!AF45</f>
        <v>51039.7759872</v>
      </c>
      <c r="T245" s="66" t="n">
        <f aca="false">ROUND(S245-O245,4)</f>
        <v>0</v>
      </c>
    </row>
    <row r="246" customFormat="false" ht="15" hidden="false" customHeight="false" outlineLevel="0" collapsed="false">
      <c r="A246" s="18" t="s">
        <v>193</v>
      </c>
      <c r="B246" s="18" t="s">
        <v>194</v>
      </c>
      <c r="C246" s="18"/>
      <c r="D246" s="49" t="n">
        <v>46143</v>
      </c>
      <c r="E246" s="18" t="s">
        <v>98</v>
      </c>
      <c r="F246" s="18" t="s">
        <v>99</v>
      </c>
      <c r="G246" s="18" t="s">
        <v>100</v>
      </c>
      <c r="H246" s="18" t="s">
        <v>101</v>
      </c>
      <c r="I246" s="18" t="s">
        <v>102</v>
      </c>
      <c r="J246" s="18" t="s">
        <v>233</v>
      </c>
      <c r="K246" s="18" t="s">
        <v>195</v>
      </c>
      <c r="L246" s="64" t="n">
        <v>621.63829728</v>
      </c>
      <c r="M246" s="64" t="n">
        <v>7.8</v>
      </c>
      <c r="N246" s="18" t="s">
        <v>478</v>
      </c>
      <c r="O246" s="65" t="n">
        <v>4848.7787</v>
      </c>
      <c r="P246" s="65"/>
      <c r="Q246" s="65"/>
      <c r="R246" s="65" t="s">
        <v>232</v>
      </c>
      <c r="S246" s="66" t="n">
        <f aca="false">Model_Calc!AG45</f>
        <v>4848.778718784</v>
      </c>
      <c r="T246" s="66" t="n">
        <f aca="false">ROUND(S246-O246,4)</f>
        <v>0</v>
      </c>
    </row>
    <row r="247" customFormat="false" ht="15" hidden="false" customHeight="false" outlineLevel="0" collapsed="false">
      <c r="A247" s="18" t="s">
        <v>193</v>
      </c>
      <c r="B247" s="18" t="s">
        <v>194</v>
      </c>
      <c r="C247" s="18"/>
      <c r="D247" s="49" t="n">
        <v>46143</v>
      </c>
      <c r="E247" s="18" t="s">
        <v>98</v>
      </c>
      <c r="F247" s="18" t="s">
        <v>99</v>
      </c>
      <c r="G247" s="18" t="s">
        <v>100</v>
      </c>
      <c r="H247" s="18" t="s">
        <v>101</v>
      </c>
      <c r="I247" s="18" t="s">
        <v>102</v>
      </c>
      <c r="J247" s="18" t="s">
        <v>235</v>
      </c>
      <c r="K247" s="18" t="s">
        <v>195</v>
      </c>
      <c r="L247" s="64" t="n">
        <v>4285.3824</v>
      </c>
      <c r="M247" s="64" t="n">
        <v>7.8</v>
      </c>
      <c r="N247" s="18" t="s">
        <v>479</v>
      </c>
      <c r="O247" s="65" t="n">
        <v>33425.9827</v>
      </c>
      <c r="P247" s="65"/>
      <c r="Q247" s="65"/>
      <c r="R247" s="65" t="s">
        <v>232</v>
      </c>
      <c r="S247" s="66" t="n">
        <f aca="false">Model_Calc!AL45</f>
        <v>33425.98272</v>
      </c>
      <c r="T247" s="66" t="n">
        <f aca="false">ROUND(S247-O247,4)</f>
        <v>0</v>
      </c>
    </row>
    <row r="248" customFormat="false" ht="15" hidden="false" customHeight="false" outlineLevel="0" collapsed="false">
      <c r="A248" s="18" t="s">
        <v>193</v>
      </c>
      <c r="B248" s="18" t="s">
        <v>194</v>
      </c>
      <c r="C248" s="18"/>
      <c r="D248" s="49" t="n">
        <v>46143</v>
      </c>
      <c r="E248" s="18" t="s">
        <v>98</v>
      </c>
      <c r="F248" s="18" t="s">
        <v>99</v>
      </c>
      <c r="G248" s="18" t="s">
        <v>100</v>
      </c>
      <c r="H248" s="18" t="s">
        <v>101</v>
      </c>
      <c r="I248" s="18" t="s">
        <v>102</v>
      </c>
      <c r="J248" s="18" t="s">
        <v>237</v>
      </c>
      <c r="K248" s="18" t="s">
        <v>195</v>
      </c>
      <c r="L248" s="64" t="n">
        <v>1601.57088</v>
      </c>
      <c r="M248" s="64" t="n">
        <v>7.8</v>
      </c>
      <c r="N248" s="18" t="s">
        <v>480</v>
      </c>
      <c r="O248" s="65" t="n">
        <v>12492.2529</v>
      </c>
      <c r="P248" s="65"/>
      <c r="Q248" s="65"/>
      <c r="R248" s="65" t="s">
        <v>232</v>
      </c>
      <c r="S248" s="66" t="n">
        <f aca="false">Model_Calc!AQ45</f>
        <v>12492.252864</v>
      </c>
      <c r="T248" s="66" t="n">
        <f aca="false">ROUND(S248-O248,4)</f>
        <v>0</v>
      </c>
    </row>
    <row r="249" customFormat="false" ht="15" hidden="false" customHeight="false" outlineLevel="0" collapsed="false">
      <c r="A249" s="18" t="s">
        <v>193</v>
      </c>
      <c r="B249" s="18" t="s">
        <v>194</v>
      </c>
      <c r="C249" s="18"/>
      <c r="D249" s="49" t="n">
        <v>46143</v>
      </c>
      <c r="E249" s="18" t="s">
        <v>98</v>
      </c>
      <c r="F249" s="18" t="s">
        <v>99</v>
      </c>
      <c r="G249" s="18" t="s">
        <v>100</v>
      </c>
      <c r="H249" s="18" t="s">
        <v>101</v>
      </c>
      <c r="I249" s="18" t="s">
        <v>102</v>
      </c>
      <c r="J249" s="18" t="s">
        <v>239</v>
      </c>
      <c r="K249" s="18" t="s">
        <v>195</v>
      </c>
      <c r="L249" s="64" t="n">
        <v>581.0688</v>
      </c>
      <c r="M249" s="64" t="n">
        <v>7.8</v>
      </c>
      <c r="N249" s="18" t="s">
        <v>481</v>
      </c>
      <c r="O249" s="65" t="n">
        <v>4532.3366</v>
      </c>
      <c r="P249" s="65"/>
      <c r="Q249" s="65"/>
      <c r="R249" s="65" t="s">
        <v>232</v>
      </c>
      <c r="S249" s="66" t="n">
        <f aca="false">Model_Calc!AV45</f>
        <v>4532.33664</v>
      </c>
      <c r="T249" s="66" t="n">
        <f aca="false">ROUND(S249-O249,4)</f>
        <v>0</v>
      </c>
    </row>
    <row r="250" customFormat="false" ht="15" hidden="false" customHeight="false" outlineLevel="0" collapsed="false">
      <c r="A250" s="18" t="s">
        <v>193</v>
      </c>
      <c r="B250" s="18" t="s">
        <v>194</v>
      </c>
      <c r="C250" s="18"/>
      <c r="D250" s="49" t="n">
        <v>46143</v>
      </c>
      <c r="E250" s="18" t="s">
        <v>98</v>
      </c>
      <c r="F250" s="18" t="s">
        <v>99</v>
      </c>
      <c r="G250" s="18" t="s">
        <v>100</v>
      </c>
      <c r="H250" s="18" t="s">
        <v>101</v>
      </c>
      <c r="I250" s="18" t="s">
        <v>102</v>
      </c>
      <c r="J250" s="18" t="s">
        <v>241</v>
      </c>
      <c r="K250" s="18" t="s">
        <v>195</v>
      </c>
      <c r="L250" s="64" t="n">
        <v>140.3281152</v>
      </c>
      <c r="M250" s="64" t="n">
        <v>7.8</v>
      </c>
      <c r="N250" s="18" t="s">
        <v>482</v>
      </c>
      <c r="O250" s="65" t="n">
        <v>1094.5593</v>
      </c>
      <c r="P250" s="65"/>
      <c r="Q250" s="65"/>
      <c r="R250" s="65" t="s">
        <v>232</v>
      </c>
      <c r="S250" s="66" t="n">
        <f aca="false">Model_Calc!BA45</f>
        <v>1094.55929856</v>
      </c>
      <c r="T250" s="66" t="n">
        <f aca="false">ROUND(S250-O250,4)</f>
        <v>0</v>
      </c>
    </row>
    <row r="251" customFormat="false" ht="15" hidden="false" customHeight="false" outlineLevel="0" collapsed="false">
      <c r="A251" s="18" t="s">
        <v>193</v>
      </c>
      <c r="B251" s="18" t="s">
        <v>194</v>
      </c>
      <c r="C251" s="18"/>
      <c r="D251" s="49" t="n">
        <v>46143</v>
      </c>
      <c r="E251" s="18" t="s">
        <v>106</v>
      </c>
      <c r="F251" s="18" t="s">
        <v>99</v>
      </c>
      <c r="G251" s="18" t="s">
        <v>100</v>
      </c>
      <c r="H251" s="18" t="s">
        <v>107</v>
      </c>
      <c r="I251" s="18" t="s">
        <v>102</v>
      </c>
      <c r="J251" s="18" t="s">
        <v>230</v>
      </c>
      <c r="K251" s="18" t="s">
        <v>195</v>
      </c>
      <c r="L251" s="64" t="n">
        <v>5592.7872</v>
      </c>
      <c r="M251" s="64" t="n">
        <v>7.8</v>
      </c>
      <c r="N251" s="18" t="s">
        <v>483</v>
      </c>
      <c r="O251" s="65" t="n">
        <v>43623.7402</v>
      </c>
      <c r="P251" s="65"/>
      <c r="Q251" s="65"/>
      <c r="R251" s="65" t="s">
        <v>232</v>
      </c>
      <c r="S251" s="66" t="n">
        <f aca="false">Model_Calc!AF46</f>
        <v>43623.74016</v>
      </c>
      <c r="T251" s="66" t="n">
        <f aca="false">ROUND(S251-O251,4)</f>
        <v>0</v>
      </c>
    </row>
    <row r="252" customFormat="false" ht="15" hidden="false" customHeight="false" outlineLevel="0" collapsed="false">
      <c r="A252" s="18" t="s">
        <v>193</v>
      </c>
      <c r="B252" s="18" t="s">
        <v>194</v>
      </c>
      <c r="C252" s="18"/>
      <c r="D252" s="49" t="n">
        <v>46143</v>
      </c>
      <c r="E252" s="18" t="s">
        <v>106</v>
      </c>
      <c r="F252" s="18" t="s">
        <v>99</v>
      </c>
      <c r="G252" s="18" t="s">
        <v>100</v>
      </c>
      <c r="H252" s="18" t="s">
        <v>107</v>
      </c>
      <c r="I252" s="18" t="s">
        <v>102</v>
      </c>
      <c r="J252" s="18" t="s">
        <v>233</v>
      </c>
      <c r="K252" s="18" t="s">
        <v>195</v>
      </c>
      <c r="L252" s="64" t="n">
        <v>427.085568</v>
      </c>
      <c r="M252" s="64" t="n">
        <v>7.8</v>
      </c>
      <c r="N252" s="18" t="s">
        <v>484</v>
      </c>
      <c r="O252" s="65" t="n">
        <v>3331.2674</v>
      </c>
      <c r="P252" s="65"/>
      <c r="Q252" s="65"/>
      <c r="R252" s="65" t="s">
        <v>232</v>
      </c>
      <c r="S252" s="66" t="n">
        <f aca="false">Model_Calc!AG46</f>
        <v>3331.2674304</v>
      </c>
      <c r="T252" s="66" t="n">
        <f aca="false">ROUND(S252-O252,4)</f>
        <v>0</v>
      </c>
    </row>
    <row r="253" customFormat="false" ht="15" hidden="false" customHeight="false" outlineLevel="0" collapsed="false">
      <c r="A253" s="18" t="s">
        <v>193</v>
      </c>
      <c r="B253" s="18" t="s">
        <v>194</v>
      </c>
      <c r="C253" s="18"/>
      <c r="D253" s="49" t="n">
        <v>46143</v>
      </c>
      <c r="E253" s="18" t="s">
        <v>106</v>
      </c>
      <c r="F253" s="18" t="s">
        <v>99</v>
      </c>
      <c r="G253" s="18" t="s">
        <v>100</v>
      </c>
      <c r="H253" s="18" t="s">
        <v>107</v>
      </c>
      <c r="I253" s="18" t="s">
        <v>102</v>
      </c>
      <c r="J253" s="18" t="s">
        <v>235</v>
      </c>
      <c r="K253" s="18" t="s">
        <v>195</v>
      </c>
      <c r="L253" s="64" t="n">
        <v>2856.9216</v>
      </c>
      <c r="M253" s="64" t="n">
        <v>7.8</v>
      </c>
      <c r="N253" s="18" t="s">
        <v>485</v>
      </c>
      <c r="O253" s="65" t="n">
        <v>22283.9885</v>
      </c>
      <c r="P253" s="65"/>
      <c r="Q253" s="65"/>
      <c r="R253" s="65" t="s">
        <v>232</v>
      </c>
      <c r="S253" s="66" t="n">
        <f aca="false">Model_Calc!AL46</f>
        <v>22283.98848</v>
      </c>
      <c r="T253" s="66" t="n">
        <f aca="false">ROUND(S253-O253,4)</f>
        <v>0</v>
      </c>
    </row>
    <row r="254" customFormat="false" ht="15" hidden="false" customHeight="false" outlineLevel="0" collapsed="false">
      <c r="A254" s="18" t="s">
        <v>193</v>
      </c>
      <c r="B254" s="18" t="s">
        <v>194</v>
      </c>
      <c r="C254" s="18"/>
      <c r="D254" s="49" t="n">
        <v>46143</v>
      </c>
      <c r="E254" s="18" t="s">
        <v>106</v>
      </c>
      <c r="F254" s="18" t="s">
        <v>99</v>
      </c>
      <c r="G254" s="18" t="s">
        <v>100</v>
      </c>
      <c r="H254" s="18" t="s">
        <v>107</v>
      </c>
      <c r="I254" s="18" t="s">
        <v>102</v>
      </c>
      <c r="J254" s="18" t="s">
        <v>237</v>
      </c>
      <c r="K254" s="18" t="s">
        <v>195</v>
      </c>
      <c r="L254" s="64" t="n">
        <v>1067.71392</v>
      </c>
      <c r="M254" s="64" t="n">
        <v>7.8</v>
      </c>
      <c r="N254" s="18" t="s">
        <v>486</v>
      </c>
      <c r="O254" s="65" t="n">
        <v>8328.1686</v>
      </c>
      <c r="P254" s="65"/>
      <c r="Q254" s="65"/>
      <c r="R254" s="65" t="s">
        <v>232</v>
      </c>
      <c r="S254" s="66" t="n">
        <f aca="false">Model_Calc!AQ46</f>
        <v>8328.168576</v>
      </c>
      <c r="T254" s="66" t="n">
        <f aca="false">ROUND(S254-O254,4)</f>
        <v>0</v>
      </c>
    </row>
    <row r="255" customFormat="false" ht="15" hidden="false" customHeight="false" outlineLevel="0" collapsed="false">
      <c r="A255" s="18" t="s">
        <v>193</v>
      </c>
      <c r="B255" s="18" t="s">
        <v>194</v>
      </c>
      <c r="C255" s="18"/>
      <c r="D255" s="49" t="n">
        <v>46143</v>
      </c>
      <c r="E255" s="18" t="s">
        <v>106</v>
      </c>
      <c r="F255" s="18" t="s">
        <v>99</v>
      </c>
      <c r="G255" s="18" t="s">
        <v>100</v>
      </c>
      <c r="H255" s="18" t="s">
        <v>107</v>
      </c>
      <c r="I255" s="18" t="s">
        <v>102</v>
      </c>
      <c r="J255" s="18" t="s">
        <v>239</v>
      </c>
      <c r="K255" s="18" t="s">
        <v>195</v>
      </c>
      <c r="L255" s="64" t="n">
        <v>387.3792</v>
      </c>
      <c r="M255" s="64" t="n">
        <v>7.8</v>
      </c>
      <c r="N255" s="18" t="s">
        <v>487</v>
      </c>
      <c r="O255" s="65" t="n">
        <v>3021.5578</v>
      </c>
      <c r="P255" s="65"/>
      <c r="Q255" s="65"/>
      <c r="R255" s="65" t="s">
        <v>232</v>
      </c>
      <c r="S255" s="66" t="n">
        <f aca="false">Model_Calc!AV46</f>
        <v>3021.55776</v>
      </c>
      <c r="T255" s="66" t="n">
        <f aca="false">ROUND(S255-O255,4)</f>
        <v>0</v>
      </c>
    </row>
    <row r="256" customFormat="false" ht="15" hidden="false" customHeight="false" outlineLevel="0" collapsed="false">
      <c r="A256" s="18" t="s">
        <v>193</v>
      </c>
      <c r="B256" s="18" t="s">
        <v>194</v>
      </c>
      <c r="C256" s="18"/>
      <c r="D256" s="49" t="n">
        <v>46143</v>
      </c>
      <c r="E256" s="18" t="s">
        <v>106</v>
      </c>
      <c r="F256" s="18" t="s">
        <v>99</v>
      </c>
      <c r="G256" s="18" t="s">
        <v>100</v>
      </c>
      <c r="H256" s="18" t="s">
        <v>107</v>
      </c>
      <c r="I256" s="18" t="s">
        <v>102</v>
      </c>
      <c r="J256" s="18" t="s">
        <v>241</v>
      </c>
      <c r="K256" s="18" t="s">
        <v>195</v>
      </c>
      <c r="L256" s="64" t="n">
        <v>76.0110624</v>
      </c>
      <c r="M256" s="64" t="n">
        <v>7.8</v>
      </c>
      <c r="N256" s="18" t="s">
        <v>488</v>
      </c>
      <c r="O256" s="65" t="n">
        <v>592.8863</v>
      </c>
      <c r="P256" s="65"/>
      <c r="Q256" s="65"/>
      <c r="R256" s="65" t="s">
        <v>232</v>
      </c>
      <c r="S256" s="66" t="n">
        <f aca="false">Model_Calc!BA46</f>
        <v>592.88628672</v>
      </c>
      <c r="T256" s="66" t="n">
        <f aca="false">ROUND(S256-O256,4)</f>
        <v>0</v>
      </c>
    </row>
    <row r="257" customFormat="false" ht="15" hidden="false" customHeight="false" outlineLevel="0" collapsed="false">
      <c r="A257" s="18" t="s">
        <v>193</v>
      </c>
      <c r="B257" s="18" t="s">
        <v>194</v>
      </c>
      <c r="C257" s="18"/>
      <c r="D257" s="49" t="n">
        <v>46143</v>
      </c>
      <c r="E257" s="18" t="s">
        <v>109</v>
      </c>
      <c r="F257" s="18" t="s">
        <v>99</v>
      </c>
      <c r="G257" s="18" t="s">
        <v>110</v>
      </c>
      <c r="H257" s="18" t="s">
        <v>107</v>
      </c>
      <c r="I257" s="18" t="s">
        <v>102</v>
      </c>
      <c r="J257" s="18" t="s">
        <v>230</v>
      </c>
      <c r="K257" s="18" t="s">
        <v>195</v>
      </c>
      <c r="L257" s="64" t="n">
        <v>573.775488</v>
      </c>
      <c r="M257" s="64" t="n">
        <v>7.8</v>
      </c>
      <c r="N257" s="18" t="s">
        <v>489</v>
      </c>
      <c r="O257" s="65" t="n">
        <v>4475.4488</v>
      </c>
      <c r="P257" s="65"/>
      <c r="Q257" s="65"/>
      <c r="R257" s="65" t="s">
        <v>232</v>
      </c>
      <c r="S257" s="66" t="n">
        <f aca="false">Model_Calc!AF47</f>
        <v>4475.4488064</v>
      </c>
      <c r="T257" s="66" t="n">
        <f aca="false">ROUND(S257-O257,4)</f>
        <v>0</v>
      </c>
    </row>
    <row r="258" customFormat="false" ht="15" hidden="false" customHeight="false" outlineLevel="0" collapsed="false">
      <c r="A258" s="18" t="s">
        <v>193</v>
      </c>
      <c r="B258" s="18" t="s">
        <v>194</v>
      </c>
      <c r="C258" s="18"/>
      <c r="D258" s="49" t="n">
        <v>46143</v>
      </c>
      <c r="E258" s="18" t="s">
        <v>109</v>
      </c>
      <c r="F258" s="18" t="s">
        <v>99</v>
      </c>
      <c r="G258" s="18" t="s">
        <v>110</v>
      </c>
      <c r="H258" s="18" t="s">
        <v>107</v>
      </c>
      <c r="I258" s="18" t="s">
        <v>102</v>
      </c>
      <c r="J258" s="18" t="s">
        <v>233</v>
      </c>
      <c r="K258" s="18" t="s">
        <v>195</v>
      </c>
      <c r="L258" s="64" t="n">
        <v>41.7291264</v>
      </c>
      <c r="M258" s="64" t="n">
        <v>7.8</v>
      </c>
      <c r="N258" s="18" t="s">
        <v>490</v>
      </c>
      <c r="O258" s="65" t="n">
        <v>325.4872</v>
      </c>
      <c r="P258" s="65"/>
      <c r="Q258" s="65"/>
      <c r="R258" s="65" t="s">
        <v>232</v>
      </c>
      <c r="S258" s="66" t="n">
        <f aca="false">Model_Calc!AG47</f>
        <v>325.48718592</v>
      </c>
      <c r="T258" s="66" t="n">
        <f aca="false">ROUND(S258-O258,4)</f>
        <v>0</v>
      </c>
    </row>
    <row r="259" customFormat="false" ht="15" hidden="false" customHeight="false" outlineLevel="0" collapsed="false">
      <c r="A259" s="18" t="s">
        <v>193</v>
      </c>
      <c r="B259" s="18" t="s">
        <v>194</v>
      </c>
      <c r="C259" s="18"/>
      <c r="D259" s="49" t="n">
        <v>46143</v>
      </c>
      <c r="E259" s="18" t="s">
        <v>109</v>
      </c>
      <c r="F259" s="18" t="s">
        <v>99</v>
      </c>
      <c r="G259" s="18" t="s">
        <v>110</v>
      </c>
      <c r="H259" s="18" t="s">
        <v>107</v>
      </c>
      <c r="I259" s="18" t="s">
        <v>102</v>
      </c>
      <c r="J259" s="18" t="s">
        <v>235</v>
      </c>
      <c r="K259" s="18" t="s">
        <v>195</v>
      </c>
      <c r="L259" s="64" t="n">
        <v>196.56</v>
      </c>
      <c r="M259" s="64" t="n">
        <v>7.8</v>
      </c>
      <c r="N259" s="18" t="s">
        <v>491</v>
      </c>
      <c r="O259" s="65" t="n">
        <v>1533.168</v>
      </c>
      <c r="P259" s="65"/>
      <c r="Q259" s="65"/>
      <c r="R259" s="65" t="s">
        <v>232</v>
      </c>
      <c r="S259" s="66" t="n">
        <f aca="false">Model_Calc!AL47</f>
        <v>1533.168</v>
      </c>
      <c r="T259" s="66" t="n">
        <f aca="false">ROUND(S259-O259,4)</f>
        <v>0</v>
      </c>
    </row>
    <row r="260" customFormat="false" ht="15" hidden="false" customHeight="false" outlineLevel="0" collapsed="false">
      <c r="A260" s="18" t="s">
        <v>193</v>
      </c>
      <c r="B260" s="18" t="s">
        <v>194</v>
      </c>
      <c r="C260" s="18"/>
      <c r="D260" s="49" t="n">
        <v>46143</v>
      </c>
      <c r="E260" s="18" t="s">
        <v>109</v>
      </c>
      <c r="F260" s="18" t="s">
        <v>99</v>
      </c>
      <c r="G260" s="18" t="s">
        <v>110</v>
      </c>
      <c r="H260" s="18" t="s">
        <v>107</v>
      </c>
      <c r="I260" s="18" t="s">
        <v>102</v>
      </c>
      <c r="J260" s="18" t="s">
        <v>237</v>
      </c>
      <c r="K260" s="18" t="s">
        <v>195</v>
      </c>
      <c r="L260" s="64" t="n">
        <v>76.82688</v>
      </c>
      <c r="M260" s="64" t="n">
        <v>7.8</v>
      </c>
      <c r="N260" s="18" t="s">
        <v>492</v>
      </c>
      <c r="O260" s="65" t="n">
        <v>599.2497</v>
      </c>
      <c r="P260" s="65"/>
      <c r="Q260" s="65"/>
      <c r="R260" s="65" t="s">
        <v>232</v>
      </c>
      <c r="S260" s="66" t="n">
        <f aca="false">Model_Calc!AQ47</f>
        <v>599.249664</v>
      </c>
      <c r="T260" s="66" t="n">
        <f aca="false">ROUND(S260-O260,4)</f>
        <v>0</v>
      </c>
    </row>
    <row r="261" customFormat="false" ht="15" hidden="false" customHeight="false" outlineLevel="0" collapsed="false">
      <c r="A261" s="18" t="s">
        <v>193</v>
      </c>
      <c r="B261" s="18" t="s">
        <v>194</v>
      </c>
      <c r="C261" s="18"/>
      <c r="D261" s="49" t="n">
        <v>46143</v>
      </c>
      <c r="E261" s="18" t="s">
        <v>109</v>
      </c>
      <c r="F261" s="18" t="s">
        <v>99</v>
      </c>
      <c r="G261" s="18" t="s">
        <v>110</v>
      </c>
      <c r="H261" s="18" t="s">
        <v>107</v>
      </c>
      <c r="I261" s="18" t="s">
        <v>102</v>
      </c>
      <c r="J261" s="18" t="s">
        <v>239</v>
      </c>
      <c r="K261" s="18" t="s">
        <v>195</v>
      </c>
      <c r="L261" s="64" t="n">
        <v>35.568</v>
      </c>
      <c r="M261" s="64" t="n">
        <v>7.8</v>
      </c>
      <c r="N261" s="18" t="s">
        <v>493</v>
      </c>
      <c r="O261" s="65" t="n">
        <v>277.4304</v>
      </c>
      <c r="P261" s="65"/>
      <c r="Q261" s="65"/>
      <c r="R261" s="65" t="s">
        <v>232</v>
      </c>
      <c r="S261" s="66" t="n">
        <f aca="false">Model_Calc!AV47</f>
        <v>277.4304</v>
      </c>
      <c r="T261" s="66" t="n">
        <f aca="false">ROUND(S261-O261,4)</f>
        <v>0</v>
      </c>
    </row>
    <row r="262" customFormat="false" ht="15" hidden="false" customHeight="false" outlineLevel="0" collapsed="false">
      <c r="A262" s="18" t="s">
        <v>193</v>
      </c>
      <c r="B262" s="18" t="s">
        <v>194</v>
      </c>
      <c r="C262" s="18"/>
      <c r="D262" s="49" t="n">
        <v>46143</v>
      </c>
      <c r="E262" s="18" t="s">
        <v>109</v>
      </c>
      <c r="F262" s="18" t="s">
        <v>99</v>
      </c>
      <c r="G262" s="18" t="s">
        <v>110</v>
      </c>
      <c r="H262" s="18" t="s">
        <v>107</v>
      </c>
      <c r="I262" s="18" t="s">
        <v>102</v>
      </c>
      <c r="J262" s="18" t="s">
        <v>241</v>
      </c>
      <c r="K262" s="18" t="s">
        <v>195</v>
      </c>
      <c r="L262" s="64" t="n">
        <v>6.5100672</v>
      </c>
      <c r="M262" s="64" t="n">
        <v>7.8</v>
      </c>
      <c r="N262" s="18" t="s">
        <v>494</v>
      </c>
      <c r="O262" s="65" t="n">
        <v>50.7785</v>
      </c>
      <c r="P262" s="65"/>
      <c r="Q262" s="65"/>
      <c r="R262" s="65" t="s">
        <v>232</v>
      </c>
      <c r="S262" s="66" t="n">
        <f aca="false">Model_Calc!BA47</f>
        <v>50.77852416</v>
      </c>
      <c r="T262" s="66" t="n">
        <f aca="false">ROUND(S262-O262,4)</f>
        <v>0</v>
      </c>
    </row>
    <row r="263" customFormat="false" ht="15" hidden="false" customHeight="false" outlineLevel="0" collapsed="false">
      <c r="A263" s="18" t="s">
        <v>193</v>
      </c>
      <c r="B263" s="18" t="s">
        <v>194</v>
      </c>
      <c r="C263" s="18"/>
      <c r="D263" s="49" t="n">
        <v>46143</v>
      </c>
      <c r="E263" s="18" t="s">
        <v>112</v>
      </c>
      <c r="F263" s="18" t="s">
        <v>113</v>
      </c>
      <c r="G263" s="18" t="s">
        <v>110</v>
      </c>
      <c r="H263" s="18" t="s">
        <v>101</v>
      </c>
      <c r="I263" s="18" t="s">
        <v>102</v>
      </c>
      <c r="J263" s="18" t="s">
        <v>230</v>
      </c>
      <c r="K263" s="18" t="s">
        <v>195</v>
      </c>
      <c r="L263" s="64" t="n">
        <v>3031.63392</v>
      </c>
      <c r="M263" s="64" t="n">
        <v>7.8</v>
      </c>
      <c r="N263" s="18" t="s">
        <v>495</v>
      </c>
      <c r="O263" s="65" t="n">
        <v>23646.7446</v>
      </c>
      <c r="P263" s="65"/>
      <c r="Q263" s="65"/>
      <c r="R263" s="65" t="s">
        <v>232</v>
      </c>
      <c r="S263" s="66" t="n">
        <f aca="false">Model_Calc!AF48</f>
        <v>23646.744576</v>
      </c>
      <c r="T263" s="66" t="n">
        <f aca="false">ROUND(S263-O263,4)</f>
        <v>0</v>
      </c>
    </row>
    <row r="264" customFormat="false" ht="15" hidden="false" customHeight="false" outlineLevel="0" collapsed="false">
      <c r="A264" s="18" t="s">
        <v>193</v>
      </c>
      <c r="B264" s="18" t="s">
        <v>194</v>
      </c>
      <c r="C264" s="18"/>
      <c r="D264" s="49" t="n">
        <v>46143</v>
      </c>
      <c r="E264" s="18" t="s">
        <v>112</v>
      </c>
      <c r="F264" s="18" t="s">
        <v>113</v>
      </c>
      <c r="G264" s="18" t="s">
        <v>110</v>
      </c>
      <c r="H264" s="18" t="s">
        <v>101</v>
      </c>
      <c r="I264" s="18" t="s">
        <v>102</v>
      </c>
      <c r="J264" s="18" t="s">
        <v>233</v>
      </c>
      <c r="K264" s="18" t="s">
        <v>195</v>
      </c>
      <c r="L264" s="64" t="n">
        <v>272.8470528</v>
      </c>
      <c r="M264" s="64" t="n">
        <v>7.8</v>
      </c>
      <c r="N264" s="18" t="s">
        <v>496</v>
      </c>
      <c r="O264" s="65" t="n">
        <v>2128.207</v>
      </c>
      <c r="P264" s="65"/>
      <c r="Q264" s="65"/>
      <c r="R264" s="65" t="s">
        <v>232</v>
      </c>
      <c r="S264" s="66" t="n">
        <f aca="false">Model_Calc!AG48</f>
        <v>2128.20701184</v>
      </c>
      <c r="T264" s="66" t="n">
        <f aca="false">ROUND(S264-O264,4)</f>
        <v>0</v>
      </c>
    </row>
    <row r="265" customFormat="false" ht="15" hidden="false" customHeight="false" outlineLevel="0" collapsed="false">
      <c r="A265" s="18" t="s">
        <v>193</v>
      </c>
      <c r="B265" s="18" t="s">
        <v>194</v>
      </c>
      <c r="C265" s="18"/>
      <c r="D265" s="49" t="n">
        <v>46143</v>
      </c>
      <c r="E265" s="18" t="s">
        <v>112</v>
      </c>
      <c r="F265" s="18" t="s">
        <v>113</v>
      </c>
      <c r="G265" s="18" t="s">
        <v>110</v>
      </c>
      <c r="H265" s="18" t="s">
        <v>101</v>
      </c>
      <c r="I265" s="18" t="s">
        <v>102</v>
      </c>
      <c r="J265" s="18" t="s">
        <v>235</v>
      </c>
      <c r="K265" s="18" t="s">
        <v>195</v>
      </c>
      <c r="L265" s="64" t="n">
        <v>1881.6</v>
      </c>
      <c r="M265" s="64" t="n">
        <v>7.8</v>
      </c>
      <c r="N265" s="18" t="s">
        <v>497</v>
      </c>
      <c r="O265" s="65" t="n">
        <v>14676.48</v>
      </c>
      <c r="P265" s="65"/>
      <c r="Q265" s="65"/>
      <c r="R265" s="65" t="s">
        <v>232</v>
      </c>
      <c r="S265" s="66" t="n">
        <f aca="false">Model_Calc!AL48</f>
        <v>14676.48</v>
      </c>
      <c r="T265" s="66" t="n">
        <f aca="false">ROUND(S265-O265,4)</f>
        <v>0</v>
      </c>
    </row>
    <row r="266" customFormat="false" ht="15" hidden="false" customHeight="false" outlineLevel="0" collapsed="false">
      <c r="A266" s="18" t="s">
        <v>193</v>
      </c>
      <c r="B266" s="18" t="s">
        <v>194</v>
      </c>
      <c r="C266" s="18"/>
      <c r="D266" s="49" t="n">
        <v>46143</v>
      </c>
      <c r="E266" s="18" t="s">
        <v>112</v>
      </c>
      <c r="F266" s="18" t="s">
        <v>113</v>
      </c>
      <c r="G266" s="18" t="s">
        <v>110</v>
      </c>
      <c r="H266" s="18" t="s">
        <v>101</v>
      </c>
      <c r="I266" s="18" t="s">
        <v>102</v>
      </c>
      <c r="J266" s="18" t="s">
        <v>237</v>
      </c>
      <c r="K266" s="18" t="s">
        <v>195</v>
      </c>
      <c r="L266" s="64" t="n">
        <v>721.8176</v>
      </c>
      <c r="M266" s="64" t="n">
        <v>7.8</v>
      </c>
      <c r="N266" s="18" t="s">
        <v>498</v>
      </c>
      <c r="O266" s="65" t="n">
        <v>5630.1773</v>
      </c>
      <c r="P266" s="65"/>
      <c r="Q266" s="65"/>
      <c r="R266" s="65" t="s">
        <v>232</v>
      </c>
      <c r="S266" s="66" t="n">
        <f aca="false">Model_Calc!AQ48</f>
        <v>5630.17728</v>
      </c>
      <c r="T266" s="66" t="n">
        <f aca="false">ROUND(S266-O266,4)</f>
        <v>0</v>
      </c>
    </row>
    <row r="267" customFormat="false" ht="15" hidden="false" customHeight="false" outlineLevel="0" collapsed="false">
      <c r="A267" s="18" t="s">
        <v>193</v>
      </c>
      <c r="B267" s="18" t="s">
        <v>194</v>
      </c>
      <c r="C267" s="18"/>
      <c r="D267" s="49" t="n">
        <v>46143</v>
      </c>
      <c r="E267" s="18" t="s">
        <v>112</v>
      </c>
      <c r="F267" s="18" t="s">
        <v>113</v>
      </c>
      <c r="G267" s="18" t="s">
        <v>110</v>
      </c>
      <c r="H267" s="18" t="s">
        <v>101</v>
      </c>
      <c r="I267" s="18" t="s">
        <v>102</v>
      </c>
      <c r="J267" s="18" t="s">
        <v>239</v>
      </c>
      <c r="K267" s="18" t="s">
        <v>195</v>
      </c>
      <c r="L267" s="64" t="n">
        <v>322.56</v>
      </c>
      <c r="M267" s="64" t="n">
        <v>7.8</v>
      </c>
      <c r="N267" s="18" t="s">
        <v>499</v>
      </c>
      <c r="O267" s="65" t="n">
        <v>2515.968</v>
      </c>
      <c r="P267" s="65"/>
      <c r="Q267" s="65"/>
      <c r="R267" s="65" t="s">
        <v>232</v>
      </c>
      <c r="S267" s="66" t="n">
        <f aca="false">Model_Calc!AV48</f>
        <v>2515.968</v>
      </c>
      <c r="T267" s="66" t="n">
        <f aca="false">ROUND(S267-O267,4)</f>
        <v>0</v>
      </c>
    </row>
    <row r="268" customFormat="false" ht="15" hidden="false" customHeight="false" outlineLevel="0" collapsed="false">
      <c r="A268" s="18" t="s">
        <v>193</v>
      </c>
      <c r="B268" s="18" t="s">
        <v>194</v>
      </c>
      <c r="C268" s="18"/>
      <c r="D268" s="49" t="n">
        <v>46143</v>
      </c>
      <c r="E268" s="18" t="s">
        <v>112</v>
      </c>
      <c r="F268" s="18" t="s">
        <v>113</v>
      </c>
      <c r="G268" s="18" t="s">
        <v>110</v>
      </c>
      <c r="H268" s="18" t="s">
        <v>101</v>
      </c>
      <c r="I268" s="18" t="s">
        <v>102</v>
      </c>
      <c r="J268" s="18" t="s">
        <v>241</v>
      </c>
      <c r="K268" s="18" t="s">
        <v>195</v>
      </c>
      <c r="L268" s="64" t="n">
        <v>74.271232</v>
      </c>
      <c r="M268" s="64" t="n">
        <v>7.8</v>
      </c>
      <c r="N268" s="18" t="s">
        <v>500</v>
      </c>
      <c r="O268" s="65" t="n">
        <v>579.3156</v>
      </c>
      <c r="P268" s="65"/>
      <c r="Q268" s="65"/>
      <c r="R268" s="65" t="s">
        <v>232</v>
      </c>
      <c r="S268" s="66" t="n">
        <f aca="false">Model_Calc!BA48</f>
        <v>579.3156096</v>
      </c>
      <c r="T268" s="66" t="n">
        <f aca="false">ROUND(S268-O268,4)</f>
        <v>0</v>
      </c>
    </row>
    <row r="269" customFormat="false" ht="15" hidden="false" customHeight="false" outlineLevel="0" collapsed="false">
      <c r="A269" s="18" t="s">
        <v>193</v>
      </c>
      <c r="B269" s="18" t="s">
        <v>194</v>
      </c>
      <c r="C269" s="18"/>
      <c r="D269" s="49" t="n">
        <v>46143</v>
      </c>
      <c r="E269" s="18" t="s">
        <v>116</v>
      </c>
      <c r="F269" s="18" t="s">
        <v>113</v>
      </c>
      <c r="G269" s="18" t="s">
        <v>110</v>
      </c>
      <c r="H269" s="18" t="s">
        <v>107</v>
      </c>
      <c r="I269" s="18" t="s">
        <v>102</v>
      </c>
      <c r="J269" s="18" t="s">
        <v>230</v>
      </c>
      <c r="K269" s="18" t="s">
        <v>195</v>
      </c>
      <c r="L269" s="64" t="n">
        <v>7245.85472</v>
      </c>
      <c r="M269" s="64" t="n">
        <v>7.8</v>
      </c>
      <c r="N269" s="18" t="s">
        <v>501</v>
      </c>
      <c r="O269" s="65" t="n">
        <v>56517.6668</v>
      </c>
      <c r="P269" s="65"/>
      <c r="Q269" s="65"/>
      <c r="R269" s="65" t="s">
        <v>232</v>
      </c>
      <c r="S269" s="66" t="n">
        <f aca="false">Model_Calc!AF49</f>
        <v>56517.666816</v>
      </c>
      <c r="T269" s="66" t="n">
        <f aca="false">ROUND(S269-O269,4)</f>
        <v>0</v>
      </c>
    </row>
    <row r="270" customFormat="false" ht="15" hidden="false" customHeight="false" outlineLevel="0" collapsed="false">
      <c r="A270" s="18" t="s">
        <v>193</v>
      </c>
      <c r="B270" s="18" t="s">
        <v>194</v>
      </c>
      <c r="C270" s="18"/>
      <c r="D270" s="49" t="n">
        <v>46143</v>
      </c>
      <c r="E270" s="18" t="s">
        <v>116</v>
      </c>
      <c r="F270" s="18" t="s">
        <v>113</v>
      </c>
      <c r="G270" s="18" t="s">
        <v>110</v>
      </c>
      <c r="H270" s="18" t="s">
        <v>107</v>
      </c>
      <c r="I270" s="18" t="s">
        <v>102</v>
      </c>
      <c r="J270" s="18" t="s">
        <v>233</v>
      </c>
      <c r="K270" s="18" t="s">
        <v>195</v>
      </c>
      <c r="L270" s="64" t="n">
        <v>557.37344</v>
      </c>
      <c r="M270" s="64" t="n">
        <v>7.8</v>
      </c>
      <c r="N270" s="18" t="s">
        <v>502</v>
      </c>
      <c r="O270" s="65" t="n">
        <v>4347.5128</v>
      </c>
      <c r="P270" s="65"/>
      <c r="Q270" s="65"/>
      <c r="R270" s="65" t="s">
        <v>232</v>
      </c>
      <c r="S270" s="66" t="n">
        <f aca="false">Model_Calc!AG49</f>
        <v>4347.512832</v>
      </c>
      <c r="T270" s="66" t="n">
        <f aca="false">ROUND(S270-O270,4)</f>
        <v>0</v>
      </c>
    </row>
    <row r="271" customFormat="false" ht="15" hidden="false" customHeight="false" outlineLevel="0" collapsed="false">
      <c r="A271" s="18" t="s">
        <v>193</v>
      </c>
      <c r="B271" s="18" t="s">
        <v>194</v>
      </c>
      <c r="C271" s="18"/>
      <c r="D271" s="49" t="n">
        <v>46143</v>
      </c>
      <c r="E271" s="18" t="s">
        <v>116</v>
      </c>
      <c r="F271" s="18" t="s">
        <v>113</v>
      </c>
      <c r="G271" s="18" t="s">
        <v>110</v>
      </c>
      <c r="H271" s="18" t="s">
        <v>107</v>
      </c>
      <c r="I271" s="18" t="s">
        <v>102</v>
      </c>
      <c r="J271" s="18" t="s">
        <v>235</v>
      </c>
      <c r="K271" s="18" t="s">
        <v>195</v>
      </c>
      <c r="L271" s="64" t="n">
        <v>3494.4</v>
      </c>
      <c r="M271" s="64" t="n">
        <v>7.8</v>
      </c>
      <c r="N271" s="18" t="s">
        <v>503</v>
      </c>
      <c r="O271" s="65" t="n">
        <v>27256.32</v>
      </c>
      <c r="P271" s="65"/>
      <c r="Q271" s="65"/>
      <c r="R271" s="65" t="s">
        <v>232</v>
      </c>
      <c r="S271" s="66" t="n">
        <f aca="false">Model_Calc!AL49</f>
        <v>27256.32</v>
      </c>
      <c r="T271" s="66" t="n">
        <f aca="false">ROUND(S271-O271,4)</f>
        <v>0</v>
      </c>
    </row>
    <row r="272" customFormat="false" ht="15" hidden="false" customHeight="false" outlineLevel="0" collapsed="false">
      <c r="A272" s="18" t="s">
        <v>193</v>
      </c>
      <c r="B272" s="18" t="s">
        <v>194</v>
      </c>
      <c r="C272" s="18"/>
      <c r="D272" s="49" t="n">
        <v>46143</v>
      </c>
      <c r="E272" s="18" t="s">
        <v>116</v>
      </c>
      <c r="F272" s="18" t="s">
        <v>113</v>
      </c>
      <c r="G272" s="18" t="s">
        <v>110</v>
      </c>
      <c r="H272" s="18" t="s">
        <v>107</v>
      </c>
      <c r="I272" s="18" t="s">
        <v>102</v>
      </c>
      <c r="J272" s="18" t="s">
        <v>237</v>
      </c>
      <c r="K272" s="18" t="s">
        <v>195</v>
      </c>
      <c r="L272" s="64" t="n">
        <v>1340.5184</v>
      </c>
      <c r="M272" s="64" t="n">
        <v>7.8</v>
      </c>
      <c r="N272" s="18" t="s">
        <v>504</v>
      </c>
      <c r="O272" s="65" t="n">
        <v>10456.0435</v>
      </c>
      <c r="P272" s="65"/>
      <c r="Q272" s="65"/>
      <c r="R272" s="65" t="s">
        <v>232</v>
      </c>
      <c r="S272" s="66" t="n">
        <f aca="false">Model_Calc!AQ49</f>
        <v>10456.04352</v>
      </c>
      <c r="T272" s="66" t="n">
        <f aca="false">ROUND(S272-O272,4)</f>
        <v>0</v>
      </c>
    </row>
    <row r="273" customFormat="false" ht="15" hidden="false" customHeight="false" outlineLevel="0" collapsed="false">
      <c r="A273" s="18" t="s">
        <v>193</v>
      </c>
      <c r="B273" s="18" t="s">
        <v>194</v>
      </c>
      <c r="C273" s="18"/>
      <c r="D273" s="49" t="n">
        <v>46143</v>
      </c>
      <c r="E273" s="18" t="s">
        <v>116</v>
      </c>
      <c r="F273" s="18" t="s">
        <v>113</v>
      </c>
      <c r="G273" s="18" t="s">
        <v>110</v>
      </c>
      <c r="H273" s="18" t="s">
        <v>107</v>
      </c>
      <c r="I273" s="18" t="s">
        <v>102</v>
      </c>
      <c r="J273" s="18" t="s">
        <v>239</v>
      </c>
      <c r="K273" s="18" t="s">
        <v>195</v>
      </c>
      <c r="L273" s="64" t="n">
        <v>599.04</v>
      </c>
      <c r="M273" s="64" t="n">
        <v>7.8</v>
      </c>
      <c r="N273" s="18" t="s">
        <v>505</v>
      </c>
      <c r="O273" s="65" t="n">
        <v>4672.512</v>
      </c>
      <c r="P273" s="65"/>
      <c r="Q273" s="65"/>
      <c r="R273" s="65" t="s">
        <v>232</v>
      </c>
      <c r="S273" s="66" t="n">
        <f aca="false">Model_Calc!AV49</f>
        <v>4672.512</v>
      </c>
      <c r="T273" s="66" t="n">
        <f aca="false">ROUND(S273-O273,4)</f>
        <v>0</v>
      </c>
    </row>
    <row r="274" customFormat="false" ht="15" hidden="false" customHeight="false" outlineLevel="0" collapsed="false">
      <c r="A274" s="18" t="s">
        <v>193</v>
      </c>
      <c r="B274" s="18" t="s">
        <v>194</v>
      </c>
      <c r="C274" s="18"/>
      <c r="D274" s="49" t="n">
        <v>46143</v>
      </c>
      <c r="E274" s="18" t="s">
        <v>116</v>
      </c>
      <c r="F274" s="18" t="s">
        <v>113</v>
      </c>
      <c r="G274" s="18" t="s">
        <v>110</v>
      </c>
      <c r="H274" s="18" t="s">
        <v>107</v>
      </c>
      <c r="I274" s="18" t="s">
        <v>102</v>
      </c>
      <c r="J274" s="18" t="s">
        <v>241</v>
      </c>
      <c r="K274" s="18" t="s">
        <v>195</v>
      </c>
      <c r="L274" s="64" t="n">
        <v>113.591296</v>
      </c>
      <c r="M274" s="64" t="n">
        <v>7.8</v>
      </c>
      <c r="N274" s="18" t="s">
        <v>506</v>
      </c>
      <c r="O274" s="65" t="n">
        <v>886.0121</v>
      </c>
      <c r="P274" s="65"/>
      <c r="Q274" s="65"/>
      <c r="R274" s="65" t="s">
        <v>232</v>
      </c>
      <c r="S274" s="66" t="n">
        <f aca="false">Model_Calc!BA49</f>
        <v>886.0121088</v>
      </c>
      <c r="T274" s="66" t="n">
        <f aca="false">ROUND(S274-O274,4)</f>
        <v>0</v>
      </c>
    </row>
    <row r="275" customFormat="false" ht="15" hidden="false" customHeight="false" outlineLevel="0" collapsed="false">
      <c r="A275" s="18" t="s">
        <v>193</v>
      </c>
      <c r="B275" s="18" t="s">
        <v>194</v>
      </c>
      <c r="C275" s="18"/>
      <c r="D275" s="49" t="n">
        <v>46143</v>
      </c>
      <c r="E275" s="18" t="s">
        <v>118</v>
      </c>
      <c r="F275" s="18" t="s">
        <v>119</v>
      </c>
      <c r="G275" s="18" t="s">
        <v>100</v>
      </c>
      <c r="H275" s="18" t="s">
        <v>101</v>
      </c>
      <c r="I275" s="18" t="s">
        <v>102</v>
      </c>
      <c r="J275" s="18" t="s">
        <v>230</v>
      </c>
      <c r="K275" s="18" t="s">
        <v>199</v>
      </c>
      <c r="L275" s="64" t="n">
        <v>13230.637056</v>
      </c>
      <c r="M275" s="64" t="n">
        <v>9</v>
      </c>
      <c r="N275" s="18" t="s">
        <v>507</v>
      </c>
      <c r="O275" s="65" t="n">
        <v>119075.7335</v>
      </c>
      <c r="P275" s="65"/>
      <c r="Q275" s="65"/>
      <c r="R275" s="65" t="s">
        <v>232</v>
      </c>
      <c r="S275" s="66" t="n">
        <f aca="false">Model_Calc!AF50</f>
        <v>119075.733504</v>
      </c>
      <c r="T275" s="66" t="n">
        <f aca="false">ROUND(S275-O275,4)</f>
        <v>0</v>
      </c>
    </row>
    <row r="276" customFormat="false" ht="15" hidden="false" customHeight="false" outlineLevel="0" collapsed="false">
      <c r="A276" s="18" t="s">
        <v>193</v>
      </c>
      <c r="B276" s="18" t="s">
        <v>194</v>
      </c>
      <c r="C276" s="18"/>
      <c r="D276" s="49" t="n">
        <v>46143</v>
      </c>
      <c r="E276" s="18" t="s">
        <v>118</v>
      </c>
      <c r="F276" s="18" t="s">
        <v>119</v>
      </c>
      <c r="G276" s="18" t="s">
        <v>100</v>
      </c>
      <c r="H276" s="18" t="s">
        <v>101</v>
      </c>
      <c r="I276" s="18" t="s">
        <v>102</v>
      </c>
      <c r="J276" s="18" t="s">
        <v>233</v>
      </c>
      <c r="K276" s="18" t="s">
        <v>199</v>
      </c>
      <c r="L276" s="64" t="n">
        <v>1323.0637056</v>
      </c>
      <c r="M276" s="64" t="n">
        <v>9</v>
      </c>
      <c r="N276" s="18" t="s">
        <v>508</v>
      </c>
      <c r="O276" s="65" t="n">
        <v>11907.5734</v>
      </c>
      <c r="P276" s="65"/>
      <c r="Q276" s="65"/>
      <c r="R276" s="65" t="s">
        <v>232</v>
      </c>
      <c r="S276" s="66" t="n">
        <f aca="false">Model_Calc!AG50</f>
        <v>11907.5733504</v>
      </c>
      <c r="T276" s="66" t="n">
        <f aca="false">ROUND(S276-O276,4)</f>
        <v>0</v>
      </c>
    </row>
    <row r="277" customFormat="false" ht="15" hidden="false" customHeight="false" outlineLevel="0" collapsed="false">
      <c r="A277" s="18" t="s">
        <v>193</v>
      </c>
      <c r="B277" s="18" t="s">
        <v>194</v>
      </c>
      <c r="C277" s="18"/>
      <c r="D277" s="49" t="n">
        <v>46143</v>
      </c>
      <c r="E277" s="18" t="s">
        <v>118</v>
      </c>
      <c r="F277" s="18" t="s">
        <v>119</v>
      </c>
      <c r="G277" s="18" t="s">
        <v>100</v>
      </c>
      <c r="H277" s="18" t="s">
        <v>101</v>
      </c>
      <c r="I277" s="18" t="s">
        <v>102</v>
      </c>
      <c r="J277" s="18" t="s">
        <v>235</v>
      </c>
      <c r="K277" s="18" t="s">
        <v>195</v>
      </c>
      <c r="L277" s="64" t="n">
        <v>3416.5248</v>
      </c>
      <c r="M277" s="64" t="n">
        <v>7.8</v>
      </c>
      <c r="N277" s="18" t="s">
        <v>509</v>
      </c>
      <c r="O277" s="65" t="n">
        <v>26648.8934</v>
      </c>
      <c r="P277" s="65"/>
      <c r="Q277" s="65"/>
      <c r="R277" s="65" t="s">
        <v>232</v>
      </c>
      <c r="S277" s="66" t="n">
        <f aca="false">Model_Calc!AL50</f>
        <v>26648.89344</v>
      </c>
      <c r="T277" s="66" t="n">
        <f aca="false">ROUND(S277-O277,4)</f>
        <v>0</v>
      </c>
    </row>
    <row r="278" customFormat="false" ht="15" hidden="false" customHeight="false" outlineLevel="0" collapsed="false">
      <c r="A278" s="18" t="s">
        <v>193</v>
      </c>
      <c r="B278" s="18" t="s">
        <v>194</v>
      </c>
      <c r="C278" s="18"/>
      <c r="D278" s="49" t="n">
        <v>46143</v>
      </c>
      <c r="E278" s="18" t="s">
        <v>118</v>
      </c>
      <c r="F278" s="18" t="s">
        <v>119</v>
      </c>
      <c r="G278" s="18" t="s">
        <v>100</v>
      </c>
      <c r="H278" s="18" t="s">
        <v>101</v>
      </c>
      <c r="I278" s="18" t="s">
        <v>102</v>
      </c>
      <c r="J278" s="18" t="s">
        <v>237</v>
      </c>
      <c r="K278" s="18" t="s">
        <v>195</v>
      </c>
      <c r="L278" s="64" t="n">
        <v>1361.977344</v>
      </c>
      <c r="M278" s="64" t="n">
        <v>7.8</v>
      </c>
      <c r="N278" s="18" t="s">
        <v>510</v>
      </c>
      <c r="O278" s="65" t="n">
        <v>10623.4233</v>
      </c>
      <c r="P278" s="65"/>
      <c r="Q278" s="65"/>
      <c r="R278" s="65" t="s">
        <v>232</v>
      </c>
      <c r="S278" s="66" t="n">
        <f aca="false">Model_Calc!AQ50</f>
        <v>10623.4232832</v>
      </c>
      <c r="T278" s="66" t="n">
        <f aca="false">ROUND(S278-O278,4)</f>
        <v>0</v>
      </c>
    </row>
    <row r="279" customFormat="false" ht="15" hidden="false" customHeight="false" outlineLevel="0" collapsed="false">
      <c r="A279" s="18" t="s">
        <v>193</v>
      </c>
      <c r="B279" s="18" t="s">
        <v>194</v>
      </c>
      <c r="C279" s="18"/>
      <c r="D279" s="49" t="n">
        <v>46143</v>
      </c>
      <c r="E279" s="18" t="s">
        <v>118</v>
      </c>
      <c r="F279" s="18" t="s">
        <v>119</v>
      </c>
      <c r="G279" s="18" t="s">
        <v>100</v>
      </c>
      <c r="H279" s="18" t="s">
        <v>101</v>
      </c>
      <c r="I279" s="18" t="s">
        <v>102</v>
      </c>
      <c r="J279" s="18" t="s">
        <v>239</v>
      </c>
      <c r="K279" s="18" t="s">
        <v>199</v>
      </c>
      <c r="L279" s="64" t="n">
        <v>1111.81824</v>
      </c>
      <c r="M279" s="64" t="n">
        <v>9</v>
      </c>
      <c r="N279" s="18" t="s">
        <v>511</v>
      </c>
      <c r="O279" s="65" t="n">
        <v>10006.3642</v>
      </c>
      <c r="P279" s="65"/>
      <c r="Q279" s="65"/>
      <c r="R279" s="65" t="s">
        <v>232</v>
      </c>
      <c r="S279" s="66" t="n">
        <f aca="false">Model_Calc!AV50</f>
        <v>10006.36416</v>
      </c>
      <c r="T279" s="66" t="n">
        <f aca="false">ROUND(S279-O279,4)</f>
        <v>0</v>
      </c>
    </row>
    <row r="280" customFormat="false" ht="15" hidden="false" customHeight="false" outlineLevel="0" collapsed="false">
      <c r="A280" s="18" t="s">
        <v>193</v>
      </c>
      <c r="B280" s="18" t="s">
        <v>194</v>
      </c>
      <c r="C280" s="18"/>
      <c r="D280" s="49" t="n">
        <v>46143</v>
      </c>
      <c r="E280" s="18" t="s">
        <v>118</v>
      </c>
      <c r="F280" s="18" t="s">
        <v>119</v>
      </c>
      <c r="G280" s="18" t="s">
        <v>100</v>
      </c>
      <c r="H280" s="18" t="s">
        <v>101</v>
      </c>
      <c r="I280" s="18" t="s">
        <v>102</v>
      </c>
      <c r="J280" s="18" t="s">
        <v>241</v>
      </c>
      <c r="K280" s="18" t="s">
        <v>199</v>
      </c>
      <c r="L280" s="64" t="n">
        <v>164.08584192</v>
      </c>
      <c r="M280" s="64" t="n">
        <v>9</v>
      </c>
      <c r="N280" s="18" t="s">
        <v>512</v>
      </c>
      <c r="O280" s="65" t="n">
        <v>1476.7726</v>
      </c>
      <c r="P280" s="65"/>
      <c r="Q280" s="65"/>
      <c r="R280" s="65" t="s">
        <v>232</v>
      </c>
      <c r="S280" s="66" t="n">
        <f aca="false">Model_Calc!BA50</f>
        <v>1476.77257728</v>
      </c>
      <c r="T280" s="66" t="n">
        <f aca="false">ROUND(S280-O280,4)</f>
        <v>0</v>
      </c>
    </row>
    <row r="281" customFormat="false" ht="15" hidden="false" customHeight="false" outlineLevel="0" collapsed="false">
      <c r="A281" s="18" t="s">
        <v>193</v>
      </c>
      <c r="B281" s="18" t="s">
        <v>194</v>
      </c>
      <c r="C281" s="18"/>
      <c r="D281" s="49" t="n">
        <v>46143</v>
      </c>
      <c r="E281" s="18" t="s">
        <v>122</v>
      </c>
      <c r="F281" s="18" t="s">
        <v>119</v>
      </c>
      <c r="G281" s="18" t="s">
        <v>100</v>
      </c>
      <c r="H281" s="18" t="s">
        <v>107</v>
      </c>
      <c r="I281" s="18" t="s">
        <v>102</v>
      </c>
      <c r="J281" s="18" t="s">
        <v>230</v>
      </c>
      <c r="K281" s="18" t="s">
        <v>199</v>
      </c>
      <c r="L281" s="64" t="n">
        <v>5861.9904</v>
      </c>
      <c r="M281" s="64" t="n">
        <v>9</v>
      </c>
      <c r="N281" s="18" t="s">
        <v>513</v>
      </c>
      <c r="O281" s="65" t="n">
        <v>52757.9136</v>
      </c>
      <c r="P281" s="65"/>
      <c r="Q281" s="65"/>
      <c r="R281" s="65" t="s">
        <v>232</v>
      </c>
      <c r="S281" s="66" t="n">
        <f aca="false">Model_Calc!AF51</f>
        <v>52757.9136</v>
      </c>
      <c r="T281" s="66" t="n">
        <f aca="false">ROUND(S281-O281,4)</f>
        <v>0</v>
      </c>
    </row>
    <row r="282" customFormat="false" ht="15" hidden="false" customHeight="false" outlineLevel="0" collapsed="false">
      <c r="A282" s="18" t="s">
        <v>193</v>
      </c>
      <c r="B282" s="18" t="s">
        <v>194</v>
      </c>
      <c r="C282" s="18"/>
      <c r="D282" s="49" t="n">
        <v>46143</v>
      </c>
      <c r="E282" s="18" t="s">
        <v>122</v>
      </c>
      <c r="F282" s="18" t="s">
        <v>119</v>
      </c>
      <c r="G282" s="18" t="s">
        <v>100</v>
      </c>
      <c r="H282" s="18" t="s">
        <v>107</v>
      </c>
      <c r="I282" s="18" t="s">
        <v>102</v>
      </c>
      <c r="J282" s="18" t="s">
        <v>233</v>
      </c>
      <c r="K282" s="18" t="s">
        <v>199</v>
      </c>
      <c r="L282" s="64" t="n">
        <v>411.58656</v>
      </c>
      <c r="M282" s="64" t="n">
        <v>9</v>
      </c>
      <c r="N282" s="18" t="s">
        <v>514</v>
      </c>
      <c r="O282" s="65" t="n">
        <v>3704.279</v>
      </c>
      <c r="P282" s="65"/>
      <c r="Q282" s="65"/>
      <c r="R282" s="65" t="s">
        <v>232</v>
      </c>
      <c r="S282" s="66" t="n">
        <f aca="false">Model_Calc!AG51</f>
        <v>3704.27904</v>
      </c>
      <c r="T282" s="66" t="n">
        <f aca="false">ROUND(S282-O282,4)</f>
        <v>0</v>
      </c>
    </row>
    <row r="283" customFormat="false" ht="15" hidden="false" customHeight="false" outlineLevel="0" collapsed="false">
      <c r="A283" s="18" t="s">
        <v>193</v>
      </c>
      <c r="B283" s="18" t="s">
        <v>194</v>
      </c>
      <c r="C283" s="18"/>
      <c r="D283" s="49" t="n">
        <v>46143</v>
      </c>
      <c r="E283" s="18" t="s">
        <v>122</v>
      </c>
      <c r="F283" s="18" t="s">
        <v>119</v>
      </c>
      <c r="G283" s="18" t="s">
        <v>100</v>
      </c>
      <c r="H283" s="18" t="s">
        <v>107</v>
      </c>
      <c r="I283" s="18" t="s">
        <v>102</v>
      </c>
      <c r="J283" s="18" t="s">
        <v>235</v>
      </c>
      <c r="K283" s="18" t="s">
        <v>195</v>
      </c>
      <c r="L283" s="64" t="n">
        <v>1314.048</v>
      </c>
      <c r="M283" s="64" t="n">
        <v>7.8</v>
      </c>
      <c r="N283" s="18" t="s">
        <v>515</v>
      </c>
      <c r="O283" s="65" t="n">
        <v>10249.5744</v>
      </c>
      <c r="P283" s="65"/>
      <c r="Q283" s="65"/>
      <c r="R283" s="65" t="s">
        <v>232</v>
      </c>
      <c r="S283" s="66" t="n">
        <f aca="false">Model_Calc!AL51</f>
        <v>10249.5744</v>
      </c>
      <c r="T283" s="66" t="n">
        <f aca="false">ROUND(S283-O283,4)</f>
        <v>0</v>
      </c>
    </row>
    <row r="284" customFormat="false" ht="15" hidden="false" customHeight="false" outlineLevel="0" collapsed="false">
      <c r="A284" s="18" t="s">
        <v>193</v>
      </c>
      <c r="B284" s="18" t="s">
        <v>194</v>
      </c>
      <c r="C284" s="18"/>
      <c r="D284" s="49" t="n">
        <v>46143</v>
      </c>
      <c r="E284" s="18" t="s">
        <v>122</v>
      </c>
      <c r="F284" s="18" t="s">
        <v>119</v>
      </c>
      <c r="G284" s="18" t="s">
        <v>100</v>
      </c>
      <c r="H284" s="18" t="s">
        <v>107</v>
      </c>
      <c r="I284" s="18" t="s">
        <v>102</v>
      </c>
      <c r="J284" s="18" t="s">
        <v>237</v>
      </c>
      <c r="K284" s="18" t="s">
        <v>195</v>
      </c>
      <c r="L284" s="64" t="n">
        <v>523.83744</v>
      </c>
      <c r="M284" s="64" t="n">
        <v>7.8</v>
      </c>
      <c r="N284" s="18" t="s">
        <v>516</v>
      </c>
      <c r="O284" s="65" t="n">
        <v>4085.932</v>
      </c>
      <c r="P284" s="65"/>
      <c r="Q284" s="65"/>
      <c r="R284" s="65" t="s">
        <v>232</v>
      </c>
      <c r="S284" s="66" t="n">
        <f aca="false">Model_Calc!AQ51</f>
        <v>4085.932032</v>
      </c>
      <c r="T284" s="66" t="n">
        <f aca="false">ROUND(S284-O284,4)</f>
        <v>0</v>
      </c>
    </row>
    <row r="285" customFormat="false" ht="15" hidden="false" customHeight="false" outlineLevel="0" collapsed="false">
      <c r="A285" s="18" t="s">
        <v>193</v>
      </c>
      <c r="B285" s="18" t="s">
        <v>194</v>
      </c>
      <c r="C285" s="18"/>
      <c r="D285" s="49" t="n">
        <v>46143</v>
      </c>
      <c r="E285" s="18" t="s">
        <v>122</v>
      </c>
      <c r="F285" s="18" t="s">
        <v>119</v>
      </c>
      <c r="G285" s="18" t="s">
        <v>100</v>
      </c>
      <c r="H285" s="18" t="s">
        <v>107</v>
      </c>
      <c r="I285" s="18" t="s">
        <v>102</v>
      </c>
      <c r="J285" s="18" t="s">
        <v>239</v>
      </c>
      <c r="K285" s="18" t="s">
        <v>199</v>
      </c>
      <c r="L285" s="64" t="n">
        <v>427.6224</v>
      </c>
      <c r="M285" s="64" t="n">
        <v>9</v>
      </c>
      <c r="N285" s="18" t="s">
        <v>517</v>
      </c>
      <c r="O285" s="65" t="n">
        <v>3848.6016</v>
      </c>
      <c r="P285" s="65"/>
      <c r="Q285" s="65"/>
      <c r="R285" s="65" t="s">
        <v>232</v>
      </c>
      <c r="S285" s="66" t="n">
        <f aca="false">Model_Calc!AV51</f>
        <v>3848.6016</v>
      </c>
      <c r="T285" s="66" t="n">
        <f aca="false">ROUND(S285-O285,4)</f>
        <v>0</v>
      </c>
    </row>
    <row r="286" customFormat="false" ht="15" hidden="false" customHeight="false" outlineLevel="0" collapsed="false">
      <c r="A286" s="18" t="s">
        <v>193</v>
      </c>
      <c r="B286" s="18" t="s">
        <v>194</v>
      </c>
      <c r="C286" s="18"/>
      <c r="D286" s="49" t="n">
        <v>46143</v>
      </c>
      <c r="E286" s="18" t="s">
        <v>122</v>
      </c>
      <c r="F286" s="18" t="s">
        <v>119</v>
      </c>
      <c r="G286" s="18" t="s">
        <v>100</v>
      </c>
      <c r="H286" s="18" t="s">
        <v>107</v>
      </c>
      <c r="I286" s="18" t="s">
        <v>102</v>
      </c>
      <c r="J286" s="18" t="s">
        <v>241</v>
      </c>
      <c r="K286" s="18" t="s">
        <v>199</v>
      </c>
      <c r="L286" s="64" t="n">
        <v>48.7667712</v>
      </c>
      <c r="M286" s="64" t="n">
        <v>9</v>
      </c>
      <c r="N286" s="18" t="s">
        <v>518</v>
      </c>
      <c r="O286" s="65" t="n">
        <v>438.9009</v>
      </c>
      <c r="P286" s="65"/>
      <c r="Q286" s="65"/>
      <c r="R286" s="65" t="s">
        <v>232</v>
      </c>
      <c r="S286" s="66" t="n">
        <f aca="false">Model_Calc!BA51</f>
        <v>438.9009408</v>
      </c>
      <c r="T286" s="66" t="n">
        <f aca="false">ROUND(S286-O286,4)</f>
        <v>0</v>
      </c>
    </row>
    <row r="287" customFormat="false" ht="15" hidden="false" customHeight="false" outlineLevel="0" collapsed="false">
      <c r="A287" s="18" t="s">
        <v>193</v>
      </c>
      <c r="B287" s="18" t="s">
        <v>194</v>
      </c>
      <c r="C287" s="18"/>
      <c r="D287" s="49" t="n">
        <v>46143</v>
      </c>
      <c r="E287" s="18" t="s">
        <v>124</v>
      </c>
      <c r="F287" s="18" t="s">
        <v>119</v>
      </c>
      <c r="G287" s="18" t="s">
        <v>100</v>
      </c>
      <c r="H287" s="18" t="s">
        <v>107</v>
      </c>
      <c r="I287" s="18" t="s">
        <v>125</v>
      </c>
      <c r="J287" s="18" t="s">
        <v>230</v>
      </c>
      <c r="K287" s="18" t="s">
        <v>199</v>
      </c>
      <c r="L287" s="64" t="n">
        <v>2035.28306688</v>
      </c>
      <c r="M287" s="64" t="n">
        <v>9</v>
      </c>
      <c r="N287" s="18" t="s">
        <v>519</v>
      </c>
      <c r="O287" s="65" t="n">
        <v>18317.5476</v>
      </c>
      <c r="P287" s="65"/>
      <c r="Q287" s="65"/>
      <c r="R287" s="65" t="s">
        <v>232</v>
      </c>
      <c r="S287" s="66" t="n">
        <f aca="false">Model_Calc!AF52</f>
        <v>18317.54760192</v>
      </c>
      <c r="T287" s="66" t="n">
        <f aca="false">ROUND(S287-O287,4)</f>
        <v>0</v>
      </c>
    </row>
    <row r="288" customFormat="false" ht="15" hidden="false" customHeight="false" outlineLevel="0" collapsed="false">
      <c r="A288" s="18" t="s">
        <v>193</v>
      </c>
      <c r="B288" s="18" t="s">
        <v>194</v>
      </c>
      <c r="C288" s="18"/>
      <c r="D288" s="49" t="n">
        <v>46143</v>
      </c>
      <c r="E288" s="18" t="s">
        <v>124</v>
      </c>
      <c r="F288" s="18" t="s">
        <v>119</v>
      </c>
      <c r="G288" s="18" t="s">
        <v>100</v>
      </c>
      <c r="H288" s="18" t="s">
        <v>107</v>
      </c>
      <c r="I288" s="18" t="s">
        <v>125</v>
      </c>
      <c r="J288" s="18" t="s">
        <v>233</v>
      </c>
      <c r="K288" s="18" t="s">
        <v>199</v>
      </c>
      <c r="L288" s="64" t="n">
        <v>234.0575526912</v>
      </c>
      <c r="M288" s="64" t="n">
        <v>9</v>
      </c>
      <c r="N288" s="18" t="s">
        <v>520</v>
      </c>
      <c r="O288" s="65" t="n">
        <v>2106.518</v>
      </c>
      <c r="P288" s="65"/>
      <c r="Q288" s="65"/>
      <c r="R288" s="65" t="s">
        <v>232</v>
      </c>
      <c r="S288" s="66" t="n">
        <f aca="false">Model_Calc!AG52</f>
        <v>2106.5179742208</v>
      </c>
      <c r="T288" s="66" t="n">
        <f aca="false">ROUND(S288-O288,4)</f>
        <v>0</v>
      </c>
    </row>
    <row r="289" customFormat="false" ht="15" hidden="false" customHeight="false" outlineLevel="0" collapsed="false">
      <c r="A289" s="18" t="s">
        <v>193</v>
      </c>
      <c r="B289" s="18" t="s">
        <v>194</v>
      </c>
      <c r="C289" s="18"/>
      <c r="D289" s="49" t="n">
        <v>46143</v>
      </c>
      <c r="E289" s="18" t="s">
        <v>124</v>
      </c>
      <c r="F289" s="18" t="s">
        <v>119</v>
      </c>
      <c r="G289" s="18" t="s">
        <v>100</v>
      </c>
      <c r="H289" s="18" t="s">
        <v>107</v>
      </c>
      <c r="I289" s="18" t="s">
        <v>125</v>
      </c>
      <c r="J289" s="18" t="s">
        <v>235</v>
      </c>
      <c r="K289" s="18" t="s">
        <v>195</v>
      </c>
      <c r="L289" s="64" t="n">
        <v>367.93344</v>
      </c>
      <c r="M289" s="64" t="n">
        <v>7.8</v>
      </c>
      <c r="N289" s="18" t="s">
        <v>521</v>
      </c>
      <c r="O289" s="65" t="n">
        <v>2869.8808</v>
      </c>
      <c r="P289" s="65"/>
      <c r="Q289" s="65"/>
      <c r="R289" s="65" t="s">
        <v>232</v>
      </c>
      <c r="S289" s="66" t="n">
        <f aca="false">Model_Calc!AL52</f>
        <v>2869.880832</v>
      </c>
      <c r="T289" s="66" t="n">
        <f aca="false">ROUND(S289-O289,4)</f>
        <v>0</v>
      </c>
    </row>
    <row r="290" customFormat="false" ht="15" hidden="false" customHeight="false" outlineLevel="0" collapsed="false">
      <c r="A290" s="18" t="s">
        <v>193</v>
      </c>
      <c r="B290" s="18" t="s">
        <v>194</v>
      </c>
      <c r="C290" s="18"/>
      <c r="D290" s="49" t="n">
        <v>46143</v>
      </c>
      <c r="E290" s="18" t="s">
        <v>124</v>
      </c>
      <c r="F290" s="18" t="s">
        <v>119</v>
      </c>
      <c r="G290" s="18" t="s">
        <v>100</v>
      </c>
      <c r="H290" s="18" t="s">
        <v>107</v>
      </c>
      <c r="I290" s="18" t="s">
        <v>125</v>
      </c>
      <c r="J290" s="18" t="s">
        <v>237</v>
      </c>
      <c r="K290" s="18" t="s">
        <v>195</v>
      </c>
      <c r="L290" s="64" t="n">
        <v>146.6744832</v>
      </c>
      <c r="M290" s="64" t="n">
        <v>7.8</v>
      </c>
      <c r="N290" s="18" t="s">
        <v>522</v>
      </c>
      <c r="O290" s="65" t="n">
        <v>1144.061</v>
      </c>
      <c r="P290" s="65"/>
      <c r="Q290" s="65"/>
      <c r="R290" s="65" t="s">
        <v>232</v>
      </c>
      <c r="S290" s="66" t="n">
        <f aca="false">Model_Calc!AQ52</f>
        <v>1144.06096896</v>
      </c>
      <c r="T290" s="66" t="n">
        <f aca="false">ROUND(S290-O290,4)</f>
        <v>0</v>
      </c>
    </row>
    <row r="291" customFormat="false" ht="15" hidden="false" customHeight="false" outlineLevel="0" collapsed="false">
      <c r="A291" s="18" t="s">
        <v>193</v>
      </c>
      <c r="B291" s="18" t="s">
        <v>194</v>
      </c>
      <c r="C291" s="18"/>
      <c r="D291" s="49" t="n">
        <v>46143</v>
      </c>
      <c r="E291" s="18" t="s">
        <v>124</v>
      </c>
      <c r="F291" s="18" t="s">
        <v>119</v>
      </c>
      <c r="G291" s="18" t="s">
        <v>100</v>
      </c>
      <c r="H291" s="18" t="s">
        <v>107</v>
      </c>
      <c r="I291" s="18" t="s">
        <v>125</v>
      </c>
      <c r="J291" s="18" t="s">
        <v>239</v>
      </c>
      <c r="K291" s="18" t="s">
        <v>199</v>
      </c>
      <c r="L291" s="64" t="n">
        <v>119.734272</v>
      </c>
      <c r="M291" s="64" t="n">
        <v>9</v>
      </c>
      <c r="N291" s="18" t="s">
        <v>523</v>
      </c>
      <c r="O291" s="65" t="n">
        <v>1077.6084</v>
      </c>
      <c r="P291" s="65"/>
      <c r="Q291" s="65"/>
      <c r="R291" s="65" t="s">
        <v>232</v>
      </c>
      <c r="S291" s="66" t="n">
        <f aca="false">Model_Calc!AV52</f>
        <v>1077.608448</v>
      </c>
      <c r="T291" s="66" t="n">
        <f aca="false">ROUND(S291-O291,4)</f>
        <v>0</v>
      </c>
    </row>
    <row r="292" customFormat="false" ht="15" hidden="false" customHeight="false" outlineLevel="0" collapsed="false">
      <c r="A292" s="18" t="s">
        <v>193</v>
      </c>
      <c r="B292" s="18" t="s">
        <v>194</v>
      </c>
      <c r="C292" s="18"/>
      <c r="D292" s="49" t="n">
        <v>46143</v>
      </c>
      <c r="E292" s="18" t="s">
        <v>124</v>
      </c>
      <c r="F292" s="18" t="s">
        <v>119</v>
      </c>
      <c r="G292" s="18" t="s">
        <v>100</v>
      </c>
      <c r="H292" s="18" t="s">
        <v>107</v>
      </c>
      <c r="I292" s="18" t="s">
        <v>125</v>
      </c>
      <c r="J292" s="18" t="s">
        <v>241</v>
      </c>
      <c r="K292" s="18" t="s">
        <v>199</v>
      </c>
      <c r="L292" s="64" t="n">
        <v>12.711788544</v>
      </c>
      <c r="M292" s="64" t="n">
        <v>9</v>
      </c>
      <c r="N292" s="18" t="s">
        <v>524</v>
      </c>
      <c r="O292" s="65" t="n">
        <v>114.4061</v>
      </c>
      <c r="P292" s="65"/>
      <c r="Q292" s="65"/>
      <c r="R292" s="65" t="s">
        <v>232</v>
      </c>
      <c r="S292" s="66" t="n">
        <f aca="false">Model_Calc!BA52</f>
        <v>114.406096896</v>
      </c>
      <c r="T292" s="66" t="n">
        <f aca="false">ROUND(S292-O292,4)</f>
        <v>0</v>
      </c>
    </row>
    <row r="293" customFormat="false" ht="15" hidden="false" customHeight="false" outlineLevel="0" collapsed="false">
      <c r="A293" s="18" t="s">
        <v>193</v>
      </c>
      <c r="B293" s="18" t="s">
        <v>194</v>
      </c>
      <c r="C293" s="18"/>
      <c r="D293" s="49" t="n">
        <v>46143</v>
      </c>
      <c r="E293" s="18" t="s">
        <v>127</v>
      </c>
      <c r="F293" s="18" t="s">
        <v>119</v>
      </c>
      <c r="G293" s="18" t="s">
        <v>100</v>
      </c>
      <c r="H293" s="18" t="s">
        <v>128</v>
      </c>
      <c r="I293" s="18" t="s">
        <v>125</v>
      </c>
      <c r="J293" s="18" t="s">
        <v>230</v>
      </c>
      <c r="K293" s="18" t="s">
        <v>199</v>
      </c>
      <c r="L293" s="64" t="n">
        <v>1032.708096</v>
      </c>
      <c r="M293" s="64" t="n">
        <v>9</v>
      </c>
      <c r="N293" s="18" t="s">
        <v>525</v>
      </c>
      <c r="O293" s="65" t="n">
        <v>9294.3729</v>
      </c>
      <c r="P293" s="65"/>
      <c r="Q293" s="65"/>
      <c r="R293" s="65" t="s">
        <v>232</v>
      </c>
      <c r="S293" s="66" t="n">
        <f aca="false">Model_Calc!AF53</f>
        <v>9294.372864</v>
      </c>
      <c r="T293" s="66" t="n">
        <f aca="false">ROUND(S293-O293,4)</f>
        <v>0</v>
      </c>
    </row>
    <row r="294" customFormat="false" ht="15" hidden="false" customHeight="false" outlineLevel="0" collapsed="false">
      <c r="A294" s="18" t="s">
        <v>193</v>
      </c>
      <c r="B294" s="18" t="s">
        <v>194</v>
      </c>
      <c r="C294" s="18"/>
      <c r="D294" s="49" t="n">
        <v>46143</v>
      </c>
      <c r="E294" s="18" t="s">
        <v>127</v>
      </c>
      <c r="F294" s="18" t="s">
        <v>119</v>
      </c>
      <c r="G294" s="18" t="s">
        <v>100</v>
      </c>
      <c r="H294" s="18" t="s">
        <v>128</v>
      </c>
      <c r="I294" s="18" t="s">
        <v>125</v>
      </c>
      <c r="J294" s="18" t="s">
        <v>233</v>
      </c>
      <c r="K294" s="18" t="s">
        <v>199</v>
      </c>
      <c r="L294" s="64" t="n">
        <v>79.862759424</v>
      </c>
      <c r="M294" s="64" t="n">
        <v>9</v>
      </c>
      <c r="N294" s="18" t="s">
        <v>526</v>
      </c>
      <c r="O294" s="65" t="n">
        <v>718.7648</v>
      </c>
      <c r="P294" s="65"/>
      <c r="Q294" s="65"/>
      <c r="R294" s="65" t="s">
        <v>232</v>
      </c>
      <c r="S294" s="66" t="n">
        <f aca="false">Model_Calc!AG53</f>
        <v>718.764834816</v>
      </c>
      <c r="T294" s="66" t="n">
        <f aca="false">ROUND(S294-O294,4)</f>
        <v>0</v>
      </c>
    </row>
    <row r="295" customFormat="false" ht="15" hidden="false" customHeight="false" outlineLevel="0" collapsed="false">
      <c r="A295" s="18" t="s">
        <v>193</v>
      </c>
      <c r="B295" s="18" t="s">
        <v>194</v>
      </c>
      <c r="C295" s="18"/>
      <c r="D295" s="49" t="n">
        <v>46143</v>
      </c>
      <c r="E295" s="18" t="s">
        <v>127</v>
      </c>
      <c r="F295" s="18" t="s">
        <v>119</v>
      </c>
      <c r="G295" s="18" t="s">
        <v>100</v>
      </c>
      <c r="H295" s="18" t="s">
        <v>128</v>
      </c>
      <c r="I295" s="18" t="s">
        <v>125</v>
      </c>
      <c r="J295" s="18" t="s">
        <v>235</v>
      </c>
      <c r="K295" s="18" t="s">
        <v>195</v>
      </c>
      <c r="L295" s="64" t="n">
        <v>157.68576</v>
      </c>
      <c r="M295" s="64" t="n">
        <v>7.8</v>
      </c>
      <c r="N295" s="18" t="s">
        <v>527</v>
      </c>
      <c r="O295" s="65" t="n">
        <v>1229.9489</v>
      </c>
      <c r="P295" s="65"/>
      <c r="Q295" s="65"/>
      <c r="R295" s="65" t="s">
        <v>232</v>
      </c>
      <c r="S295" s="66" t="n">
        <f aca="false">Model_Calc!AL53</f>
        <v>1229.948928</v>
      </c>
      <c r="T295" s="66" t="n">
        <f aca="false">ROUND(S295-O295,4)</f>
        <v>0</v>
      </c>
    </row>
    <row r="296" customFormat="false" ht="15" hidden="false" customHeight="false" outlineLevel="0" collapsed="false">
      <c r="A296" s="18" t="s">
        <v>193</v>
      </c>
      <c r="B296" s="18" t="s">
        <v>194</v>
      </c>
      <c r="C296" s="18"/>
      <c r="D296" s="49" t="n">
        <v>46143</v>
      </c>
      <c r="E296" s="18" t="s">
        <v>127</v>
      </c>
      <c r="F296" s="18" t="s">
        <v>119</v>
      </c>
      <c r="G296" s="18" t="s">
        <v>100</v>
      </c>
      <c r="H296" s="18" t="s">
        <v>128</v>
      </c>
      <c r="I296" s="18" t="s">
        <v>125</v>
      </c>
      <c r="J296" s="18" t="s">
        <v>237</v>
      </c>
      <c r="K296" s="18" t="s">
        <v>195</v>
      </c>
      <c r="L296" s="64" t="n">
        <v>62.8604928</v>
      </c>
      <c r="M296" s="64" t="n">
        <v>7.8</v>
      </c>
      <c r="N296" s="18" t="s">
        <v>528</v>
      </c>
      <c r="O296" s="65" t="n">
        <v>490.3118</v>
      </c>
      <c r="P296" s="65"/>
      <c r="Q296" s="65"/>
      <c r="R296" s="65" t="s">
        <v>232</v>
      </c>
      <c r="S296" s="66" t="n">
        <f aca="false">Model_Calc!AQ53</f>
        <v>490.31184384</v>
      </c>
      <c r="T296" s="66" t="n">
        <f aca="false">ROUND(S296-O296,4)</f>
        <v>0</v>
      </c>
    </row>
    <row r="297" customFormat="false" ht="15" hidden="false" customHeight="false" outlineLevel="0" collapsed="false">
      <c r="A297" s="18" t="s">
        <v>193</v>
      </c>
      <c r="B297" s="18" t="s">
        <v>194</v>
      </c>
      <c r="C297" s="18"/>
      <c r="D297" s="49" t="n">
        <v>46143</v>
      </c>
      <c r="E297" s="18" t="s">
        <v>127</v>
      </c>
      <c r="F297" s="18" t="s">
        <v>119</v>
      </c>
      <c r="G297" s="18" t="s">
        <v>100</v>
      </c>
      <c r="H297" s="18" t="s">
        <v>128</v>
      </c>
      <c r="I297" s="18" t="s">
        <v>125</v>
      </c>
      <c r="J297" s="18" t="s">
        <v>239</v>
      </c>
      <c r="K297" s="18" t="s">
        <v>199</v>
      </c>
      <c r="L297" s="64" t="n">
        <v>51.314688</v>
      </c>
      <c r="M297" s="64" t="n">
        <v>9</v>
      </c>
      <c r="N297" s="18" t="s">
        <v>529</v>
      </c>
      <c r="O297" s="65" t="n">
        <v>461.8322</v>
      </c>
      <c r="P297" s="65"/>
      <c r="Q297" s="65"/>
      <c r="R297" s="65" t="s">
        <v>232</v>
      </c>
      <c r="S297" s="66" t="n">
        <f aca="false">Model_Calc!AV53</f>
        <v>461.832192</v>
      </c>
      <c r="T297" s="66" t="n">
        <f aca="false">ROUND(S297-O297,4)</f>
        <v>0</v>
      </c>
    </row>
    <row r="298" customFormat="false" ht="15" hidden="false" customHeight="false" outlineLevel="0" collapsed="false">
      <c r="A298" s="18" t="s">
        <v>193</v>
      </c>
      <c r="B298" s="18" t="s">
        <v>194</v>
      </c>
      <c r="C298" s="18"/>
      <c r="D298" s="49" t="n">
        <v>46143</v>
      </c>
      <c r="E298" s="18" t="s">
        <v>127</v>
      </c>
      <c r="F298" s="18" t="s">
        <v>119</v>
      </c>
      <c r="G298" s="18" t="s">
        <v>100</v>
      </c>
      <c r="H298" s="18" t="s">
        <v>128</v>
      </c>
      <c r="I298" s="18" t="s">
        <v>125</v>
      </c>
      <c r="J298" s="18" t="s">
        <v>241</v>
      </c>
      <c r="K298" s="18" t="s">
        <v>199</v>
      </c>
      <c r="L298" s="64" t="n">
        <v>4.849238016</v>
      </c>
      <c r="M298" s="64" t="n">
        <v>9</v>
      </c>
      <c r="N298" s="18" t="s">
        <v>530</v>
      </c>
      <c r="O298" s="65" t="n">
        <v>43.6431</v>
      </c>
      <c r="P298" s="65"/>
      <c r="Q298" s="65"/>
      <c r="R298" s="65" t="s">
        <v>232</v>
      </c>
      <c r="S298" s="66" t="n">
        <f aca="false">Model_Calc!BA53</f>
        <v>43.643142144</v>
      </c>
      <c r="T298" s="66" t="n">
        <f aca="false">ROUND(S298-O298,4)</f>
        <v>0</v>
      </c>
    </row>
    <row r="299" customFormat="false" ht="15" hidden="false" customHeight="false" outlineLevel="0" collapsed="false">
      <c r="A299" s="18" t="s">
        <v>193</v>
      </c>
      <c r="B299" s="18" t="s">
        <v>194</v>
      </c>
      <c r="C299" s="18"/>
      <c r="D299" s="49" t="n">
        <v>46143</v>
      </c>
      <c r="E299" s="18" t="s">
        <v>130</v>
      </c>
      <c r="F299" s="18" t="s">
        <v>119</v>
      </c>
      <c r="G299" s="18" t="s">
        <v>110</v>
      </c>
      <c r="H299" s="18" t="s">
        <v>107</v>
      </c>
      <c r="I299" s="18" t="s">
        <v>125</v>
      </c>
      <c r="J299" s="18" t="s">
        <v>230</v>
      </c>
      <c r="K299" s="18" t="s">
        <v>195</v>
      </c>
      <c r="L299" s="64" t="n">
        <v>1287.0432</v>
      </c>
      <c r="M299" s="64" t="n">
        <v>7.8</v>
      </c>
      <c r="N299" s="18" t="s">
        <v>531</v>
      </c>
      <c r="O299" s="65" t="n">
        <v>10038.937</v>
      </c>
      <c r="P299" s="65"/>
      <c r="Q299" s="65"/>
      <c r="R299" s="65" t="s">
        <v>232</v>
      </c>
      <c r="S299" s="66" t="n">
        <f aca="false">Model_Calc!AF54</f>
        <v>10038.93696</v>
      </c>
      <c r="T299" s="66" t="n">
        <f aca="false">ROUND(S299-O299,4)</f>
        <v>0</v>
      </c>
    </row>
    <row r="300" customFormat="false" ht="15" hidden="false" customHeight="false" outlineLevel="0" collapsed="false">
      <c r="A300" s="18" t="s">
        <v>193</v>
      </c>
      <c r="B300" s="18" t="s">
        <v>194</v>
      </c>
      <c r="C300" s="18"/>
      <c r="D300" s="49" t="n">
        <v>46143</v>
      </c>
      <c r="E300" s="18" t="s">
        <v>130</v>
      </c>
      <c r="F300" s="18" t="s">
        <v>119</v>
      </c>
      <c r="G300" s="18" t="s">
        <v>110</v>
      </c>
      <c r="H300" s="18" t="s">
        <v>107</v>
      </c>
      <c r="I300" s="18" t="s">
        <v>125</v>
      </c>
      <c r="J300" s="18" t="s">
        <v>233</v>
      </c>
      <c r="K300" s="18" t="s">
        <v>195</v>
      </c>
      <c r="L300" s="64" t="n">
        <v>135.139536</v>
      </c>
      <c r="M300" s="64" t="n">
        <v>7.8</v>
      </c>
      <c r="N300" s="18" t="s">
        <v>532</v>
      </c>
      <c r="O300" s="65" t="n">
        <v>1054.0884</v>
      </c>
      <c r="P300" s="65"/>
      <c r="Q300" s="65"/>
      <c r="R300" s="65" t="s">
        <v>232</v>
      </c>
      <c r="S300" s="66" t="n">
        <f aca="false">Model_Calc!AG54</f>
        <v>1054.0883808</v>
      </c>
      <c r="T300" s="66" t="n">
        <f aca="false">ROUND(S300-O300,4)</f>
        <v>0</v>
      </c>
    </row>
    <row r="301" customFormat="false" ht="15" hidden="false" customHeight="false" outlineLevel="0" collapsed="false">
      <c r="A301" s="18" t="s">
        <v>193</v>
      </c>
      <c r="B301" s="18" t="s">
        <v>194</v>
      </c>
      <c r="C301" s="18"/>
      <c r="D301" s="49" t="n">
        <v>46143</v>
      </c>
      <c r="E301" s="18" t="s">
        <v>130</v>
      </c>
      <c r="F301" s="18" t="s">
        <v>119</v>
      </c>
      <c r="G301" s="18" t="s">
        <v>110</v>
      </c>
      <c r="H301" s="18" t="s">
        <v>107</v>
      </c>
      <c r="I301" s="18" t="s">
        <v>125</v>
      </c>
      <c r="J301" s="18" t="s">
        <v>235</v>
      </c>
      <c r="K301" s="18" t="s">
        <v>195</v>
      </c>
      <c r="L301" s="64" t="n">
        <v>194.88</v>
      </c>
      <c r="M301" s="64" t="n">
        <v>7.8</v>
      </c>
      <c r="N301" s="18" t="s">
        <v>533</v>
      </c>
      <c r="O301" s="65" t="n">
        <v>1520.064</v>
      </c>
      <c r="P301" s="65"/>
      <c r="Q301" s="65"/>
      <c r="R301" s="65" t="s">
        <v>232</v>
      </c>
      <c r="S301" s="66" t="n">
        <f aca="false">Model_Calc!AL54</f>
        <v>1520.064</v>
      </c>
      <c r="T301" s="66" t="n">
        <f aca="false">ROUND(S301-O301,4)</f>
        <v>0</v>
      </c>
    </row>
    <row r="302" customFormat="false" ht="15" hidden="false" customHeight="false" outlineLevel="0" collapsed="false">
      <c r="A302" s="18" t="s">
        <v>193</v>
      </c>
      <c r="B302" s="18" t="s">
        <v>194</v>
      </c>
      <c r="C302" s="18"/>
      <c r="D302" s="49" t="n">
        <v>46143</v>
      </c>
      <c r="E302" s="18" t="s">
        <v>130</v>
      </c>
      <c r="F302" s="18" t="s">
        <v>119</v>
      </c>
      <c r="G302" s="18" t="s">
        <v>110</v>
      </c>
      <c r="H302" s="18" t="s">
        <v>107</v>
      </c>
      <c r="I302" s="18" t="s">
        <v>125</v>
      </c>
      <c r="J302" s="18" t="s">
        <v>237</v>
      </c>
      <c r="K302" s="18" t="s">
        <v>195</v>
      </c>
      <c r="L302" s="64" t="n">
        <v>81.1072</v>
      </c>
      <c r="M302" s="64" t="n">
        <v>7.8</v>
      </c>
      <c r="N302" s="18" t="s">
        <v>534</v>
      </c>
      <c r="O302" s="65" t="n">
        <v>632.6362</v>
      </c>
      <c r="P302" s="65"/>
      <c r="Q302" s="65"/>
      <c r="R302" s="65" t="s">
        <v>232</v>
      </c>
      <c r="S302" s="66" t="n">
        <f aca="false">Model_Calc!AQ54</f>
        <v>632.63616</v>
      </c>
      <c r="T302" s="66" t="n">
        <f aca="false">ROUND(S302-O302,4)</f>
        <v>0</v>
      </c>
    </row>
    <row r="303" customFormat="false" ht="15" hidden="false" customHeight="false" outlineLevel="0" collapsed="false">
      <c r="A303" s="18" t="s">
        <v>193</v>
      </c>
      <c r="B303" s="18" t="s">
        <v>194</v>
      </c>
      <c r="C303" s="18"/>
      <c r="D303" s="49" t="n">
        <v>46143</v>
      </c>
      <c r="E303" s="18" t="s">
        <v>130</v>
      </c>
      <c r="F303" s="18" t="s">
        <v>119</v>
      </c>
      <c r="G303" s="18" t="s">
        <v>110</v>
      </c>
      <c r="H303" s="18" t="s">
        <v>107</v>
      </c>
      <c r="I303" s="18" t="s">
        <v>125</v>
      </c>
      <c r="J303" s="18" t="s">
        <v>239</v>
      </c>
      <c r="K303" s="18" t="s">
        <v>195</v>
      </c>
      <c r="L303" s="64" t="n">
        <v>77.2096</v>
      </c>
      <c r="M303" s="64" t="n">
        <v>7.8</v>
      </c>
      <c r="N303" s="18" t="s">
        <v>535</v>
      </c>
      <c r="O303" s="65" t="n">
        <v>602.2349</v>
      </c>
      <c r="P303" s="65"/>
      <c r="Q303" s="65"/>
      <c r="R303" s="65" t="s">
        <v>232</v>
      </c>
      <c r="S303" s="66" t="n">
        <f aca="false">Model_Calc!AV54</f>
        <v>602.23488</v>
      </c>
      <c r="T303" s="66" t="n">
        <f aca="false">ROUND(S303-O303,4)</f>
        <v>0</v>
      </c>
    </row>
    <row r="304" customFormat="false" ht="15" hidden="false" customHeight="false" outlineLevel="0" collapsed="false">
      <c r="A304" s="18" t="s">
        <v>193</v>
      </c>
      <c r="B304" s="18" t="s">
        <v>194</v>
      </c>
      <c r="C304" s="18"/>
      <c r="D304" s="49" t="n">
        <v>46143</v>
      </c>
      <c r="E304" s="18" t="s">
        <v>130</v>
      </c>
      <c r="F304" s="18" t="s">
        <v>119</v>
      </c>
      <c r="G304" s="18" t="s">
        <v>110</v>
      </c>
      <c r="H304" s="18" t="s">
        <v>107</v>
      </c>
      <c r="I304" s="18" t="s">
        <v>125</v>
      </c>
      <c r="J304" s="18" t="s">
        <v>241</v>
      </c>
      <c r="K304" s="18" t="s">
        <v>195</v>
      </c>
      <c r="L304" s="64" t="n">
        <v>7.171584</v>
      </c>
      <c r="M304" s="64" t="n">
        <v>7.8</v>
      </c>
      <c r="N304" s="18" t="s">
        <v>536</v>
      </c>
      <c r="O304" s="65" t="n">
        <v>55.9384</v>
      </c>
      <c r="P304" s="65"/>
      <c r="Q304" s="65"/>
      <c r="R304" s="65" t="s">
        <v>232</v>
      </c>
      <c r="S304" s="66" t="n">
        <f aca="false">Model_Calc!BA54</f>
        <v>55.9383552</v>
      </c>
      <c r="T304" s="66" t="n">
        <f aca="false">ROUND(S304-O304,4)</f>
        <v>0</v>
      </c>
    </row>
    <row r="305" customFormat="false" ht="15" hidden="false" customHeight="false" outlineLevel="0" collapsed="false">
      <c r="A305" s="18" t="s">
        <v>193</v>
      </c>
      <c r="B305" s="18" t="s">
        <v>194</v>
      </c>
      <c r="C305" s="18"/>
      <c r="D305" s="49" t="n">
        <v>46174</v>
      </c>
      <c r="E305" s="18" t="s">
        <v>98</v>
      </c>
      <c r="F305" s="18" t="s">
        <v>99</v>
      </c>
      <c r="G305" s="18" t="s">
        <v>100</v>
      </c>
      <c r="H305" s="18" t="s">
        <v>101</v>
      </c>
      <c r="I305" s="18" t="s">
        <v>102</v>
      </c>
      <c r="J305" s="18" t="s">
        <v>230</v>
      </c>
      <c r="K305" s="18" t="s">
        <v>195</v>
      </c>
      <c r="L305" s="64" t="n">
        <v>6748.047306</v>
      </c>
      <c r="M305" s="64" t="n">
        <v>7.8</v>
      </c>
      <c r="N305" s="18" t="s">
        <v>537</v>
      </c>
      <c r="O305" s="65" t="n">
        <v>52634.769</v>
      </c>
      <c r="P305" s="65"/>
      <c r="Q305" s="65"/>
      <c r="R305" s="65" t="s">
        <v>232</v>
      </c>
      <c r="S305" s="66" t="n">
        <f aca="false">Model_Calc!AF55</f>
        <v>52634.7689868</v>
      </c>
      <c r="T305" s="66" t="n">
        <f aca="false">ROUND(S305-O305,4)</f>
        <v>0</v>
      </c>
    </row>
    <row r="306" customFormat="false" ht="15" hidden="false" customHeight="false" outlineLevel="0" collapsed="false">
      <c r="A306" s="18" t="s">
        <v>193</v>
      </c>
      <c r="B306" s="18" t="s">
        <v>194</v>
      </c>
      <c r="C306" s="18"/>
      <c r="D306" s="49" t="n">
        <v>46174</v>
      </c>
      <c r="E306" s="18" t="s">
        <v>98</v>
      </c>
      <c r="F306" s="18" t="s">
        <v>99</v>
      </c>
      <c r="G306" s="18" t="s">
        <v>100</v>
      </c>
      <c r="H306" s="18" t="s">
        <v>101</v>
      </c>
      <c r="I306" s="18" t="s">
        <v>102</v>
      </c>
      <c r="J306" s="18" t="s">
        <v>233</v>
      </c>
      <c r="K306" s="18" t="s">
        <v>195</v>
      </c>
      <c r="L306" s="64" t="n">
        <v>641.06449407</v>
      </c>
      <c r="M306" s="64" t="n">
        <v>7.8</v>
      </c>
      <c r="N306" s="18" t="s">
        <v>538</v>
      </c>
      <c r="O306" s="65" t="n">
        <v>5000.3031</v>
      </c>
      <c r="P306" s="65"/>
      <c r="Q306" s="65"/>
      <c r="R306" s="65" t="s">
        <v>232</v>
      </c>
      <c r="S306" s="66" t="n">
        <f aca="false">Model_Calc!AG55</f>
        <v>5000.303053746</v>
      </c>
      <c r="T306" s="66" t="n">
        <f aca="false">ROUND(S306-O306,4)</f>
        <v>0</v>
      </c>
    </row>
    <row r="307" customFormat="false" ht="15" hidden="false" customHeight="false" outlineLevel="0" collapsed="false">
      <c r="A307" s="18" t="s">
        <v>193</v>
      </c>
      <c r="B307" s="18" t="s">
        <v>194</v>
      </c>
      <c r="C307" s="18"/>
      <c r="D307" s="49" t="n">
        <v>46174</v>
      </c>
      <c r="E307" s="18" t="s">
        <v>98</v>
      </c>
      <c r="F307" s="18" t="s">
        <v>99</v>
      </c>
      <c r="G307" s="18" t="s">
        <v>100</v>
      </c>
      <c r="H307" s="18" t="s">
        <v>101</v>
      </c>
      <c r="I307" s="18" t="s">
        <v>102</v>
      </c>
      <c r="J307" s="18" t="s">
        <v>235</v>
      </c>
      <c r="K307" s="18" t="s">
        <v>195</v>
      </c>
      <c r="L307" s="64" t="n">
        <v>4419.3006</v>
      </c>
      <c r="M307" s="64" t="n">
        <v>7.8</v>
      </c>
      <c r="N307" s="18" t="s">
        <v>539</v>
      </c>
      <c r="O307" s="65" t="n">
        <v>34470.5447</v>
      </c>
      <c r="P307" s="65"/>
      <c r="Q307" s="65"/>
      <c r="R307" s="65" t="s">
        <v>232</v>
      </c>
      <c r="S307" s="66" t="n">
        <f aca="false">Model_Calc!AL55</f>
        <v>34470.54468</v>
      </c>
      <c r="T307" s="66" t="n">
        <f aca="false">ROUND(S307-O307,4)</f>
        <v>0</v>
      </c>
    </row>
    <row r="308" customFormat="false" ht="15" hidden="false" customHeight="false" outlineLevel="0" collapsed="false">
      <c r="A308" s="18" t="s">
        <v>193</v>
      </c>
      <c r="B308" s="18" t="s">
        <v>194</v>
      </c>
      <c r="C308" s="18"/>
      <c r="D308" s="49" t="n">
        <v>46174</v>
      </c>
      <c r="E308" s="18" t="s">
        <v>98</v>
      </c>
      <c r="F308" s="18" t="s">
        <v>99</v>
      </c>
      <c r="G308" s="18" t="s">
        <v>100</v>
      </c>
      <c r="H308" s="18" t="s">
        <v>101</v>
      </c>
      <c r="I308" s="18" t="s">
        <v>102</v>
      </c>
      <c r="J308" s="18" t="s">
        <v>237</v>
      </c>
      <c r="K308" s="18" t="s">
        <v>195</v>
      </c>
      <c r="L308" s="64" t="n">
        <v>1651.61997</v>
      </c>
      <c r="M308" s="64" t="n">
        <v>7.8</v>
      </c>
      <c r="N308" s="18" t="s">
        <v>540</v>
      </c>
      <c r="O308" s="65" t="n">
        <v>12882.6358</v>
      </c>
      <c r="P308" s="65"/>
      <c r="Q308" s="65"/>
      <c r="R308" s="65" t="s">
        <v>232</v>
      </c>
      <c r="S308" s="66" t="n">
        <f aca="false">Model_Calc!AQ55</f>
        <v>12882.635766</v>
      </c>
      <c r="T308" s="66" t="n">
        <f aca="false">ROUND(S308-O308,4)</f>
        <v>0</v>
      </c>
    </row>
    <row r="309" customFormat="false" ht="15" hidden="false" customHeight="false" outlineLevel="0" collapsed="false">
      <c r="A309" s="18" t="s">
        <v>193</v>
      </c>
      <c r="B309" s="18" t="s">
        <v>194</v>
      </c>
      <c r="C309" s="18"/>
      <c r="D309" s="49" t="n">
        <v>46174</v>
      </c>
      <c r="E309" s="18" t="s">
        <v>98</v>
      </c>
      <c r="F309" s="18" t="s">
        <v>99</v>
      </c>
      <c r="G309" s="18" t="s">
        <v>100</v>
      </c>
      <c r="H309" s="18" t="s">
        <v>101</v>
      </c>
      <c r="I309" s="18" t="s">
        <v>102</v>
      </c>
      <c r="J309" s="18" t="s">
        <v>239</v>
      </c>
      <c r="K309" s="18" t="s">
        <v>195</v>
      </c>
      <c r="L309" s="64" t="n">
        <v>599.2272</v>
      </c>
      <c r="M309" s="64" t="n">
        <v>7.8</v>
      </c>
      <c r="N309" s="18" t="s">
        <v>541</v>
      </c>
      <c r="O309" s="65" t="n">
        <v>4673.9722</v>
      </c>
      <c r="P309" s="65"/>
      <c r="Q309" s="65"/>
      <c r="R309" s="65" t="s">
        <v>232</v>
      </c>
      <c r="S309" s="66" t="n">
        <f aca="false">Model_Calc!AV55</f>
        <v>4673.97216</v>
      </c>
      <c r="T309" s="66" t="n">
        <f aca="false">ROUND(S309-O309,4)</f>
        <v>0</v>
      </c>
    </row>
    <row r="310" customFormat="false" ht="15" hidden="false" customHeight="false" outlineLevel="0" collapsed="false">
      <c r="A310" s="18" t="s">
        <v>193</v>
      </c>
      <c r="B310" s="18" t="s">
        <v>194</v>
      </c>
      <c r="C310" s="18"/>
      <c r="D310" s="49" t="n">
        <v>46174</v>
      </c>
      <c r="E310" s="18" t="s">
        <v>98</v>
      </c>
      <c r="F310" s="18" t="s">
        <v>99</v>
      </c>
      <c r="G310" s="18" t="s">
        <v>100</v>
      </c>
      <c r="H310" s="18" t="s">
        <v>101</v>
      </c>
      <c r="I310" s="18" t="s">
        <v>102</v>
      </c>
      <c r="J310" s="18" t="s">
        <v>241</v>
      </c>
      <c r="K310" s="18" t="s">
        <v>195</v>
      </c>
      <c r="L310" s="64" t="n">
        <v>144.7133688</v>
      </c>
      <c r="M310" s="64" t="n">
        <v>7.8</v>
      </c>
      <c r="N310" s="18" t="s">
        <v>542</v>
      </c>
      <c r="O310" s="65" t="n">
        <v>1128.7643</v>
      </c>
      <c r="P310" s="65"/>
      <c r="Q310" s="65"/>
      <c r="R310" s="65" t="s">
        <v>232</v>
      </c>
      <c r="S310" s="66" t="n">
        <f aca="false">Model_Calc!BA55</f>
        <v>1128.76427664</v>
      </c>
      <c r="T310" s="66" t="n">
        <f aca="false">ROUND(S310-O310,4)</f>
        <v>0</v>
      </c>
    </row>
    <row r="311" customFormat="false" ht="15" hidden="false" customHeight="false" outlineLevel="0" collapsed="false">
      <c r="A311" s="18" t="s">
        <v>193</v>
      </c>
      <c r="B311" s="18" t="s">
        <v>194</v>
      </c>
      <c r="C311" s="18"/>
      <c r="D311" s="49" t="n">
        <v>46174</v>
      </c>
      <c r="E311" s="18" t="s">
        <v>106</v>
      </c>
      <c r="F311" s="18" t="s">
        <v>99</v>
      </c>
      <c r="G311" s="18" t="s">
        <v>100</v>
      </c>
      <c r="H311" s="18" t="s">
        <v>107</v>
      </c>
      <c r="I311" s="18" t="s">
        <v>102</v>
      </c>
      <c r="J311" s="18" t="s">
        <v>230</v>
      </c>
      <c r="K311" s="18" t="s">
        <v>195</v>
      </c>
      <c r="L311" s="64" t="n">
        <v>5767.5618</v>
      </c>
      <c r="M311" s="64" t="n">
        <v>7.8</v>
      </c>
      <c r="N311" s="18" t="s">
        <v>543</v>
      </c>
      <c r="O311" s="65" t="n">
        <v>44986.982</v>
      </c>
      <c r="P311" s="65"/>
      <c r="Q311" s="65"/>
      <c r="R311" s="65" t="s">
        <v>232</v>
      </c>
      <c r="S311" s="66" t="n">
        <f aca="false">Model_Calc!AF56</f>
        <v>44986.98204</v>
      </c>
      <c r="T311" s="66" t="n">
        <f aca="false">ROUND(S311-O311,4)</f>
        <v>0</v>
      </c>
    </row>
    <row r="312" customFormat="false" ht="15" hidden="false" customHeight="false" outlineLevel="0" collapsed="false">
      <c r="A312" s="18" t="s">
        <v>193</v>
      </c>
      <c r="B312" s="18" t="s">
        <v>194</v>
      </c>
      <c r="C312" s="18"/>
      <c r="D312" s="49" t="n">
        <v>46174</v>
      </c>
      <c r="E312" s="18" t="s">
        <v>106</v>
      </c>
      <c r="F312" s="18" t="s">
        <v>99</v>
      </c>
      <c r="G312" s="18" t="s">
        <v>100</v>
      </c>
      <c r="H312" s="18" t="s">
        <v>107</v>
      </c>
      <c r="I312" s="18" t="s">
        <v>102</v>
      </c>
      <c r="J312" s="18" t="s">
        <v>233</v>
      </c>
      <c r="K312" s="18" t="s">
        <v>195</v>
      </c>
      <c r="L312" s="64" t="n">
        <v>440.431992</v>
      </c>
      <c r="M312" s="64" t="n">
        <v>7.8</v>
      </c>
      <c r="N312" s="18" t="s">
        <v>544</v>
      </c>
      <c r="O312" s="65" t="n">
        <v>3435.3695</v>
      </c>
      <c r="P312" s="65"/>
      <c r="Q312" s="65"/>
      <c r="R312" s="65" t="s">
        <v>232</v>
      </c>
      <c r="S312" s="66" t="n">
        <f aca="false">Model_Calc!AG56</f>
        <v>3435.3695376</v>
      </c>
      <c r="T312" s="66" t="n">
        <f aca="false">ROUND(S312-O312,4)</f>
        <v>0</v>
      </c>
    </row>
    <row r="313" customFormat="false" ht="15" hidden="false" customHeight="false" outlineLevel="0" collapsed="false">
      <c r="A313" s="18" t="s">
        <v>193</v>
      </c>
      <c r="B313" s="18" t="s">
        <v>194</v>
      </c>
      <c r="C313" s="18"/>
      <c r="D313" s="49" t="n">
        <v>46174</v>
      </c>
      <c r="E313" s="18" t="s">
        <v>106</v>
      </c>
      <c r="F313" s="18" t="s">
        <v>99</v>
      </c>
      <c r="G313" s="18" t="s">
        <v>100</v>
      </c>
      <c r="H313" s="18" t="s">
        <v>107</v>
      </c>
      <c r="I313" s="18" t="s">
        <v>102</v>
      </c>
      <c r="J313" s="18" t="s">
        <v>235</v>
      </c>
      <c r="K313" s="18" t="s">
        <v>195</v>
      </c>
      <c r="L313" s="64" t="n">
        <v>2946.2004</v>
      </c>
      <c r="M313" s="64" t="n">
        <v>7.8</v>
      </c>
      <c r="N313" s="18" t="s">
        <v>545</v>
      </c>
      <c r="O313" s="65" t="n">
        <v>22980.3631</v>
      </c>
      <c r="P313" s="65"/>
      <c r="Q313" s="65"/>
      <c r="R313" s="65" t="s">
        <v>232</v>
      </c>
      <c r="S313" s="66" t="n">
        <f aca="false">Model_Calc!AL56</f>
        <v>22980.36312</v>
      </c>
      <c r="T313" s="66" t="n">
        <f aca="false">ROUND(S313-O313,4)</f>
        <v>0</v>
      </c>
    </row>
    <row r="314" customFormat="false" ht="15" hidden="false" customHeight="false" outlineLevel="0" collapsed="false">
      <c r="A314" s="18" t="s">
        <v>193</v>
      </c>
      <c r="B314" s="18" t="s">
        <v>194</v>
      </c>
      <c r="C314" s="18"/>
      <c r="D314" s="49" t="n">
        <v>46174</v>
      </c>
      <c r="E314" s="18" t="s">
        <v>106</v>
      </c>
      <c r="F314" s="18" t="s">
        <v>99</v>
      </c>
      <c r="G314" s="18" t="s">
        <v>100</v>
      </c>
      <c r="H314" s="18" t="s">
        <v>107</v>
      </c>
      <c r="I314" s="18" t="s">
        <v>102</v>
      </c>
      <c r="J314" s="18" t="s">
        <v>237</v>
      </c>
      <c r="K314" s="18" t="s">
        <v>195</v>
      </c>
      <c r="L314" s="64" t="n">
        <v>1101.07998</v>
      </c>
      <c r="M314" s="64" t="n">
        <v>7.8</v>
      </c>
      <c r="N314" s="18" t="s">
        <v>546</v>
      </c>
      <c r="O314" s="65" t="n">
        <v>8588.4238</v>
      </c>
      <c r="P314" s="65"/>
      <c r="Q314" s="65"/>
      <c r="R314" s="65" t="s">
        <v>232</v>
      </c>
      <c r="S314" s="66" t="n">
        <f aca="false">Model_Calc!AQ56</f>
        <v>8588.423844</v>
      </c>
      <c r="T314" s="66" t="n">
        <f aca="false">ROUND(S314-O314,4)</f>
        <v>0</v>
      </c>
    </row>
    <row r="315" customFormat="false" ht="15" hidden="false" customHeight="false" outlineLevel="0" collapsed="false">
      <c r="A315" s="18" t="s">
        <v>193</v>
      </c>
      <c r="B315" s="18" t="s">
        <v>194</v>
      </c>
      <c r="C315" s="18"/>
      <c r="D315" s="49" t="n">
        <v>46174</v>
      </c>
      <c r="E315" s="18" t="s">
        <v>106</v>
      </c>
      <c r="F315" s="18" t="s">
        <v>99</v>
      </c>
      <c r="G315" s="18" t="s">
        <v>100</v>
      </c>
      <c r="H315" s="18" t="s">
        <v>107</v>
      </c>
      <c r="I315" s="18" t="s">
        <v>102</v>
      </c>
      <c r="J315" s="18" t="s">
        <v>239</v>
      </c>
      <c r="K315" s="18" t="s">
        <v>195</v>
      </c>
      <c r="L315" s="64" t="n">
        <v>399.4848</v>
      </c>
      <c r="M315" s="64" t="n">
        <v>7.8</v>
      </c>
      <c r="N315" s="18" t="s">
        <v>547</v>
      </c>
      <c r="O315" s="65" t="n">
        <v>3115.9814</v>
      </c>
      <c r="P315" s="65"/>
      <c r="Q315" s="65"/>
      <c r="R315" s="65" t="s">
        <v>232</v>
      </c>
      <c r="S315" s="66" t="n">
        <f aca="false">Model_Calc!AV56</f>
        <v>3115.98144</v>
      </c>
      <c r="T315" s="66" t="n">
        <f aca="false">ROUND(S315-O315,4)</f>
        <v>0</v>
      </c>
    </row>
    <row r="316" customFormat="false" ht="15" hidden="false" customHeight="false" outlineLevel="0" collapsed="false">
      <c r="A316" s="18" t="s">
        <v>193</v>
      </c>
      <c r="B316" s="18" t="s">
        <v>194</v>
      </c>
      <c r="C316" s="18"/>
      <c r="D316" s="49" t="n">
        <v>46174</v>
      </c>
      <c r="E316" s="18" t="s">
        <v>106</v>
      </c>
      <c r="F316" s="18" t="s">
        <v>99</v>
      </c>
      <c r="G316" s="18" t="s">
        <v>100</v>
      </c>
      <c r="H316" s="18" t="s">
        <v>107</v>
      </c>
      <c r="I316" s="18" t="s">
        <v>102</v>
      </c>
      <c r="J316" s="18" t="s">
        <v>241</v>
      </c>
      <c r="K316" s="18" t="s">
        <v>195</v>
      </c>
      <c r="L316" s="64" t="n">
        <v>78.3864081</v>
      </c>
      <c r="M316" s="64" t="n">
        <v>7.8</v>
      </c>
      <c r="N316" s="18" t="s">
        <v>548</v>
      </c>
      <c r="O316" s="65" t="n">
        <v>611.414</v>
      </c>
      <c r="P316" s="65"/>
      <c r="Q316" s="65"/>
      <c r="R316" s="65" t="s">
        <v>232</v>
      </c>
      <c r="S316" s="66" t="n">
        <f aca="false">Model_Calc!BA56</f>
        <v>611.41398318</v>
      </c>
      <c r="T316" s="66" t="n">
        <f aca="false">ROUND(S316-O316,4)</f>
        <v>0</v>
      </c>
    </row>
    <row r="317" customFormat="false" ht="15" hidden="false" customHeight="false" outlineLevel="0" collapsed="false">
      <c r="A317" s="18" t="s">
        <v>193</v>
      </c>
      <c r="B317" s="18" t="s">
        <v>194</v>
      </c>
      <c r="C317" s="18"/>
      <c r="D317" s="49" t="n">
        <v>46174</v>
      </c>
      <c r="E317" s="18" t="s">
        <v>109</v>
      </c>
      <c r="F317" s="18" t="s">
        <v>99</v>
      </c>
      <c r="G317" s="18" t="s">
        <v>110</v>
      </c>
      <c r="H317" s="18" t="s">
        <v>107</v>
      </c>
      <c r="I317" s="18" t="s">
        <v>102</v>
      </c>
      <c r="J317" s="18" t="s">
        <v>230</v>
      </c>
      <c r="K317" s="18" t="s">
        <v>195</v>
      </c>
      <c r="L317" s="64" t="n">
        <v>591.705972</v>
      </c>
      <c r="M317" s="64" t="n">
        <v>7.8</v>
      </c>
      <c r="N317" s="18" t="s">
        <v>549</v>
      </c>
      <c r="O317" s="65" t="n">
        <v>4615.3066</v>
      </c>
      <c r="P317" s="65"/>
      <c r="Q317" s="65"/>
      <c r="R317" s="65" t="s">
        <v>232</v>
      </c>
      <c r="S317" s="66" t="n">
        <f aca="false">Model_Calc!AF57</f>
        <v>4615.3065816</v>
      </c>
      <c r="T317" s="66" t="n">
        <f aca="false">ROUND(S317-O317,4)</f>
        <v>0</v>
      </c>
    </row>
    <row r="318" customFormat="false" ht="15" hidden="false" customHeight="false" outlineLevel="0" collapsed="false">
      <c r="A318" s="18" t="s">
        <v>193</v>
      </c>
      <c r="B318" s="18" t="s">
        <v>194</v>
      </c>
      <c r="C318" s="18"/>
      <c r="D318" s="49" t="n">
        <v>46174</v>
      </c>
      <c r="E318" s="18" t="s">
        <v>109</v>
      </c>
      <c r="F318" s="18" t="s">
        <v>99</v>
      </c>
      <c r="G318" s="18" t="s">
        <v>110</v>
      </c>
      <c r="H318" s="18" t="s">
        <v>107</v>
      </c>
      <c r="I318" s="18" t="s">
        <v>102</v>
      </c>
      <c r="J318" s="18" t="s">
        <v>233</v>
      </c>
      <c r="K318" s="18" t="s">
        <v>195</v>
      </c>
      <c r="L318" s="64" t="n">
        <v>43.0331616</v>
      </c>
      <c r="M318" s="64" t="n">
        <v>7.8</v>
      </c>
      <c r="N318" s="18" t="s">
        <v>550</v>
      </c>
      <c r="O318" s="65" t="n">
        <v>335.6587</v>
      </c>
      <c r="P318" s="65"/>
      <c r="Q318" s="65"/>
      <c r="R318" s="65" t="s">
        <v>232</v>
      </c>
      <c r="S318" s="66" t="n">
        <f aca="false">Model_Calc!AG57</f>
        <v>335.65866048</v>
      </c>
      <c r="T318" s="66" t="n">
        <f aca="false">ROUND(S318-O318,4)</f>
        <v>0</v>
      </c>
    </row>
    <row r="319" customFormat="false" ht="15" hidden="false" customHeight="false" outlineLevel="0" collapsed="false">
      <c r="A319" s="18" t="s">
        <v>193</v>
      </c>
      <c r="B319" s="18" t="s">
        <v>194</v>
      </c>
      <c r="C319" s="18"/>
      <c r="D319" s="49" t="n">
        <v>46174</v>
      </c>
      <c r="E319" s="18" t="s">
        <v>109</v>
      </c>
      <c r="F319" s="18" t="s">
        <v>99</v>
      </c>
      <c r="G319" s="18" t="s">
        <v>110</v>
      </c>
      <c r="H319" s="18" t="s">
        <v>107</v>
      </c>
      <c r="I319" s="18" t="s">
        <v>102</v>
      </c>
      <c r="J319" s="18" t="s">
        <v>235</v>
      </c>
      <c r="K319" s="18" t="s">
        <v>195</v>
      </c>
      <c r="L319" s="64" t="n">
        <v>202.7025</v>
      </c>
      <c r="M319" s="64" t="n">
        <v>7.8</v>
      </c>
      <c r="N319" s="18" t="s">
        <v>551</v>
      </c>
      <c r="O319" s="65" t="n">
        <v>1581.0795</v>
      </c>
      <c r="P319" s="65"/>
      <c r="Q319" s="65"/>
      <c r="R319" s="65" t="s">
        <v>232</v>
      </c>
      <c r="S319" s="66" t="n">
        <f aca="false">Model_Calc!AL57</f>
        <v>1581.0795</v>
      </c>
      <c r="T319" s="66" t="n">
        <f aca="false">ROUND(S319-O319,4)</f>
        <v>0</v>
      </c>
    </row>
    <row r="320" customFormat="false" ht="15" hidden="false" customHeight="false" outlineLevel="0" collapsed="false">
      <c r="A320" s="18" t="s">
        <v>193</v>
      </c>
      <c r="B320" s="18" t="s">
        <v>194</v>
      </c>
      <c r="C320" s="18"/>
      <c r="D320" s="49" t="n">
        <v>46174</v>
      </c>
      <c r="E320" s="18" t="s">
        <v>109</v>
      </c>
      <c r="F320" s="18" t="s">
        <v>99</v>
      </c>
      <c r="G320" s="18" t="s">
        <v>110</v>
      </c>
      <c r="H320" s="18" t="s">
        <v>107</v>
      </c>
      <c r="I320" s="18" t="s">
        <v>102</v>
      </c>
      <c r="J320" s="18" t="s">
        <v>237</v>
      </c>
      <c r="K320" s="18" t="s">
        <v>195</v>
      </c>
      <c r="L320" s="64" t="n">
        <v>79.22772</v>
      </c>
      <c r="M320" s="64" t="n">
        <v>7.8</v>
      </c>
      <c r="N320" s="18" t="s">
        <v>552</v>
      </c>
      <c r="O320" s="65" t="n">
        <v>617.9762</v>
      </c>
      <c r="P320" s="65"/>
      <c r="Q320" s="65"/>
      <c r="R320" s="65" t="s">
        <v>232</v>
      </c>
      <c r="S320" s="66" t="n">
        <f aca="false">Model_Calc!AQ57</f>
        <v>617.976216</v>
      </c>
      <c r="T320" s="66" t="n">
        <f aca="false">ROUND(S320-O320,4)</f>
        <v>0</v>
      </c>
    </row>
    <row r="321" customFormat="false" ht="15" hidden="false" customHeight="false" outlineLevel="0" collapsed="false">
      <c r="A321" s="18" t="s">
        <v>193</v>
      </c>
      <c r="B321" s="18" t="s">
        <v>194</v>
      </c>
      <c r="C321" s="18"/>
      <c r="D321" s="49" t="n">
        <v>46174</v>
      </c>
      <c r="E321" s="18" t="s">
        <v>109</v>
      </c>
      <c r="F321" s="18" t="s">
        <v>99</v>
      </c>
      <c r="G321" s="18" t="s">
        <v>110</v>
      </c>
      <c r="H321" s="18" t="s">
        <v>107</v>
      </c>
      <c r="I321" s="18" t="s">
        <v>102</v>
      </c>
      <c r="J321" s="18" t="s">
        <v>239</v>
      </c>
      <c r="K321" s="18" t="s">
        <v>195</v>
      </c>
      <c r="L321" s="64" t="n">
        <v>36.6795</v>
      </c>
      <c r="M321" s="64" t="n">
        <v>7.8</v>
      </c>
      <c r="N321" s="18" t="s">
        <v>553</v>
      </c>
      <c r="O321" s="65" t="n">
        <v>286.1001</v>
      </c>
      <c r="P321" s="65"/>
      <c r="Q321" s="65"/>
      <c r="R321" s="65" t="s">
        <v>232</v>
      </c>
      <c r="S321" s="66" t="n">
        <f aca="false">Model_Calc!AV57</f>
        <v>286.1001</v>
      </c>
      <c r="T321" s="66" t="n">
        <f aca="false">ROUND(S321-O321,4)</f>
        <v>0</v>
      </c>
    </row>
    <row r="322" customFormat="false" ht="15" hidden="false" customHeight="false" outlineLevel="0" collapsed="false">
      <c r="A322" s="18" t="s">
        <v>193</v>
      </c>
      <c r="B322" s="18" t="s">
        <v>194</v>
      </c>
      <c r="C322" s="18"/>
      <c r="D322" s="49" t="n">
        <v>46174</v>
      </c>
      <c r="E322" s="18" t="s">
        <v>109</v>
      </c>
      <c r="F322" s="18" t="s">
        <v>99</v>
      </c>
      <c r="G322" s="18" t="s">
        <v>110</v>
      </c>
      <c r="H322" s="18" t="s">
        <v>107</v>
      </c>
      <c r="I322" s="18" t="s">
        <v>102</v>
      </c>
      <c r="J322" s="18" t="s">
        <v>241</v>
      </c>
      <c r="K322" s="18" t="s">
        <v>195</v>
      </c>
      <c r="L322" s="64" t="n">
        <v>6.7135068</v>
      </c>
      <c r="M322" s="64" t="n">
        <v>7.8</v>
      </c>
      <c r="N322" s="18" t="s">
        <v>554</v>
      </c>
      <c r="O322" s="65" t="n">
        <v>52.3654</v>
      </c>
      <c r="P322" s="65"/>
      <c r="Q322" s="65"/>
      <c r="R322" s="65" t="s">
        <v>232</v>
      </c>
      <c r="S322" s="66" t="n">
        <f aca="false">Model_Calc!BA57</f>
        <v>52.36535304</v>
      </c>
      <c r="T322" s="66" t="n">
        <f aca="false">ROUND(S322-O322,4)</f>
        <v>0</v>
      </c>
    </row>
    <row r="323" customFormat="false" ht="15" hidden="false" customHeight="false" outlineLevel="0" collapsed="false">
      <c r="A323" s="18" t="s">
        <v>193</v>
      </c>
      <c r="B323" s="18" t="s">
        <v>194</v>
      </c>
      <c r="C323" s="18"/>
      <c r="D323" s="49" t="n">
        <v>46174</v>
      </c>
      <c r="E323" s="18" t="s">
        <v>112</v>
      </c>
      <c r="F323" s="18" t="s">
        <v>113</v>
      </c>
      <c r="G323" s="18" t="s">
        <v>110</v>
      </c>
      <c r="H323" s="18" t="s">
        <v>101</v>
      </c>
      <c r="I323" s="18" t="s">
        <v>102</v>
      </c>
      <c r="J323" s="18" t="s">
        <v>230</v>
      </c>
      <c r="K323" s="18" t="s">
        <v>195</v>
      </c>
      <c r="L323" s="64" t="n">
        <v>3126.37248</v>
      </c>
      <c r="M323" s="64" t="n">
        <v>7.8</v>
      </c>
      <c r="N323" s="18" t="s">
        <v>555</v>
      </c>
      <c r="O323" s="65" t="n">
        <v>24385.7053</v>
      </c>
      <c r="P323" s="65"/>
      <c r="Q323" s="65"/>
      <c r="R323" s="65" t="s">
        <v>232</v>
      </c>
      <c r="S323" s="66" t="n">
        <f aca="false">Model_Calc!AF58</f>
        <v>24385.705344</v>
      </c>
      <c r="T323" s="66" t="n">
        <f aca="false">ROUND(S323-O323,4)</f>
        <v>0</v>
      </c>
    </row>
    <row r="324" customFormat="false" ht="15" hidden="false" customHeight="false" outlineLevel="0" collapsed="false">
      <c r="A324" s="18" t="s">
        <v>193</v>
      </c>
      <c r="B324" s="18" t="s">
        <v>194</v>
      </c>
      <c r="C324" s="18"/>
      <c r="D324" s="49" t="n">
        <v>46174</v>
      </c>
      <c r="E324" s="18" t="s">
        <v>112</v>
      </c>
      <c r="F324" s="18" t="s">
        <v>113</v>
      </c>
      <c r="G324" s="18" t="s">
        <v>110</v>
      </c>
      <c r="H324" s="18" t="s">
        <v>101</v>
      </c>
      <c r="I324" s="18" t="s">
        <v>102</v>
      </c>
      <c r="J324" s="18" t="s">
        <v>233</v>
      </c>
      <c r="K324" s="18" t="s">
        <v>195</v>
      </c>
      <c r="L324" s="64" t="n">
        <v>281.3735232</v>
      </c>
      <c r="M324" s="64" t="n">
        <v>7.8</v>
      </c>
      <c r="N324" s="18" t="s">
        <v>556</v>
      </c>
      <c r="O324" s="65" t="n">
        <v>2194.7135</v>
      </c>
      <c r="P324" s="65"/>
      <c r="Q324" s="65"/>
      <c r="R324" s="65" t="s">
        <v>232</v>
      </c>
      <c r="S324" s="66" t="n">
        <f aca="false">Model_Calc!AG58</f>
        <v>2194.71348096</v>
      </c>
      <c r="T324" s="66" t="n">
        <f aca="false">ROUND(S324-O324,4)</f>
        <v>0</v>
      </c>
    </row>
    <row r="325" customFormat="false" ht="15" hidden="false" customHeight="false" outlineLevel="0" collapsed="false">
      <c r="A325" s="18" t="s">
        <v>193</v>
      </c>
      <c r="B325" s="18" t="s">
        <v>194</v>
      </c>
      <c r="C325" s="18"/>
      <c r="D325" s="49" t="n">
        <v>46174</v>
      </c>
      <c r="E325" s="18" t="s">
        <v>112</v>
      </c>
      <c r="F325" s="18" t="s">
        <v>113</v>
      </c>
      <c r="G325" s="18" t="s">
        <v>110</v>
      </c>
      <c r="H325" s="18" t="s">
        <v>101</v>
      </c>
      <c r="I325" s="18" t="s">
        <v>102</v>
      </c>
      <c r="J325" s="18" t="s">
        <v>235</v>
      </c>
      <c r="K325" s="18" t="s">
        <v>195</v>
      </c>
      <c r="L325" s="64" t="n">
        <v>1940.4</v>
      </c>
      <c r="M325" s="64" t="n">
        <v>7.8</v>
      </c>
      <c r="N325" s="18" t="s">
        <v>557</v>
      </c>
      <c r="O325" s="65" t="n">
        <v>15135.12</v>
      </c>
      <c r="P325" s="65"/>
      <c r="Q325" s="65"/>
      <c r="R325" s="65" t="s">
        <v>232</v>
      </c>
      <c r="S325" s="66" t="n">
        <f aca="false">Model_Calc!AL58</f>
        <v>15135.12</v>
      </c>
      <c r="T325" s="66" t="n">
        <f aca="false">ROUND(S325-O325,4)</f>
        <v>0</v>
      </c>
    </row>
    <row r="326" customFormat="false" ht="15" hidden="false" customHeight="false" outlineLevel="0" collapsed="false">
      <c r="A326" s="18" t="s">
        <v>193</v>
      </c>
      <c r="B326" s="18" t="s">
        <v>194</v>
      </c>
      <c r="C326" s="18"/>
      <c r="D326" s="49" t="n">
        <v>46174</v>
      </c>
      <c r="E326" s="18" t="s">
        <v>112</v>
      </c>
      <c r="F326" s="18" t="s">
        <v>113</v>
      </c>
      <c r="G326" s="18" t="s">
        <v>110</v>
      </c>
      <c r="H326" s="18" t="s">
        <v>101</v>
      </c>
      <c r="I326" s="18" t="s">
        <v>102</v>
      </c>
      <c r="J326" s="18" t="s">
        <v>237</v>
      </c>
      <c r="K326" s="18" t="s">
        <v>195</v>
      </c>
      <c r="L326" s="64" t="n">
        <v>744.3744</v>
      </c>
      <c r="M326" s="64" t="n">
        <v>7.8</v>
      </c>
      <c r="N326" s="18" t="s">
        <v>558</v>
      </c>
      <c r="O326" s="65" t="n">
        <v>5806.1203</v>
      </c>
      <c r="P326" s="65"/>
      <c r="Q326" s="65"/>
      <c r="R326" s="65" t="s">
        <v>232</v>
      </c>
      <c r="S326" s="66" t="n">
        <f aca="false">Model_Calc!AQ58</f>
        <v>5806.12032</v>
      </c>
      <c r="T326" s="66" t="n">
        <f aca="false">ROUND(S326-O326,4)</f>
        <v>0</v>
      </c>
    </row>
    <row r="327" customFormat="false" ht="15" hidden="false" customHeight="false" outlineLevel="0" collapsed="false">
      <c r="A327" s="18" t="s">
        <v>193</v>
      </c>
      <c r="B327" s="18" t="s">
        <v>194</v>
      </c>
      <c r="C327" s="18"/>
      <c r="D327" s="49" t="n">
        <v>46174</v>
      </c>
      <c r="E327" s="18" t="s">
        <v>112</v>
      </c>
      <c r="F327" s="18" t="s">
        <v>113</v>
      </c>
      <c r="G327" s="18" t="s">
        <v>110</v>
      </c>
      <c r="H327" s="18" t="s">
        <v>101</v>
      </c>
      <c r="I327" s="18" t="s">
        <v>102</v>
      </c>
      <c r="J327" s="18" t="s">
        <v>239</v>
      </c>
      <c r="K327" s="18" t="s">
        <v>195</v>
      </c>
      <c r="L327" s="64" t="n">
        <v>332.64</v>
      </c>
      <c r="M327" s="64" t="n">
        <v>7.8</v>
      </c>
      <c r="N327" s="18" t="s">
        <v>559</v>
      </c>
      <c r="O327" s="65" t="n">
        <v>2594.592</v>
      </c>
      <c r="P327" s="65"/>
      <c r="Q327" s="65"/>
      <c r="R327" s="65" t="s">
        <v>232</v>
      </c>
      <c r="S327" s="66" t="n">
        <f aca="false">Model_Calc!AV58</f>
        <v>2594.592</v>
      </c>
      <c r="T327" s="66" t="n">
        <f aca="false">ROUND(S327-O327,4)</f>
        <v>0</v>
      </c>
    </row>
    <row r="328" customFormat="false" ht="15" hidden="false" customHeight="false" outlineLevel="0" collapsed="false">
      <c r="A328" s="18" t="s">
        <v>193</v>
      </c>
      <c r="B328" s="18" t="s">
        <v>194</v>
      </c>
      <c r="C328" s="18"/>
      <c r="D328" s="49" t="n">
        <v>46174</v>
      </c>
      <c r="E328" s="18" t="s">
        <v>112</v>
      </c>
      <c r="F328" s="18" t="s">
        <v>113</v>
      </c>
      <c r="G328" s="18" t="s">
        <v>110</v>
      </c>
      <c r="H328" s="18" t="s">
        <v>101</v>
      </c>
      <c r="I328" s="18" t="s">
        <v>102</v>
      </c>
      <c r="J328" s="18" t="s">
        <v>241</v>
      </c>
      <c r="K328" s="18" t="s">
        <v>195</v>
      </c>
      <c r="L328" s="64" t="n">
        <v>76.592208</v>
      </c>
      <c r="M328" s="64" t="n">
        <v>7.8</v>
      </c>
      <c r="N328" s="18" t="s">
        <v>560</v>
      </c>
      <c r="O328" s="65" t="n">
        <v>597.4192</v>
      </c>
      <c r="P328" s="65"/>
      <c r="Q328" s="65"/>
      <c r="R328" s="65" t="s">
        <v>232</v>
      </c>
      <c r="S328" s="66" t="n">
        <f aca="false">Model_Calc!BA58</f>
        <v>597.4192224</v>
      </c>
      <c r="T328" s="66" t="n">
        <f aca="false">ROUND(S328-O328,4)</f>
        <v>0</v>
      </c>
    </row>
    <row r="329" customFormat="false" ht="15" hidden="false" customHeight="false" outlineLevel="0" collapsed="false">
      <c r="A329" s="18" t="s">
        <v>193</v>
      </c>
      <c r="B329" s="18" t="s">
        <v>194</v>
      </c>
      <c r="C329" s="18"/>
      <c r="D329" s="49" t="n">
        <v>46174</v>
      </c>
      <c r="E329" s="18" t="s">
        <v>116</v>
      </c>
      <c r="F329" s="18" t="s">
        <v>113</v>
      </c>
      <c r="G329" s="18" t="s">
        <v>110</v>
      </c>
      <c r="H329" s="18" t="s">
        <v>107</v>
      </c>
      <c r="I329" s="18" t="s">
        <v>102</v>
      </c>
      <c r="J329" s="18" t="s">
        <v>230</v>
      </c>
      <c r="K329" s="18" t="s">
        <v>195</v>
      </c>
      <c r="L329" s="64" t="n">
        <v>7472.28768</v>
      </c>
      <c r="M329" s="64" t="n">
        <v>7.8</v>
      </c>
      <c r="N329" s="18" t="s">
        <v>561</v>
      </c>
      <c r="O329" s="65" t="n">
        <v>58283.8439</v>
      </c>
      <c r="P329" s="65"/>
      <c r="Q329" s="65"/>
      <c r="R329" s="65" t="s">
        <v>232</v>
      </c>
      <c r="S329" s="66" t="n">
        <f aca="false">Model_Calc!AF59</f>
        <v>58283.843904</v>
      </c>
      <c r="T329" s="66" t="n">
        <f aca="false">ROUND(S329-O329,4)</f>
        <v>0</v>
      </c>
    </row>
    <row r="330" customFormat="false" ht="15" hidden="false" customHeight="false" outlineLevel="0" collapsed="false">
      <c r="A330" s="18" t="s">
        <v>193</v>
      </c>
      <c r="B330" s="18" t="s">
        <v>194</v>
      </c>
      <c r="C330" s="18"/>
      <c r="D330" s="49" t="n">
        <v>46174</v>
      </c>
      <c r="E330" s="18" t="s">
        <v>116</v>
      </c>
      <c r="F330" s="18" t="s">
        <v>113</v>
      </c>
      <c r="G330" s="18" t="s">
        <v>110</v>
      </c>
      <c r="H330" s="18" t="s">
        <v>107</v>
      </c>
      <c r="I330" s="18" t="s">
        <v>102</v>
      </c>
      <c r="J330" s="18" t="s">
        <v>233</v>
      </c>
      <c r="K330" s="18" t="s">
        <v>195</v>
      </c>
      <c r="L330" s="64" t="n">
        <v>574.79136</v>
      </c>
      <c r="M330" s="64" t="n">
        <v>7.8</v>
      </c>
      <c r="N330" s="18" t="s">
        <v>562</v>
      </c>
      <c r="O330" s="65" t="n">
        <v>4483.3726</v>
      </c>
      <c r="P330" s="65"/>
      <c r="Q330" s="65"/>
      <c r="R330" s="65" t="s">
        <v>232</v>
      </c>
      <c r="S330" s="66" t="n">
        <f aca="false">Model_Calc!AG59</f>
        <v>4483.372608</v>
      </c>
      <c r="T330" s="66" t="n">
        <f aca="false">ROUND(S330-O330,4)</f>
        <v>0</v>
      </c>
    </row>
    <row r="331" customFormat="false" ht="15" hidden="false" customHeight="false" outlineLevel="0" collapsed="false">
      <c r="A331" s="18" t="s">
        <v>193</v>
      </c>
      <c r="B331" s="18" t="s">
        <v>194</v>
      </c>
      <c r="C331" s="18"/>
      <c r="D331" s="49" t="n">
        <v>46174</v>
      </c>
      <c r="E331" s="18" t="s">
        <v>116</v>
      </c>
      <c r="F331" s="18" t="s">
        <v>113</v>
      </c>
      <c r="G331" s="18" t="s">
        <v>110</v>
      </c>
      <c r="H331" s="18" t="s">
        <v>107</v>
      </c>
      <c r="I331" s="18" t="s">
        <v>102</v>
      </c>
      <c r="J331" s="18" t="s">
        <v>235</v>
      </c>
      <c r="K331" s="18" t="s">
        <v>195</v>
      </c>
      <c r="L331" s="64" t="n">
        <v>3603.6</v>
      </c>
      <c r="M331" s="64" t="n">
        <v>7.8</v>
      </c>
      <c r="N331" s="18" t="s">
        <v>563</v>
      </c>
      <c r="O331" s="65" t="n">
        <v>28108.08</v>
      </c>
      <c r="P331" s="65"/>
      <c r="Q331" s="65"/>
      <c r="R331" s="65" t="s">
        <v>232</v>
      </c>
      <c r="S331" s="66" t="n">
        <f aca="false">Model_Calc!AL59</f>
        <v>28108.08</v>
      </c>
      <c r="T331" s="66" t="n">
        <f aca="false">ROUND(S331-O331,4)</f>
        <v>0</v>
      </c>
    </row>
    <row r="332" customFormat="false" ht="15" hidden="false" customHeight="false" outlineLevel="0" collapsed="false">
      <c r="A332" s="18" t="s">
        <v>193</v>
      </c>
      <c r="B332" s="18" t="s">
        <v>194</v>
      </c>
      <c r="C332" s="18"/>
      <c r="D332" s="49" t="n">
        <v>46174</v>
      </c>
      <c r="E332" s="18" t="s">
        <v>116</v>
      </c>
      <c r="F332" s="18" t="s">
        <v>113</v>
      </c>
      <c r="G332" s="18" t="s">
        <v>110</v>
      </c>
      <c r="H332" s="18" t="s">
        <v>107</v>
      </c>
      <c r="I332" s="18" t="s">
        <v>102</v>
      </c>
      <c r="J332" s="18" t="s">
        <v>237</v>
      </c>
      <c r="K332" s="18" t="s">
        <v>195</v>
      </c>
      <c r="L332" s="64" t="n">
        <v>1382.4096</v>
      </c>
      <c r="M332" s="64" t="n">
        <v>7.8</v>
      </c>
      <c r="N332" s="18" t="s">
        <v>564</v>
      </c>
      <c r="O332" s="65" t="n">
        <v>10782.7949</v>
      </c>
      <c r="P332" s="65"/>
      <c r="Q332" s="65"/>
      <c r="R332" s="65" t="s">
        <v>232</v>
      </c>
      <c r="S332" s="66" t="n">
        <f aca="false">Model_Calc!AQ59</f>
        <v>10782.79488</v>
      </c>
      <c r="T332" s="66" t="n">
        <f aca="false">ROUND(S332-O332,4)</f>
        <v>0</v>
      </c>
    </row>
    <row r="333" customFormat="false" ht="15" hidden="false" customHeight="false" outlineLevel="0" collapsed="false">
      <c r="A333" s="18" t="s">
        <v>193</v>
      </c>
      <c r="B333" s="18" t="s">
        <v>194</v>
      </c>
      <c r="C333" s="18"/>
      <c r="D333" s="49" t="n">
        <v>46174</v>
      </c>
      <c r="E333" s="18" t="s">
        <v>116</v>
      </c>
      <c r="F333" s="18" t="s">
        <v>113</v>
      </c>
      <c r="G333" s="18" t="s">
        <v>110</v>
      </c>
      <c r="H333" s="18" t="s">
        <v>107</v>
      </c>
      <c r="I333" s="18" t="s">
        <v>102</v>
      </c>
      <c r="J333" s="18" t="s">
        <v>239</v>
      </c>
      <c r="K333" s="18" t="s">
        <v>195</v>
      </c>
      <c r="L333" s="64" t="n">
        <v>617.76</v>
      </c>
      <c r="M333" s="64" t="n">
        <v>7.8</v>
      </c>
      <c r="N333" s="18" t="s">
        <v>565</v>
      </c>
      <c r="O333" s="65" t="n">
        <v>4818.528</v>
      </c>
      <c r="P333" s="65"/>
      <c r="Q333" s="65"/>
      <c r="R333" s="65" t="s">
        <v>232</v>
      </c>
      <c r="S333" s="66" t="n">
        <f aca="false">Model_Calc!AV59</f>
        <v>4818.528</v>
      </c>
      <c r="T333" s="66" t="n">
        <f aca="false">ROUND(S333-O333,4)</f>
        <v>0</v>
      </c>
    </row>
    <row r="334" customFormat="false" ht="15" hidden="false" customHeight="false" outlineLevel="0" collapsed="false">
      <c r="A334" s="18" t="s">
        <v>193</v>
      </c>
      <c r="B334" s="18" t="s">
        <v>194</v>
      </c>
      <c r="C334" s="18"/>
      <c r="D334" s="49" t="n">
        <v>46174</v>
      </c>
      <c r="E334" s="18" t="s">
        <v>116</v>
      </c>
      <c r="F334" s="18" t="s">
        <v>113</v>
      </c>
      <c r="G334" s="18" t="s">
        <v>110</v>
      </c>
      <c r="H334" s="18" t="s">
        <v>107</v>
      </c>
      <c r="I334" s="18" t="s">
        <v>102</v>
      </c>
      <c r="J334" s="18" t="s">
        <v>241</v>
      </c>
      <c r="K334" s="18" t="s">
        <v>195</v>
      </c>
      <c r="L334" s="64" t="n">
        <v>117.141024</v>
      </c>
      <c r="M334" s="64" t="n">
        <v>7.8</v>
      </c>
      <c r="N334" s="18" t="s">
        <v>566</v>
      </c>
      <c r="O334" s="65" t="n">
        <v>913.7</v>
      </c>
      <c r="P334" s="65"/>
      <c r="Q334" s="65"/>
      <c r="R334" s="65" t="s">
        <v>232</v>
      </c>
      <c r="S334" s="66" t="n">
        <f aca="false">Model_Calc!BA59</f>
        <v>913.6999872</v>
      </c>
      <c r="T334" s="66" t="n">
        <f aca="false">ROUND(S334-O334,4)</f>
        <v>0</v>
      </c>
    </row>
    <row r="335" customFormat="false" ht="15" hidden="false" customHeight="false" outlineLevel="0" collapsed="false">
      <c r="A335" s="18" t="s">
        <v>193</v>
      </c>
      <c r="B335" s="18" t="s">
        <v>194</v>
      </c>
      <c r="C335" s="18"/>
      <c r="D335" s="49" t="n">
        <v>46174</v>
      </c>
      <c r="E335" s="18" t="s">
        <v>118</v>
      </c>
      <c r="F335" s="18" t="s">
        <v>119</v>
      </c>
      <c r="G335" s="18" t="s">
        <v>100</v>
      </c>
      <c r="H335" s="18" t="s">
        <v>101</v>
      </c>
      <c r="I335" s="18" t="s">
        <v>102</v>
      </c>
      <c r="J335" s="18" t="s">
        <v>230</v>
      </c>
      <c r="K335" s="18" t="s">
        <v>199</v>
      </c>
      <c r="L335" s="64" t="n">
        <v>13644.094464</v>
      </c>
      <c r="M335" s="64" t="n">
        <v>9</v>
      </c>
      <c r="N335" s="18" t="s">
        <v>567</v>
      </c>
      <c r="O335" s="65" t="n">
        <v>122796.8502</v>
      </c>
      <c r="P335" s="65"/>
      <c r="Q335" s="65"/>
      <c r="R335" s="65" t="s">
        <v>232</v>
      </c>
      <c r="S335" s="66" t="n">
        <f aca="false">Model_Calc!AF60</f>
        <v>122796.850176</v>
      </c>
      <c r="T335" s="66" t="n">
        <f aca="false">ROUND(S335-O335,4)</f>
        <v>0</v>
      </c>
    </row>
    <row r="336" customFormat="false" ht="15" hidden="false" customHeight="false" outlineLevel="0" collapsed="false">
      <c r="A336" s="18" t="s">
        <v>193</v>
      </c>
      <c r="B336" s="18" t="s">
        <v>194</v>
      </c>
      <c r="C336" s="18"/>
      <c r="D336" s="49" t="n">
        <v>46174</v>
      </c>
      <c r="E336" s="18" t="s">
        <v>118</v>
      </c>
      <c r="F336" s="18" t="s">
        <v>119</v>
      </c>
      <c r="G336" s="18" t="s">
        <v>100</v>
      </c>
      <c r="H336" s="18" t="s">
        <v>101</v>
      </c>
      <c r="I336" s="18" t="s">
        <v>102</v>
      </c>
      <c r="J336" s="18" t="s">
        <v>233</v>
      </c>
      <c r="K336" s="18" t="s">
        <v>199</v>
      </c>
      <c r="L336" s="64" t="n">
        <v>1364.4094464</v>
      </c>
      <c r="M336" s="64" t="n">
        <v>9</v>
      </c>
      <c r="N336" s="18" t="s">
        <v>568</v>
      </c>
      <c r="O336" s="65" t="n">
        <v>12279.685</v>
      </c>
      <c r="P336" s="65"/>
      <c r="Q336" s="65"/>
      <c r="R336" s="65" t="s">
        <v>232</v>
      </c>
      <c r="S336" s="66" t="n">
        <f aca="false">Model_Calc!AG60</f>
        <v>12279.6850176</v>
      </c>
      <c r="T336" s="66" t="n">
        <f aca="false">ROUND(S336-O336,4)</f>
        <v>0</v>
      </c>
    </row>
    <row r="337" customFormat="false" ht="15" hidden="false" customHeight="false" outlineLevel="0" collapsed="false">
      <c r="A337" s="18" t="s">
        <v>193</v>
      </c>
      <c r="B337" s="18" t="s">
        <v>194</v>
      </c>
      <c r="C337" s="18"/>
      <c r="D337" s="49" t="n">
        <v>46174</v>
      </c>
      <c r="E337" s="18" t="s">
        <v>118</v>
      </c>
      <c r="F337" s="18" t="s">
        <v>119</v>
      </c>
      <c r="G337" s="18" t="s">
        <v>100</v>
      </c>
      <c r="H337" s="18" t="s">
        <v>101</v>
      </c>
      <c r="I337" s="18" t="s">
        <v>102</v>
      </c>
      <c r="J337" s="18" t="s">
        <v>235</v>
      </c>
      <c r="K337" s="18" t="s">
        <v>195</v>
      </c>
      <c r="L337" s="64" t="n">
        <v>3523.2912</v>
      </c>
      <c r="M337" s="64" t="n">
        <v>7.8</v>
      </c>
      <c r="N337" s="18" t="s">
        <v>569</v>
      </c>
      <c r="O337" s="65" t="n">
        <v>27481.6714</v>
      </c>
      <c r="P337" s="65"/>
      <c r="Q337" s="65"/>
      <c r="R337" s="65" t="s">
        <v>232</v>
      </c>
      <c r="S337" s="66" t="n">
        <f aca="false">Model_Calc!AL60</f>
        <v>27481.67136</v>
      </c>
      <c r="T337" s="66" t="n">
        <f aca="false">ROUND(S337-O337,4)</f>
        <v>0</v>
      </c>
    </row>
    <row r="338" customFormat="false" ht="15" hidden="false" customHeight="false" outlineLevel="0" collapsed="false">
      <c r="A338" s="18" t="s">
        <v>193</v>
      </c>
      <c r="B338" s="18" t="s">
        <v>194</v>
      </c>
      <c r="C338" s="18"/>
      <c r="D338" s="49" t="n">
        <v>46174</v>
      </c>
      <c r="E338" s="18" t="s">
        <v>118</v>
      </c>
      <c r="F338" s="18" t="s">
        <v>119</v>
      </c>
      <c r="G338" s="18" t="s">
        <v>100</v>
      </c>
      <c r="H338" s="18" t="s">
        <v>101</v>
      </c>
      <c r="I338" s="18" t="s">
        <v>102</v>
      </c>
      <c r="J338" s="18" t="s">
        <v>237</v>
      </c>
      <c r="K338" s="18" t="s">
        <v>195</v>
      </c>
      <c r="L338" s="64" t="n">
        <v>1404.539136</v>
      </c>
      <c r="M338" s="64" t="n">
        <v>7.8</v>
      </c>
      <c r="N338" s="18" t="s">
        <v>570</v>
      </c>
      <c r="O338" s="65" t="n">
        <v>10955.4053</v>
      </c>
      <c r="P338" s="65"/>
      <c r="Q338" s="65"/>
      <c r="R338" s="65" t="s">
        <v>232</v>
      </c>
      <c r="S338" s="66" t="n">
        <f aca="false">Model_Calc!AQ60</f>
        <v>10955.4052608</v>
      </c>
      <c r="T338" s="66" t="n">
        <f aca="false">ROUND(S338-O338,4)</f>
        <v>0</v>
      </c>
    </row>
    <row r="339" customFormat="false" ht="15" hidden="false" customHeight="false" outlineLevel="0" collapsed="false">
      <c r="A339" s="18" t="s">
        <v>193</v>
      </c>
      <c r="B339" s="18" t="s">
        <v>194</v>
      </c>
      <c r="C339" s="18"/>
      <c r="D339" s="49" t="n">
        <v>46174</v>
      </c>
      <c r="E339" s="18" t="s">
        <v>118</v>
      </c>
      <c r="F339" s="18" t="s">
        <v>119</v>
      </c>
      <c r="G339" s="18" t="s">
        <v>100</v>
      </c>
      <c r="H339" s="18" t="s">
        <v>101</v>
      </c>
      <c r="I339" s="18" t="s">
        <v>102</v>
      </c>
      <c r="J339" s="18" t="s">
        <v>239</v>
      </c>
      <c r="K339" s="18" t="s">
        <v>199</v>
      </c>
      <c r="L339" s="64" t="n">
        <v>1146.56256</v>
      </c>
      <c r="M339" s="64" t="n">
        <v>9</v>
      </c>
      <c r="N339" s="18" t="s">
        <v>571</v>
      </c>
      <c r="O339" s="65" t="n">
        <v>10319.063</v>
      </c>
      <c r="P339" s="65"/>
      <c r="Q339" s="65"/>
      <c r="R339" s="65" t="s">
        <v>232</v>
      </c>
      <c r="S339" s="66" t="n">
        <f aca="false">Model_Calc!AV60</f>
        <v>10319.06304</v>
      </c>
      <c r="T339" s="66" t="n">
        <f aca="false">ROUND(S339-O339,4)</f>
        <v>0</v>
      </c>
    </row>
    <row r="340" customFormat="false" ht="15" hidden="false" customHeight="false" outlineLevel="0" collapsed="false">
      <c r="A340" s="18" t="s">
        <v>193</v>
      </c>
      <c r="B340" s="18" t="s">
        <v>194</v>
      </c>
      <c r="C340" s="18"/>
      <c r="D340" s="49" t="n">
        <v>46174</v>
      </c>
      <c r="E340" s="18" t="s">
        <v>118</v>
      </c>
      <c r="F340" s="18" t="s">
        <v>119</v>
      </c>
      <c r="G340" s="18" t="s">
        <v>100</v>
      </c>
      <c r="H340" s="18" t="s">
        <v>101</v>
      </c>
      <c r="I340" s="18" t="s">
        <v>102</v>
      </c>
      <c r="J340" s="18" t="s">
        <v>241</v>
      </c>
      <c r="K340" s="18" t="s">
        <v>199</v>
      </c>
      <c r="L340" s="64" t="n">
        <v>169.21352448</v>
      </c>
      <c r="M340" s="64" t="n">
        <v>9</v>
      </c>
      <c r="N340" s="18" t="s">
        <v>572</v>
      </c>
      <c r="O340" s="65" t="n">
        <v>1522.9217</v>
      </c>
      <c r="P340" s="65"/>
      <c r="Q340" s="65"/>
      <c r="R340" s="65" t="s">
        <v>232</v>
      </c>
      <c r="S340" s="66" t="n">
        <f aca="false">Model_Calc!BA60</f>
        <v>1522.92172032</v>
      </c>
      <c r="T340" s="66" t="n">
        <f aca="false">ROUND(S340-O340,4)</f>
        <v>0</v>
      </c>
    </row>
    <row r="341" customFormat="false" ht="15" hidden="false" customHeight="false" outlineLevel="0" collapsed="false">
      <c r="A341" s="18" t="s">
        <v>193</v>
      </c>
      <c r="B341" s="18" t="s">
        <v>194</v>
      </c>
      <c r="C341" s="18"/>
      <c r="D341" s="49" t="n">
        <v>46174</v>
      </c>
      <c r="E341" s="18" t="s">
        <v>122</v>
      </c>
      <c r="F341" s="18" t="s">
        <v>119</v>
      </c>
      <c r="G341" s="18" t="s">
        <v>100</v>
      </c>
      <c r="H341" s="18" t="s">
        <v>107</v>
      </c>
      <c r="I341" s="18" t="s">
        <v>102</v>
      </c>
      <c r="J341" s="18" t="s">
        <v>230</v>
      </c>
      <c r="K341" s="18" t="s">
        <v>199</v>
      </c>
      <c r="L341" s="64" t="n">
        <v>6045.1776</v>
      </c>
      <c r="M341" s="64" t="n">
        <v>9</v>
      </c>
      <c r="N341" s="18" t="s">
        <v>573</v>
      </c>
      <c r="O341" s="65" t="n">
        <v>54406.5984</v>
      </c>
      <c r="P341" s="65"/>
      <c r="Q341" s="65"/>
      <c r="R341" s="65" t="s">
        <v>232</v>
      </c>
      <c r="S341" s="66" t="n">
        <f aca="false">Model_Calc!AF61</f>
        <v>54406.5984</v>
      </c>
      <c r="T341" s="66" t="n">
        <f aca="false">ROUND(S341-O341,4)</f>
        <v>0</v>
      </c>
    </row>
    <row r="342" customFormat="false" ht="15" hidden="false" customHeight="false" outlineLevel="0" collapsed="false">
      <c r="A342" s="18" t="s">
        <v>193</v>
      </c>
      <c r="B342" s="18" t="s">
        <v>194</v>
      </c>
      <c r="C342" s="18"/>
      <c r="D342" s="49" t="n">
        <v>46174</v>
      </c>
      <c r="E342" s="18" t="s">
        <v>122</v>
      </c>
      <c r="F342" s="18" t="s">
        <v>119</v>
      </c>
      <c r="G342" s="18" t="s">
        <v>100</v>
      </c>
      <c r="H342" s="18" t="s">
        <v>107</v>
      </c>
      <c r="I342" s="18" t="s">
        <v>102</v>
      </c>
      <c r="J342" s="18" t="s">
        <v>233</v>
      </c>
      <c r="K342" s="18" t="s">
        <v>199</v>
      </c>
      <c r="L342" s="64" t="n">
        <v>424.44864</v>
      </c>
      <c r="M342" s="64" t="n">
        <v>9</v>
      </c>
      <c r="N342" s="18" t="s">
        <v>574</v>
      </c>
      <c r="O342" s="65" t="n">
        <v>3820.0378</v>
      </c>
      <c r="P342" s="65"/>
      <c r="Q342" s="65"/>
      <c r="R342" s="65" t="s">
        <v>232</v>
      </c>
      <c r="S342" s="66" t="n">
        <f aca="false">Model_Calc!AG61</f>
        <v>3820.03776</v>
      </c>
      <c r="T342" s="66" t="n">
        <f aca="false">ROUND(S342-O342,4)</f>
        <v>0</v>
      </c>
    </row>
    <row r="343" customFormat="false" ht="15" hidden="false" customHeight="false" outlineLevel="0" collapsed="false">
      <c r="A343" s="18" t="s">
        <v>193</v>
      </c>
      <c r="B343" s="18" t="s">
        <v>194</v>
      </c>
      <c r="C343" s="18"/>
      <c r="D343" s="49" t="n">
        <v>46174</v>
      </c>
      <c r="E343" s="18" t="s">
        <v>122</v>
      </c>
      <c r="F343" s="18" t="s">
        <v>119</v>
      </c>
      <c r="G343" s="18" t="s">
        <v>100</v>
      </c>
      <c r="H343" s="18" t="s">
        <v>107</v>
      </c>
      <c r="I343" s="18" t="s">
        <v>102</v>
      </c>
      <c r="J343" s="18" t="s">
        <v>235</v>
      </c>
      <c r="K343" s="18" t="s">
        <v>195</v>
      </c>
      <c r="L343" s="64" t="n">
        <v>1355.112</v>
      </c>
      <c r="M343" s="64" t="n">
        <v>7.8</v>
      </c>
      <c r="N343" s="18" t="s">
        <v>575</v>
      </c>
      <c r="O343" s="65" t="n">
        <v>10569.8736</v>
      </c>
      <c r="P343" s="65"/>
      <c r="Q343" s="65"/>
      <c r="R343" s="65" t="s">
        <v>232</v>
      </c>
      <c r="S343" s="66" t="n">
        <f aca="false">Model_Calc!AL61</f>
        <v>10569.8736</v>
      </c>
      <c r="T343" s="66" t="n">
        <f aca="false">ROUND(S343-O343,4)</f>
        <v>0</v>
      </c>
    </row>
    <row r="344" customFormat="false" ht="15" hidden="false" customHeight="false" outlineLevel="0" collapsed="false">
      <c r="A344" s="18" t="s">
        <v>193</v>
      </c>
      <c r="B344" s="18" t="s">
        <v>194</v>
      </c>
      <c r="C344" s="18"/>
      <c r="D344" s="49" t="n">
        <v>46174</v>
      </c>
      <c r="E344" s="18" t="s">
        <v>122</v>
      </c>
      <c r="F344" s="18" t="s">
        <v>119</v>
      </c>
      <c r="G344" s="18" t="s">
        <v>100</v>
      </c>
      <c r="H344" s="18" t="s">
        <v>107</v>
      </c>
      <c r="I344" s="18" t="s">
        <v>102</v>
      </c>
      <c r="J344" s="18" t="s">
        <v>237</v>
      </c>
      <c r="K344" s="18" t="s">
        <v>195</v>
      </c>
      <c r="L344" s="64" t="n">
        <v>540.20736</v>
      </c>
      <c r="M344" s="64" t="n">
        <v>7.8</v>
      </c>
      <c r="N344" s="18" t="s">
        <v>576</v>
      </c>
      <c r="O344" s="65" t="n">
        <v>4213.6174</v>
      </c>
      <c r="P344" s="65"/>
      <c r="Q344" s="65"/>
      <c r="R344" s="65" t="s">
        <v>232</v>
      </c>
      <c r="S344" s="66" t="n">
        <f aca="false">Model_Calc!AQ61</f>
        <v>4213.617408</v>
      </c>
      <c r="T344" s="66" t="n">
        <f aca="false">ROUND(S344-O344,4)</f>
        <v>0</v>
      </c>
    </row>
    <row r="345" customFormat="false" ht="15" hidden="false" customHeight="false" outlineLevel="0" collapsed="false">
      <c r="A345" s="18" t="s">
        <v>193</v>
      </c>
      <c r="B345" s="18" t="s">
        <v>194</v>
      </c>
      <c r="C345" s="18"/>
      <c r="D345" s="49" t="n">
        <v>46174</v>
      </c>
      <c r="E345" s="18" t="s">
        <v>122</v>
      </c>
      <c r="F345" s="18" t="s">
        <v>119</v>
      </c>
      <c r="G345" s="18" t="s">
        <v>100</v>
      </c>
      <c r="H345" s="18" t="s">
        <v>107</v>
      </c>
      <c r="I345" s="18" t="s">
        <v>102</v>
      </c>
      <c r="J345" s="18" t="s">
        <v>239</v>
      </c>
      <c r="K345" s="18" t="s">
        <v>199</v>
      </c>
      <c r="L345" s="64" t="n">
        <v>440.9856</v>
      </c>
      <c r="M345" s="64" t="n">
        <v>9</v>
      </c>
      <c r="N345" s="18" t="s">
        <v>577</v>
      </c>
      <c r="O345" s="65" t="n">
        <v>3968.8704</v>
      </c>
      <c r="P345" s="65"/>
      <c r="Q345" s="65"/>
      <c r="R345" s="65" t="s">
        <v>232</v>
      </c>
      <c r="S345" s="66" t="n">
        <f aca="false">Model_Calc!AV61</f>
        <v>3968.8704</v>
      </c>
      <c r="T345" s="66" t="n">
        <f aca="false">ROUND(S345-O345,4)</f>
        <v>0</v>
      </c>
    </row>
    <row r="346" customFormat="false" ht="15" hidden="false" customHeight="false" outlineLevel="0" collapsed="false">
      <c r="A346" s="18" t="s">
        <v>193</v>
      </c>
      <c r="B346" s="18" t="s">
        <v>194</v>
      </c>
      <c r="C346" s="18"/>
      <c r="D346" s="49" t="n">
        <v>46174</v>
      </c>
      <c r="E346" s="18" t="s">
        <v>122</v>
      </c>
      <c r="F346" s="18" t="s">
        <v>119</v>
      </c>
      <c r="G346" s="18" t="s">
        <v>100</v>
      </c>
      <c r="H346" s="18" t="s">
        <v>107</v>
      </c>
      <c r="I346" s="18" t="s">
        <v>102</v>
      </c>
      <c r="J346" s="18" t="s">
        <v>241</v>
      </c>
      <c r="K346" s="18" t="s">
        <v>199</v>
      </c>
      <c r="L346" s="64" t="n">
        <v>50.2907328</v>
      </c>
      <c r="M346" s="64" t="n">
        <v>9</v>
      </c>
      <c r="N346" s="18" t="s">
        <v>578</v>
      </c>
      <c r="O346" s="65" t="n">
        <v>452.6166</v>
      </c>
      <c r="P346" s="65"/>
      <c r="Q346" s="65"/>
      <c r="R346" s="65" t="s">
        <v>232</v>
      </c>
      <c r="S346" s="66" t="n">
        <f aca="false">Model_Calc!BA61</f>
        <v>452.6165952</v>
      </c>
      <c r="T346" s="66" t="n">
        <f aca="false">ROUND(S346-O346,4)</f>
        <v>0</v>
      </c>
    </row>
    <row r="347" customFormat="false" ht="15" hidden="false" customHeight="false" outlineLevel="0" collapsed="false">
      <c r="A347" s="18" t="s">
        <v>193</v>
      </c>
      <c r="B347" s="18" t="s">
        <v>194</v>
      </c>
      <c r="C347" s="18"/>
      <c r="D347" s="49" t="n">
        <v>46174</v>
      </c>
      <c r="E347" s="18" t="s">
        <v>124</v>
      </c>
      <c r="F347" s="18" t="s">
        <v>119</v>
      </c>
      <c r="G347" s="18" t="s">
        <v>100</v>
      </c>
      <c r="H347" s="18" t="s">
        <v>107</v>
      </c>
      <c r="I347" s="18" t="s">
        <v>125</v>
      </c>
      <c r="J347" s="18" t="s">
        <v>230</v>
      </c>
      <c r="K347" s="18" t="s">
        <v>199</v>
      </c>
      <c r="L347" s="64" t="n">
        <v>2098.88566272</v>
      </c>
      <c r="M347" s="64" t="n">
        <v>9</v>
      </c>
      <c r="N347" s="18" t="s">
        <v>579</v>
      </c>
      <c r="O347" s="65" t="n">
        <v>18889.971</v>
      </c>
      <c r="P347" s="65"/>
      <c r="Q347" s="65"/>
      <c r="R347" s="65" t="s">
        <v>232</v>
      </c>
      <c r="S347" s="66" t="n">
        <f aca="false">Model_Calc!AF62</f>
        <v>18889.97096448</v>
      </c>
      <c r="T347" s="66" t="n">
        <f aca="false">ROUND(S347-O347,4)</f>
        <v>0</v>
      </c>
    </row>
    <row r="348" customFormat="false" ht="15" hidden="false" customHeight="false" outlineLevel="0" collapsed="false">
      <c r="A348" s="18" t="s">
        <v>193</v>
      </c>
      <c r="B348" s="18" t="s">
        <v>194</v>
      </c>
      <c r="C348" s="18"/>
      <c r="D348" s="49" t="n">
        <v>46174</v>
      </c>
      <c r="E348" s="18" t="s">
        <v>124</v>
      </c>
      <c r="F348" s="18" t="s">
        <v>119</v>
      </c>
      <c r="G348" s="18" t="s">
        <v>100</v>
      </c>
      <c r="H348" s="18" t="s">
        <v>107</v>
      </c>
      <c r="I348" s="18" t="s">
        <v>125</v>
      </c>
      <c r="J348" s="18" t="s">
        <v>233</v>
      </c>
      <c r="K348" s="18" t="s">
        <v>199</v>
      </c>
      <c r="L348" s="64" t="n">
        <v>241.3718512128</v>
      </c>
      <c r="M348" s="64" t="n">
        <v>9</v>
      </c>
      <c r="N348" s="18" t="s">
        <v>580</v>
      </c>
      <c r="O348" s="65" t="n">
        <v>2172.3467</v>
      </c>
      <c r="P348" s="65"/>
      <c r="Q348" s="65"/>
      <c r="R348" s="65" t="s">
        <v>232</v>
      </c>
      <c r="S348" s="66" t="n">
        <f aca="false">Model_Calc!AG62</f>
        <v>2172.3466609152</v>
      </c>
      <c r="T348" s="66" t="n">
        <f aca="false">ROUND(S348-O348,4)</f>
        <v>0</v>
      </c>
    </row>
    <row r="349" customFormat="false" ht="15" hidden="false" customHeight="false" outlineLevel="0" collapsed="false">
      <c r="A349" s="18" t="s">
        <v>193</v>
      </c>
      <c r="B349" s="18" t="s">
        <v>194</v>
      </c>
      <c r="C349" s="18"/>
      <c r="D349" s="49" t="n">
        <v>46174</v>
      </c>
      <c r="E349" s="18" t="s">
        <v>124</v>
      </c>
      <c r="F349" s="18" t="s">
        <v>119</v>
      </c>
      <c r="G349" s="18" t="s">
        <v>100</v>
      </c>
      <c r="H349" s="18" t="s">
        <v>107</v>
      </c>
      <c r="I349" s="18" t="s">
        <v>125</v>
      </c>
      <c r="J349" s="18" t="s">
        <v>235</v>
      </c>
      <c r="K349" s="18" t="s">
        <v>195</v>
      </c>
      <c r="L349" s="64" t="n">
        <v>379.43136</v>
      </c>
      <c r="M349" s="64" t="n">
        <v>7.8</v>
      </c>
      <c r="N349" s="18" t="s">
        <v>581</v>
      </c>
      <c r="O349" s="65" t="n">
        <v>2959.5646</v>
      </c>
      <c r="P349" s="65"/>
      <c r="Q349" s="65"/>
      <c r="R349" s="65" t="s">
        <v>232</v>
      </c>
      <c r="S349" s="66" t="n">
        <f aca="false">Model_Calc!AL62</f>
        <v>2959.564608</v>
      </c>
      <c r="T349" s="66" t="n">
        <f aca="false">ROUND(S349-O349,4)</f>
        <v>0</v>
      </c>
    </row>
    <row r="350" customFormat="false" ht="15" hidden="false" customHeight="false" outlineLevel="0" collapsed="false">
      <c r="A350" s="18" t="s">
        <v>193</v>
      </c>
      <c r="B350" s="18" t="s">
        <v>194</v>
      </c>
      <c r="C350" s="18"/>
      <c r="D350" s="49" t="n">
        <v>46174</v>
      </c>
      <c r="E350" s="18" t="s">
        <v>124</v>
      </c>
      <c r="F350" s="18" t="s">
        <v>119</v>
      </c>
      <c r="G350" s="18" t="s">
        <v>100</v>
      </c>
      <c r="H350" s="18" t="s">
        <v>107</v>
      </c>
      <c r="I350" s="18" t="s">
        <v>125</v>
      </c>
      <c r="J350" s="18" t="s">
        <v>237</v>
      </c>
      <c r="K350" s="18" t="s">
        <v>195</v>
      </c>
      <c r="L350" s="64" t="n">
        <v>151.2580608</v>
      </c>
      <c r="M350" s="64" t="n">
        <v>7.8</v>
      </c>
      <c r="N350" s="18" t="s">
        <v>582</v>
      </c>
      <c r="O350" s="65" t="n">
        <v>1179.8129</v>
      </c>
      <c r="P350" s="65"/>
      <c r="Q350" s="65"/>
      <c r="R350" s="65" t="s">
        <v>232</v>
      </c>
      <c r="S350" s="66" t="n">
        <f aca="false">Model_Calc!AQ62</f>
        <v>1179.81287424</v>
      </c>
      <c r="T350" s="66" t="n">
        <f aca="false">ROUND(S350-O350,4)</f>
        <v>0</v>
      </c>
    </row>
    <row r="351" customFormat="false" ht="15" hidden="false" customHeight="false" outlineLevel="0" collapsed="false">
      <c r="A351" s="18" t="s">
        <v>193</v>
      </c>
      <c r="B351" s="18" t="s">
        <v>194</v>
      </c>
      <c r="C351" s="18"/>
      <c r="D351" s="49" t="n">
        <v>46174</v>
      </c>
      <c r="E351" s="18" t="s">
        <v>124</v>
      </c>
      <c r="F351" s="18" t="s">
        <v>119</v>
      </c>
      <c r="G351" s="18" t="s">
        <v>100</v>
      </c>
      <c r="H351" s="18" t="s">
        <v>107</v>
      </c>
      <c r="I351" s="18" t="s">
        <v>125</v>
      </c>
      <c r="J351" s="18" t="s">
        <v>239</v>
      </c>
      <c r="K351" s="18" t="s">
        <v>199</v>
      </c>
      <c r="L351" s="64" t="n">
        <v>123.475968</v>
      </c>
      <c r="M351" s="64" t="n">
        <v>9</v>
      </c>
      <c r="N351" s="18" t="s">
        <v>583</v>
      </c>
      <c r="O351" s="65" t="n">
        <v>1111.2837</v>
      </c>
      <c r="P351" s="65"/>
      <c r="Q351" s="65"/>
      <c r="R351" s="65" t="s">
        <v>232</v>
      </c>
      <c r="S351" s="66" t="n">
        <f aca="false">Model_Calc!AV62</f>
        <v>1111.283712</v>
      </c>
      <c r="T351" s="66" t="n">
        <f aca="false">ROUND(S351-O351,4)</f>
        <v>0</v>
      </c>
    </row>
    <row r="352" customFormat="false" ht="15" hidden="false" customHeight="false" outlineLevel="0" collapsed="false">
      <c r="A352" s="18" t="s">
        <v>193</v>
      </c>
      <c r="B352" s="18" t="s">
        <v>194</v>
      </c>
      <c r="C352" s="18"/>
      <c r="D352" s="49" t="n">
        <v>46174</v>
      </c>
      <c r="E352" s="18" t="s">
        <v>124</v>
      </c>
      <c r="F352" s="18" t="s">
        <v>119</v>
      </c>
      <c r="G352" s="18" t="s">
        <v>100</v>
      </c>
      <c r="H352" s="18" t="s">
        <v>107</v>
      </c>
      <c r="I352" s="18" t="s">
        <v>125</v>
      </c>
      <c r="J352" s="18" t="s">
        <v>241</v>
      </c>
      <c r="K352" s="18" t="s">
        <v>199</v>
      </c>
      <c r="L352" s="64" t="n">
        <v>13.109031936</v>
      </c>
      <c r="M352" s="64" t="n">
        <v>9</v>
      </c>
      <c r="N352" s="18" t="s">
        <v>584</v>
      </c>
      <c r="O352" s="65" t="n">
        <v>117.9813</v>
      </c>
      <c r="P352" s="65"/>
      <c r="Q352" s="65"/>
      <c r="R352" s="65" t="s">
        <v>232</v>
      </c>
      <c r="S352" s="66" t="n">
        <f aca="false">Model_Calc!BA62</f>
        <v>117.981287424</v>
      </c>
      <c r="T352" s="66" t="n">
        <f aca="false">ROUND(S352-O352,4)</f>
        <v>0</v>
      </c>
    </row>
    <row r="353" customFormat="false" ht="15" hidden="false" customHeight="false" outlineLevel="0" collapsed="false">
      <c r="A353" s="18" t="s">
        <v>193</v>
      </c>
      <c r="B353" s="18" t="s">
        <v>194</v>
      </c>
      <c r="C353" s="18"/>
      <c r="D353" s="49" t="n">
        <v>46174</v>
      </c>
      <c r="E353" s="18" t="s">
        <v>127</v>
      </c>
      <c r="F353" s="18" t="s">
        <v>119</v>
      </c>
      <c r="G353" s="18" t="s">
        <v>100</v>
      </c>
      <c r="H353" s="18" t="s">
        <v>128</v>
      </c>
      <c r="I353" s="18" t="s">
        <v>125</v>
      </c>
      <c r="J353" s="18" t="s">
        <v>230</v>
      </c>
      <c r="K353" s="18" t="s">
        <v>199</v>
      </c>
      <c r="L353" s="64" t="n">
        <v>1064.980224</v>
      </c>
      <c r="M353" s="64" t="n">
        <v>9</v>
      </c>
      <c r="N353" s="18" t="s">
        <v>585</v>
      </c>
      <c r="O353" s="65" t="n">
        <v>9584.822</v>
      </c>
      <c r="P353" s="65"/>
      <c r="Q353" s="65"/>
      <c r="R353" s="65" t="s">
        <v>232</v>
      </c>
      <c r="S353" s="66" t="n">
        <f aca="false">Model_Calc!AF63</f>
        <v>9584.822016</v>
      </c>
      <c r="T353" s="66" t="n">
        <f aca="false">ROUND(S353-O353,4)</f>
        <v>0</v>
      </c>
    </row>
    <row r="354" customFormat="false" ht="15" hidden="false" customHeight="false" outlineLevel="0" collapsed="false">
      <c r="A354" s="18" t="s">
        <v>193</v>
      </c>
      <c r="B354" s="18" t="s">
        <v>194</v>
      </c>
      <c r="C354" s="18"/>
      <c r="D354" s="49" t="n">
        <v>46174</v>
      </c>
      <c r="E354" s="18" t="s">
        <v>127</v>
      </c>
      <c r="F354" s="18" t="s">
        <v>119</v>
      </c>
      <c r="G354" s="18" t="s">
        <v>100</v>
      </c>
      <c r="H354" s="18" t="s">
        <v>128</v>
      </c>
      <c r="I354" s="18" t="s">
        <v>125</v>
      </c>
      <c r="J354" s="18" t="s">
        <v>233</v>
      </c>
      <c r="K354" s="18" t="s">
        <v>199</v>
      </c>
      <c r="L354" s="64" t="n">
        <v>82.358470656</v>
      </c>
      <c r="M354" s="64" t="n">
        <v>9</v>
      </c>
      <c r="N354" s="18" t="s">
        <v>586</v>
      </c>
      <c r="O354" s="65" t="n">
        <v>741.2262</v>
      </c>
      <c r="P354" s="65"/>
      <c r="Q354" s="65"/>
      <c r="R354" s="65" t="s">
        <v>232</v>
      </c>
      <c r="S354" s="66" t="n">
        <f aca="false">Model_Calc!AG63</f>
        <v>741.226235904</v>
      </c>
      <c r="T354" s="66" t="n">
        <f aca="false">ROUND(S354-O354,4)</f>
        <v>0</v>
      </c>
    </row>
    <row r="355" customFormat="false" ht="15" hidden="false" customHeight="false" outlineLevel="0" collapsed="false">
      <c r="A355" s="18" t="s">
        <v>193</v>
      </c>
      <c r="B355" s="18" t="s">
        <v>194</v>
      </c>
      <c r="C355" s="18"/>
      <c r="D355" s="49" t="n">
        <v>46174</v>
      </c>
      <c r="E355" s="18" t="s">
        <v>127</v>
      </c>
      <c r="F355" s="18" t="s">
        <v>119</v>
      </c>
      <c r="G355" s="18" t="s">
        <v>100</v>
      </c>
      <c r="H355" s="18" t="s">
        <v>128</v>
      </c>
      <c r="I355" s="18" t="s">
        <v>125</v>
      </c>
      <c r="J355" s="18" t="s">
        <v>235</v>
      </c>
      <c r="K355" s="18" t="s">
        <v>195</v>
      </c>
      <c r="L355" s="64" t="n">
        <v>162.61344</v>
      </c>
      <c r="M355" s="64" t="n">
        <v>7.8</v>
      </c>
      <c r="N355" s="18" t="s">
        <v>587</v>
      </c>
      <c r="O355" s="65" t="n">
        <v>1268.3848</v>
      </c>
      <c r="P355" s="65"/>
      <c r="Q355" s="65"/>
      <c r="R355" s="65" t="s">
        <v>232</v>
      </c>
      <c r="S355" s="66" t="n">
        <f aca="false">Model_Calc!AL63</f>
        <v>1268.384832</v>
      </c>
      <c r="T355" s="66" t="n">
        <f aca="false">ROUND(S355-O355,4)</f>
        <v>0</v>
      </c>
    </row>
    <row r="356" customFormat="false" ht="15" hidden="false" customHeight="false" outlineLevel="0" collapsed="false">
      <c r="A356" s="18" t="s">
        <v>193</v>
      </c>
      <c r="B356" s="18" t="s">
        <v>194</v>
      </c>
      <c r="C356" s="18"/>
      <c r="D356" s="49" t="n">
        <v>46174</v>
      </c>
      <c r="E356" s="18" t="s">
        <v>127</v>
      </c>
      <c r="F356" s="18" t="s">
        <v>119</v>
      </c>
      <c r="G356" s="18" t="s">
        <v>100</v>
      </c>
      <c r="H356" s="18" t="s">
        <v>128</v>
      </c>
      <c r="I356" s="18" t="s">
        <v>125</v>
      </c>
      <c r="J356" s="18" t="s">
        <v>237</v>
      </c>
      <c r="K356" s="18" t="s">
        <v>195</v>
      </c>
      <c r="L356" s="64" t="n">
        <v>64.8248832</v>
      </c>
      <c r="M356" s="64" t="n">
        <v>7.8</v>
      </c>
      <c r="N356" s="18" t="s">
        <v>588</v>
      </c>
      <c r="O356" s="65" t="n">
        <v>505.6341</v>
      </c>
      <c r="P356" s="65"/>
      <c r="Q356" s="65"/>
      <c r="R356" s="65" t="s">
        <v>232</v>
      </c>
      <c r="S356" s="66" t="n">
        <f aca="false">Model_Calc!AQ63</f>
        <v>505.63408896</v>
      </c>
      <c r="T356" s="66" t="n">
        <f aca="false">ROUND(S356-O356,4)</f>
        <v>0</v>
      </c>
    </row>
    <row r="357" customFormat="false" ht="15" hidden="false" customHeight="false" outlineLevel="0" collapsed="false">
      <c r="A357" s="18" t="s">
        <v>193</v>
      </c>
      <c r="B357" s="18" t="s">
        <v>194</v>
      </c>
      <c r="C357" s="18"/>
      <c r="D357" s="49" t="n">
        <v>46174</v>
      </c>
      <c r="E357" s="18" t="s">
        <v>127</v>
      </c>
      <c r="F357" s="18" t="s">
        <v>119</v>
      </c>
      <c r="G357" s="18" t="s">
        <v>100</v>
      </c>
      <c r="H357" s="18" t="s">
        <v>128</v>
      </c>
      <c r="I357" s="18" t="s">
        <v>125</v>
      </c>
      <c r="J357" s="18" t="s">
        <v>239</v>
      </c>
      <c r="K357" s="18" t="s">
        <v>199</v>
      </c>
      <c r="L357" s="64" t="n">
        <v>52.918272</v>
      </c>
      <c r="M357" s="64" t="n">
        <v>9</v>
      </c>
      <c r="N357" s="18" t="s">
        <v>589</v>
      </c>
      <c r="O357" s="65" t="n">
        <v>476.2644</v>
      </c>
      <c r="P357" s="65"/>
      <c r="Q357" s="65"/>
      <c r="R357" s="65" t="s">
        <v>232</v>
      </c>
      <c r="S357" s="66" t="n">
        <f aca="false">Model_Calc!AV63</f>
        <v>476.264448</v>
      </c>
      <c r="T357" s="66" t="n">
        <f aca="false">ROUND(S357-O357,4)</f>
        <v>0</v>
      </c>
    </row>
    <row r="358" customFormat="false" ht="15" hidden="false" customHeight="false" outlineLevel="0" collapsed="false">
      <c r="A358" s="18" t="s">
        <v>193</v>
      </c>
      <c r="B358" s="18" t="s">
        <v>194</v>
      </c>
      <c r="C358" s="18"/>
      <c r="D358" s="49" t="n">
        <v>46174</v>
      </c>
      <c r="E358" s="18" t="s">
        <v>127</v>
      </c>
      <c r="F358" s="18" t="s">
        <v>119</v>
      </c>
      <c r="G358" s="18" t="s">
        <v>100</v>
      </c>
      <c r="H358" s="18" t="s">
        <v>128</v>
      </c>
      <c r="I358" s="18" t="s">
        <v>125</v>
      </c>
      <c r="J358" s="18" t="s">
        <v>241</v>
      </c>
      <c r="K358" s="18" t="s">
        <v>199</v>
      </c>
      <c r="L358" s="64" t="n">
        <v>5.000776704</v>
      </c>
      <c r="M358" s="64" t="n">
        <v>9</v>
      </c>
      <c r="N358" s="18" t="s">
        <v>590</v>
      </c>
      <c r="O358" s="65" t="n">
        <v>45.007</v>
      </c>
      <c r="P358" s="65"/>
      <c r="Q358" s="65"/>
      <c r="R358" s="65" t="s">
        <v>232</v>
      </c>
      <c r="S358" s="66" t="n">
        <f aca="false">Model_Calc!BA63</f>
        <v>45.006990336</v>
      </c>
      <c r="T358" s="66" t="n">
        <f aca="false">ROUND(S358-O358,4)</f>
        <v>0</v>
      </c>
    </row>
    <row r="359" customFormat="false" ht="15" hidden="false" customHeight="false" outlineLevel="0" collapsed="false">
      <c r="A359" s="18" t="s">
        <v>193</v>
      </c>
      <c r="B359" s="18" t="s">
        <v>194</v>
      </c>
      <c r="C359" s="18"/>
      <c r="D359" s="49" t="n">
        <v>46174</v>
      </c>
      <c r="E359" s="18" t="s">
        <v>130</v>
      </c>
      <c r="F359" s="18" t="s">
        <v>119</v>
      </c>
      <c r="G359" s="18" t="s">
        <v>110</v>
      </c>
      <c r="H359" s="18" t="s">
        <v>107</v>
      </c>
      <c r="I359" s="18" t="s">
        <v>125</v>
      </c>
      <c r="J359" s="18" t="s">
        <v>230</v>
      </c>
      <c r="K359" s="18" t="s">
        <v>195</v>
      </c>
      <c r="L359" s="64" t="n">
        <v>1327.2633</v>
      </c>
      <c r="M359" s="64" t="n">
        <v>7.8</v>
      </c>
      <c r="N359" s="18" t="s">
        <v>591</v>
      </c>
      <c r="O359" s="65" t="n">
        <v>10352.6537</v>
      </c>
      <c r="P359" s="65"/>
      <c r="Q359" s="65"/>
      <c r="R359" s="65" t="s">
        <v>232</v>
      </c>
      <c r="S359" s="66" t="n">
        <f aca="false">Model_Calc!AF64</f>
        <v>10352.65374</v>
      </c>
      <c r="T359" s="66" t="n">
        <f aca="false">ROUND(S359-O359,4)</f>
        <v>0</v>
      </c>
    </row>
    <row r="360" customFormat="false" ht="15" hidden="false" customHeight="false" outlineLevel="0" collapsed="false">
      <c r="A360" s="18" t="s">
        <v>193</v>
      </c>
      <c r="B360" s="18" t="s">
        <v>194</v>
      </c>
      <c r="C360" s="18"/>
      <c r="D360" s="49" t="n">
        <v>46174</v>
      </c>
      <c r="E360" s="18" t="s">
        <v>130</v>
      </c>
      <c r="F360" s="18" t="s">
        <v>119</v>
      </c>
      <c r="G360" s="18" t="s">
        <v>110</v>
      </c>
      <c r="H360" s="18" t="s">
        <v>107</v>
      </c>
      <c r="I360" s="18" t="s">
        <v>125</v>
      </c>
      <c r="J360" s="18" t="s">
        <v>233</v>
      </c>
      <c r="K360" s="18" t="s">
        <v>195</v>
      </c>
      <c r="L360" s="64" t="n">
        <v>139.3626465</v>
      </c>
      <c r="M360" s="64" t="n">
        <v>7.8</v>
      </c>
      <c r="N360" s="18" t="s">
        <v>592</v>
      </c>
      <c r="O360" s="65" t="n">
        <v>1087.0286</v>
      </c>
      <c r="P360" s="65"/>
      <c r="Q360" s="65"/>
      <c r="R360" s="65" t="s">
        <v>232</v>
      </c>
      <c r="S360" s="66" t="n">
        <f aca="false">Model_Calc!AG64</f>
        <v>1087.0286427</v>
      </c>
      <c r="T360" s="66" t="n">
        <f aca="false">ROUND(S360-O360,4)</f>
        <v>0</v>
      </c>
    </row>
    <row r="361" customFormat="false" ht="15" hidden="false" customHeight="false" outlineLevel="0" collapsed="false">
      <c r="A361" s="18" t="s">
        <v>193</v>
      </c>
      <c r="B361" s="18" t="s">
        <v>194</v>
      </c>
      <c r="C361" s="18"/>
      <c r="D361" s="49" t="n">
        <v>46174</v>
      </c>
      <c r="E361" s="18" t="s">
        <v>130</v>
      </c>
      <c r="F361" s="18" t="s">
        <v>119</v>
      </c>
      <c r="G361" s="18" t="s">
        <v>110</v>
      </c>
      <c r="H361" s="18" t="s">
        <v>107</v>
      </c>
      <c r="I361" s="18" t="s">
        <v>125</v>
      </c>
      <c r="J361" s="18" t="s">
        <v>235</v>
      </c>
      <c r="K361" s="18" t="s">
        <v>195</v>
      </c>
      <c r="L361" s="64" t="n">
        <v>200.97</v>
      </c>
      <c r="M361" s="64" t="n">
        <v>7.8</v>
      </c>
      <c r="N361" s="18" t="s">
        <v>593</v>
      </c>
      <c r="O361" s="65" t="n">
        <v>1567.566</v>
      </c>
      <c r="P361" s="65"/>
      <c r="Q361" s="65"/>
      <c r="R361" s="65" t="s">
        <v>232</v>
      </c>
      <c r="S361" s="66" t="n">
        <f aca="false">Model_Calc!AL64</f>
        <v>1567.566</v>
      </c>
      <c r="T361" s="66" t="n">
        <f aca="false">ROUND(S361-O361,4)</f>
        <v>0</v>
      </c>
    </row>
    <row r="362" customFormat="false" ht="15" hidden="false" customHeight="false" outlineLevel="0" collapsed="false">
      <c r="A362" s="18" t="s">
        <v>193</v>
      </c>
      <c r="B362" s="18" t="s">
        <v>194</v>
      </c>
      <c r="C362" s="18"/>
      <c r="D362" s="49" t="n">
        <v>46174</v>
      </c>
      <c r="E362" s="18" t="s">
        <v>130</v>
      </c>
      <c r="F362" s="18" t="s">
        <v>119</v>
      </c>
      <c r="G362" s="18" t="s">
        <v>110</v>
      </c>
      <c r="H362" s="18" t="s">
        <v>107</v>
      </c>
      <c r="I362" s="18" t="s">
        <v>125</v>
      </c>
      <c r="J362" s="18" t="s">
        <v>237</v>
      </c>
      <c r="K362" s="18" t="s">
        <v>195</v>
      </c>
      <c r="L362" s="64" t="n">
        <v>83.6418</v>
      </c>
      <c r="M362" s="64" t="n">
        <v>7.8</v>
      </c>
      <c r="N362" s="18" t="s">
        <v>594</v>
      </c>
      <c r="O362" s="65" t="n">
        <v>652.406</v>
      </c>
      <c r="P362" s="65"/>
      <c r="Q362" s="65"/>
      <c r="R362" s="65" t="s">
        <v>232</v>
      </c>
      <c r="S362" s="66" t="n">
        <f aca="false">Model_Calc!AQ64</f>
        <v>652.40604</v>
      </c>
      <c r="T362" s="66" t="n">
        <f aca="false">ROUND(S362-O362,4)</f>
        <v>0</v>
      </c>
    </row>
    <row r="363" customFormat="false" ht="15" hidden="false" customHeight="false" outlineLevel="0" collapsed="false">
      <c r="A363" s="18" t="s">
        <v>193</v>
      </c>
      <c r="B363" s="18" t="s">
        <v>194</v>
      </c>
      <c r="C363" s="18"/>
      <c r="D363" s="49" t="n">
        <v>46174</v>
      </c>
      <c r="E363" s="18" t="s">
        <v>130</v>
      </c>
      <c r="F363" s="18" t="s">
        <v>119</v>
      </c>
      <c r="G363" s="18" t="s">
        <v>110</v>
      </c>
      <c r="H363" s="18" t="s">
        <v>107</v>
      </c>
      <c r="I363" s="18" t="s">
        <v>125</v>
      </c>
      <c r="J363" s="18" t="s">
        <v>239</v>
      </c>
      <c r="K363" s="18" t="s">
        <v>195</v>
      </c>
      <c r="L363" s="64" t="n">
        <v>79.6224</v>
      </c>
      <c r="M363" s="64" t="n">
        <v>7.8</v>
      </c>
      <c r="N363" s="18" t="s">
        <v>595</v>
      </c>
      <c r="O363" s="65" t="n">
        <v>621.0547</v>
      </c>
      <c r="P363" s="65"/>
      <c r="Q363" s="65"/>
      <c r="R363" s="65" t="s">
        <v>232</v>
      </c>
      <c r="S363" s="66" t="n">
        <f aca="false">Model_Calc!AV64</f>
        <v>621.05472</v>
      </c>
      <c r="T363" s="66" t="n">
        <f aca="false">ROUND(S363-O363,4)</f>
        <v>0</v>
      </c>
    </row>
    <row r="364" customFormat="false" ht="15" hidden="false" customHeight="false" outlineLevel="0" collapsed="false">
      <c r="A364" s="18" t="s">
        <v>193</v>
      </c>
      <c r="B364" s="18" t="s">
        <v>194</v>
      </c>
      <c r="C364" s="18"/>
      <c r="D364" s="49" t="n">
        <v>46174</v>
      </c>
      <c r="E364" s="18" t="s">
        <v>130</v>
      </c>
      <c r="F364" s="18" t="s">
        <v>119</v>
      </c>
      <c r="G364" s="18" t="s">
        <v>110</v>
      </c>
      <c r="H364" s="18" t="s">
        <v>107</v>
      </c>
      <c r="I364" s="18" t="s">
        <v>125</v>
      </c>
      <c r="J364" s="18" t="s">
        <v>241</v>
      </c>
      <c r="K364" s="18" t="s">
        <v>195</v>
      </c>
      <c r="L364" s="64" t="n">
        <v>7.395696</v>
      </c>
      <c r="M364" s="64" t="n">
        <v>7.8</v>
      </c>
      <c r="N364" s="18" t="s">
        <v>596</v>
      </c>
      <c r="O364" s="65" t="n">
        <v>57.6864</v>
      </c>
      <c r="P364" s="65"/>
      <c r="Q364" s="65"/>
      <c r="R364" s="65" t="s">
        <v>232</v>
      </c>
      <c r="S364" s="66" t="n">
        <f aca="false">Model_Calc!BA64</f>
        <v>57.6864288</v>
      </c>
      <c r="T364" s="66" t="n">
        <f aca="false">ROUND(S364-O364,4)</f>
        <v>0</v>
      </c>
    </row>
    <row r="365" customFormat="false" ht="15" hidden="false" customHeight="false" outlineLevel="0" collapsed="false">
      <c r="A365" s="18" t="s">
        <v>193</v>
      </c>
      <c r="B365" s="18" t="s">
        <v>194</v>
      </c>
      <c r="C365" s="18"/>
      <c r="D365" s="49" t="n">
        <v>46204</v>
      </c>
      <c r="E365" s="18" t="s">
        <v>98</v>
      </c>
      <c r="F365" s="18" t="s">
        <v>99</v>
      </c>
      <c r="G365" s="18" t="s">
        <v>100</v>
      </c>
      <c r="H365" s="18" t="s">
        <v>101</v>
      </c>
      <c r="I365" s="18" t="s">
        <v>102</v>
      </c>
      <c r="J365" s="18" t="s">
        <v>230</v>
      </c>
      <c r="K365" s="18" t="s">
        <v>195</v>
      </c>
      <c r="L365" s="64" t="n">
        <v>6774.263496</v>
      </c>
      <c r="M365" s="64" t="n">
        <v>7.8</v>
      </c>
      <c r="N365" s="18" t="s">
        <v>597</v>
      </c>
      <c r="O365" s="65" t="n">
        <v>52839.2553</v>
      </c>
      <c r="P365" s="65"/>
      <c r="Q365" s="65"/>
      <c r="R365" s="65" t="s">
        <v>232</v>
      </c>
      <c r="S365" s="66" t="n">
        <f aca="false">Model_Calc!AF65</f>
        <v>52839.2552688</v>
      </c>
      <c r="T365" s="66" t="n">
        <f aca="false">ROUND(S365-O365,4)</f>
        <v>0</v>
      </c>
    </row>
    <row r="366" customFormat="false" ht="15" hidden="false" customHeight="false" outlineLevel="0" collapsed="false">
      <c r="A366" s="18" t="s">
        <v>193</v>
      </c>
      <c r="B366" s="18" t="s">
        <v>194</v>
      </c>
      <c r="C366" s="18"/>
      <c r="D366" s="49" t="n">
        <v>46204</v>
      </c>
      <c r="E366" s="18" t="s">
        <v>98</v>
      </c>
      <c r="F366" s="18" t="s">
        <v>99</v>
      </c>
      <c r="G366" s="18" t="s">
        <v>100</v>
      </c>
      <c r="H366" s="18" t="s">
        <v>101</v>
      </c>
      <c r="I366" s="18" t="s">
        <v>102</v>
      </c>
      <c r="J366" s="18" t="s">
        <v>233</v>
      </c>
      <c r="K366" s="18" t="s">
        <v>195</v>
      </c>
      <c r="L366" s="64" t="n">
        <v>643.55503212</v>
      </c>
      <c r="M366" s="64" t="n">
        <v>7.8</v>
      </c>
      <c r="N366" s="18" t="s">
        <v>598</v>
      </c>
      <c r="O366" s="65" t="n">
        <v>5019.7293</v>
      </c>
      <c r="P366" s="65"/>
      <c r="Q366" s="65"/>
      <c r="R366" s="65" t="s">
        <v>232</v>
      </c>
      <c r="S366" s="66" t="n">
        <f aca="false">Model_Calc!AG65</f>
        <v>5019.729250536</v>
      </c>
      <c r="T366" s="66" t="n">
        <f aca="false">ROUND(S366-O366,4)</f>
        <v>0</v>
      </c>
    </row>
    <row r="367" customFormat="false" ht="15" hidden="false" customHeight="false" outlineLevel="0" collapsed="false">
      <c r="A367" s="18" t="s">
        <v>193</v>
      </c>
      <c r="B367" s="18" t="s">
        <v>194</v>
      </c>
      <c r="C367" s="18"/>
      <c r="D367" s="49" t="n">
        <v>46204</v>
      </c>
      <c r="E367" s="18" t="s">
        <v>98</v>
      </c>
      <c r="F367" s="18" t="s">
        <v>99</v>
      </c>
      <c r="G367" s="18" t="s">
        <v>100</v>
      </c>
      <c r="H367" s="18" t="s">
        <v>101</v>
      </c>
      <c r="I367" s="18" t="s">
        <v>102</v>
      </c>
      <c r="J367" s="18" t="s">
        <v>235</v>
      </c>
      <c r="K367" s="18" t="s">
        <v>195</v>
      </c>
      <c r="L367" s="64" t="n">
        <v>4436.4696</v>
      </c>
      <c r="M367" s="64" t="n">
        <v>7.8</v>
      </c>
      <c r="N367" s="18" t="s">
        <v>599</v>
      </c>
      <c r="O367" s="65" t="n">
        <v>34604.4629</v>
      </c>
      <c r="P367" s="65"/>
      <c r="Q367" s="65"/>
      <c r="R367" s="65" t="s">
        <v>232</v>
      </c>
      <c r="S367" s="66" t="n">
        <f aca="false">Model_Calc!AL65</f>
        <v>34604.46288</v>
      </c>
      <c r="T367" s="66" t="n">
        <f aca="false">ROUND(S367-O367,4)</f>
        <v>0</v>
      </c>
    </row>
    <row r="368" customFormat="false" ht="15" hidden="false" customHeight="false" outlineLevel="0" collapsed="false">
      <c r="A368" s="18" t="s">
        <v>193</v>
      </c>
      <c r="B368" s="18" t="s">
        <v>194</v>
      </c>
      <c r="C368" s="18"/>
      <c r="D368" s="49" t="n">
        <v>46204</v>
      </c>
      <c r="E368" s="18" t="s">
        <v>98</v>
      </c>
      <c r="F368" s="18" t="s">
        <v>99</v>
      </c>
      <c r="G368" s="18" t="s">
        <v>100</v>
      </c>
      <c r="H368" s="18" t="s">
        <v>101</v>
      </c>
      <c r="I368" s="18" t="s">
        <v>102</v>
      </c>
      <c r="J368" s="18" t="s">
        <v>237</v>
      </c>
      <c r="K368" s="18" t="s">
        <v>195</v>
      </c>
      <c r="L368" s="64" t="n">
        <v>1658.03652</v>
      </c>
      <c r="M368" s="64" t="n">
        <v>7.8</v>
      </c>
      <c r="N368" s="18" t="s">
        <v>600</v>
      </c>
      <c r="O368" s="65" t="n">
        <v>12932.6849</v>
      </c>
      <c r="P368" s="65"/>
      <c r="Q368" s="65"/>
      <c r="R368" s="65" t="s">
        <v>232</v>
      </c>
      <c r="S368" s="66" t="n">
        <f aca="false">Model_Calc!AQ65</f>
        <v>12932.684856</v>
      </c>
      <c r="T368" s="66" t="n">
        <f aca="false">ROUND(S368-O368,4)</f>
        <v>0</v>
      </c>
    </row>
    <row r="369" customFormat="false" ht="15" hidden="false" customHeight="false" outlineLevel="0" collapsed="false">
      <c r="A369" s="18" t="s">
        <v>193</v>
      </c>
      <c r="B369" s="18" t="s">
        <v>194</v>
      </c>
      <c r="C369" s="18"/>
      <c r="D369" s="49" t="n">
        <v>46204</v>
      </c>
      <c r="E369" s="18" t="s">
        <v>98</v>
      </c>
      <c r="F369" s="18" t="s">
        <v>99</v>
      </c>
      <c r="G369" s="18" t="s">
        <v>100</v>
      </c>
      <c r="H369" s="18" t="s">
        <v>101</v>
      </c>
      <c r="I369" s="18" t="s">
        <v>102</v>
      </c>
      <c r="J369" s="18" t="s">
        <v>239</v>
      </c>
      <c r="K369" s="18" t="s">
        <v>195</v>
      </c>
      <c r="L369" s="64" t="n">
        <v>601.5552</v>
      </c>
      <c r="M369" s="64" t="n">
        <v>7.8</v>
      </c>
      <c r="N369" s="18" t="s">
        <v>601</v>
      </c>
      <c r="O369" s="65" t="n">
        <v>4692.1306</v>
      </c>
      <c r="P369" s="65"/>
      <c r="Q369" s="65"/>
      <c r="R369" s="65" t="s">
        <v>232</v>
      </c>
      <c r="S369" s="66" t="n">
        <f aca="false">Model_Calc!AV65</f>
        <v>4692.13056</v>
      </c>
      <c r="T369" s="66" t="n">
        <f aca="false">ROUND(S369-O369,4)</f>
        <v>0</v>
      </c>
    </row>
    <row r="370" customFormat="false" ht="15" hidden="false" customHeight="false" outlineLevel="0" collapsed="false">
      <c r="A370" s="18" t="s">
        <v>193</v>
      </c>
      <c r="B370" s="18" t="s">
        <v>194</v>
      </c>
      <c r="C370" s="18"/>
      <c r="D370" s="49" t="n">
        <v>46204</v>
      </c>
      <c r="E370" s="18" t="s">
        <v>98</v>
      </c>
      <c r="F370" s="18" t="s">
        <v>99</v>
      </c>
      <c r="G370" s="18" t="s">
        <v>100</v>
      </c>
      <c r="H370" s="18" t="s">
        <v>101</v>
      </c>
      <c r="I370" s="18" t="s">
        <v>102</v>
      </c>
      <c r="J370" s="18" t="s">
        <v>241</v>
      </c>
      <c r="K370" s="18" t="s">
        <v>195</v>
      </c>
      <c r="L370" s="64" t="n">
        <v>145.2755808</v>
      </c>
      <c r="M370" s="64" t="n">
        <v>7.8</v>
      </c>
      <c r="N370" s="18" t="s">
        <v>602</v>
      </c>
      <c r="O370" s="65" t="n">
        <v>1133.1495</v>
      </c>
      <c r="P370" s="65"/>
      <c r="Q370" s="65"/>
      <c r="R370" s="65" t="s">
        <v>232</v>
      </c>
      <c r="S370" s="66" t="n">
        <f aca="false">Model_Calc!BA65</f>
        <v>1133.14953024</v>
      </c>
      <c r="T370" s="66" t="n">
        <f aca="false">ROUND(S370-O370,4)</f>
        <v>0</v>
      </c>
    </row>
    <row r="371" customFormat="false" ht="15" hidden="false" customHeight="false" outlineLevel="0" collapsed="false">
      <c r="A371" s="18" t="s">
        <v>193</v>
      </c>
      <c r="B371" s="18" t="s">
        <v>194</v>
      </c>
      <c r="C371" s="18"/>
      <c r="D371" s="49" t="n">
        <v>46204</v>
      </c>
      <c r="E371" s="18" t="s">
        <v>106</v>
      </c>
      <c r="F371" s="18" t="s">
        <v>99</v>
      </c>
      <c r="G371" s="18" t="s">
        <v>100</v>
      </c>
      <c r="H371" s="18" t="s">
        <v>107</v>
      </c>
      <c r="I371" s="18" t="s">
        <v>102</v>
      </c>
      <c r="J371" s="18" t="s">
        <v>230</v>
      </c>
      <c r="K371" s="18" t="s">
        <v>195</v>
      </c>
      <c r="L371" s="64" t="n">
        <v>5789.9688</v>
      </c>
      <c r="M371" s="64" t="n">
        <v>7.8</v>
      </c>
      <c r="N371" s="18" t="s">
        <v>603</v>
      </c>
      <c r="O371" s="65" t="n">
        <v>45161.7566</v>
      </c>
      <c r="P371" s="65"/>
      <c r="Q371" s="65"/>
      <c r="R371" s="65" t="s">
        <v>232</v>
      </c>
      <c r="S371" s="66" t="n">
        <f aca="false">Model_Calc!AF66</f>
        <v>45161.75664</v>
      </c>
      <c r="T371" s="66" t="n">
        <f aca="false">ROUND(S371-O371,4)</f>
        <v>0</v>
      </c>
    </row>
    <row r="372" customFormat="false" ht="15" hidden="false" customHeight="false" outlineLevel="0" collapsed="false">
      <c r="A372" s="18" t="s">
        <v>193</v>
      </c>
      <c r="B372" s="18" t="s">
        <v>194</v>
      </c>
      <c r="C372" s="18"/>
      <c r="D372" s="49" t="n">
        <v>46204</v>
      </c>
      <c r="E372" s="18" t="s">
        <v>106</v>
      </c>
      <c r="F372" s="18" t="s">
        <v>99</v>
      </c>
      <c r="G372" s="18" t="s">
        <v>100</v>
      </c>
      <c r="H372" s="18" t="s">
        <v>107</v>
      </c>
      <c r="I372" s="18" t="s">
        <v>102</v>
      </c>
      <c r="J372" s="18" t="s">
        <v>233</v>
      </c>
      <c r="K372" s="18" t="s">
        <v>195</v>
      </c>
      <c r="L372" s="64" t="n">
        <v>442.143072</v>
      </c>
      <c r="M372" s="64" t="n">
        <v>7.8</v>
      </c>
      <c r="N372" s="18" t="s">
        <v>604</v>
      </c>
      <c r="O372" s="65" t="n">
        <v>3448.716</v>
      </c>
      <c r="P372" s="65"/>
      <c r="Q372" s="65"/>
      <c r="R372" s="65" t="s">
        <v>232</v>
      </c>
      <c r="S372" s="66" t="n">
        <f aca="false">Model_Calc!AG66</f>
        <v>3448.7159616</v>
      </c>
      <c r="T372" s="66" t="n">
        <f aca="false">ROUND(S372-O372,4)</f>
        <v>0</v>
      </c>
    </row>
    <row r="373" customFormat="false" ht="15" hidden="false" customHeight="false" outlineLevel="0" collapsed="false">
      <c r="A373" s="18" t="s">
        <v>193</v>
      </c>
      <c r="B373" s="18" t="s">
        <v>194</v>
      </c>
      <c r="C373" s="18"/>
      <c r="D373" s="49" t="n">
        <v>46204</v>
      </c>
      <c r="E373" s="18" t="s">
        <v>106</v>
      </c>
      <c r="F373" s="18" t="s">
        <v>99</v>
      </c>
      <c r="G373" s="18" t="s">
        <v>100</v>
      </c>
      <c r="H373" s="18" t="s">
        <v>107</v>
      </c>
      <c r="I373" s="18" t="s">
        <v>102</v>
      </c>
      <c r="J373" s="18" t="s">
        <v>235</v>
      </c>
      <c r="K373" s="18" t="s">
        <v>195</v>
      </c>
      <c r="L373" s="64" t="n">
        <v>2957.6464</v>
      </c>
      <c r="M373" s="64" t="n">
        <v>7.8</v>
      </c>
      <c r="N373" s="18" t="s">
        <v>605</v>
      </c>
      <c r="O373" s="65" t="n">
        <v>23069.6419</v>
      </c>
      <c r="P373" s="65"/>
      <c r="Q373" s="65"/>
      <c r="R373" s="65" t="s">
        <v>232</v>
      </c>
      <c r="S373" s="66" t="n">
        <f aca="false">Model_Calc!AL66</f>
        <v>23069.64192</v>
      </c>
      <c r="T373" s="66" t="n">
        <f aca="false">ROUND(S373-O373,4)</f>
        <v>0</v>
      </c>
    </row>
    <row r="374" customFormat="false" ht="15" hidden="false" customHeight="false" outlineLevel="0" collapsed="false">
      <c r="A374" s="18" t="s">
        <v>193</v>
      </c>
      <c r="B374" s="18" t="s">
        <v>194</v>
      </c>
      <c r="C374" s="18"/>
      <c r="D374" s="49" t="n">
        <v>46204</v>
      </c>
      <c r="E374" s="18" t="s">
        <v>106</v>
      </c>
      <c r="F374" s="18" t="s">
        <v>99</v>
      </c>
      <c r="G374" s="18" t="s">
        <v>100</v>
      </c>
      <c r="H374" s="18" t="s">
        <v>107</v>
      </c>
      <c r="I374" s="18" t="s">
        <v>102</v>
      </c>
      <c r="J374" s="18" t="s">
        <v>237</v>
      </c>
      <c r="K374" s="18" t="s">
        <v>195</v>
      </c>
      <c r="L374" s="64" t="n">
        <v>1105.35768</v>
      </c>
      <c r="M374" s="64" t="n">
        <v>7.8</v>
      </c>
      <c r="N374" s="18" t="s">
        <v>606</v>
      </c>
      <c r="O374" s="65" t="n">
        <v>8621.7899</v>
      </c>
      <c r="P374" s="65"/>
      <c r="Q374" s="65"/>
      <c r="R374" s="65" t="s">
        <v>232</v>
      </c>
      <c r="S374" s="66" t="n">
        <f aca="false">Model_Calc!AQ66</f>
        <v>8621.789904</v>
      </c>
      <c r="T374" s="66" t="n">
        <f aca="false">ROUND(S374-O374,4)</f>
        <v>0</v>
      </c>
    </row>
    <row r="375" customFormat="false" ht="15" hidden="false" customHeight="false" outlineLevel="0" collapsed="false">
      <c r="A375" s="18" t="s">
        <v>193</v>
      </c>
      <c r="B375" s="18" t="s">
        <v>194</v>
      </c>
      <c r="C375" s="18"/>
      <c r="D375" s="49" t="n">
        <v>46204</v>
      </c>
      <c r="E375" s="18" t="s">
        <v>106</v>
      </c>
      <c r="F375" s="18" t="s">
        <v>99</v>
      </c>
      <c r="G375" s="18" t="s">
        <v>100</v>
      </c>
      <c r="H375" s="18" t="s">
        <v>107</v>
      </c>
      <c r="I375" s="18" t="s">
        <v>102</v>
      </c>
      <c r="J375" s="18" t="s">
        <v>239</v>
      </c>
      <c r="K375" s="18" t="s">
        <v>195</v>
      </c>
      <c r="L375" s="64" t="n">
        <v>401.0368</v>
      </c>
      <c r="M375" s="64" t="n">
        <v>7.8</v>
      </c>
      <c r="N375" s="18" t="s">
        <v>607</v>
      </c>
      <c r="O375" s="65" t="n">
        <v>3128.087</v>
      </c>
      <c r="P375" s="65"/>
      <c r="Q375" s="65"/>
      <c r="R375" s="65" t="s">
        <v>232</v>
      </c>
      <c r="S375" s="66" t="n">
        <f aca="false">Model_Calc!AV66</f>
        <v>3128.08704</v>
      </c>
      <c r="T375" s="66" t="n">
        <f aca="false">ROUND(S375-O375,4)</f>
        <v>0</v>
      </c>
    </row>
    <row r="376" customFormat="false" ht="15" hidden="false" customHeight="false" outlineLevel="0" collapsed="false">
      <c r="A376" s="18" t="s">
        <v>193</v>
      </c>
      <c r="B376" s="18" t="s">
        <v>194</v>
      </c>
      <c r="C376" s="18"/>
      <c r="D376" s="49" t="n">
        <v>46204</v>
      </c>
      <c r="E376" s="18" t="s">
        <v>106</v>
      </c>
      <c r="F376" s="18" t="s">
        <v>99</v>
      </c>
      <c r="G376" s="18" t="s">
        <v>100</v>
      </c>
      <c r="H376" s="18" t="s">
        <v>107</v>
      </c>
      <c r="I376" s="18" t="s">
        <v>102</v>
      </c>
      <c r="J376" s="18" t="s">
        <v>241</v>
      </c>
      <c r="K376" s="18" t="s">
        <v>195</v>
      </c>
      <c r="L376" s="64" t="n">
        <v>78.6909396</v>
      </c>
      <c r="M376" s="64" t="n">
        <v>7.8</v>
      </c>
      <c r="N376" s="18" t="s">
        <v>608</v>
      </c>
      <c r="O376" s="65" t="n">
        <v>613.7893</v>
      </c>
      <c r="P376" s="65"/>
      <c r="Q376" s="65"/>
      <c r="R376" s="65" t="s">
        <v>232</v>
      </c>
      <c r="S376" s="66" t="n">
        <f aca="false">Model_Calc!BA66</f>
        <v>613.78932888</v>
      </c>
      <c r="T376" s="66" t="n">
        <f aca="false">ROUND(S376-O376,4)</f>
        <v>0</v>
      </c>
    </row>
    <row r="377" customFormat="false" ht="15" hidden="false" customHeight="false" outlineLevel="0" collapsed="false">
      <c r="A377" s="18" t="s">
        <v>193</v>
      </c>
      <c r="B377" s="18" t="s">
        <v>194</v>
      </c>
      <c r="C377" s="18"/>
      <c r="D377" s="49" t="n">
        <v>46204</v>
      </c>
      <c r="E377" s="18" t="s">
        <v>109</v>
      </c>
      <c r="F377" s="18" t="s">
        <v>99</v>
      </c>
      <c r="G377" s="18" t="s">
        <v>110</v>
      </c>
      <c r="H377" s="18" t="s">
        <v>107</v>
      </c>
      <c r="I377" s="18" t="s">
        <v>102</v>
      </c>
      <c r="J377" s="18" t="s">
        <v>230</v>
      </c>
      <c r="K377" s="18" t="s">
        <v>195</v>
      </c>
      <c r="L377" s="64" t="n">
        <v>594.004752</v>
      </c>
      <c r="M377" s="64" t="n">
        <v>7.8</v>
      </c>
      <c r="N377" s="18" t="s">
        <v>609</v>
      </c>
      <c r="O377" s="65" t="n">
        <v>4633.2371</v>
      </c>
      <c r="P377" s="65"/>
      <c r="Q377" s="65"/>
      <c r="R377" s="65" t="s">
        <v>232</v>
      </c>
      <c r="S377" s="66" t="n">
        <f aca="false">Model_Calc!AF67</f>
        <v>4633.2370656</v>
      </c>
      <c r="T377" s="66" t="n">
        <f aca="false">ROUND(S377-O377,4)</f>
        <v>0</v>
      </c>
    </row>
    <row r="378" customFormat="false" ht="15" hidden="false" customHeight="false" outlineLevel="0" collapsed="false">
      <c r="A378" s="18" t="s">
        <v>193</v>
      </c>
      <c r="B378" s="18" t="s">
        <v>194</v>
      </c>
      <c r="C378" s="18"/>
      <c r="D378" s="49" t="n">
        <v>46204</v>
      </c>
      <c r="E378" s="18" t="s">
        <v>109</v>
      </c>
      <c r="F378" s="18" t="s">
        <v>99</v>
      </c>
      <c r="G378" s="18" t="s">
        <v>110</v>
      </c>
      <c r="H378" s="18" t="s">
        <v>107</v>
      </c>
      <c r="I378" s="18" t="s">
        <v>102</v>
      </c>
      <c r="J378" s="18" t="s">
        <v>233</v>
      </c>
      <c r="K378" s="18" t="s">
        <v>195</v>
      </c>
      <c r="L378" s="64" t="n">
        <v>43.2003456</v>
      </c>
      <c r="M378" s="64" t="n">
        <v>7.8</v>
      </c>
      <c r="N378" s="18" t="s">
        <v>610</v>
      </c>
      <c r="O378" s="65" t="n">
        <v>336.9627</v>
      </c>
      <c r="P378" s="65"/>
      <c r="Q378" s="65"/>
      <c r="R378" s="65" t="s">
        <v>232</v>
      </c>
      <c r="S378" s="66" t="n">
        <f aca="false">Model_Calc!AG67</f>
        <v>336.96269568</v>
      </c>
      <c r="T378" s="66" t="n">
        <f aca="false">ROUND(S378-O378,4)</f>
        <v>0</v>
      </c>
    </row>
    <row r="379" customFormat="false" ht="15" hidden="false" customHeight="false" outlineLevel="0" collapsed="false">
      <c r="A379" s="18" t="s">
        <v>193</v>
      </c>
      <c r="B379" s="18" t="s">
        <v>194</v>
      </c>
      <c r="C379" s="18"/>
      <c r="D379" s="49" t="n">
        <v>46204</v>
      </c>
      <c r="E379" s="18" t="s">
        <v>109</v>
      </c>
      <c r="F379" s="18" t="s">
        <v>99</v>
      </c>
      <c r="G379" s="18" t="s">
        <v>110</v>
      </c>
      <c r="H379" s="18" t="s">
        <v>107</v>
      </c>
      <c r="I379" s="18" t="s">
        <v>102</v>
      </c>
      <c r="J379" s="18" t="s">
        <v>235</v>
      </c>
      <c r="K379" s="18" t="s">
        <v>195</v>
      </c>
      <c r="L379" s="64" t="n">
        <v>203.49</v>
      </c>
      <c r="M379" s="64" t="n">
        <v>7.8</v>
      </c>
      <c r="N379" s="18" t="s">
        <v>611</v>
      </c>
      <c r="O379" s="65" t="n">
        <v>1587.222</v>
      </c>
      <c r="P379" s="65"/>
      <c r="Q379" s="65"/>
      <c r="R379" s="65" t="s">
        <v>232</v>
      </c>
      <c r="S379" s="66" t="n">
        <f aca="false">Model_Calc!AL67</f>
        <v>1587.222</v>
      </c>
      <c r="T379" s="66" t="n">
        <f aca="false">ROUND(S379-O379,4)</f>
        <v>0</v>
      </c>
    </row>
    <row r="380" customFormat="false" ht="15" hidden="false" customHeight="false" outlineLevel="0" collapsed="false">
      <c r="A380" s="18" t="s">
        <v>193</v>
      </c>
      <c r="B380" s="18" t="s">
        <v>194</v>
      </c>
      <c r="C380" s="18"/>
      <c r="D380" s="49" t="n">
        <v>46204</v>
      </c>
      <c r="E380" s="18" t="s">
        <v>109</v>
      </c>
      <c r="F380" s="18" t="s">
        <v>99</v>
      </c>
      <c r="G380" s="18" t="s">
        <v>110</v>
      </c>
      <c r="H380" s="18" t="s">
        <v>107</v>
      </c>
      <c r="I380" s="18" t="s">
        <v>102</v>
      </c>
      <c r="J380" s="18" t="s">
        <v>237</v>
      </c>
      <c r="K380" s="18" t="s">
        <v>195</v>
      </c>
      <c r="L380" s="64" t="n">
        <v>79.53552</v>
      </c>
      <c r="M380" s="64" t="n">
        <v>7.8</v>
      </c>
      <c r="N380" s="18" t="s">
        <v>612</v>
      </c>
      <c r="O380" s="65" t="n">
        <v>620.3771</v>
      </c>
      <c r="P380" s="65"/>
      <c r="Q380" s="65"/>
      <c r="R380" s="65" t="s">
        <v>232</v>
      </c>
      <c r="S380" s="66" t="n">
        <f aca="false">Model_Calc!AQ67</f>
        <v>620.377056</v>
      </c>
      <c r="T380" s="66" t="n">
        <f aca="false">ROUND(S380-O380,4)</f>
        <v>0</v>
      </c>
    </row>
    <row r="381" customFormat="false" ht="15" hidden="false" customHeight="false" outlineLevel="0" collapsed="false">
      <c r="A381" s="18" t="s">
        <v>193</v>
      </c>
      <c r="B381" s="18" t="s">
        <v>194</v>
      </c>
      <c r="C381" s="18"/>
      <c r="D381" s="49" t="n">
        <v>46204</v>
      </c>
      <c r="E381" s="18" t="s">
        <v>109</v>
      </c>
      <c r="F381" s="18" t="s">
        <v>99</v>
      </c>
      <c r="G381" s="18" t="s">
        <v>110</v>
      </c>
      <c r="H381" s="18" t="s">
        <v>107</v>
      </c>
      <c r="I381" s="18" t="s">
        <v>102</v>
      </c>
      <c r="J381" s="18" t="s">
        <v>239</v>
      </c>
      <c r="K381" s="18" t="s">
        <v>195</v>
      </c>
      <c r="L381" s="64" t="n">
        <v>36.822</v>
      </c>
      <c r="M381" s="64" t="n">
        <v>7.8</v>
      </c>
      <c r="N381" s="18" t="s">
        <v>613</v>
      </c>
      <c r="O381" s="65" t="n">
        <v>287.2116</v>
      </c>
      <c r="P381" s="65"/>
      <c r="Q381" s="65"/>
      <c r="R381" s="65" t="s">
        <v>232</v>
      </c>
      <c r="S381" s="66" t="n">
        <f aca="false">Model_Calc!AV67</f>
        <v>287.2116</v>
      </c>
      <c r="T381" s="66" t="n">
        <f aca="false">ROUND(S381-O381,4)</f>
        <v>0</v>
      </c>
    </row>
    <row r="382" customFormat="false" ht="15" hidden="false" customHeight="false" outlineLevel="0" collapsed="false">
      <c r="A382" s="18" t="s">
        <v>193</v>
      </c>
      <c r="B382" s="18" t="s">
        <v>194</v>
      </c>
      <c r="C382" s="18"/>
      <c r="D382" s="49" t="n">
        <v>46204</v>
      </c>
      <c r="E382" s="18" t="s">
        <v>109</v>
      </c>
      <c r="F382" s="18" t="s">
        <v>99</v>
      </c>
      <c r="G382" s="18" t="s">
        <v>110</v>
      </c>
      <c r="H382" s="18" t="s">
        <v>107</v>
      </c>
      <c r="I382" s="18" t="s">
        <v>102</v>
      </c>
      <c r="J382" s="18" t="s">
        <v>241</v>
      </c>
      <c r="K382" s="18" t="s">
        <v>195</v>
      </c>
      <c r="L382" s="64" t="n">
        <v>6.7395888</v>
      </c>
      <c r="M382" s="64" t="n">
        <v>7.8</v>
      </c>
      <c r="N382" s="18" t="s">
        <v>614</v>
      </c>
      <c r="O382" s="65" t="n">
        <v>52.5688</v>
      </c>
      <c r="P382" s="65"/>
      <c r="Q382" s="65"/>
      <c r="R382" s="65" t="s">
        <v>232</v>
      </c>
      <c r="S382" s="66" t="n">
        <f aca="false">Model_Calc!BA67</f>
        <v>52.56879264</v>
      </c>
      <c r="T382" s="66" t="n">
        <f aca="false">ROUND(S382-O382,4)</f>
        <v>0</v>
      </c>
    </row>
    <row r="383" customFormat="false" ht="15" hidden="false" customHeight="false" outlineLevel="0" collapsed="false">
      <c r="A383" s="18" t="s">
        <v>193</v>
      </c>
      <c r="B383" s="18" t="s">
        <v>194</v>
      </c>
      <c r="C383" s="18"/>
      <c r="D383" s="49" t="n">
        <v>46204</v>
      </c>
      <c r="E383" s="18" t="s">
        <v>112</v>
      </c>
      <c r="F383" s="18" t="s">
        <v>113</v>
      </c>
      <c r="G383" s="18" t="s">
        <v>110</v>
      </c>
      <c r="H383" s="18" t="s">
        <v>101</v>
      </c>
      <c r="I383" s="18" t="s">
        <v>102</v>
      </c>
      <c r="J383" s="18" t="s">
        <v>230</v>
      </c>
      <c r="K383" s="18" t="s">
        <v>195</v>
      </c>
      <c r="L383" s="64" t="n">
        <v>3221.11104</v>
      </c>
      <c r="M383" s="64" t="n">
        <v>7.8</v>
      </c>
      <c r="N383" s="18" t="s">
        <v>615</v>
      </c>
      <c r="O383" s="65" t="n">
        <v>25124.6661</v>
      </c>
      <c r="P383" s="65"/>
      <c r="Q383" s="65"/>
      <c r="R383" s="65" t="s">
        <v>232</v>
      </c>
      <c r="S383" s="66" t="n">
        <f aca="false">Model_Calc!AF68</f>
        <v>25124.666112</v>
      </c>
      <c r="T383" s="66" t="n">
        <f aca="false">ROUND(S383-O383,4)</f>
        <v>0</v>
      </c>
    </row>
    <row r="384" customFormat="false" ht="15" hidden="false" customHeight="false" outlineLevel="0" collapsed="false">
      <c r="A384" s="18" t="s">
        <v>193</v>
      </c>
      <c r="B384" s="18" t="s">
        <v>194</v>
      </c>
      <c r="C384" s="18"/>
      <c r="D384" s="49" t="n">
        <v>46204</v>
      </c>
      <c r="E384" s="18" t="s">
        <v>112</v>
      </c>
      <c r="F384" s="18" t="s">
        <v>113</v>
      </c>
      <c r="G384" s="18" t="s">
        <v>110</v>
      </c>
      <c r="H384" s="18" t="s">
        <v>101</v>
      </c>
      <c r="I384" s="18" t="s">
        <v>102</v>
      </c>
      <c r="J384" s="18" t="s">
        <v>233</v>
      </c>
      <c r="K384" s="18" t="s">
        <v>195</v>
      </c>
      <c r="L384" s="64" t="n">
        <v>289.8999936</v>
      </c>
      <c r="M384" s="64" t="n">
        <v>7.8</v>
      </c>
      <c r="N384" s="18" t="s">
        <v>616</v>
      </c>
      <c r="O384" s="65" t="n">
        <v>2261.22</v>
      </c>
      <c r="P384" s="65"/>
      <c r="Q384" s="65"/>
      <c r="R384" s="65" t="s">
        <v>232</v>
      </c>
      <c r="S384" s="66" t="n">
        <f aca="false">Model_Calc!AG68</f>
        <v>2261.21995008</v>
      </c>
      <c r="T384" s="66" t="n">
        <f aca="false">ROUND(S384-O384,4)</f>
        <v>0</v>
      </c>
    </row>
    <row r="385" customFormat="false" ht="15" hidden="false" customHeight="false" outlineLevel="0" collapsed="false">
      <c r="A385" s="18" t="s">
        <v>193</v>
      </c>
      <c r="B385" s="18" t="s">
        <v>194</v>
      </c>
      <c r="C385" s="18"/>
      <c r="D385" s="49" t="n">
        <v>46204</v>
      </c>
      <c r="E385" s="18" t="s">
        <v>112</v>
      </c>
      <c r="F385" s="18" t="s">
        <v>113</v>
      </c>
      <c r="G385" s="18" t="s">
        <v>110</v>
      </c>
      <c r="H385" s="18" t="s">
        <v>101</v>
      </c>
      <c r="I385" s="18" t="s">
        <v>102</v>
      </c>
      <c r="J385" s="18" t="s">
        <v>235</v>
      </c>
      <c r="K385" s="18" t="s">
        <v>195</v>
      </c>
      <c r="L385" s="64" t="n">
        <v>1999.2</v>
      </c>
      <c r="M385" s="64" t="n">
        <v>7.8</v>
      </c>
      <c r="N385" s="18" t="s">
        <v>617</v>
      </c>
      <c r="O385" s="65" t="n">
        <v>15593.76</v>
      </c>
      <c r="P385" s="65"/>
      <c r="Q385" s="65"/>
      <c r="R385" s="65" t="s">
        <v>232</v>
      </c>
      <c r="S385" s="66" t="n">
        <f aca="false">Model_Calc!AL68</f>
        <v>15593.76</v>
      </c>
      <c r="T385" s="66" t="n">
        <f aca="false">ROUND(S385-O385,4)</f>
        <v>0</v>
      </c>
    </row>
    <row r="386" customFormat="false" ht="15" hidden="false" customHeight="false" outlineLevel="0" collapsed="false">
      <c r="A386" s="18" t="s">
        <v>193</v>
      </c>
      <c r="B386" s="18" t="s">
        <v>194</v>
      </c>
      <c r="C386" s="18"/>
      <c r="D386" s="49" t="n">
        <v>46204</v>
      </c>
      <c r="E386" s="18" t="s">
        <v>112</v>
      </c>
      <c r="F386" s="18" t="s">
        <v>113</v>
      </c>
      <c r="G386" s="18" t="s">
        <v>110</v>
      </c>
      <c r="H386" s="18" t="s">
        <v>101</v>
      </c>
      <c r="I386" s="18" t="s">
        <v>102</v>
      </c>
      <c r="J386" s="18" t="s">
        <v>237</v>
      </c>
      <c r="K386" s="18" t="s">
        <v>195</v>
      </c>
      <c r="L386" s="64" t="n">
        <v>766.9312</v>
      </c>
      <c r="M386" s="64" t="n">
        <v>7.8</v>
      </c>
      <c r="N386" s="18" t="s">
        <v>618</v>
      </c>
      <c r="O386" s="65" t="n">
        <v>5982.0634</v>
      </c>
      <c r="P386" s="65"/>
      <c r="Q386" s="65"/>
      <c r="R386" s="65" t="s">
        <v>232</v>
      </c>
      <c r="S386" s="66" t="n">
        <f aca="false">Model_Calc!AQ68</f>
        <v>5982.06336</v>
      </c>
      <c r="T386" s="66" t="n">
        <f aca="false">ROUND(S386-O386,4)</f>
        <v>0</v>
      </c>
    </row>
    <row r="387" customFormat="false" ht="15" hidden="false" customHeight="false" outlineLevel="0" collapsed="false">
      <c r="A387" s="18" t="s">
        <v>193</v>
      </c>
      <c r="B387" s="18" t="s">
        <v>194</v>
      </c>
      <c r="C387" s="18"/>
      <c r="D387" s="49" t="n">
        <v>46204</v>
      </c>
      <c r="E387" s="18" t="s">
        <v>112</v>
      </c>
      <c r="F387" s="18" t="s">
        <v>113</v>
      </c>
      <c r="G387" s="18" t="s">
        <v>110</v>
      </c>
      <c r="H387" s="18" t="s">
        <v>101</v>
      </c>
      <c r="I387" s="18" t="s">
        <v>102</v>
      </c>
      <c r="J387" s="18" t="s">
        <v>239</v>
      </c>
      <c r="K387" s="18" t="s">
        <v>195</v>
      </c>
      <c r="L387" s="64" t="n">
        <v>342.72</v>
      </c>
      <c r="M387" s="64" t="n">
        <v>7.8</v>
      </c>
      <c r="N387" s="18" t="s">
        <v>619</v>
      </c>
      <c r="O387" s="65" t="n">
        <v>2673.216</v>
      </c>
      <c r="P387" s="65"/>
      <c r="Q387" s="65"/>
      <c r="R387" s="65" t="s">
        <v>232</v>
      </c>
      <c r="S387" s="66" t="n">
        <f aca="false">Model_Calc!AV68</f>
        <v>2673.216</v>
      </c>
      <c r="T387" s="66" t="n">
        <f aca="false">ROUND(S387-O387,4)</f>
        <v>0</v>
      </c>
    </row>
    <row r="388" customFormat="false" ht="15" hidden="false" customHeight="false" outlineLevel="0" collapsed="false">
      <c r="A388" s="18" t="s">
        <v>193</v>
      </c>
      <c r="B388" s="18" t="s">
        <v>194</v>
      </c>
      <c r="C388" s="18"/>
      <c r="D388" s="49" t="n">
        <v>46204</v>
      </c>
      <c r="E388" s="18" t="s">
        <v>112</v>
      </c>
      <c r="F388" s="18" t="s">
        <v>113</v>
      </c>
      <c r="G388" s="18" t="s">
        <v>110</v>
      </c>
      <c r="H388" s="18" t="s">
        <v>101</v>
      </c>
      <c r="I388" s="18" t="s">
        <v>102</v>
      </c>
      <c r="J388" s="18" t="s">
        <v>241</v>
      </c>
      <c r="K388" s="18" t="s">
        <v>195</v>
      </c>
      <c r="L388" s="64" t="n">
        <v>78.913184</v>
      </c>
      <c r="M388" s="64" t="n">
        <v>7.8</v>
      </c>
      <c r="N388" s="18" t="s">
        <v>620</v>
      </c>
      <c r="O388" s="65" t="n">
        <v>615.5228</v>
      </c>
      <c r="P388" s="65"/>
      <c r="Q388" s="65"/>
      <c r="R388" s="65" t="s">
        <v>232</v>
      </c>
      <c r="S388" s="66" t="n">
        <f aca="false">Model_Calc!BA68</f>
        <v>615.5228352</v>
      </c>
      <c r="T388" s="66" t="n">
        <f aca="false">ROUND(S388-O388,4)</f>
        <v>0</v>
      </c>
    </row>
    <row r="389" customFormat="false" ht="15" hidden="false" customHeight="false" outlineLevel="0" collapsed="false">
      <c r="A389" s="18" t="s">
        <v>193</v>
      </c>
      <c r="B389" s="18" t="s">
        <v>194</v>
      </c>
      <c r="C389" s="18"/>
      <c r="D389" s="49" t="n">
        <v>46204</v>
      </c>
      <c r="E389" s="18" t="s">
        <v>116</v>
      </c>
      <c r="F389" s="18" t="s">
        <v>113</v>
      </c>
      <c r="G389" s="18" t="s">
        <v>110</v>
      </c>
      <c r="H389" s="18" t="s">
        <v>107</v>
      </c>
      <c r="I389" s="18" t="s">
        <v>102</v>
      </c>
      <c r="J389" s="18" t="s">
        <v>230</v>
      </c>
      <c r="K389" s="18" t="s">
        <v>195</v>
      </c>
      <c r="L389" s="64" t="n">
        <v>7698.72064</v>
      </c>
      <c r="M389" s="64" t="n">
        <v>7.8</v>
      </c>
      <c r="N389" s="18" t="s">
        <v>621</v>
      </c>
      <c r="O389" s="65" t="n">
        <v>60050.021</v>
      </c>
      <c r="P389" s="65"/>
      <c r="Q389" s="65"/>
      <c r="R389" s="65" t="s">
        <v>232</v>
      </c>
      <c r="S389" s="66" t="n">
        <f aca="false">Model_Calc!AF69</f>
        <v>60050.020992</v>
      </c>
      <c r="T389" s="66" t="n">
        <f aca="false">ROUND(S389-O389,4)</f>
        <v>0</v>
      </c>
    </row>
    <row r="390" customFormat="false" ht="15" hidden="false" customHeight="false" outlineLevel="0" collapsed="false">
      <c r="A390" s="18" t="s">
        <v>193</v>
      </c>
      <c r="B390" s="18" t="s">
        <v>194</v>
      </c>
      <c r="C390" s="18"/>
      <c r="D390" s="49" t="n">
        <v>46204</v>
      </c>
      <c r="E390" s="18" t="s">
        <v>116</v>
      </c>
      <c r="F390" s="18" t="s">
        <v>113</v>
      </c>
      <c r="G390" s="18" t="s">
        <v>110</v>
      </c>
      <c r="H390" s="18" t="s">
        <v>107</v>
      </c>
      <c r="I390" s="18" t="s">
        <v>102</v>
      </c>
      <c r="J390" s="18" t="s">
        <v>233</v>
      </c>
      <c r="K390" s="18" t="s">
        <v>195</v>
      </c>
      <c r="L390" s="64" t="n">
        <v>592.20928</v>
      </c>
      <c r="M390" s="64" t="n">
        <v>7.8</v>
      </c>
      <c r="N390" s="18" t="s">
        <v>622</v>
      </c>
      <c r="O390" s="65" t="n">
        <v>4619.2324</v>
      </c>
      <c r="P390" s="65"/>
      <c r="Q390" s="65"/>
      <c r="R390" s="65" t="s">
        <v>232</v>
      </c>
      <c r="S390" s="66" t="n">
        <f aca="false">Model_Calc!AG69</f>
        <v>4619.232384</v>
      </c>
      <c r="T390" s="66" t="n">
        <f aca="false">ROUND(S390-O390,4)</f>
        <v>0</v>
      </c>
    </row>
    <row r="391" customFormat="false" ht="15" hidden="false" customHeight="false" outlineLevel="0" collapsed="false">
      <c r="A391" s="18" t="s">
        <v>193</v>
      </c>
      <c r="B391" s="18" t="s">
        <v>194</v>
      </c>
      <c r="C391" s="18"/>
      <c r="D391" s="49" t="n">
        <v>46204</v>
      </c>
      <c r="E391" s="18" t="s">
        <v>116</v>
      </c>
      <c r="F391" s="18" t="s">
        <v>113</v>
      </c>
      <c r="G391" s="18" t="s">
        <v>110</v>
      </c>
      <c r="H391" s="18" t="s">
        <v>107</v>
      </c>
      <c r="I391" s="18" t="s">
        <v>102</v>
      </c>
      <c r="J391" s="18" t="s">
        <v>235</v>
      </c>
      <c r="K391" s="18" t="s">
        <v>195</v>
      </c>
      <c r="L391" s="64" t="n">
        <v>3712.8</v>
      </c>
      <c r="M391" s="64" t="n">
        <v>7.8</v>
      </c>
      <c r="N391" s="18" t="s">
        <v>623</v>
      </c>
      <c r="O391" s="65" t="n">
        <v>28959.84</v>
      </c>
      <c r="P391" s="65"/>
      <c r="Q391" s="65"/>
      <c r="R391" s="65" t="s">
        <v>232</v>
      </c>
      <c r="S391" s="66" t="n">
        <f aca="false">Model_Calc!AL69</f>
        <v>28959.84</v>
      </c>
      <c r="T391" s="66" t="n">
        <f aca="false">ROUND(S391-O391,4)</f>
        <v>0</v>
      </c>
    </row>
    <row r="392" customFormat="false" ht="15" hidden="false" customHeight="false" outlineLevel="0" collapsed="false">
      <c r="A392" s="18" t="s">
        <v>193</v>
      </c>
      <c r="B392" s="18" t="s">
        <v>194</v>
      </c>
      <c r="C392" s="18"/>
      <c r="D392" s="49" t="n">
        <v>46204</v>
      </c>
      <c r="E392" s="18" t="s">
        <v>116</v>
      </c>
      <c r="F392" s="18" t="s">
        <v>113</v>
      </c>
      <c r="G392" s="18" t="s">
        <v>110</v>
      </c>
      <c r="H392" s="18" t="s">
        <v>107</v>
      </c>
      <c r="I392" s="18" t="s">
        <v>102</v>
      </c>
      <c r="J392" s="18" t="s">
        <v>237</v>
      </c>
      <c r="K392" s="18" t="s">
        <v>195</v>
      </c>
      <c r="L392" s="64" t="n">
        <v>1424.3008</v>
      </c>
      <c r="M392" s="64" t="n">
        <v>7.8</v>
      </c>
      <c r="N392" s="18" t="s">
        <v>624</v>
      </c>
      <c r="O392" s="65" t="n">
        <v>11109.5462</v>
      </c>
      <c r="P392" s="65"/>
      <c r="Q392" s="65"/>
      <c r="R392" s="65" t="s">
        <v>232</v>
      </c>
      <c r="S392" s="66" t="n">
        <f aca="false">Model_Calc!AQ69</f>
        <v>11109.54624</v>
      </c>
      <c r="T392" s="66" t="n">
        <f aca="false">ROUND(S392-O392,4)</f>
        <v>0</v>
      </c>
    </row>
    <row r="393" customFormat="false" ht="15" hidden="false" customHeight="false" outlineLevel="0" collapsed="false">
      <c r="A393" s="18" t="s">
        <v>193</v>
      </c>
      <c r="B393" s="18" t="s">
        <v>194</v>
      </c>
      <c r="C393" s="18"/>
      <c r="D393" s="49" t="n">
        <v>46204</v>
      </c>
      <c r="E393" s="18" t="s">
        <v>116</v>
      </c>
      <c r="F393" s="18" t="s">
        <v>113</v>
      </c>
      <c r="G393" s="18" t="s">
        <v>110</v>
      </c>
      <c r="H393" s="18" t="s">
        <v>107</v>
      </c>
      <c r="I393" s="18" t="s">
        <v>102</v>
      </c>
      <c r="J393" s="18" t="s">
        <v>239</v>
      </c>
      <c r="K393" s="18" t="s">
        <v>195</v>
      </c>
      <c r="L393" s="64" t="n">
        <v>636.48</v>
      </c>
      <c r="M393" s="64" t="n">
        <v>7.8</v>
      </c>
      <c r="N393" s="18" t="s">
        <v>625</v>
      </c>
      <c r="O393" s="65" t="n">
        <v>4964.544</v>
      </c>
      <c r="P393" s="65"/>
      <c r="Q393" s="65"/>
      <c r="R393" s="65" t="s">
        <v>232</v>
      </c>
      <c r="S393" s="66" t="n">
        <f aca="false">Model_Calc!AV69</f>
        <v>4964.544</v>
      </c>
      <c r="T393" s="66" t="n">
        <f aca="false">ROUND(S393-O393,4)</f>
        <v>0</v>
      </c>
    </row>
    <row r="394" customFormat="false" ht="15" hidden="false" customHeight="false" outlineLevel="0" collapsed="false">
      <c r="A394" s="18" t="s">
        <v>193</v>
      </c>
      <c r="B394" s="18" t="s">
        <v>194</v>
      </c>
      <c r="C394" s="18"/>
      <c r="D394" s="49" t="n">
        <v>46204</v>
      </c>
      <c r="E394" s="18" t="s">
        <v>116</v>
      </c>
      <c r="F394" s="18" t="s">
        <v>113</v>
      </c>
      <c r="G394" s="18" t="s">
        <v>110</v>
      </c>
      <c r="H394" s="18" t="s">
        <v>107</v>
      </c>
      <c r="I394" s="18" t="s">
        <v>102</v>
      </c>
      <c r="J394" s="18" t="s">
        <v>241</v>
      </c>
      <c r="K394" s="18" t="s">
        <v>195</v>
      </c>
      <c r="L394" s="64" t="n">
        <v>120.690752</v>
      </c>
      <c r="M394" s="64" t="n">
        <v>7.8</v>
      </c>
      <c r="N394" s="18" t="s">
        <v>626</v>
      </c>
      <c r="O394" s="65" t="n">
        <v>941.3879</v>
      </c>
      <c r="P394" s="65"/>
      <c r="Q394" s="65"/>
      <c r="R394" s="65" t="s">
        <v>232</v>
      </c>
      <c r="S394" s="66" t="n">
        <f aca="false">Model_Calc!BA69</f>
        <v>941.3878656</v>
      </c>
      <c r="T394" s="66" t="n">
        <f aca="false">ROUND(S394-O394,4)</f>
        <v>0</v>
      </c>
    </row>
    <row r="395" customFormat="false" ht="15" hidden="false" customHeight="false" outlineLevel="0" collapsed="false">
      <c r="A395" s="18" t="s">
        <v>193</v>
      </c>
      <c r="B395" s="18" t="s">
        <v>194</v>
      </c>
      <c r="C395" s="18"/>
      <c r="D395" s="49" t="n">
        <v>46204</v>
      </c>
      <c r="E395" s="18" t="s">
        <v>118</v>
      </c>
      <c r="F395" s="18" t="s">
        <v>119</v>
      </c>
      <c r="G395" s="18" t="s">
        <v>100</v>
      </c>
      <c r="H395" s="18" t="s">
        <v>101</v>
      </c>
      <c r="I395" s="18" t="s">
        <v>102</v>
      </c>
      <c r="J395" s="18" t="s">
        <v>230</v>
      </c>
      <c r="K395" s="18" t="s">
        <v>199</v>
      </c>
      <c r="L395" s="64" t="n">
        <v>14542.29504</v>
      </c>
      <c r="M395" s="64" t="n">
        <v>9</v>
      </c>
      <c r="N395" s="18" t="s">
        <v>627</v>
      </c>
      <c r="O395" s="65" t="n">
        <v>130880.6554</v>
      </c>
      <c r="P395" s="65"/>
      <c r="Q395" s="65"/>
      <c r="R395" s="65" t="s">
        <v>232</v>
      </c>
      <c r="S395" s="66" t="n">
        <f aca="false">Model_Calc!AF70</f>
        <v>130880.65536</v>
      </c>
      <c r="T395" s="66" t="n">
        <f aca="false">ROUND(S395-O395,4)</f>
        <v>0</v>
      </c>
    </row>
    <row r="396" customFormat="false" ht="15" hidden="false" customHeight="false" outlineLevel="0" collapsed="false">
      <c r="A396" s="18" t="s">
        <v>193</v>
      </c>
      <c r="B396" s="18" t="s">
        <v>194</v>
      </c>
      <c r="C396" s="18"/>
      <c r="D396" s="49" t="n">
        <v>46204</v>
      </c>
      <c r="E396" s="18" t="s">
        <v>118</v>
      </c>
      <c r="F396" s="18" t="s">
        <v>119</v>
      </c>
      <c r="G396" s="18" t="s">
        <v>100</v>
      </c>
      <c r="H396" s="18" t="s">
        <v>101</v>
      </c>
      <c r="I396" s="18" t="s">
        <v>102</v>
      </c>
      <c r="J396" s="18" t="s">
        <v>233</v>
      </c>
      <c r="K396" s="18" t="s">
        <v>199</v>
      </c>
      <c r="L396" s="64" t="n">
        <v>1454.229504</v>
      </c>
      <c r="M396" s="64" t="n">
        <v>9</v>
      </c>
      <c r="N396" s="18" t="s">
        <v>628</v>
      </c>
      <c r="O396" s="65" t="n">
        <v>13088.0655</v>
      </c>
      <c r="P396" s="65"/>
      <c r="Q396" s="65"/>
      <c r="R396" s="65" t="s">
        <v>232</v>
      </c>
      <c r="S396" s="66" t="n">
        <f aca="false">Model_Calc!AG70</f>
        <v>13088.065536</v>
      </c>
      <c r="T396" s="66" t="n">
        <f aca="false">ROUND(S396-O396,4)</f>
        <v>0</v>
      </c>
    </row>
    <row r="397" customFormat="false" ht="15" hidden="false" customHeight="false" outlineLevel="0" collapsed="false">
      <c r="A397" s="18" t="s">
        <v>193</v>
      </c>
      <c r="B397" s="18" t="s">
        <v>194</v>
      </c>
      <c r="C397" s="18"/>
      <c r="D397" s="49" t="n">
        <v>46204</v>
      </c>
      <c r="E397" s="18" t="s">
        <v>118</v>
      </c>
      <c r="F397" s="18" t="s">
        <v>119</v>
      </c>
      <c r="G397" s="18" t="s">
        <v>100</v>
      </c>
      <c r="H397" s="18" t="s">
        <v>101</v>
      </c>
      <c r="I397" s="18" t="s">
        <v>102</v>
      </c>
      <c r="J397" s="18" t="s">
        <v>235</v>
      </c>
      <c r="K397" s="18" t="s">
        <v>195</v>
      </c>
      <c r="L397" s="64" t="n">
        <v>3755.232</v>
      </c>
      <c r="M397" s="64" t="n">
        <v>7.8</v>
      </c>
      <c r="N397" s="18" t="s">
        <v>629</v>
      </c>
      <c r="O397" s="65" t="n">
        <v>29290.8096</v>
      </c>
      <c r="P397" s="65"/>
      <c r="Q397" s="65"/>
      <c r="R397" s="65" t="s">
        <v>232</v>
      </c>
      <c r="S397" s="66" t="n">
        <f aca="false">Model_Calc!AL70</f>
        <v>29290.8096</v>
      </c>
      <c r="T397" s="66" t="n">
        <f aca="false">ROUND(S397-O397,4)</f>
        <v>0</v>
      </c>
    </row>
    <row r="398" customFormat="false" ht="15" hidden="false" customHeight="false" outlineLevel="0" collapsed="false">
      <c r="A398" s="18" t="s">
        <v>193</v>
      </c>
      <c r="B398" s="18" t="s">
        <v>194</v>
      </c>
      <c r="C398" s="18"/>
      <c r="D398" s="49" t="n">
        <v>46204</v>
      </c>
      <c r="E398" s="18" t="s">
        <v>118</v>
      </c>
      <c r="F398" s="18" t="s">
        <v>119</v>
      </c>
      <c r="G398" s="18" t="s">
        <v>100</v>
      </c>
      <c r="H398" s="18" t="s">
        <v>101</v>
      </c>
      <c r="I398" s="18" t="s">
        <v>102</v>
      </c>
      <c r="J398" s="18" t="s">
        <v>237</v>
      </c>
      <c r="K398" s="18" t="s">
        <v>195</v>
      </c>
      <c r="L398" s="64" t="n">
        <v>1497.00096</v>
      </c>
      <c r="M398" s="64" t="n">
        <v>7.8</v>
      </c>
      <c r="N398" s="18" t="s">
        <v>630</v>
      </c>
      <c r="O398" s="65" t="n">
        <v>11676.6075</v>
      </c>
      <c r="P398" s="65"/>
      <c r="Q398" s="65"/>
      <c r="R398" s="65" t="s">
        <v>232</v>
      </c>
      <c r="S398" s="66" t="n">
        <f aca="false">Model_Calc!AQ70</f>
        <v>11676.607488</v>
      </c>
      <c r="T398" s="66" t="n">
        <f aca="false">ROUND(S398-O398,4)</f>
        <v>0</v>
      </c>
    </row>
    <row r="399" customFormat="false" ht="15" hidden="false" customHeight="false" outlineLevel="0" collapsed="false">
      <c r="A399" s="18" t="s">
        <v>193</v>
      </c>
      <c r="B399" s="18" t="s">
        <v>194</v>
      </c>
      <c r="C399" s="18"/>
      <c r="D399" s="49" t="n">
        <v>46204</v>
      </c>
      <c r="E399" s="18" t="s">
        <v>118</v>
      </c>
      <c r="F399" s="18" t="s">
        <v>119</v>
      </c>
      <c r="G399" s="18" t="s">
        <v>100</v>
      </c>
      <c r="H399" s="18" t="s">
        <v>101</v>
      </c>
      <c r="I399" s="18" t="s">
        <v>102</v>
      </c>
      <c r="J399" s="18" t="s">
        <v>239</v>
      </c>
      <c r="K399" s="18" t="s">
        <v>199</v>
      </c>
      <c r="L399" s="64" t="n">
        <v>1222.0416</v>
      </c>
      <c r="M399" s="64" t="n">
        <v>9</v>
      </c>
      <c r="N399" s="18" t="s">
        <v>631</v>
      </c>
      <c r="O399" s="65" t="n">
        <v>10998.3744</v>
      </c>
      <c r="P399" s="65"/>
      <c r="Q399" s="65"/>
      <c r="R399" s="65" t="s">
        <v>232</v>
      </c>
      <c r="S399" s="66" t="n">
        <f aca="false">Model_Calc!AV70</f>
        <v>10998.3744</v>
      </c>
      <c r="T399" s="66" t="n">
        <f aca="false">ROUND(S399-O399,4)</f>
        <v>0</v>
      </c>
    </row>
    <row r="400" customFormat="false" ht="15" hidden="false" customHeight="false" outlineLevel="0" collapsed="false">
      <c r="A400" s="18" t="s">
        <v>193</v>
      </c>
      <c r="B400" s="18" t="s">
        <v>194</v>
      </c>
      <c r="C400" s="18"/>
      <c r="D400" s="49" t="n">
        <v>46204</v>
      </c>
      <c r="E400" s="18" t="s">
        <v>118</v>
      </c>
      <c r="F400" s="18" t="s">
        <v>119</v>
      </c>
      <c r="G400" s="18" t="s">
        <v>100</v>
      </c>
      <c r="H400" s="18" t="s">
        <v>101</v>
      </c>
      <c r="I400" s="18" t="s">
        <v>102</v>
      </c>
      <c r="J400" s="18" t="s">
        <v>241</v>
      </c>
      <c r="K400" s="18" t="s">
        <v>199</v>
      </c>
      <c r="L400" s="64" t="n">
        <v>180.3529728</v>
      </c>
      <c r="M400" s="64" t="n">
        <v>9</v>
      </c>
      <c r="N400" s="18" t="s">
        <v>632</v>
      </c>
      <c r="O400" s="65" t="n">
        <v>1623.1768</v>
      </c>
      <c r="P400" s="65"/>
      <c r="Q400" s="65"/>
      <c r="R400" s="65" t="s">
        <v>232</v>
      </c>
      <c r="S400" s="66" t="n">
        <f aca="false">Model_Calc!BA70</f>
        <v>1623.1767552</v>
      </c>
      <c r="T400" s="66" t="n">
        <f aca="false">ROUND(S400-O400,4)</f>
        <v>0</v>
      </c>
    </row>
    <row r="401" customFormat="false" ht="15" hidden="false" customHeight="false" outlineLevel="0" collapsed="false">
      <c r="A401" s="18" t="s">
        <v>193</v>
      </c>
      <c r="B401" s="18" t="s">
        <v>194</v>
      </c>
      <c r="C401" s="18"/>
      <c r="D401" s="49" t="n">
        <v>46204</v>
      </c>
      <c r="E401" s="18" t="s">
        <v>122</v>
      </c>
      <c r="F401" s="18" t="s">
        <v>119</v>
      </c>
      <c r="G401" s="18" t="s">
        <v>100</v>
      </c>
      <c r="H401" s="18" t="s">
        <v>107</v>
      </c>
      <c r="I401" s="18" t="s">
        <v>102</v>
      </c>
      <c r="J401" s="18" t="s">
        <v>230</v>
      </c>
      <c r="K401" s="18" t="s">
        <v>199</v>
      </c>
      <c r="L401" s="64" t="n">
        <v>6443.136</v>
      </c>
      <c r="M401" s="64" t="n">
        <v>9</v>
      </c>
      <c r="N401" s="18" t="s">
        <v>633</v>
      </c>
      <c r="O401" s="65" t="n">
        <v>57988.224</v>
      </c>
      <c r="P401" s="65"/>
      <c r="Q401" s="65"/>
      <c r="R401" s="65" t="s">
        <v>232</v>
      </c>
      <c r="S401" s="66" t="n">
        <f aca="false">Model_Calc!AF71</f>
        <v>57988.224</v>
      </c>
      <c r="T401" s="66" t="n">
        <f aca="false">ROUND(S401-O401,4)</f>
        <v>0</v>
      </c>
    </row>
    <row r="402" customFormat="false" ht="15" hidden="false" customHeight="false" outlineLevel="0" collapsed="false">
      <c r="A402" s="18" t="s">
        <v>193</v>
      </c>
      <c r="B402" s="18" t="s">
        <v>194</v>
      </c>
      <c r="C402" s="18"/>
      <c r="D402" s="49" t="n">
        <v>46204</v>
      </c>
      <c r="E402" s="18" t="s">
        <v>122</v>
      </c>
      <c r="F402" s="18" t="s">
        <v>119</v>
      </c>
      <c r="G402" s="18" t="s">
        <v>100</v>
      </c>
      <c r="H402" s="18" t="s">
        <v>107</v>
      </c>
      <c r="I402" s="18" t="s">
        <v>102</v>
      </c>
      <c r="J402" s="18" t="s">
        <v>233</v>
      </c>
      <c r="K402" s="18" t="s">
        <v>199</v>
      </c>
      <c r="L402" s="64" t="n">
        <v>452.3904</v>
      </c>
      <c r="M402" s="64" t="n">
        <v>9</v>
      </c>
      <c r="N402" s="18" t="s">
        <v>634</v>
      </c>
      <c r="O402" s="65" t="n">
        <v>4071.5136</v>
      </c>
      <c r="P402" s="65"/>
      <c r="Q402" s="65"/>
      <c r="R402" s="65" t="s">
        <v>232</v>
      </c>
      <c r="S402" s="66" t="n">
        <f aca="false">Model_Calc!AG71</f>
        <v>4071.5136</v>
      </c>
      <c r="T402" s="66" t="n">
        <f aca="false">ROUND(S402-O402,4)</f>
        <v>0</v>
      </c>
    </row>
    <row r="403" customFormat="false" ht="15" hidden="false" customHeight="false" outlineLevel="0" collapsed="false">
      <c r="A403" s="18" t="s">
        <v>193</v>
      </c>
      <c r="B403" s="18" t="s">
        <v>194</v>
      </c>
      <c r="C403" s="18"/>
      <c r="D403" s="49" t="n">
        <v>46204</v>
      </c>
      <c r="E403" s="18" t="s">
        <v>122</v>
      </c>
      <c r="F403" s="18" t="s">
        <v>119</v>
      </c>
      <c r="G403" s="18" t="s">
        <v>100</v>
      </c>
      <c r="H403" s="18" t="s">
        <v>107</v>
      </c>
      <c r="I403" s="18" t="s">
        <v>102</v>
      </c>
      <c r="J403" s="18" t="s">
        <v>235</v>
      </c>
      <c r="K403" s="18" t="s">
        <v>195</v>
      </c>
      <c r="L403" s="64" t="n">
        <v>1444.32</v>
      </c>
      <c r="M403" s="64" t="n">
        <v>7.8</v>
      </c>
      <c r="N403" s="18" t="s">
        <v>635</v>
      </c>
      <c r="O403" s="65" t="n">
        <v>11265.696</v>
      </c>
      <c r="P403" s="65"/>
      <c r="Q403" s="65"/>
      <c r="R403" s="65" t="s">
        <v>232</v>
      </c>
      <c r="S403" s="66" t="n">
        <f aca="false">Model_Calc!AL71</f>
        <v>11265.696</v>
      </c>
      <c r="T403" s="66" t="n">
        <f aca="false">ROUND(S403-O403,4)</f>
        <v>0</v>
      </c>
    </row>
    <row r="404" customFormat="false" ht="15" hidden="false" customHeight="false" outlineLevel="0" collapsed="false">
      <c r="A404" s="18" t="s">
        <v>193</v>
      </c>
      <c r="B404" s="18" t="s">
        <v>194</v>
      </c>
      <c r="C404" s="18"/>
      <c r="D404" s="49" t="n">
        <v>46204</v>
      </c>
      <c r="E404" s="18" t="s">
        <v>122</v>
      </c>
      <c r="F404" s="18" t="s">
        <v>119</v>
      </c>
      <c r="G404" s="18" t="s">
        <v>100</v>
      </c>
      <c r="H404" s="18" t="s">
        <v>107</v>
      </c>
      <c r="I404" s="18" t="s">
        <v>102</v>
      </c>
      <c r="J404" s="18" t="s">
        <v>237</v>
      </c>
      <c r="K404" s="18" t="s">
        <v>195</v>
      </c>
      <c r="L404" s="64" t="n">
        <v>575.7696</v>
      </c>
      <c r="M404" s="64" t="n">
        <v>7.8</v>
      </c>
      <c r="N404" s="18" t="s">
        <v>636</v>
      </c>
      <c r="O404" s="65" t="n">
        <v>4491.0029</v>
      </c>
      <c r="P404" s="65"/>
      <c r="Q404" s="65"/>
      <c r="R404" s="65" t="s">
        <v>232</v>
      </c>
      <c r="S404" s="66" t="n">
        <f aca="false">Model_Calc!AQ71</f>
        <v>4491.00288</v>
      </c>
      <c r="T404" s="66" t="n">
        <f aca="false">ROUND(S404-O404,4)</f>
        <v>0</v>
      </c>
    </row>
    <row r="405" customFormat="false" ht="15" hidden="false" customHeight="false" outlineLevel="0" collapsed="false">
      <c r="A405" s="18" t="s">
        <v>193</v>
      </c>
      <c r="B405" s="18" t="s">
        <v>194</v>
      </c>
      <c r="C405" s="18"/>
      <c r="D405" s="49" t="n">
        <v>46204</v>
      </c>
      <c r="E405" s="18" t="s">
        <v>122</v>
      </c>
      <c r="F405" s="18" t="s">
        <v>119</v>
      </c>
      <c r="G405" s="18" t="s">
        <v>100</v>
      </c>
      <c r="H405" s="18" t="s">
        <v>107</v>
      </c>
      <c r="I405" s="18" t="s">
        <v>102</v>
      </c>
      <c r="J405" s="18" t="s">
        <v>239</v>
      </c>
      <c r="K405" s="18" t="s">
        <v>199</v>
      </c>
      <c r="L405" s="64" t="n">
        <v>470.016</v>
      </c>
      <c r="M405" s="64" t="n">
        <v>9</v>
      </c>
      <c r="N405" s="18" t="s">
        <v>637</v>
      </c>
      <c r="O405" s="65" t="n">
        <v>4230.144</v>
      </c>
      <c r="P405" s="65"/>
      <c r="Q405" s="65"/>
      <c r="R405" s="65" t="s">
        <v>232</v>
      </c>
      <c r="S405" s="66" t="n">
        <f aca="false">Model_Calc!AV71</f>
        <v>4230.144</v>
      </c>
      <c r="T405" s="66" t="n">
        <f aca="false">ROUND(S405-O405,4)</f>
        <v>0</v>
      </c>
    </row>
    <row r="406" customFormat="false" ht="15" hidden="false" customHeight="false" outlineLevel="0" collapsed="false">
      <c r="A406" s="18" t="s">
        <v>193</v>
      </c>
      <c r="B406" s="18" t="s">
        <v>194</v>
      </c>
      <c r="C406" s="18"/>
      <c r="D406" s="49" t="n">
        <v>46204</v>
      </c>
      <c r="E406" s="18" t="s">
        <v>122</v>
      </c>
      <c r="F406" s="18" t="s">
        <v>119</v>
      </c>
      <c r="G406" s="18" t="s">
        <v>100</v>
      </c>
      <c r="H406" s="18" t="s">
        <v>107</v>
      </c>
      <c r="I406" s="18" t="s">
        <v>102</v>
      </c>
      <c r="J406" s="18" t="s">
        <v>241</v>
      </c>
      <c r="K406" s="18" t="s">
        <v>199</v>
      </c>
      <c r="L406" s="64" t="n">
        <v>53.601408</v>
      </c>
      <c r="M406" s="64" t="n">
        <v>9</v>
      </c>
      <c r="N406" s="18" t="s">
        <v>638</v>
      </c>
      <c r="O406" s="65" t="n">
        <v>482.4127</v>
      </c>
      <c r="P406" s="65"/>
      <c r="Q406" s="65"/>
      <c r="R406" s="65" t="s">
        <v>232</v>
      </c>
      <c r="S406" s="66" t="n">
        <f aca="false">Model_Calc!BA71</f>
        <v>482.412672</v>
      </c>
      <c r="T406" s="66" t="n">
        <f aca="false">ROUND(S406-O406,4)</f>
        <v>0</v>
      </c>
    </row>
    <row r="407" customFormat="false" ht="15" hidden="false" customHeight="false" outlineLevel="0" collapsed="false">
      <c r="A407" s="18" t="s">
        <v>193</v>
      </c>
      <c r="B407" s="18" t="s">
        <v>194</v>
      </c>
      <c r="C407" s="18"/>
      <c r="D407" s="49" t="n">
        <v>46204</v>
      </c>
      <c r="E407" s="18" t="s">
        <v>124</v>
      </c>
      <c r="F407" s="18" t="s">
        <v>119</v>
      </c>
      <c r="G407" s="18" t="s">
        <v>100</v>
      </c>
      <c r="H407" s="18" t="s">
        <v>107</v>
      </c>
      <c r="I407" s="18" t="s">
        <v>125</v>
      </c>
      <c r="J407" s="18" t="s">
        <v>230</v>
      </c>
      <c r="K407" s="18" t="s">
        <v>199</v>
      </c>
      <c r="L407" s="64" t="n">
        <v>2237.0568192</v>
      </c>
      <c r="M407" s="64" t="n">
        <v>9</v>
      </c>
      <c r="N407" s="18" t="s">
        <v>639</v>
      </c>
      <c r="O407" s="65" t="n">
        <v>20133.5114</v>
      </c>
      <c r="P407" s="65"/>
      <c r="Q407" s="65"/>
      <c r="R407" s="65" t="s">
        <v>232</v>
      </c>
      <c r="S407" s="66" t="n">
        <f aca="false">Model_Calc!AF72</f>
        <v>20133.5113728</v>
      </c>
      <c r="T407" s="66" t="n">
        <f aca="false">ROUND(S407-O407,4)</f>
        <v>0</v>
      </c>
    </row>
    <row r="408" customFormat="false" ht="15" hidden="false" customHeight="false" outlineLevel="0" collapsed="false">
      <c r="A408" s="18" t="s">
        <v>193</v>
      </c>
      <c r="B408" s="18" t="s">
        <v>194</v>
      </c>
      <c r="C408" s="18"/>
      <c r="D408" s="49" t="n">
        <v>46204</v>
      </c>
      <c r="E408" s="18" t="s">
        <v>124</v>
      </c>
      <c r="F408" s="18" t="s">
        <v>119</v>
      </c>
      <c r="G408" s="18" t="s">
        <v>100</v>
      </c>
      <c r="H408" s="18" t="s">
        <v>107</v>
      </c>
      <c r="I408" s="18" t="s">
        <v>125</v>
      </c>
      <c r="J408" s="18" t="s">
        <v>233</v>
      </c>
      <c r="K408" s="18" t="s">
        <v>199</v>
      </c>
      <c r="L408" s="64" t="n">
        <v>257.261534208</v>
      </c>
      <c r="M408" s="64" t="n">
        <v>9</v>
      </c>
      <c r="N408" s="18" t="s">
        <v>640</v>
      </c>
      <c r="O408" s="65" t="n">
        <v>2315.3538</v>
      </c>
      <c r="P408" s="65"/>
      <c r="Q408" s="65"/>
      <c r="R408" s="65" t="s">
        <v>232</v>
      </c>
      <c r="S408" s="66" t="n">
        <f aca="false">Model_Calc!AG72</f>
        <v>2315.353807872</v>
      </c>
      <c r="T408" s="66" t="n">
        <f aca="false">ROUND(S408-O408,4)</f>
        <v>0</v>
      </c>
    </row>
    <row r="409" customFormat="false" ht="15" hidden="false" customHeight="false" outlineLevel="0" collapsed="false">
      <c r="A409" s="18" t="s">
        <v>193</v>
      </c>
      <c r="B409" s="18" t="s">
        <v>194</v>
      </c>
      <c r="C409" s="18"/>
      <c r="D409" s="49" t="n">
        <v>46204</v>
      </c>
      <c r="E409" s="18" t="s">
        <v>124</v>
      </c>
      <c r="F409" s="18" t="s">
        <v>119</v>
      </c>
      <c r="G409" s="18" t="s">
        <v>100</v>
      </c>
      <c r="H409" s="18" t="s">
        <v>107</v>
      </c>
      <c r="I409" s="18" t="s">
        <v>125</v>
      </c>
      <c r="J409" s="18" t="s">
        <v>235</v>
      </c>
      <c r="K409" s="18" t="s">
        <v>195</v>
      </c>
      <c r="L409" s="64" t="n">
        <v>404.4096</v>
      </c>
      <c r="M409" s="64" t="n">
        <v>7.8</v>
      </c>
      <c r="N409" s="18" t="s">
        <v>641</v>
      </c>
      <c r="O409" s="65" t="n">
        <v>3154.3949</v>
      </c>
      <c r="P409" s="65"/>
      <c r="Q409" s="65"/>
      <c r="R409" s="65" t="s">
        <v>232</v>
      </c>
      <c r="S409" s="66" t="n">
        <f aca="false">Model_Calc!AL72</f>
        <v>3154.39488</v>
      </c>
      <c r="T409" s="66" t="n">
        <f aca="false">ROUND(S409-O409,4)</f>
        <v>0</v>
      </c>
    </row>
    <row r="410" customFormat="false" ht="15" hidden="false" customHeight="false" outlineLevel="0" collapsed="false">
      <c r="A410" s="18" t="s">
        <v>193</v>
      </c>
      <c r="B410" s="18" t="s">
        <v>194</v>
      </c>
      <c r="C410" s="18"/>
      <c r="D410" s="49" t="n">
        <v>46204</v>
      </c>
      <c r="E410" s="18" t="s">
        <v>124</v>
      </c>
      <c r="F410" s="18" t="s">
        <v>119</v>
      </c>
      <c r="G410" s="18" t="s">
        <v>100</v>
      </c>
      <c r="H410" s="18" t="s">
        <v>107</v>
      </c>
      <c r="I410" s="18" t="s">
        <v>125</v>
      </c>
      <c r="J410" s="18" t="s">
        <v>237</v>
      </c>
      <c r="K410" s="18" t="s">
        <v>195</v>
      </c>
      <c r="L410" s="64" t="n">
        <v>161.215488</v>
      </c>
      <c r="M410" s="64" t="n">
        <v>7.8</v>
      </c>
      <c r="N410" s="18" t="s">
        <v>642</v>
      </c>
      <c r="O410" s="65" t="n">
        <v>1257.4808</v>
      </c>
      <c r="P410" s="65"/>
      <c r="Q410" s="65"/>
      <c r="R410" s="65" t="s">
        <v>232</v>
      </c>
      <c r="S410" s="66" t="n">
        <f aca="false">Model_Calc!AQ72</f>
        <v>1257.4808064</v>
      </c>
      <c r="T410" s="66" t="n">
        <f aca="false">ROUND(S410-O410,4)</f>
        <v>0</v>
      </c>
    </row>
    <row r="411" customFormat="false" ht="15" hidden="false" customHeight="false" outlineLevel="0" collapsed="false">
      <c r="A411" s="18" t="s">
        <v>193</v>
      </c>
      <c r="B411" s="18" t="s">
        <v>194</v>
      </c>
      <c r="C411" s="18"/>
      <c r="D411" s="49" t="n">
        <v>46204</v>
      </c>
      <c r="E411" s="18" t="s">
        <v>124</v>
      </c>
      <c r="F411" s="18" t="s">
        <v>119</v>
      </c>
      <c r="G411" s="18" t="s">
        <v>100</v>
      </c>
      <c r="H411" s="18" t="s">
        <v>107</v>
      </c>
      <c r="I411" s="18" t="s">
        <v>125</v>
      </c>
      <c r="J411" s="18" t="s">
        <v>239</v>
      </c>
      <c r="K411" s="18" t="s">
        <v>199</v>
      </c>
      <c r="L411" s="64" t="n">
        <v>131.60448</v>
      </c>
      <c r="M411" s="64" t="n">
        <v>9</v>
      </c>
      <c r="N411" s="18" t="s">
        <v>643</v>
      </c>
      <c r="O411" s="65" t="n">
        <v>1184.4403</v>
      </c>
      <c r="P411" s="65"/>
      <c r="Q411" s="65"/>
      <c r="R411" s="65" t="s">
        <v>232</v>
      </c>
      <c r="S411" s="66" t="n">
        <f aca="false">Model_Calc!AV72</f>
        <v>1184.44032</v>
      </c>
      <c r="T411" s="66" t="n">
        <f aca="false">ROUND(S411-O411,4)</f>
        <v>0</v>
      </c>
    </row>
    <row r="412" customFormat="false" ht="15" hidden="false" customHeight="false" outlineLevel="0" collapsed="false">
      <c r="A412" s="18" t="s">
        <v>193</v>
      </c>
      <c r="B412" s="18" t="s">
        <v>194</v>
      </c>
      <c r="C412" s="18"/>
      <c r="D412" s="49" t="n">
        <v>46204</v>
      </c>
      <c r="E412" s="18" t="s">
        <v>124</v>
      </c>
      <c r="F412" s="18" t="s">
        <v>119</v>
      </c>
      <c r="G412" s="18" t="s">
        <v>100</v>
      </c>
      <c r="H412" s="18" t="s">
        <v>107</v>
      </c>
      <c r="I412" s="18" t="s">
        <v>125</v>
      </c>
      <c r="J412" s="18" t="s">
        <v>241</v>
      </c>
      <c r="K412" s="18" t="s">
        <v>199</v>
      </c>
      <c r="L412" s="64" t="n">
        <v>13.97200896</v>
      </c>
      <c r="M412" s="64" t="n">
        <v>9</v>
      </c>
      <c r="N412" s="18" t="s">
        <v>644</v>
      </c>
      <c r="O412" s="65" t="n">
        <v>125.7481</v>
      </c>
      <c r="P412" s="65"/>
      <c r="Q412" s="65"/>
      <c r="R412" s="65" t="s">
        <v>232</v>
      </c>
      <c r="S412" s="66" t="n">
        <f aca="false">Model_Calc!BA72</f>
        <v>125.74808064</v>
      </c>
      <c r="T412" s="66" t="n">
        <f aca="false">ROUND(S412-O412,4)</f>
        <v>0</v>
      </c>
    </row>
    <row r="413" customFormat="false" ht="15" hidden="false" customHeight="false" outlineLevel="0" collapsed="false">
      <c r="A413" s="18" t="s">
        <v>193</v>
      </c>
      <c r="B413" s="18" t="s">
        <v>194</v>
      </c>
      <c r="C413" s="18"/>
      <c r="D413" s="49" t="n">
        <v>46204</v>
      </c>
      <c r="E413" s="18" t="s">
        <v>127</v>
      </c>
      <c r="F413" s="18" t="s">
        <v>119</v>
      </c>
      <c r="G413" s="18" t="s">
        <v>100</v>
      </c>
      <c r="H413" s="18" t="s">
        <v>128</v>
      </c>
      <c r="I413" s="18" t="s">
        <v>125</v>
      </c>
      <c r="J413" s="18" t="s">
        <v>230</v>
      </c>
      <c r="K413" s="18" t="s">
        <v>199</v>
      </c>
      <c r="L413" s="64" t="n">
        <v>1135.08864</v>
      </c>
      <c r="M413" s="64" t="n">
        <v>9</v>
      </c>
      <c r="N413" s="18" t="s">
        <v>645</v>
      </c>
      <c r="O413" s="65" t="n">
        <v>10215.7978</v>
      </c>
      <c r="P413" s="65"/>
      <c r="Q413" s="65"/>
      <c r="R413" s="65" t="s">
        <v>232</v>
      </c>
      <c r="S413" s="66" t="n">
        <f aca="false">Model_Calc!AF73</f>
        <v>10215.79776</v>
      </c>
      <c r="T413" s="66" t="n">
        <f aca="false">ROUND(S413-O413,4)</f>
        <v>0</v>
      </c>
    </row>
    <row r="414" customFormat="false" ht="15" hidden="false" customHeight="false" outlineLevel="0" collapsed="false">
      <c r="A414" s="18" t="s">
        <v>193</v>
      </c>
      <c r="B414" s="18" t="s">
        <v>194</v>
      </c>
      <c r="C414" s="18"/>
      <c r="D414" s="49" t="n">
        <v>46204</v>
      </c>
      <c r="E414" s="18" t="s">
        <v>127</v>
      </c>
      <c r="F414" s="18" t="s">
        <v>119</v>
      </c>
      <c r="G414" s="18" t="s">
        <v>100</v>
      </c>
      <c r="H414" s="18" t="s">
        <v>128</v>
      </c>
      <c r="I414" s="18" t="s">
        <v>125</v>
      </c>
      <c r="J414" s="18" t="s">
        <v>233</v>
      </c>
      <c r="K414" s="18" t="s">
        <v>199</v>
      </c>
      <c r="L414" s="64" t="n">
        <v>87.78018816</v>
      </c>
      <c r="M414" s="64" t="n">
        <v>9</v>
      </c>
      <c r="N414" s="18" t="s">
        <v>646</v>
      </c>
      <c r="O414" s="65" t="n">
        <v>790.0217</v>
      </c>
      <c r="P414" s="65"/>
      <c r="Q414" s="65"/>
      <c r="R414" s="65" t="s">
        <v>232</v>
      </c>
      <c r="S414" s="66" t="n">
        <f aca="false">Model_Calc!AG73</f>
        <v>790.02169344</v>
      </c>
      <c r="T414" s="66" t="n">
        <f aca="false">ROUND(S414-O414,4)</f>
        <v>0</v>
      </c>
    </row>
    <row r="415" customFormat="false" ht="15" hidden="false" customHeight="false" outlineLevel="0" collapsed="false">
      <c r="A415" s="18" t="s">
        <v>193</v>
      </c>
      <c r="B415" s="18" t="s">
        <v>194</v>
      </c>
      <c r="C415" s="18"/>
      <c r="D415" s="49" t="n">
        <v>46204</v>
      </c>
      <c r="E415" s="18" t="s">
        <v>127</v>
      </c>
      <c r="F415" s="18" t="s">
        <v>119</v>
      </c>
      <c r="G415" s="18" t="s">
        <v>100</v>
      </c>
      <c r="H415" s="18" t="s">
        <v>128</v>
      </c>
      <c r="I415" s="18" t="s">
        <v>125</v>
      </c>
      <c r="J415" s="18" t="s">
        <v>235</v>
      </c>
      <c r="K415" s="18" t="s">
        <v>195</v>
      </c>
      <c r="L415" s="64" t="n">
        <v>173.3184</v>
      </c>
      <c r="M415" s="64" t="n">
        <v>7.8</v>
      </c>
      <c r="N415" s="18" t="s">
        <v>647</v>
      </c>
      <c r="O415" s="65" t="n">
        <v>1351.8835</v>
      </c>
      <c r="P415" s="65"/>
      <c r="Q415" s="65"/>
      <c r="R415" s="65" t="s">
        <v>232</v>
      </c>
      <c r="S415" s="66" t="n">
        <f aca="false">Model_Calc!AL73</f>
        <v>1351.88352</v>
      </c>
      <c r="T415" s="66" t="n">
        <f aca="false">ROUND(S415-O415,4)</f>
        <v>0</v>
      </c>
    </row>
    <row r="416" customFormat="false" ht="15" hidden="false" customHeight="false" outlineLevel="0" collapsed="false">
      <c r="A416" s="18" t="s">
        <v>193</v>
      </c>
      <c r="B416" s="18" t="s">
        <v>194</v>
      </c>
      <c r="C416" s="18"/>
      <c r="D416" s="49" t="n">
        <v>46204</v>
      </c>
      <c r="E416" s="18" t="s">
        <v>127</v>
      </c>
      <c r="F416" s="18" t="s">
        <v>119</v>
      </c>
      <c r="G416" s="18" t="s">
        <v>100</v>
      </c>
      <c r="H416" s="18" t="s">
        <v>128</v>
      </c>
      <c r="I416" s="18" t="s">
        <v>125</v>
      </c>
      <c r="J416" s="18" t="s">
        <v>237</v>
      </c>
      <c r="K416" s="18" t="s">
        <v>195</v>
      </c>
      <c r="L416" s="64" t="n">
        <v>69.092352</v>
      </c>
      <c r="M416" s="64" t="n">
        <v>7.8</v>
      </c>
      <c r="N416" s="18" t="s">
        <v>648</v>
      </c>
      <c r="O416" s="65" t="n">
        <v>538.9203</v>
      </c>
      <c r="P416" s="65"/>
      <c r="Q416" s="65"/>
      <c r="R416" s="65" t="s">
        <v>232</v>
      </c>
      <c r="S416" s="66" t="n">
        <f aca="false">Model_Calc!AQ73</f>
        <v>538.9203456</v>
      </c>
      <c r="T416" s="66" t="n">
        <f aca="false">ROUND(S416-O416,4)</f>
        <v>0</v>
      </c>
    </row>
    <row r="417" customFormat="false" ht="15" hidden="false" customHeight="false" outlineLevel="0" collapsed="false">
      <c r="A417" s="18" t="s">
        <v>193</v>
      </c>
      <c r="B417" s="18" t="s">
        <v>194</v>
      </c>
      <c r="C417" s="18"/>
      <c r="D417" s="49" t="n">
        <v>46204</v>
      </c>
      <c r="E417" s="18" t="s">
        <v>127</v>
      </c>
      <c r="F417" s="18" t="s">
        <v>119</v>
      </c>
      <c r="G417" s="18" t="s">
        <v>100</v>
      </c>
      <c r="H417" s="18" t="s">
        <v>128</v>
      </c>
      <c r="I417" s="18" t="s">
        <v>125</v>
      </c>
      <c r="J417" s="18" t="s">
        <v>239</v>
      </c>
      <c r="K417" s="18" t="s">
        <v>199</v>
      </c>
      <c r="L417" s="64" t="n">
        <v>56.40192</v>
      </c>
      <c r="M417" s="64" t="n">
        <v>9</v>
      </c>
      <c r="N417" s="18" t="s">
        <v>649</v>
      </c>
      <c r="O417" s="65" t="n">
        <v>507.6173</v>
      </c>
      <c r="P417" s="65"/>
      <c r="Q417" s="65"/>
      <c r="R417" s="65" t="s">
        <v>232</v>
      </c>
      <c r="S417" s="66" t="n">
        <f aca="false">Model_Calc!AV73</f>
        <v>507.61728</v>
      </c>
      <c r="T417" s="66" t="n">
        <f aca="false">ROUND(S417-O417,4)</f>
        <v>0</v>
      </c>
    </row>
    <row r="418" customFormat="false" ht="15" hidden="false" customHeight="false" outlineLevel="0" collapsed="false">
      <c r="A418" s="18" t="s">
        <v>193</v>
      </c>
      <c r="B418" s="18" t="s">
        <v>194</v>
      </c>
      <c r="C418" s="18"/>
      <c r="D418" s="49" t="n">
        <v>46204</v>
      </c>
      <c r="E418" s="18" t="s">
        <v>127</v>
      </c>
      <c r="F418" s="18" t="s">
        <v>119</v>
      </c>
      <c r="G418" s="18" t="s">
        <v>100</v>
      </c>
      <c r="H418" s="18" t="s">
        <v>128</v>
      </c>
      <c r="I418" s="18" t="s">
        <v>125</v>
      </c>
      <c r="J418" s="18" t="s">
        <v>241</v>
      </c>
      <c r="K418" s="18" t="s">
        <v>199</v>
      </c>
      <c r="L418" s="64" t="n">
        <v>5.32998144</v>
      </c>
      <c r="M418" s="64" t="n">
        <v>9</v>
      </c>
      <c r="N418" s="18" t="s">
        <v>650</v>
      </c>
      <c r="O418" s="65" t="n">
        <v>47.9698</v>
      </c>
      <c r="P418" s="65"/>
      <c r="Q418" s="65"/>
      <c r="R418" s="65" t="s">
        <v>232</v>
      </c>
      <c r="S418" s="66" t="n">
        <f aca="false">Model_Calc!BA73</f>
        <v>47.96983296</v>
      </c>
      <c r="T418" s="66" t="n">
        <f aca="false">ROUND(S418-O418,4)</f>
        <v>0</v>
      </c>
    </row>
    <row r="419" customFormat="false" ht="15" hidden="false" customHeight="false" outlineLevel="0" collapsed="false">
      <c r="A419" s="18" t="s">
        <v>193</v>
      </c>
      <c r="B419" s="18" t="s">
        <v>194</v>
      </c>
      <c r="C419" s="18"/>
      <c r="D419" s="49" t="n">
        <v>46204</v>
      </c>
      <c r="E419" s="18" t="s">
        <v>130</v>
      </c>
      <c r="F419" s="18" t="s">
        <v>119</v>
      </c>
      <c r="G419" s="18" t="s">
        <v>110</v>
      </c>
      <c r="H419" s="18" t="s">
        <v>107</v>
      </c>
      <c r="I419" s="18" t="s">
        <v>125</v>
      </c>
      <c r="J419" s="18" t="s">
        <v>230</v>
      </c>
      <c r="K419" s="18" t="s">
        <v>195</v>
      </c>
      <c r="L419" s="64" t="n">
        <v>1414.638</v>
      </c>
      <c r="M419" s="64" t="n">
        <v>7.8</v>
      </c>
      <c r="N419" s="18" t="s">
        <v>651</v>
      </c>
      <c r="O419" s="65" t="n">
        <v>11034.1764</v>
      </c>
      <c r="P419" s="65"/>
      <c r="Q419" s="65"/>
      <c r="R419" s="65" t="s">
        <v>232</v>
      </c>
      <c r="S419" s="66" t="n">
        <f aca="false">Model_Calc!AF74</f>
        <v>11034.1764</v>
      </c>
      <c r="T419" s="66" t="n">
        <f aca="false">ROUND(S419-O419,4)</f>
        <v>0</v>
      </c>
    </row>
    <row r="420" customFormat="false" ht="15" hidden="false" customHeight="false" outlineLevel="0" collapsed="false">
      <c r="A420" s="18" t="s">
        <v>193</v>
      </c>
      <c r="B420" s="18" t="s">
        <v>194</v>
      </c>
      <c r="C420" s="18"/>
      <c r="D420" s="49" t="n">
        <v>46204</v>
      </c>
      <c r="E420" s="18" t="s">
        <v>130</v>
      </c>
      <c r="F420" s="18" t="s">
        <v>119</v>
      </c>
      <c r="G420" s="18" t="s">
        <v>110</v>
      </c>
      <c r="H420" s="18" t="s">
        <v>107</v>
      </c>
      <c r="I420" s="18" t="s">
        <v>125</v>
      </c>
      <c r="J420" s="18" t="s">
        <v>233</v>
      </c>
      <c r="K420" s="18" t="s">
        <v>195</v>
      </c>
      <c r="L420" s="64" t="n">
        <v>148.53699</v>
      </c>
      <c r="M420" s="64" t="n">
        <v>7.8</v>
      </c>
      <c r="N420" s="18" t="s">
        <v>652</v>
      </c>
      <c r="O420" s="65" t="n">
        <v>1158.5885</v>
      </c>
      <c r="P420" s="65"/>
      <c r="Q420" s="65"/>
      <c r="R420" s="65" t="s">
        <v>232</v>
      </c>
      <c r="S420" s="66" t="n">
        <f aca="false">Model_Calc!AG74</f>
        <v>1158.588522</v>
      </c>
      <c r="T420" s="66" t="n">
        <f aca="false">ROUND(S420-O420,4)</f>
        <v>0</v>
      </c>
    </row>
    <row r="421" customFormat="false" ht="15" hidden="false" customHeight="false" outlineLevel="0" collapsed="false">
      <c r="A421" s="18" t="s">
        <v>193</v>
      </c>
      <c r="B421" s="18" t="s">
        <v>194</v>
      </c>
      <c r="C421" s="18"/>
      <c r="D421" s="49" t="n">
        <v>46204</v>
      </c>
      <c r="E421" s="18" t="s">
        <v>130</v>
      </c>
      <c r="F421" s="18" t="s">
        <v>119</v>
      </c>
      <c r="G421" s="18" t="s">
        <v>110</v>
      </c>
      <c r="H421" s="18" t="s">
        <v>107</v>
      </c>
      <c r="I421" s="18" t="s">
        <v>125</v>
      </c>
      <c r="J421" s="18" t="s">
        <v>235</v>
      </c>
      <c r="K421" s="18" t="s">
        <v>195</v>
      </c>
      <c r="L421" s="64" t="n">
        <v>214.2</v>
      </c>
      <c r="M421" s="64" t="n">
        <v>7.8</v>
      </c>
      <c r="N421" s="18" t="s">
        <v>653</v>
      </c>
      <c r="O421" s="65" t="n">
        <v>1670.76</v>
      </c>
      <c r="P421" s="65"/>
      <c r="Q421" s="65"/>
      <c r="R421" s="65" t="s">
        <v>232</v>
      </c>
      <c r="S421" s="66" t="n">
        <f aca="false">Model_Calc!AL74</f>
        <v>1670.76</v>
      </c>
      <c r="T421" s="66" t="n">
        <f aca="false">ROUND(S421-O421,4)</f>
        <v>0</v>
      </c>
    </row>
    <row r="422" customFormat="false" ht="15" hidden="false" customHeight="false" outlineLevel="0" collapsed="false">
      <c r="A422" s="18" t="s">
        <v>193</v>
      </c>
      <c r="B422" s="18" t="s">
        <v>194</v>
      </c>
      <c r="C422" s="18"/>
      <c r="D422" s="49" t="n">
        <v>46204</v>
      </c>
      <c r="E422" s="18" t="s">
        <v>130</v>
      </c>
      <c r="F422" s="18" t="s">
        <v>119</v>
      </c>
      <c r="G422" s="18" t="s">
        <v>110</v>
      </c>
      <c r="H422" s="18" t="s">
        <v>107</v>
      </c>
      <c r="I422" s="18" t="s">
        <v>125</v>
      </c>
      <c r="J422" s="18" t="s">
        <v>237</v>
      </c>
      <c r="K422" s="18" t="s">
        <v>195</v>
      </c>
      <c r="L422" s="64" t="n">
        <v>89.148</v>
      </c>
      <c r="M422" s="64" t="n">
        <v>7.8</v>
      </c>
      <c r="N422" s="18" t="s">
        <v>654</v>
      </c>
      <c r="O422" s="65" t="n">
        <v>695.3544</v>
      </c>
      <c r="P422" s="65"/>
      <c r="Q422" s="65"/>
      <c r="R422" s="65" t="s">
        <v>232</v>
      </c>
      <c r="S422" s="66" t="n">
        <f aca="false">Model_Calc!AQ74</f>
        <v>695.3544</v>
      </c>
      <c r="T422" s="66" t="n">
        <f aca="false">ROUND(S422-O422,4)</f>
        <v>0</v>
      </c>
    </row>
    <row r="423" customFormat="false" ht="15" hidden="false" customHeight="false" outlineLevel="0" collapsed="false">
      <c r="A423" s="18" t="s">
        <v>193</v>
      </c>
      <c r="B423" s="18" t="s">
        <v>194</v>
      </c>
      <c r="C423" s="18"/>
      <c r="D423" s="49" t="n">
        <v>46204</v>
      </c>
      <c r="E423" s="18" t="s">
        <v>130</v>
      </c>
      <c r="F423" s="18" t="s">
        <v>119</v>
      </c>
      <c r="G423" s="18" t="s">
        <v>110</v>
      </c>
      <c r="H423" s="18" t="s">
        <v>107</v>
      </c>
      <c r="I423" s="18" t="s">
        <v>125</v>
      </c>
      <c r="J423" s="18" t="s">
        <v>239</v>
      </c>
      <c r="K423" s="18" t="s">
        <v>195</v>
      </c>
      <c r="L423" s="64" t="n">
        <v>84.864</v>
      </c>
      <c r="M423" s="64" t="n">
        <v>7.8</v>
      </c>
      <c r="N423" s="18" t="s">
        <v>655</v>
      </c>
      <c r="O423" s="65" t="n">
        <v>661.9392</v>
      </c>
      <c r="P423" s="65"/>
      <c r="Q423" s="65"/>
      <c r="R423" s="65" t="s">
        <v>232</v>
      </c>
      <c r="S423" s="66" t="n">
        <f aca="false">Model_Calc!AV74</f>
        <v>661.9392</v>
      </c>
      <c r="T423" s="66" t="n">
        <f aca="false">ROUND(S423-O423,4)</f>
        <v>0</v>
      </c>
    </row>
    <row r="424" customFormat="false" ht="15" hidden="false" customHeight="false" outlineLevel="0" collapsed="false">
      <c r="A424" s="18" t="s">
        <v>193</v>
      </c>
      <c r="B424" s="18" t="s">
        <v>194</v>
      </c>
      <c r="C424" s="18"/>
      <c r="D424" s="49" t="n">
        <v>46204</v>
      </c>
      <c r="E424" s="18" t="s">
        <v>130</v>
      </c>
      <c r="F424" s="18" t="s">
        <v>119</v>
      </c>
      <c r="G424" s="18" t="s">
        <v>110</v>
      </c>
      <c r="H424" s="18" t="s">
        <v>107</v>
      </c>
      <c r="I424" s="18" t="s">
        <v>125</v>
      </c>
      <c r="J424" s="18" t="s">
        <v>241</v>
      </c>
      <c r="K424" s="18" t="s">
        <v>195</v>
      </c>
      <c r="L424" s="64" t="n">
        <v>7.88256</v>
      </c>
      <c r="M424" s="64" t="n">
        <v>7.8</v>
      </c>
      <c r="N424" s="18" t="s">
        <v>656</v>
      </c>
      <c r="O424" s="65" t="n">
        <v>61.484</v>
      </c>
      <c r="P424" s="65"/>
      <c r="Q424" s="65"/>
      <c r="R424" s="65" t="s">
        <v>232</v>
      </c>
      <c r="S424" s="66" t="n">
        <f aca="false">Model_Calc!BA74</f>
        <v>61.483968</v>
      </c>
      <c r="T424" s="66" t="n">
        <f aca="false">ROUND(S424-O424,4)</f>
        <v>0</v>
      </c>
    </row>
    <row r="425" customFormat="false" ht="15" hidden="false" customHeight="false" outlineLevel="0" collapsed="false">
      <c r="A425" s="18" t="s">
        <v>193</v>
      </c>
      <c r="B425" s="18" t="s">
        <v>194</v>
      </c>
      <c r="C425" s="18"/>
      <c r="D425" s="49" t="n">
        <v>46235</v>
      </c>
      <c r="E425" s="18" t="s">
        <v>98</v>
      </c>
      <c r="F425" s="18" t="s">
        <v>99</v>
      </c>
      <c r="G425" s="18" t="s">
        <v>100</v>
      </c>
      <c r="H425" s="18" t="s">
        <v>101</v>
      </c>
      <c r="I425" s="18" t="s">
        <v>102</v>
      </c>
      <c r="J425" s="18" t="s">
        <v>230</v>
      </c>
      <c r="K425" s="18" t="s">
        <v>195</v>
      </c>
      <c r="L425" s="64" t="n">
        <v>6375.777408</v>
      </c>
      <c r="M425" s="64" t="n">
        <v>7.8</v>
      </c>
      <c r="N425" s="18" t="s">
        <v>657</v>
      </c>
      <c r="O425" s="65" t="n">
        <v>49731.0638</v>
      </c>
      <c r="P425" s="65"/>
      <c r="Q425" s="65"/>
      <c r="R425" s="65" t="s">
        <v>232</v>
      </c>
      <c r="S425" s="66" t="n">
        <f aca="false">Model_Calc!AF75</f>
        <v>49731.0637824</v>
      </c>
      <c r="T425" s="66" t="n">
        <f aca="false">ROUND(S425-O425,4)</f>
        <v>0</v>
      </c>
    </row>
    <row r="426" customFormat="false" ht="15" hidden="false" customHeight="false" outlineLevel="0" collapsed="false">
      <c r="A426" s="18" t="s">
        <v>193</v>
      </c>
      <c r="B426" s="18" t="s">
        <v>194</v>
      </c>
      <c r="C426" s="18"/>
      <c r="D426" s="49" t="n">
        <v>46235</v>
      </c>
      <c r="E426" s="18" t="s">
        <v>98</v>
      </c>
      <c r="F426" s="18" t="s">
        <v>99</v>
      </c>
      <c r="G426" s="18" t="s">
        <v>100</v>
      </c>
      <c r="H426" s="18" t="s">
        <v>101</v>
      </c>
      <c r="I426" s="18" t="s">
        <v>102</v>
      </c>
      <c r="J426" s="18" t="s">
        <v>233</v>
      </c>
      <c r="K426" s="18" t="s">
        <v>195</v>
      </c>
      <c r="L426" s="64" t="n">
        <v>605.69885376</v>
      </c>
      <c r="M426" s="64" t="n">
        <v>7.8</v>
      </c>
      <c r="N426" s="18" t="s">
        <v>658</v>
      </c>
      <c r="O426" s="65" t="n">
        <v>4724.4511</v>
      </c>
      <c r="P426" s="65"/>
      <c r="Q426" s="65"/>
      <c r="R426" s="65" t="s">
        <v>232</v>
      </c>
      <c r="S426" s="66" t="n">
        <f aca="false">Model_Calc!AG75</f>
        <v>4724.451059328</v>
      </c>
      <c r="T426" s="66" t="n">
        <f aca="false">ROUND(S426-O426,4)</f>
        <v>0</v>
      </c>
    </row>
    <row r="427" customFormat="false" ht="15" hidden="false" customHeight="false" outlineLevel="0" collapsed="false">
      <c r="A427" s="18" t="s">
        <v>193</v>
      </c>
      <c r="B427" s="18" t="s">
        <v>194</v>
      </c>
      <c r="C427" s="18"/>
      <c r="D427" s="49" t="n">
        <v>46235</v>
      </c>
      <c r="E427" s="18" t="s">
        <v>98</v>
      </c>
      <c r="F427" s="18" t="s">
        <v>99</v>
      </c>
      <c r="G427" s="18" t="s">
        <v>100</v>
      </c>
      <c r="H427" s="18" t="s">
        <v>101</v>
      </c>
      <c r="I427" s="18" t="s">
        <v>102</v>
      </c>
      <c r="J427" s="18" t="s">
        <v>235</v>
      </c>
      <c r="K427" s="18" t="s">
        <v>195</v>
      </c>
      <c r="L427" s="64" t="n">
        <v>4175.5008</v>
      </c>
      <c r="M427" s="64" t="n">
        <v>7.8</v>
      </c>
      <c r="N427" s="18" t="s">
        <v>659</v>
      </c>
      <c r="O427" s="65" t="n">
        <v>32568.9062</v>
      </c>
      <c r="P427" s="65"/>
      <c r="Q427" s="65"/>
      <c r="R427" s="65" t="s">
        <v>232</v>
      </c>
      <c r="S427" s="66" t="n">
        <f aca="false">Model_Calc!AL75</f>
        <v>32568.90624</v>
      </c>
      <c r="T427" s="66" t="n">
        <f aca="false">ROUND(S427-O427,4)</f>
        <v>0</v>
      </c>
    </row>
    <row r="428" customFormat="false" ht="15" hidden="false" customHeight="false" outlineLevel="0" collapsed="false">
      <c r="A428" s="18" t="s">
        <v>193</v>
      </c>
      <c r="B428" s="18" t="s">
        <v>194</v>
      </c>
      <c r="C428" s="18"/>
      <c r="D428" s="49" t="n">
        <v>46235</v>
      </c>
      <c r="E428" s="18" t="s">
        <v>98</v>
      </c>
      <c r="F428" s="18" t="s">
        <v>99</v>
      </c>
      <c r="G428" s="18" t="s">
        <v>100</v>
      </c>
      <c r="H428" s="18" t="s">
        <v>101</v>
      </c>
      <c r="I428" s="18" t="s">
        <v>102</v>
      </c>
      <c r="J428" s="18" t="s">
        <v>237</v>
      </c>
      <c r="K428" s="18" t="s">
        <v>195</v>
      </c>
      <c r="L428" s="64" t="n">
        <v>1560.50496</v>
      </c>
      <c r="M428" s="64" t="n">
        <v>7.8</v>
      </c>
      <c r="N428" s="18" t="s">
        <v>660</v>
      </c>
      <c r="O428" s="65" t="n">
        <v>12171.9387</v>
      </c>
      <c r="P428" s="65"/>
      <c r="Q428" s="65"/>
      <c r="R428" s="65" t="s">
        <v>232</v>
      </c>
      <c r="S428" s="66" t="n">
        <f aca="false">Model_Calc!AQ75</f>
        <v>12171.938688</v>
      </c>
      <c r="T428" s="66" t="n">
        <f aca="false">ROUND(S428-O428,4)</f>
        <v>0</v>
      </c>
    </row>
    <row r="429" customFormat="false" ht="15" hidden="false" customHeight="false" outlineLevel="0" collapsed="false">
      <c r="A429" s="18" t="s">
        <v>193</v>
      </c>
      <c r="B429" s="18" t="s">
        <v>194</v>
      </c>
      <c r="C429" s="18"/>
      <c r="D429" s="49" t="n">
        <v>46235</v>
      </c>
      <c r="E429" s="18" t="s">
        <v>98</v>
      </c>
      <c r="F429" s="18" t="s">
        <v>99</v>
      </c>
      <c r="G429" s="18" t="s">
        <v>100</v>
      </c>
      <c r="H429" s="18" t="s">
        <v>101</v>
      </c>
      <c r="I429" s="18" t="s">
        <v>102</v>
      </c>
      <c r="J429" s="18" t="s">
        <v>239</v>
      </c>
      <c r="K429" s="18" t="s">
        <v>195</v>
      </c>
      <c r="L429" s="64" t="n">
        <v>566.1696</v>
      </c>
      <c r="M429" s="64" t="n">
        <v>7.8</v>
      </c>
      <c r="N429" s="18" t="s">
        <v>661</v>
      </c>
      <c r="O429" s="65" t="n">
        <v>4416.1229</v>
      </c>
      <c r="P429" s="65"/>
      <c r="Q429" s="65"/>
      <c r="R429" s="65" t="s">
        <v>232</v>
      </c>
      <c r="S429" s="66" t="n">
        <f aca="false">Model_Calc!AV75</f>
        <v>4416.12288</v>
      </c>
      <c r="T429" s="66" t="n">
        <f aca="false">ROUND(S429-O429,4)</f>
        <v>0</v>
      </c>
    </row>
    <row r="430" customFormat="false" ht="15" hidden="false" customHeight="false" outlineLevel="0" collapsed="false">
      <c r="A430" s="18" t="s">
        <v>193</v>
      </c>
      <c r="B430" s="18" t="s">
        <v>194</v>
      </c>
      <c r="C430" s="18"/>
      <c r="D430" s="49" t="n">
        <v>46235</v>
      </c>
      <c r="E430" s="18" t="s">
        <v>98</v>
      </c>
      <c r="F430" s="18" t="s">
        <v>99</v>
      </c>
      <c r="G430" s="18" t="s">
        <v>100</v>
      </c>
      <c r="H430" s="18" t="s">
        <v>101</v>
      </c>
      <c r="I430" s="18" t="s">
        <v>102</v>
      </c>
      <c r="J430" s="18" t="s">
        <v>241</v>
      </c>
      <c r="K430" s="18" t="s">
        <v>195</v>
      </c>
      <c r="L430" s="64" t="n">
        <v>136.7299584</v>
      </c>
      <c r="M430" s="64" t="n">
        <v>7.8</v>
      </c>
      <c r="N430" s="18" t="s">
        <v>662</v>
      </c>
      <c r="O430" s="65" t="n">
        <v>1066.4937</v>
      </c>
      <c r="P430" s="65"/>
      <c r="Q430" s="65"/>
      <c r="R430" s="65" t="s">
        <v>232</v>
      </c>
      <c r="S430" s="66" t="n">
        <f aca="false">Model_Calc!BA75</f>
        <v>1066.49367552</v>
      </c>
      <c r="T430" s="66" t="n">
        <f aca="false">ROUND(S430-O430,4)</f>
        <v>0</v>
      </c>
    </row>
    <row r="431" customFormat="false" ht="15" hidden="false" customHeight="false" outlineLevel="0" collapsed="false">
      <c r="A431" s="18" t="s">
        <v>193</v>
      </c>
      <c r="B431" s="18" t="s">
        <v>194</v>
      </c>
      <c r="C431" s="18"/>
      <c r="D431" s="49" t="n">
        <v>46235</v>
      </c>
      <c r="E431" s="18" t="s">
        <v>106</v>
      </c>
      <c r="F431" s="18" t="s">
        <v>99</v>
      </c>
      <c r="G431" s="18" t="s">
        <v>100</v>
      </c>
      <c r="H431" s="18" t="s">
        <v>107</v>
      </c>
      <c r="I431" s="18" t="s">
        <v>102</v>
      </c>
      <c r="J431" s="18" t="s">
        <v>230</v>
      </c>
      <c r="K431" s="18" t="s">
        <v>195</v>
      </c>
      <c r="L431" s="64" t="n">
        <v>5449.3824</v>
      </c>
      <c r="M431" s="64" t="n">
        <v>7.8</v>
      </c>
      <c r="N431" s="18" t="s">
        <v>663</v>
      </c>
      <c r="O431" s="65" t="n">
        <v>42505.1827</v>
      </c>
      <c r="P431" s="65"/>
      <c r="Q431" s="65"/>
      <c r="R431" s="65" t="s">
        <v>232</v>
      </c>
      <c r="S431" s="66" t="n">
        <f aca="false">Model_Calc!AF76</f>
        <v>42505.18272</v>
      </c>
      <c r="T431" s="66" t="n">
        <f aca="false">ROUND(S431-O431,4)</f>
        <v>0</v>
      </c>
    </row>
    <row r="432" customFormat="false" ht="15" hidden="false" customHeight="false" outlineLevel="0" collapsed="false">
      <c r="A432" s="18" t="s">
        <v>193</v>
      </c>
      <c r="B432" s="18" t="s">
        <v>194</v>
      </c>
      <c r="C432" s="18"/>
      <c r="D432" s="49" t="n">
        <v>46235</v>
      </c>
      <c r="E432" s="18" t="s">
        <v>106</v>
      </c>
      <c r="F432" s="18" t="s">
        <v>99</v>
      </c>
      <c r="G432" s="18" t="s">
        <v>100</v>
      </c>
      <c r="H432" s="18" t="s">
        <v>107</v>
      </c>
      <c r="I432" s="18" t="s">
        <v>102</v>
      </c>
      <c r="J432" s="18" t="s">
        <v>233</v>
      </c>
      <c r="K432" s="18" t="s">
        <v>195</v>
      </c>
      <c r="L432" s="64" t="n">
        <v>416.134656</v>
      </c>
      <c r="M432" s="64" t="n">
        <v>7.8</v>
      </c>
      <c r="N432" s="18" t="s">
        <v>664</v>
      </c>
      <c r="O432" s="65" t="n">
        <v>3245.8503</v>
      </c>
      <c r="P432" s="65"/>
      <c r="Q432" s="65"/>
      <c r="R432" s="65" t="s">
        <v>232</v>
      </c>
      <c r="S432" s="66" t="n">
        <f aca="false">Model_Calc!AG76</f>
        <v>3245.8503168</v>
      </c>
      <c r="T432" s="66" t="n">
        <f aca="false">ROUND(S432-O432,4)</f>
        <v>0</v>
      </c>
    </row>
    <row r="433" customFormat="false" ht="15" hidden="false" customHeight="false" outlineLevel="0" collapsed="false">
      <c r="A433" s="18" t="s">
        <v>193</v>
      </c>
      <c r="B433" s="18" t="s">
        <v>194</v>
      </c>
      <c r="C433" s="18"/>
      <c r="D433" s="49" t="n">
        <v>46235</v>
      </c>
      <c r="E433" s="18" t="s">
        <v>106</v>
      </c>
      <c r="F433" s="18" t="s">
        <v>99</v>
      </c>
      <c r="G433" s="18" t="s">
        <v>100</v>
      </c>
      <c r="H433" s="18" t="s">
        <v>107</v>
      </c>
      <c r="I433" s="18" t="s">
        <v>102</v>
      </c>
      <c r="J433" s="18" t="s">
        <v>235</v>
      </c>
      <c r="K433" s="18" t="s">
        <v>195</v>
      </c>
      <c r="L433" s="64" t="n">
        <v>2783.6672</v>
      </c>
      <c r="M433" s="64" t="n">
        <v>7.8</v>
      </c>
      <c r="N433" s="18" t="s">
        <v>665</v>
      </c>
      <c r="O433" s="65" t="n">
        <v>21712.6042</v>
      </c>
      <c r="P433" s="65"/>
      <c r="Q433" s="65"/>
      <c r="R433" s="65" t="s">
        <v>232</v>
      </c>
      <c r="S433" s="66" t="n">
        <f aca="false">Model_Calc!AL76</f>
        <v>21712.60416</v>
      </c>
      <c r="T433" s="66" t="n">
        <f aca="false">ROUND(S433-O433,4)</f>
        <v>0</v>
      </c>
    </row>
    <row r="434" customFormat="false" ht="15" hidden="false" customHeight="false" outlineLevel="0" collapsed="false">
      <c r="A434" s="18" t="s">
        <v>193</v>
      </c>
      <c r="B434" s="18" t="s">
        <v>194</v>
      </c>
      <c r="C434" s="18"/>
      <c r="D434" s="49" t="n">
        <v>46235</v>
      </c>
      <c r="E434" s="18" t="s">
        <v>106</v>
      </c>
      <c r="F434" s="18" t="s">
        <v>99</v>
      </c>
      <c r="G434" s="18" t="s">
        <v>100</v>
      </c>
      <c r="H434" s="18" t="s">
        <v>107</v>
      </c>
      <c r="I434" s="18" t="s">
        <v>102</v>
      </c>
      <c r="J434" s="18" t="s">
        <v>237</v>
      </c>
      <c r="K434" s="18" t="s">
        <v>195</v>
      </c>
      <c r="L434" s="64" t="n">
        <v>1040.33664</v>
      </c>
      <c r="M434" s="64" t="n">
        <v>7.8</v>
      </c>
      <c r="N434" s="18" t="s">
        <v>666</v>
      </c>
      <c r="O434" s="65" t="n">
        <v>8114.6258</v>
      </c>
      <c r="P434" s="65"/>
      <c r="Q434" s="65"/>
      <c r="R434" s="65" t="s">
        <v>232</v>
      </c>
      <c r="S434" s="66" t="n">
        <f aca="false">Model_Calc!AQ76</f>
        <v>8114.625792</v>
      </c>
      <c r="T434" s="66" t="n">
        <f aca="false">ROUND(S434-O434,4)</f>
        <v>0</v>
      </c>
    </row>
    <row r="435" customFormat="false" ht="15" hidden="false" customHeight="false" outlineLevel="0" collapsed="false">
      <c r="A435" s="18" t="s">
        <v>193</v>
      </c>
      <c r="B435" s="18" t="s">
        <v>194</v>
      </c>
      <c r="C435" s="18"/>
      <c r="D435" s="49" t="n">
        <v>46235</v>
      </c>
      <c r="E435" s="18" t="s">
        <v>106</v>
      </c>
      <c r="F435" s="18" t="s">
        <v>99</v>
      </c>
      <c r="G435" s="18" t="s">
        <v>100</v>
      </c>
      <c r="H435" s="18" t="s">
        <v>107</v>
      </c>
      <c r="I435" s="18" t="s">
        <v>102</v>
      </c>
      <c r="J435" s="18" t="s">
        <v>239</v>
      </c>
      <c r="K435" s="18" t="s">
        <v>195</v>
      </c>
      <c r="L435" s="64" t="n">
        <v>377.4464</v>
      </c>
      <c r="M435" s="64" t="n">
        <v>7.8</v>
      </c>
      <c r="N435" s="18" t="s">
        <v>667</v>
      </c>
      <c r="O435" s="65" t="n">
        <v>2944.0819</v>
      </c>
      <c r="P435" s="65"/>
      <c r="Q435" s="65"/>
      <c r="R435" s="65" t="s">
        <v>232</v>
      </c>
      <c r="S435" s="66" t="n">
        <f aca="false">Model_Calc!AV76</f>
        <v>2944.08192</v>
      </c>
      <c r="T435" s="66" t="n">
        <f aca="false">ROUND(S435-O435,4)</f>
        <v>0</v>
      </c>
    </row>
    <row r="436" customFormat="false" ht="15" hidden="false" customHeight="false" outlineLevel="0" collapsed="false">
      <c r="A436" s="18" t="s">
        <v>193</v>
      </c>
      <c r="B436" s="18" t="s">
        <v>194</v>
      </c>
      <c r="C436" s="18"/>
      <c r="D436" s="49" t="n">
        <v>46235</v>
      </c>
      <c r="E436" s="18" t="s">
        <v>106</v>
      </c>
      <c r="F436" s="18" t="s">
        <v>99</v>
      </c>
      <c r="G436" s="18" t="s">
        <v>100</v>
      </c>
      <c r="H436" s="18" t="s">
        <v>107</v>
      </c>
      <c r="I436" s="18" t="s">
        <v>102</v>
      </c>
      <c r="J436" s="18" t="s">
        <v>241</v>
      </c>
      <c r="K436" s="18" t="s">
        <v>195</v>
      </c>
      <c r="L436" s="64" t="n">
        <v>74.0620608</v>
      </c>
      <c r="M436" s="64" t="n">
        <v>7.8</v>
      </c>
      <c r="N436" s="18" t="s">
        <v>668</v>
      </c>
      <c r="O436" s="65" t="n">
        <v>577.6841</v>
      </c>
      <c r="P436" s="65"/>
      <c r="Q436" s="65"/>
      <c r="R436" s="65" t="s">
        <v>232</v>
      </c>
      <c r="S436" s="66" t="n">
        <f aca="false">Model_Calc!BA76</f>
        <v>577.68407424</v>
      </c>
      <c r="T436" s="66" t="n">
        <f aca="false">ROUND(S436-O436,4)</f>
        <v>0</v>
      </c>
    </row>
    <row r="437" customFormat="false" ht="15" hidden="false" customHeight="false" outlineLevel="0" collapsed="false">
      <c r="A437" s="18" t="s">
        <v>193</v>
      </c>
      <c r="B437" s="18" t="s">
        <v>194</v>
      </c>
      <c r="C437" s="18"/>
      <c r="D437" s="49" t="n">
        <v>46235</v>
      </c>
      <c r="E437" s="18" t="s">
        <v>109</v>
      </c>
      <c r="F437" s="18" t="s">
        <v>99</v>
      </c>
      <c r="G437" s="18" t="s">
        <v>110</v>
      </c>
      <c r="H437" s="18" t="s">
        <v>107</v>
      </c>
      <c r="I437" s="18" t="s">
        <v>102</v>
      </c>
      <c r="J437" s="18" t="s">
        <v>230</v>
      </c>
      <c r="K437" s="18" t="s">
        <v>195</v>
      </c>
      <c r="L437" s="64" t="n">
        <v>559.063296</v>
      </c>
      <c r="M437" s="64" t="n">
        <v>7.8</v>
      </c>
      <c r="N437" s="18" t="s">
        <v>669</v>
      </c>
      <c r="O437" s="65" t="n">
        <v>4360.6937</v>
      </c>
      <c r="P437" s="65"/>
      <c r="Q437" s="65"/>
      <c r="R437" s="65" t="s">
        <v>232</v>
      </c>
      <c r="S437" s="66" t="n">
        <f aca="false">Model_Calc!AF77</f>
        <v>4360.6937088</v>
      </c>
      <c r="T437" s="66" t="n">
        <f aca="false">ROUND(S437-O437,4)</f>
        <v>0</v>
      </c>
    </row>
    <row r="438" customFormat="false" ht="15" hidden="false" customHeight="false" outlineLevel="0" collapsed="false">
      <c r="A438" s="18" t="s">
        <v>193</v>
      </c>
      <c r="B438" s="18" t="s">
        <v>194</v>
      </c>
      <c r="C438" s="18"/>
      <c r="D438" s="49" t="n">
        <v>46235</v>
      </c>
      <c r="E438" s="18" t="s">
        <v>109</v>
      </c>
      <c r="F438" s="18" t="s">
        <v>99</v>
      </c>
      <c r="G438" s="18" t="s">
        <v>110</v>
      </c>
      <c r="H438" s="18" t="s">
        <v>107</v>
      </c>
      <c r="I438" s="18" t="s">
        <v>102</v>
      </c>
      <c r="J438" s="18" t="s">
        <v>233</v>
      </c>
      <c r="K438" s="18" t="s">
        <v>195</v>
      </c>
      <c r="L438" s="64" t="n">
        <v>40.6591488</v>
      </c>
      <c r="M438" s="64" t="n">
        <v>7.8</v>
      </c>
      <c r="N438" s="18" t="s">
        <v>670</v>
      </c>
      <c r="O438" s="65" t="n">
        <v>317.1414</v>
      </c>
      <c r="P438" s="65"/>
      <c r="Q438" s="65"/>
      <c r="R438" s="65" t="s">
        <v>232</v>
      </c>
      <c r="S438" s="66" t="n">
        <f aca="false">Model_Calc!AG77</f>
        <v>317.14136064</v>
      </c>
      <c r="T438" s="66" t="n">
        <f aca="false">ROUND(S438-O438,4)</f>
        <v>0</v>
      </c>
    </row>
    <row r="439" customFormat="false" ht="15" hidden="false" customHeight="false" outlineLevel="0" collapsed="false">
      <c r="A439" s="18" t="s">
        <v>193</v>
      </c>
      <c r="B439" s="18" t="s">
        <v>194</v>
      </c>
      <c r="C439" s="18"/>
      <c r="D439" s="49" t="n">
        <v>46235</v>
      </c>
      <c r="E439" s="18" t="s">
        <v>109</v>
      </c>
      <c r="F439" s="18" t="s">
        <v>99</v>
      </c>
      <c r="G439" s="18" t="s">
        <v>110</v>
      </c>
      <c r="H439" s="18" t="s">
        <v>107</v>
      </c>
      <c r="I439" s="18" t="s">
        <v>102</v>
      </c>
      <c r="J439" s="18" t="s">
        <v>235</v>
      </c>
      <c r="K439" s="18" t="s">
        <v>195</v>
      </c>
      <c r="L439" s="64" t="n">
        <v>191.52</v>
      </c>
      <c r="M439" s="64" t="n">
        <v>7.8</v>
      </c>
      <c r="N439" s="18" t="s">
        <v>671</v>
      </c>
      <c r="O439" s="65" t="n">
        <v>1493.856</v>
      </c>
      <c r="P439" s="65"/>
      <c r="Q439" s="65"/>
      <c r="R439" s="65" t="s">
        <v>232</v>
      </c>
      <c r="S439" s="66" t="n">
        <f aca="false">Model_Calc!AL77</f>
        <v>1493.856</v>
      </c>
      <c r="T439" s="66" t="n">
        <f aca="false">ROUND(S439-O439,4)</f>
        <v>0</v>
      </c>
    </row>
    <row r="440" customFormat="false" ht="15" hidden="false" customHeight="false" outlineLevel="0" collapsed="false">
      <c r="A440" s="18" t="s">
        <v>193</v>
      </c>
      <c r="B440" s="18" t="s">
        <v>194</v>
      </c>
      <c r="C440" s="18"/>
      <c r="D440" s="49" t="n">
        <v>46235</v>
      </c>
      <c r="E440" s="18" t="s">
        <v>109</v>
      </c>
      <c r="F440" s="18" t="s">
        <v>99</v>
      </c>
      <c r="G440" s="18" t="s">
        <v>110</v>
      </c>
      <c r="H440" s="18" t="s">
        <v>107</v>
      </c>
      <c r="I440" s="18" t="s">
        <v>102</v>
      </c>
      <c r="J440" s="18" t="s">
        <v>237</v>
      </c>
      <c r="K440" s="18" t="s">
        <v>195</v>
      </c>
      <c r="L440" s="64" t="n">
        <v>74.85696</v>
      </c>
      <c r="M440" s="64" t="n">
        <v>7.8</v>
      </c>
      <c r="N440" s="18" t="s">
        <v>672</v>
      </c>
      <c r="O440" s="65" t="n">
        <v>583.8843</v>
      </c>
      <c r="P440" s="65"/>
      <c r="Q440" s="65"/>
      <c r="R440" s="65" t="s">
        <v>232</v>
      </c>
      <c r="S440" s="66" t="n">
        <f aca="false">Model_Calc!AQ77</f>
        <v>583.884288</v>
      </c>
      <c r="T440" s="66" t="n">
        <f aca="false">ROUND(S440-O440,4)</f>
        <v>0</v>
      </c>
    </row>
    <row r="441" customFormat="false" ht="15" hidden="false" customHeight="false" outlineLevel="0" collapsed="false">
      <c r="A441" s="18" t="s">
        <v>193</v>
      </c>
      <c r="B441" s="18" t="s">
        <v>194</v>
      </c>
      <c r="C441" s="18"/>
      <c r="D441" s="49" t="n">
        <v>46235</v>
      </c>
      <c r="E441" s="18" t="s">
        <v>109</v>
      </c>
      <c r="F441" s="18" t="s">
        <v>99</v>
      </c>
      <c r="G441" s="18" t="s">
        <v>110</v>
      </c>
      <c r="H441" s="18" t="s">
        <v>107</v>
      </c>
      <c r="I441" s="18" t="s">
        <v>102</v>
      </c>
      <c r="J441" s="18" t="s">
        <v>239</v>
      </c>
      <c r="K441" s="18" t="s">
        <v>195</v>
      </c>
      <c r="L441" s="64" t="n">
        <v>34.656</v>
      </c>
      <c r="M441" s="64" t="n">
        <v>7.8</v>
      </c>
      <c r="N441" s="18" t="s">
        <v>673</v>
      </c>
      <c r="O441" s="65" t="n">
        <v>270.3168</v>
      </c>
      <c r="P441" s="65"/>
      <c r="Q441" s="65"/>
      <c r="R441" s="65" t="s">
        <v>232</v>
      </c>
      <c r="S441" s="66" t="n">
        <f aca="false">Model_Calc!AV77</f>
        <v>270.3168</v>
      </c>
      <c r="T441" s="66" t="n">
        <f aca="false">ROUND(S441-O441,4)</f>
        <v>0</v>
      </c>
    </row>
    <row r="442" customFormat="false" ht="15" hidden="false" customHeight="false" outlineLevel="0" collapsed="false">
      <c r="A442" s="18" t="s">
        <v>193</v>
      </c>
      <c r="B442" s="18" t="s">
        <v>194</v>
      </c>
      <c r="C442" s="18"/>
      <c r="D442" s="49" t="n">
        <v>46235</v>
      </c>
      <c r="E442" s="18" t="s">
        <v>109</v>
      </c>
      <c r="F442" s="18" t="s">
        <v>99</v>
      </c>
      <c r="G442" s="18" t="s">
        <v>110</v>
      </c>
      <c r="H442" s="18" t="s">
        <v>107</v>
      </c>
      <c r="I442" s="18" t="s">
        <v>102</v>
      </c>
      <c r="J442" s="18" t="s">
        <v>241</v>
      </c>
      <c r="K442" s="18" t="s">
        <v>195</v>
      </c>
      <c r="L442" s="64" t="n">
        <v>6.3431424</v>
      </c>
      <c r="M442" s="64" t="n">
        <v>7.8</v>
      </c>
      <c r="N442" s="18" t="s">
        <v>674</v>
      </c>
      <c r="O442" s="65" t="n">
        <v>49.4765</v>
      </c>
      <c r="P442" s="65"/>
      <c r="Q442" s="65"/>
      <c r="R442" s="65" t="s">
        <v>232</v>
      </c>
      <c r="S442" s="66" t="n">
        <f aca="false">Model_Calc!BA77</f>
        <v>49.47651072</v>
      </c>
      <c r="T442" s="66" t="n">
        <f aca="false">ROUND(S442-O442,4)</f>
        <v>0</v>
      </c>
    </row>
    <row r="443" customFormat="false" ht="15" hidden="false" customHeight="false" outlineLevel="0" collapsed="false">
      <c r="A443" s="18" t="s">
        <v>193</v>
      </c>
      <c r="B443" s="18" t="s">
        <v>194</v>
      </c>
      <c r="C443" s="18"/>
      <c r="D443" s="49" t="n">
        <v>46235</v>
      </c>
      <c r="E443" s="18" t="s">
        <v>112</v>
      </c>
      <c r="F443" s="18" t="s">
        <v>113</v>
      </c>
      <c r="G443" s="18" t="s">
        <v>110</v>
      </c>
      <c r="H443" s="18" t="s">
        <v>101</v>
      </c>
      <c r="I443" s="18" t="s">
        <v>102</v>
      </c>
      <c r="J443" s="18" t="s">
        <v>230</v>
      </c>
      <c r="K443" s="18" t="s">
        <v>195</v>
      </c>
      <c r="L443" s="64" t="n">
        <v>3031.63392</v>
      </c>
      <c r="M443" s="64" t="n">
        <v>7.8</v>
      </c>
      <c r="N443" s="18" t="s">
        <v>495</v>
      </c>
      <c r="O443" s="65" t="n">
        <v>23646.7446</v>
      </c>
      <c r="P443" s="65"/>
      <c r="Q443" s="65"/>
      <c r="R443" s="65" t="s">
        <v>232</v>
      </c>
      <c r="S443" s="66" t="n">
        <f aca="false">Model_Calc!AF78</f>
        <v>23646.744576</v>
      </c>
      <c r="T443" s="66" t="n">
        <f aca="false">ROUND(S443-O443,4)</f>
        <v>0</v>
      </c>
    </row>
    <row r="444" customFormat="false" ht="15" hidden="false" customHeight="false" outlineLevel="0" collapsed="false">
      <c r="A444" s="18" t="s">
        <v>193</v>
      </c>
      <c r="B444" s="18" t="s">
        <v>194</v>
      </c>
      <c r="C444" s="18"/>
      <c r="D444" s="49" t="n">
        <v>46235</v>
      </c>
      <c r="E444" s="18" t="s">
        <v>112</v>
      </c>
      <c r="F444" s="18" t="s">
        <v>113</v>
      </c>
      <c r="G444" s="18" t="s">
        <v>110</v>
      </c>
      <c r="H444" s="18" t="s">
        <v>101</v>
      </c>
      <c r="I444" s="18" t="s">
        <v>102</v>
      </c>
      <c r="J444" s="18" t="s">
        <v>233</v>
      </c>
      <c r="K444" s="18" t="s">
        <v>195</v>
      </c>
      <c r="L444" s="64" t="n">
        <v>272.8470528</v>
      </c>
      <c r="M444" s="64" t="n">
        <v>7.8</v>
      </c>
      <c r="N444" s="18" t="s">
        <v>496</v>
      </c>
      <c r="O444" s="65" t="n">
        <v>2128.207</v>
      </c>
      <c r="P444" s="65"/>
      <c r="Q444" s="65"/>
      <c r="R444" s="65" t="s">
        <v>232</v>
      </c>
      <c r="S444" s="66" t="n">
        <f aca="false">Model_Calc!AG78</f>
        <v>2128.20701184</v>
      </c>
      <c r="T444" s="66" t="n">
        <f aca="false">ROUND(S444-O444,4)</f>
        <v>0</v>
      </c>
    </row>
    <row r="445" customFormat="false" ht="15" hidden="false" customHeight="false" outlineLevel="0" collapsed="false">
      <c r="A445" s="18" t="s">
        <v>193</v>
      </c>
      <c r="B445" s="18" t="s">
        <v>194</v>
      </c>
      <c r="C445" s="18"/>
      <c r="D445" s="49" t="n">
        <v>46235</v>
      </c>
      <c r="E445" s="18" t="s">
        <v>112</v>
      </c>
      <c r="F445" s="18" t="s">
        <v>113</v>
      </c>
      <c r="G445" s="18" t="s">
        <v>110</v>
      </c>
      <c r="H445" s="18" t="s">
        <v>101</v>
      </c>
      <c r="I445" s="18" t="s">
        <v>102</v>
      </c>
      <c r="J445" s="18" t="s">
        <v>235</v>
      </c>
      <c r="K445" s="18" t="s">
        <v>195</v>
      </c>
      <c r="L445" s="64" t="n">
        <v>1881.6</v>
      </c>
      <c r="M445" s="64" t="n">
        <v>7.8</v>
      </c>
      <c r="N445" s="18" t="s">
        <v>497</v>
      </c>
      <c r="O445" s="65" t="n">
        <v>14676.48</v>
      </c>
      <c r="P445" s="65"/>
      <c r="Q445" s="65"/>
      <c r="R445" s="65" t="s">
        <v>232</v>
      </c>
      <c r="S445" s="66" t="n">
        <f aca="false">Model_Calc!AL78</f>
        <v>14676.48</v>
      </c>
      <c r="T445" s="66" t="n">
        <f aca="false">ROUND(S445-O445,4)</f>
        <v>0</v>
      </c>
    </row>
    <row r="446" customFormat="false" ht="15" hidden="false" customHeight="false" outlineLevel="0" collapsed="false">
      <c r="A446" s="18" t="s">
        <v>193</v>
      </c>
      <c r="B446" s="18" t="s">
        <v>194</v>
      </c>
      <c r="C446" s="18"/>
      <c r="D446" s="49" t="n">
        <v>46235</v>
      </c>
      <c r="E446" s="18" t="s">
        <v>112</v>
      </c>
      <c r="F446" s="18" t="s">
        <v>113</v>
      </c>
      <c r="G446" s="18" t="s">
        <v>110</v>
      </c>
      <c r="H446" s="18" t="s">
        <v>101</v>
      </c>
      <c r="I446" s="18" t="s">
        <v>102</v>
      </c>
      <c r="J446" s="18" t="s">
        <v>237</v>
      </c>
      <c r="K446" s="18" t="s">
        <v>195</v>
      </c>
      <c r="L446" s="64" t="n">
        <v>721.8176</v>
      </c>
      <c r="M446" s="64" t="n">
        <v>7.8</v>
      </c>
      <c r="N446" s="18" t="s">
        <v>498</v>
      </c>
      <c r="O446" s="65" t="n">
        <v>5630.1773</v>
      </c>
      <c r="P446" s="65"/>
      <c r="Q446" s="65"/>
      <c r="R446" s="65" t="s">
        <v>232</v>
      </c>
      <c r="S446" s="66" t="n">
        <f aca="false">Model_Calc!AQ78</f>
        <v>5630.17728</v>
      </c>
      <c r="T446" s="66" t="n">
        <f aca="false">ROUND(S446-O446,4)</f>
        <v>0</v>
      </c>
    </row>
    <row r="447" customFormat="false" ht="15" hidden="false" customHeight="false" outlineLevel="0" collapsed="false">
      <c r="A447" s="18" t="s">
        <v>193</v>
      </c>
      <c r="B447" s="18" t="s">
        <v>194</v>
      </c>
      <c r="C447" s="18"/>
      <c r="D447" s="49" t="n">
        <v>46235</v>
      </c>
      <c r="E447" s="18" t="s">
        <v>112</v>
      </c>
      <c r="F447" s="18" t="s">
        <v>113</v>
      </c>
      <c r="G447" s="18" t="s">
        <v>110</v>
      </c>
      <c r="H447" s="18" t="s">
        <v>101</v>
      </c>
      <c r="I447" s="18" t="s">
        <v>102</v>
      </c>
      <c r="J447" s="18" t="s">
        <v>239</v>
      </c>
      <c r="K447" s="18" t="s">
        <v>195</v>
      </c>
      <c r="L447" s="64" t="n">
        <v>322.56</v>
      </c>
      <c r="M447" s="64" t="n">
        <v>7.8</v>
      </c>
      <c r="N447" s="18" t="s">
        <v>499</v>
      </c>
      <c r="O447" s="65" t="n">
        <v>2515.968</v>
      </c>
      <c r="P447" s="65"/>
      <c r="Q447" s="65"/>
      <c r="R447" s="65" t="s">
        <v>232</v>
      </c>
      <c r="S447" s="66" t="n">
        <f aca="false">Model_Calc!AV78</f>
        <v>2515.968</v>
      </c>
      <c r="T447" s="66" t="n">
        <f aca="false">ROUND(S447-O447,4)</f>
        <v>0</v>
      </c>
    </row>
    <row r="448" customFormat="false" ht="15" hidden="false" customHeight="false" outlineLevel="0" collapsed="false">
      <c r="A448" s="18" t="s">
        <v>193</v>
      </c>
      <c r="B448" s="18" t="s">
        <v>194</v>
      </c>
      <c r="C448" s="18"/>
      <c r="D448" s="49" t="n">
        <v>46235</v>
      </c>
      <c r="E448" s="18" t="s">
        <v>112</v>
      </c>
      <c r="F448" s="18" t="s">
        <v>113</v>
      </c>
      <c r="G448" s="18" t="s">
        <v>110</v>
      </c>
      <c r="H448" s="18" t="s">
        <v>101</v>
      </c>
      <c r="I448" s="18" t="s">
        <v>102</v>
      </c>
      <c r="J448" s="18" t="s">
        <v>241</v>
      </c>
      <c r="K448" s="18" t="s">
        <v>195</v>
      </c>
      <c r="L448" s="64" t="n">
        <v>74.271232</v>
      </c>
      <c r="M448" s="64" t="n">
        <v>7.8</v>
      </c>
      <c r="N448" s="18" t="s">
        <v>500</v>
      </c>
      <c r="O448" s="65" t="n">
        <v>579.3156</v>
      </c>
      <c r="P448" s="65"/>
      <c r="Q448" s="65"/>
      <c r="R448" s="65" t="s">
        <v>232</v>
      </c>
      <c r="S448" s="66" t="n">
        <f aca="false">Model_Calc!BA78</f>
        <v>579.3156096</v>
      </c>
      <c r="T448" s="66" t="n">
        <f aca="false">ROUND(S448-O448,4)</f>
        <v>0</v>
      </c>
    </row>
    <row r="449" customFormat="false" ht="15" hidden="false" customHeight="false" outlineLevel="0" collapsed="false">
      <c r="A449" s="18" t="s">
        <v>193</v>
      </c>
      <c r="B449" s="18" t="s">
        <v>194</v>
      </c>
      <c r="C449" s="18"/>
      <c r="D449" s="49" t="n">
        <v>46235</v>
      </c>
      <c r="E449" s="18" t="s">
        <v>116</v>
      </c>
      <c r="F449" s="18" t="s">
        <v>113</v>
      </c>
      <c r="G449" s="18" t="s">
        <v>110</v>
      </c>
      <c r="H449" s="18" t="s">
        <v>107</v>
      </c>
      <c r="I449" s="18" t="s">
        <v>102</v>
      </c>
      <c r="J449" s="18" t="s">
        <v>230</v>
      </c>
      <c r="K449" s="18" t="s">
        <v>195</v>
      </c>
      <c r="L449" s="64" t="n">
        <v>7245.85472</v>
      </c>
      <c r="M449" s="64" t="n">
        <v>7.8</v>
      </c>
      <c r="N449" s="18" t="s">
        <v>501</v>
      </c>
      <c r="O449" s="65" t="n">
        <v>56517.6668</v>
      </c>
      <c r="P449" s="65"/>
      <c r="Q449" s="65"/>
      <c r="R449" s="65" t="s">
        <v>232</v>
      </c>
      <c r="S449" s="66" t="n">
        <f aca="false">Model_Calc!AF79</f>
        <v>56517.666816</v>
      </c>
      <c r="T449" s="66" t="n">
        <f aca="false">ROUND(S449-O449,4)</f>
        <v>0</v>
      </c>
    </row>
    <row r="450" customFormat="false" ht="15" hidden="false" customHeight="false" outlineLevel="0" collapsed="false">
      <c r="A450" s="18" t="s">
        <v>193</v>
      </c>
      <c r="B450" s="18" t="s">
        <v>194</v>
      </c>
      <c r="C450" s="18"/>
      <c r="D450" s="49" t="n">
        <v>46235</v>
      </c>
      <c r="E450" s="18" t="s">
        <v>116</v>
      </c>
      <c r="F450" s="18" t="s">
        <v>113</v>
      </c>
      <c r="G450" s="18" t="s">
        <v>110</v>
      </c>
      <c r="H450" s="18" t="s">
        <v>107</v>
      </c>
      <c r="I450" s="18" t="s">
        <v>102</v>
      </c>
      <c r="J450" s="18" t="s">
        <v>233</v>
      </c>
      <c r="K450" s="18" t="s">
        <v>195</v>
      </c>
      <c r="L450" s="64" t="n">
        <v>557.37344</v>
      </c>
      <c r="M450" s="64" t="n">
        <v>7.8</v>
      </c>
      <c r="N450" s="18" t="s">
        <v>502</v>
      </c>
      <c r="O450" s="65" t="n">
        <v>4347.5128</v>
      </c>
      <c r="P450" s="65"/>
      <c r="Q450" s="65"/>
      <c r="R450" s="65" t="s">
        <v>232</v>
      </c>
      <c r="S450" s="66" t="n">
        <f aca="false">Model_Calc!AG79</f>
        <v>4347.512832</v>
      </c>
      <c r="T450" s="66" t="n">
        <f aca="false">ROUND(S450-O450,4)</f>
        <v>0</v>
      </c>
    </row>
    <row r="451" customFormat="false" ht="15" hidden="false" customHeight="false" outlineLevel="0" collapsed="false">
      <c r="A451" s="18" t="s">
        <v>193</v>
      </c>
      <c r="B451" s="18" t="s">
        <v>194</v>
      </c>
      <c r="C451" s="18"/>
      <c r="D451" s="49" t="n">
        <v>46235</v>
      </c>
      <c r="E451" s="18" t="s">
        <v>116</v>
      </c>
      <c r="F451" s="18" t="s">
        <v>113</v>
      </c>
      <c r="G451" s="18" t="s">
        <v>110</v>
      </c>
      <c r="H451" s="18" t="s">
        <v>107</v>
      </c>
      <c r="I451" s="18" t="s">
        <v>102</v>
      </c>
      <c r="J451" s="18" t="s">
        <v>235</v>
      </c>
      <c r="K451" s="18" t="s">
        <v>195</v>
      </c>
      <c r="L451" s="64" t="n">
        <v>3494.4</v>
      </c>
      <c r="M451" s="64" t="n">
        <v>7.8</v>
      </c>
      <c r="N451" s="18" t="s">
        <v>503</v>
      </c>
      <c r="O451" s="65" t="n">
        <v>27256.32</v>
      </c>
      <c r="P451" s="65"/>
      <c r="Q451" s="65"/>
      <c r="R451" s="65" t="s">
        <v>232</v>
      </c>
      <c r="S451" s="66" t="n">
        <f aca="false">Model_Calc!AL79</f>
        <v>27256.32</v>
      </c>
      <c r="T451" s="66" t="n">
        <f aca="false">ROUND(S451-O451,4)</f>
        <v>0</v>
      </c>
    </row>
    <row r="452" customFormat="false" ht="15" hidden="false" customHeight="false" outlineLevel="0" collapsed="false">
      <c r="A452" s="18" t="s">
        <v>193</v>
      </c>
      <c r="B452" s="18" t="s">
        <v>194</v>
      </c>
      <c r="C452" s="18"/>
      <c r="D452" s="49" t="n">
        <v>46235</v>
      </c>
      <c r="E452" s="18" t="s">
        <v>116</v>
      </c>
      <c r="F452" s="18" t="s">
        <v>113</v>
      </c>
      <c r="G452" s="18" t="s">
        <v>110</v>
      </c>
      <c r="H452" s="18" t="s">
        <v>107</v>
      </c>
      <c r="I452" s="18" t="s">
        <v>102</v>
      </c>
      <c r="J452" s="18" t="s">
        <v>237</v>
      </c>
      <c r="K452" s="18" t="s">
        <v>195</v>
      </c>
      <c r="L452" s="64" t="n">
        <v>1340.5184</v>
      </c>
      <c r="M452" s="64" t="n">
        <v>7.8</v>
      </c>
      <c r="N452" s="18" t="s">
        <v>504</v>
      </c>
      <c r="O452" s="65" t="n">
        <v>10456.0435</v>
      </c>
      <c r="P452" s="65"/>
      <c r="Q452" s="65"/>
      <c r="R452" s="65" t="s">
        <v>232</v>
      </c>
      <c r="S452" s="66" t="n">
        <f aca="false">Model_Calc!AQ79</f>
        <v>10456.04352</v>
      </c>
      <c r="T452" s="66" t="n">
        <f aca="false">ROUND(S452-O452,4)</f>
        <v>0</v>
      </c>
    </row>
    <row r="453" customFormat="false" ht="15" hidden="false" customHeight="false" outlineLevel="0" collapsed="false">
      <c r="A453" s="18" t="s">
        <v>193</v>
      </c>
      <c r="B453" s="18" t="s">
        <v>194</v>
      </c>
      <c r="C453" s="18"/>
      <c r="D453" s="49" t="n">
        <v>46235</v>
      </c>
      <c r="E453" s="18" t="s">
        <v>116</v>
      </c>
      <c r="F453" s="18" t="s">
        <v>113</v>
      </c>
      <c r="G453" s="18" t="s">
        <v>110</v>
      </c>
      <c r="H453" s="18" t="s">
        <v>107</v>
      </c>
      <c r="I453" s="18" t="s">
        <v>102</v>
      </c>
      <c r="J453" s="18" t="s">
        <v>239</v>
      </c>
      <c r="K453" s="18" t="s">
        <v>195</v>
      </c>
      <c r="L453" s="64" t="n">
        <v>599.04</v>
      </c>
      <c r="M453" s="64" t="n">
        <v>7.8</v>
      </c>
      <c r="N453" s="18" t="s">
        <v>505</v>
      </c>
      <c r="O453" s="65" t="n">
        <v>4672.512</v>
      </c>
      <c r="P453" s="65"/>
      <c r="Q453" s="65"/>
      <c r="R453" s="65" t="s">
        <v>232</v>
      </c>
      <c r="S453" s="66" t="n">
        <f aca="false">Model_Calc!AV79</f>
        <v>4672.512</v>
      </c>
      <c r="T453" s="66" t="n">
        <f aca="false">ROUND(S453-O453,4)</f>
        <v>0</v>
      </c>
    </row>
    <row r="454" customFormat="false" ht="15" hidden="false" customHeight="false" outlineLevel="0" collapsed="false">
      <c r="A454" s="18" t="s">
        <v>193</v>
      </c>
      <c r="B454" s="18" t="s">
        <v>194</v>
      </c>
      <c r="C454" s="18"/>
      <c r="D454" s="49" t="n">
        <v>46235</v>
      </c>
      <c r="E454" s="18" t="s">
        <v>116</v>
      </c>
      <c r="F454" s="18" t="s">
        <v>113</v>
      </c>
      <c r="G454" s="18" t="s">
        <v>110</v>
      </c>
      <c r="H454" s="18" t="s">
        <v>107</v>
      </c>
      <c r="I454" s="18" t="s">
        <v>102</v>
      </c>
      <c r="J454" s="18" t="s">
        <v>241</v>
      </c>
      <c r="K454" s="18" t="s">
        <v>195</v>
      </c>
      <c r="L454" s="64" t="n">
        <v>113.591296</v>
      </c>
      <c r="M454" s="64" t="n">
        <v>7.8</v>
      </c>
      <c r="N454" s="18" t="s">
        <v>506</v>
      </c>
      <c r="O454" s="65" t="n">
        <v>886.0121</v>
      </c>
      <c r="P454" s="65"/>
      <c r="Q454" s="65"/>
      <c r="R454" s="65" t="s">
        <v>232</v>
      </c>
      <c r="S454" s="66" t="n">
        <f aca="false">Model_Calc!BA79</f>
        <v>886.0121088</v>
      </c>
      <c r="T454" s="66" t="n">
        <f aca="false">ROUND(S454-O454,4)</f>
        <v>0</v>
      </c>
    </row>
    <row r="455" customFormat="false" ht="15" hidden="false" customHeight="false" outlineLevel="0" collapsed="false">
      <c r="A455" s="18" t="s">
        <v>193</v>
      </c>
      <c r="B455" s="18" t="s">
        <v>194</v>
      </c>
      <c r="C455" s="18"/>
      <c r="D455" s="49" t="n">
        <v>46235</v>
      </c>
      <c r="E455" s="18" t="s">
        <v>118</v>
      </c>
      <c r="F455" s="18" t="s">
        <v>119</v>
      </c>
      <c r="G455" s="18" t="s">
        <v>100</v>
      </c>
      <c r="H455" s="18" t="s">
        <v>101</v>
      </c>
      <c r="I455" s="18" t="s">
        <v>102</v>
      </c>
      <c r="J455" s="18" t="s">
        <v>230</v>
      </c>
      <c r="K455" s="18" t="s">
        <v>199</v>
      </c>
      <c r="L455" s="64" t="n">
        <v>13686.86592</v>
      </c>
      <c r="M455" s="64" t="n">
        <v>9</v>
      </c>
      <c r="N455" s="18" t="s">
        <v>675</v>
      </c>
      <c r="O455" s="65" t="n">
        <v>123181.7933</v>
      </c>
      <c r="P455" s="65"/>
      <c r="Q455" s="65"/>
      <c r="R455" s="65" t="s">
        <v>232</v>
      </c>
      <c r="S455" s="66" t="n">
        <f aca="false">Model_Calc!AF80</f>
        <v>123181.79328</v>
      </c>
      <c r="T455" s="66" t="n">
        <f aca="false">ROUND(S455-O455,4)</f>
        <v>0</v>
      </c>
    </row>
    <row r="456" customFormat="false" ht="15" hidden="false" customHeight="false" outlineLevel="0" collapsed="false">
      <c r="A456" s="18" t="s">
        <v>193</v>
      </c>
      <c r="B456" s="18" t="s">
        <v>194</v>
      </c>
      <c r="C456" s="18"/>
      <c r="D456" s="49" t="n">
        <v>46235</v>
      </c>
      <c r="E456" s="18" t="s">
        <v>118</v>
      </c>
      <c r="F456" s="18" t="s">
        <v>119</v>
      </c>
      <c r="G456" s="18" t="s">
        <v>100</v>
      </c>
      <c r="H456" s="18" t="s">
        <v>101</v>
      </c>
      <c r="I456" s="18" t="s">
        <v>102</v>
      </c>
      <c r="J456" s="18" t="s">
        <v>233</v>
      </c>
      <c r="K456" s="18" t="s">
        <v>199</v>
      </c>
      <c r="L456" s="64" t="n">
        <v>1368.686592</v>
      </c>
      <c r="M456" s="64" t="n">
        <v>9</v>
      </c>
      <c r="N456" s="18" t="s">
        <v>676</v>
      </c>
      <c r="O456" s="65" t="n">
        <v>12318.1793</v>
      </c>
      <c r="P456" s="65"/>
      <c r="Q456" s="65"/>
      <c r="R456" s="65" t="s">
        <v>232</v>
      </c>
      <c r="S456" s="66" t="n">
        <f aca="false">Model_Calc!AG80</f>
        <v>12318.179328</v>
      </c>
      <c r="T456" s="66" t="n">
        <f aca="false">ROUND(S456-O456,4)</f>
        <v>0</v>
      </c>
    </row>
    <row r="457" customFormat="false" ht="15" hidden="false" customHeight="false" outlineLevel="0" collapsed="false">
      <c r="A457" s="18" t="s">
        <v>193</v>
      </c>
      <c r="B457" s="18" t="s">
        <v>194</v>
      </c>
      <c r="C457" s="18"/>
      <c r="D457" s="49" t="n">
        <v>46235</v>
      </c>
      <c r="E457" s="18" t="s">
        <v>118</v>
      </c>
      <c r="F457" s="18" t="s">
        <v>119</v>
      </c>
      <c r="G457" s="18" t="s">
        <v>100</v>
      </c>
      <c r="H457" s="18" t="s">
        <v>101</v>
      </c>
      <c r="I457" s="18" t="s">
        <v>102</v>
      </c>
      <c r="J457" s="18" t="s">
        <v>235</v>
      </c>
      <c r="K457" s="18" t="s">
        <v>195</v>
      </c>
      <c r="L457" s="64" t="n">
        <v>3534.336</v>
      </c>
      <c r="M457" s="64" t="n">
        <v>7.8</v>
      </c>
      <c r="N457" s="18" t="s">
        <v>677</v>
      </c>
      <c r="O457" s="65" t="n">
        <v>27567.8208</v>
      </c>
      <c r="P457" s="65"/>
      <c r="Q457" s="65"/>
      <c r="R457" s="65" t="s">
        <v>232</v>
      </c>
      <c r="S457" s="66" t="n">
        <f aca="false">Model_Calc!AL80</f>
        <v>27567.8208</v>
      </c>
      <c r="T457" s="66" t="n">
        <f aca="false">ROUND(S457-O457,4)</f>
        <v>0</v>
      </c>
    </row>
    <row r="458" customFormat="false" ht="15" hidden="false" customHeight="false" outlineLevel="0" collapsed="false">
      <c r="A458" s="18" t="s">
        <v>193</v>
      </c>
      <c r="B458" s="18" t="s">
        <v>194</v>
      </c>
      <c r="C458" s="18"/>
      <c r="D458" s="49" t="n">
        <v>46235</v>
      </c>
      <c r="E458" s="18" t="s">
        <v>118</v>
      </c>
      <c r="F458" s="18" t="s">
        <v>119</v>
      </c>
      <c r="G458" s="18" t="s">
        <v>100</v>
      </c>
      <c r="H458" s="18" t="s">
        <v>101</v>
      </c>
      <c r="I458" s="18" t="s">
        <v>102</v>
      </c>
      <c r="J458" s="18" t="s">
        <v>237</v>
      </c>
      <c r="K458" s="18" t="s">
        <v>195</v>
      </c>
      <c r="L458" s="64" t="n">
        <v>1408.94208</v>
      </c>
      <c r="M458" s="64" t="n">
        <v>7.8</v>
      </c>
      <c r="N458" s="18" t="s">
        <v>678</v>
      </c>
      <c r="O458" s="65" t="n">
        <v>10989.7482</v>
      </c>
      <c r="P458" s="65"/>
      <c r="Q458" s="65"/>
      <c r="R458" s="65" t="s">
        <v>232</v>
      </c>
      <c r="S458" s="66" t="n">
        <f aca="false">Model_Calc!AQ80</f>
        <v>10989.748224</v>
      </c>
      <c r="T458" s="66" t="n">
        <f aca="false">ROUND(S458-O458,4)</f>
        <v>0</v>
      </c>
    </row>
    <row r="459" customFormat="false" ht="15" hidden="false" customHeight="false" outlineLevel="0" collapsed="false">
      <c r="A459" s="18" t="s">
        <v>193</v>
      </c>
      <c r="B459" s="18" t="s">
        <v>194</v>
      </c>
      <c r="C459" s="18"/>
      <c r="D459" s="49" t="n">
        <v>46235</v>
      </c>
      <c r="E459" s="18" t="s">
        <v>118</v>
      </c>
      <c r="F459" s="18" t="s">
        <v>119</v>
      </c>
      <c r="G459" s="18" t="s">
        <v>100</v>
      </c>
      <c r="H459" s="18" t="s">
        <v>101</v>
      </c>
      <c r="I459" s="18" t="s">
        <v>102</v>
      </c>
      <c r="J459" s="18" t="s">
        <v>239</v>
      </c>
      <c r="K459" s="18" t="s">
        <v>199</v>
      </c>
      <c r="L459" s="64" t="n">
        <v>1150.1568</v>
      </c>
      <c r="M459" s="64" t="n">
        <v>9</v>
      </c>
      <c r="N459" s="18" t="s">
        <v>679</v>
      </c>
      <c r="O459" s="65" t="n">
        <v>10351.4112</v>
      </c>
      <c r="P459" s="65"/>
      <c r="Q459" s="65"/>
      <c r="R459" s="65" t="s">
        <v>232</v>
      </c>
      <c r="S459" s="66" t="n">
        <f aca="false">Model_Calc!AV80</f>
        <v>10351.4112</v>
      </c>
      <c r="T459" s="66" t="n">
        <f aca="false">ROUND(S459-O459,4)</f>
        <v>0</v>
      </c>
    </row>
    <row r="460" customFormat="false" ht="15" hidden="false" customHeight="false" outlineLevel="0" collapsed="false">
      <c r="A460" s="18" t="s">
        <v>193</v>
      </c>
      <c r="B460" s="18" t="s">
        <v>194</v>
      </c>
      <c r="C460" s="18"/>
      <c r="D460" s="49" t="n">
        <v>46235</v>
      </c>
      <c r="E460" s="18" t="s">
        <v>118</v>
      </c>
      <c r="F460" s="18" t="s">
        <v>119</v>
      </c>
      <c r="G460" s="18" t="s">
        <v>100</v>
      </c>
      <c r="H460" s="18" t="s">
        <v>101</v>
      </c>
      <c r="I460" s="18" t="s">
        <v>102</v>
      </c>
      <c r="J460" s="18" t="s">
        <v>241</v>
      </c>
      <c r="K460" s="18" t="s">
        <v>199</v>
      </c>
      <c r="L460" s="64" t="n">
        <v>169.7439744</v>
      </c>
      <c r="M460" s="64" t="n">
        <v>9</v>
      </c>
      <c r="N460" s="18" t="s">
        <v>680</v>
      </c>
      <c r="O460" s="65" t="n">
        <v>1527.6958</v>
      </c>
      <c r="P460" s="65"/>
      <c r="Q460" s="65"/>
      <c r="R460" s="65" t="s">
        <v>232</v>
      </c>
      <c r="S460" s="66" t="n">
        <f aca="false">Model_Calc!BA80</f>
        <v>1527.6957696</v>
      </c>
      <c r="T460" s="66" t="n">
        <f aca="false">ROUND(S460-O460,4)</f>
        <v>0</v>
      </c>
    </row>
    <row r="461" customFormat="false" ht="15" hidden="false" customHeight="false" outlineLevel="0" collapsed="false">
      <c r="A461" s="18" t="s">
        <v>193</v>
      </c>
      <c r="B461" s="18" t="s">
        <v>194</v>
      </c>
      <c r="C461" s="18"/>
      <c r="D461" s="49" t="n">
        <v>46235</v>
      </c>
      <c r="E461" s="18" t="s">
        <v>122</v>
      </c>
      <c r="F461" s="18" t="s">
        <v>119</v>
      </c>
      <c r="G461" s="18" t="s">
        <v>100</v>
      </c>
      <c r="H461" s="18" t="s">
        <v>107</v>
      </c>
      <c r="I461" s="18" t="s">
        <v>102</v>
      </c>
      <c r="J461" s="18" t="s">
        <v>230</v>
      </c>
      <c r="K461" s="18" t="s">
        <v>199</v>
      </c>
      <c r="L461" s="64" t="n">
        <v>6064.128</v>
      </c>
      <c r="M461" s="64" t="n">
        <v>9</v>
      </c>
      <c r="N461" s="18" t="s">
        <v>681</v>
      </c>
      <c r="O461" s="65" t="n">
        <v>54577.152</v>
      </c>
      <c r="P461" s="65"/>
      <c r="Q461" s="65"/>
      <c r="R461" s="65" t="s">
        <v>232</v>
      </c>
      <c r="S461" s="66" t="n">
        <f aca="false">Model_Calc!AF81</f>
        <v>54577.152</v>
      </c>
      <c r="T461" s="66" t="n">
        <f aca="false">ROUND(S461-O461,4)</f>
        <v>0</v>
      </c>
    </row>
    <row r="462" customFormat="false" ht="15" hidden="false" customHeight="false" outlineLevel="0" collapsed="false">
      <c r="A462" s="18" t="s">
        <v>193</v>
      </c>
      <c r="B462" s="18" t="s">
        <v>194</v>
      </c>
      <c r="C462" s="18"/>
      <c r="D462" s="49" t="n">
        <v>46235</v>
      </c>
      <c r="E462" s="18" t="s">
        <v>122</v>
      </c>
      <c r="F462" s="18" t="s">
        <v>119</v>
      </c>
      <c r="G462" s="18" t="s">
        <v>100</v>
      </c>
      <c r="H462" s="18" t="s">
        <v>107</v>
      </c>
      <c r="I462" s="18" t="s">
        <v>102</v>
      </c>
      <c r="J462" s="18" t="s">
        <v>233</v>
      </c>
      <c r="K462" s="18" t="s">
        <v>199</v>
      </c>
      <c r="L462" s="64" t="n">
        <v>425.7792</v>
      </c>
      <c r="M462" s="64" t="n">
        <v>9</v>
      </c>
      <c r="N462" s="18" t="s">
        <v>682</v>
      </c>
      <c r="O462" s="65" t="n">
        <v>3832.0128</v>
      </c>
      <c r="P462" s="65"/>
      <c r="Q462" s="65"/>
      <c r="R462" s="65" t="s">
        <v>232</v>
      </c>
      <c r="S462" s="66" t="n">
        <f aca="false">Model_Calc!AG81</f>
        <v>3832.0128</v>
      </c>
      <c r="T462" s="66" t="n">
        <f aca="false">ROUND(S462-O462,4)</f>
        <v>0</v>
      </c>
    </row>
    <row r="463" customFormat="false" ht="15" hidden="false" customHeight="false" outlineLevel="0" collapsed="false">
      <c r="A463" s="18" t="s">
        <v>193</v>
      </c>
      <c r="B463" s="18" t="s">
        <v>194</v>
      </c>
      <c r="C463" s="18"/>
      <c r="D463" s="49" t="n">
        <v>46235</v>
      </c>
      <c r="E463" s="18" t="s">
        <v>122</v>
      </c>
      <c r="F463" s="18" t="s">
        <v>119</v>
      </c>
      <c r="G463" s="18" t="s">
        <v>100</v>
      </c>
      <c r="H463" s="18" t="s">
        <v>107</v>
      </c>
      <c r="I463" s="18" t="s">
        <v>102</v>
      </c>
      <c r="J463" s="18" t="s">
        <v>235</v>
      </c>
      <c r="K463" s="18" t="s">
        <v>195</v>
      </c>
      <c r="L463" s="64" t="n">
        <v>1359.36</v>
      </c>
      <c r="M463" s="64" t="n">
        <v>7.8</v>
      </c>
      <c r="N463" s="18" t="s">
        <v>683</v>
      </c>
      <c r="O463" s="65" t="n">
        <v>10603.008</v>
      </c>
      <c r="P463" s="65"/>
      <c r="Q463" s="65"/>
      <c r="R463" s="65" t="s">
        <v>232</v>
      </c>
      <c r="S463" s="66" t="n">
        <f aca="false">Model_Calc!AL81</f>
        <v>10603.008</v>
      </c>
      <c r="T463" s="66" t="n">
        <f aca="false">ROUND(S463-O463,4)</f>
        <v>0</v>
      </c>
    </row>
    <row r="464" customFormat="false" ht="15" hidden="false" customHeight="false" outlineLevel="0" collapsed="false">
      <c r="A464" s="18" t="s">
        <v>193</v>
      </c>
      <c r="B464" s="18" t="s">
        <v>194</v>
      </c>
      <c r="C464" s="18"/>
      <c r="D464" s="49" t="n">
        <v>46235</v>
      </c>
      <c r="E464" s="18" t="s">
        <v>122</v>
      </c>
      <c r="F464" s="18" t="s">
        <v>119</v>
      </c>
      <c r="G464" s="18" t="s">
        <v>100</v>
      </c>
      <c r="H464" s="18" t="s">
        <v>107</v>
      </c>
      <c r="I464" s="18" t="s">
        <v>102</v>
      </c>
      <c r="J464" s="18" t="s">
        <v>237</v>
      </c>
      <c r="K464" s="18" t="s">
        <v>195</v>
      </c>
      <c r="L464" s="64" t="n">
        <v>541.9008</v>
      </c>
      <c r="M464" s="64" t="n">
        <v>7.8</v>
      </c>
      <c r="N464" s="18" t="s">
        <v>684</v>
      </c>
      <c r="O464" s="65" t="n">
        <v>4226.8262</v>
      </c>
      <c r="P464" s="65"/>
      <c r="Q464" s="65"/>
      <c r="R464" s="65" t="s">
        <v>232</v>
      </c>
      <c r="S464" s="66" t="n">
        <f aca="false">Model_Calc!AQ81</f>
        <v>4226.82624</v>
      </c>
      <c r="T464" s="66" t="n">
        <f aca="false">ROUND(S464-O464,4)</f>
        <v>0</v>
      </c>
    </row>
    <row r="465" customFormat="false" ht="15" hidden="false" customHeight="false" outlineLevel="0" collapsed="false">
      <c r="A465" s="18" t="s">
        <v>193</v>
      </c>
      <c r="B465" s="18" t="s">
        <v>194</v>
      </c>
      <c r="C465" s="18"/>
      <c r="D465" s="49" t="n">
        <v>46235</v>
      </c>
      <c r="E465" s="18" t="s">
        <v>122</v>
      </c>
      <c r="F465" s="18" t="s">
        <v>119</v>
      </c>
      <c r="G465" s="18" t="s">
        <v>100</v>
      </c>
      <c r="H465" s="18" t="s">
        <v>107</v>
      </c>
      <c r="I465" s="18" t="s">
        <v>102</v>
      </c>
      <c r="J465" s="18" t="s">
        <v>239</v>
      </c>
      <c r="K465" s="18" t="s">
        <v>199</v>
      </c>
      <c r="L465" s="64" t="n">
        <v>442.368</v>
      </c>
      <c r="M465" s="64" t="n">
        <v>9</v>
      </c>
      <c r="N465" s="18" t="s">
        <v>685</v>
      </c>
      <c r="O465" s="65" t="n">
        <v>3981.312</v>
      </c>
      <c r="P465" s="65"/>
      <c r="Q465" s="65"/>
      <c r="R465" s="65" t="s">
        <v>232</v>
      </c>
      <c r="S465" s="66" t="n">
        <f aca="false">Model_Calc!AV81</f>
        <v>3981.312</v>
      </c>
      <c r="T465" s="66" t="n">
        <f aca="false">ROUND(S465-O465,4)</f>
        <v>0</v>
      </c>
    </row>
    <row r="466" customFormat="false" ht="15" hidden="false" customHeight="false" outlineLevel="0" collapsed="false">
      <c r="A466" s="18" t="s">
        <v>193</v>
      </c>
      <c r="B466" s="18" t="s">
        <v>194</v>
      </c>
      <c r="C466" s="18"/>
      <c r="D466" s="49" t="n">
        <v>46235</v>
      </c>
      <c r="E466" s="18" t="s">
        <v>122</v>
      </c>
      <c r="F466" s="18" t="s">
        <v>119</v>
      </c>
      <c r="G466" s="18" t="s">
        <v>100</v>
      </c>
      <c r="H466" s="18" t="s">
        <v>107</v>
      </c>
      <c r="I466" s="18" t="s">
        <v>102</v>
      </c>
      <c r="J466" s="18" t="s">
        <v>241</v>
      </c>
      <c r="K466" s="18" t="s">
        <v>199</v>
      </c>
      <c r="L466" s="64" t="n">
        <v>50.448384</v>
      </c>
      <c r="M466" s="64" t="n">
        <v>9</v>
      </c>
      <c r="N466" s="18" t="s">
        <v>686</v>
      </c>
      <c r="O466" s="65" t="n">
        <v>454.0355</v>
      </c>
      <c r="P466" s="65"/>
      <c r="Q466" s="65"/>
      <c r="R466" s="65" t="s">
        <v>232</v>
      </c>
      <c r="S466" s="66" t="n">
        <f aca="false">Model_Calc!BA81</f>
        <v>454.035456</v>
      </c>
      <c r="T466" s="66" t="n">
        <f aca="false">ROUND(S466-O466,4)</f>
        <v>0</v>
      </c>
    </row>
    <row r="467" customFormat="false" ht="15" hidden="false" customHeight="false" outlineLevel="0" collapsed="false">
      <c r="A467" s="18" t="s">
        <v>193</v>
      </c>
      <c r="B467" s="18" t="s">
        <v>194</v>
      </c>
      <c r="C467" s="18"/>
      <c r="D467" s="49" t="n">
        <v>46235</v>
      </c>
      <c r="E467" s="18" t="s">
        <v>124</v>
      </c>
      <c r="F467" s="18" t="s">
        <v>119</v>
      </c>
      <c r="G467" s="18" t="s">
        <v>100</v>
      </c>
      <c r="H467" s="18" t="s">
        <v>107</v>
      </c>
      <c r="I467" s="18" t="s">
        <v>125</v>
      </c>
      <c r="J467" s="18" t="s">
        <v>230</v>
      </c>
      <c r="K467" s="18" t="s">
        <v>199</v>
      </c>
      <c r="L467" s="64" t="n">
        <v>2105.4652416</v>
      </c>
      <c r="M467" s="64" t="n">
        <v>9</v>
      </c>
      <c r="N467" s="18" t="s">
        <v>687</v>
      </c>
      <c r="O467" s="65" t="n">
        <v>18949.1872</v>
      </c>
      <c r="P467" s="65"/>
      <c r="Q467" s="65"/>
      <c r="R467" s="65" t="s">
        <v>232</v>
      </c>
      <c r="S467" s="66" t="n">
        <f aca="false">Model_Calc!AF82</f>
        <v>18949.1871744</v>
      </c>
      <c r="T467" s="66" t="n">
        <f aca="false">ROUND(S467-O467,4)</f>
        <v>0</v>
      </c>
    </row>
    <row r="468" customFormat="false" ht="15" hidden="false" customHeight="false" outlineLevel="0" collapsed="false">
      <c r="A468" s="18" t="s">
        <v>193</v>
      </c>
      <c r="B468" s="18" t="s">
        <v>194</v>
      </c>
      <c r="C468" s="18"/>
      <c r="D468" s="49" t="n">
        <v>46235</v>
      </c>
      <c r="E468" s="18" t="s">
        <v>124</v>
      </c>
      <c r="F468" s="18" t="s">
        <v>119</v>
      </c>
      <c r="G468" s="18" t="s">
        <v>100</v>
      </c>
      <c r="H468" s="18" t="s">
        <v>107</v>
      </c>
      <c r="I468" s="18" t="s">
        <v>125</v>
      </c>
      <c r="J468" s="18" t="s">
        <v>233</v>
      </c>
      <c r="K468" s="18" t="s">
        <v>199</v>
      </c>
      <c r="L468" s="64" t="n">
        <v>242.128502784</v>
      </c>
      <c r="M468" s="64" t="n">
        <v>9</v>
      </c>
      <c r="N468" s="18" t="s">
        <v>688</v>
      </c>
      <c r="O468" s="65" t="n">
        <v>2179.1565</v>
      </c>
      <c r="P468" s="65"/>
      <c r="Q468" s="65"/>
      <c r="R468" s="65" t="s">
        <v>232</v>
      </c>
      <c r="S468" s="66" t="n">
        <f aca="false">Model_Calc!AG82</f>
        <v>2179.156525056</v>
      </c>
      <c r="T468" s="66" t="n">
        <f aca="false">ROUND(S468-O468,4)</f>
        <v>0</v>
      </c>
    </row>
    <row r="469" customFormat="false" ht="15" hidden="false" customHeight="false" outlineLevel="0" collapsed="false">
      <c r="A469" s="18" t="s">
        <v>193</v>
      </c>
      <c r="B469" s="18" t="s">
        <v>194</v>
      </c>
      <c r="C469" s="18"/>
      <c r="D469" s="49" t="n">
        <v>46235</v>
      </c>
      <c r="E469" s="18" t="s">
        <v>124</v>
      </c>
      <c r="F469" s="18" t="s">
        <v>119</v>
      </c>
      <c r="G469" s="18" t="s">
        <v>100</v>
      </c>
      <c r="H469" s="18" t="s">
        <v>107</v>
      </c>
      <c r="I469" s="18" t="s">
        <v>125</v>
      </c>
      <c r="J469" s="18" t="s">
        <v>235</v>
      </c>
      <c r="K469" s="18" t="s">
        <v>195</v>
      </c>
      <c r="L469" s="64" t="n">
        <v>380.6208</v>
      </c>
      <c r="M469" s="64" t="n">
        <v>7.8</v>
      </c>
      <c r="N469" s="18" t="s">
        <v>689</v>
      </c>
      <c r="O469" s="65" t="n">
        <v>2968.8422</v>
      </c>
      <c r="P469" s="65"/>
      <c r="Q469" s="65"/>
      <c r="R469" s="65" t="s">
        <v>232</v>
      </c>
      <c r="S469" s="66" t="n">
        <f aca="false">Model_Calc!AL82</f>
        <v>2968.84224</v>
      </c>
      <c r="T469" s="66" t="n">
        <f aca="false">ROUND(S469-O469,4)</f>
        <v>0</v>
      </c>
    </row>
    <row r="470" customFormat="false" ht="15" hidden="false" customHeight="false" outlineLevel="0" collapsed="false">
      <c r="A470" s="18" t="s">
        <v>193</v>
      </c>
      <c r="B470" s="18" t="s">
        <v>194</v>
      </c>
      <c r="C470" s="18"/>
      <c r="D470" s="49" t="n">
        <v>46235</v>
      </c>
      <c r="E470" s="18" t="s">
        <v>124</v>
      </c>
      <c r="F470" s="18" t="s">
        <v>119</v>
      </c>
      <c r="G470" s="18" t="s">
        <v>100</v>
      </c>
      <c r="H470" s="18" t="s">
        <v>107</v>
      </c>
      <c r="I470" s="18" t="s">
        <v>125</v>
      </c>
      <c r="J470" s="18" t="s">
        <v>237</v>
      </c>
      <c r="K470" s="18" t="s">
        <v>195</v>
      </c>
      <c r="L470" s="64" t="n">
        <v>151.732224</v>
      </c>
      <c r="M470" s="64" t="n">
        <v>7.8</v>
      </c>
      <c r="N470" s="18" t="s">
        <v>690</v>
      </c>
      <c r="O470" s="65" t="n">
        <v>1183.5113</v>
      </c>
      <c r="P470" s="65"/>
      <c r="Q470" s="65"/>
      <c r="R470" s="65" t="s">
        <v>232</v>
      </c>
      <c r="S470" s="66" t="n">
        <f aca="false">Model_Calc!AQ82</f>
        <v>1183.5113472</v>
      </c>
      <c r="T470" s="66" t="n">
        <f aca="false">ROUND(S470-O470,4)</f>
        <v>0</v>
      </c>
    </row>
    <row r="471" customFormat="false" ht="15" hidden="false" customHeight="false" outlineLevel="0" collapsed="false">
      <c r="A471" s="18" t="s">
        <v>193</v>
      </c>
      <c r="B471" s="18" t="s">
        <v>194</v>
      </c>
      <c r="C471" s="18"/>
      <c r="D471" s="49" t="n">
        <v>46235</v>
      </c>
      <c r="E471" s="18" t="s">
        <v>124</v>
      </c>
      <c r="F471" s="18" t="s">
        <v>119</v>
      </c>
      <c r="G471" s="18" t="s">
        <v>100</v>
      </c>
      <c r="H471" s="18" t="s">
        <v>107</v>
      </c>
      <c r="I471" s="18" t="s">
        <v>125</v>
      </c>
      <c r="J471" s="18" t="s">
        <v>239</v>
      </c>
      <c r="K471" s="18" t="s">
        <v>199</v>
      </c>
      <c r="L471" s="64" t="n">
        <v>123.86304</v>
      </c>
      <c r="M471" s="64" t="n">
        <v>9</v>
      </c>
      <c r="N471" s="18" t="s">
        <v>691</v>
      </c>
      <c r="O471" s="65" t="n">
        <v>1114.7674</v>
      </c>
      <c r="P471" s="65"/>
      <c r="Q471" s="65"/>
      <c r="R471" s="65" t="s">
        <v>232</v>
      </c>
      <c r="S471" s="66" t="n">
        <f aca="false">Model_Calc!AV82</f>
        <v>1114.76736</v>
      </c>
      <c r="T471" s="66" t="n">
        <f aca="false">ROUND(S471-O471,4)</f>
        <v>0</v>
      </c>
    </row>
    <row r="472" customFormat="false" ht="15" hidden="false" customHeight="false" outlineLevel="0" collapsed="false">
      <c r="A472" s="18" t="s">
        <v>193</v>
      </c>
      <c r="B472" s="18" t="s">
        <v>194</v>
      </c>
      <c r="C472" s="18"/>
      <c r="D472" s="49" t="n">
        <v>46235</v>
      </c>
      <c r="E472" s="18" t="s">
        <v>124</v>
      </c>
      <c r="F472" s="18" t="s">
        <v>119</v>
      </c>
      <c r="G472" s="18" t="s">
        <v>100</v>
      </c>
      <c r="H472" s="18" t="s">
        <v>107</v>
      </c>
      <c r="I472" s="18" t="s">
        <v>125</v>
      </c>
      <c r="J472" s="18" t="s">
        <v>241</v>
      </c>
      <c r="K472" s="18" t="s">
        <v>199</v>
      </c>
      <c r="L472" s="64" t="n">
        <v>13.15012608</v>
      </c>
      <c r="M472" s="64" t="n">
        <v>9</v>
      </c>
      <c r="N472" s="18" t="s">
        <v>692</v>
      </c>
      <c r="O472" s="65" t="n">
        <v>118.3511</v>
      </c>
      <c r="P472" s="65"/>
      <c r="Q472" s="65"/>
      <c r="R472" s="65" t="s">
        <v>232</v>
      </c>
      <c r="S472" s="66" t="n">
        <f aca="false">Model_Calc!BA82</f>
        <v>118.35113472</v>
      </c>
      <c r="T472" s="66" t="n">
        <f aca="false">ROUND(S472-O472,4)</f>
        <v>0</v>
      </c>
    </row>
    <row r="473" customFormat="false" ht="15" hidden="false" customHeight="false" outlineLevel="0" collapsed="false">
      <c r="A473" s="18" t="s">
        <v>193</v>
      </c>
      <c r="B473" s="18" t="s">
        <v>194</v>
      </c>
      <c r="C473" s="18"/>
      <c r="D473" s="49" t="n">
        <v>46235</v>
      </c>
      <c r="E473" s="18" t="s">
        <v>127</v>
      </c>
      <c r="F473" s="18" t="s">
        <v>119</v>
      </c>
      <c r="G473" s="18" t="s">
        <v>100</v>
      </c>
      <c r="H473" s="18" t="s">
        <v>128</v>
      </c>
      <c r="I473" s="18" t="s">
        <v>125</v>
      </c>
      <c r="J473" s="18" t="s">
        <v>230</v>
      </c>
      <c r="K473" s="18" t="s">
        <v>199</v>
      </c>
      <c r="L473" s="64" t="n">
        <v>1068.31872</v>
      </c>
      <c r="M473" s="64" t="n">
        <v>9</v>
      </c>
      <c r="N473" s="18" t="s">
        <v>693</v>
      </c>
      <c r="O473" s="65" t="n">
        <v>9614.8685</v>
      </c>
      <c r="P473" s="65"/>
      <c r="Q473" s="65"/>
      <c r="R473" s="65" t="s">
        <v>232</v>
      </c>
      <c r="S473" s="66" t="n">
        <f aca="false">Model_Calc!AF83</f>
        <v>9614.86848</v>
      </c>
      <c r="T473" s="66" t="n">
        <f aca="false">ROUND(S473-O473,4)</f>
        <v>0</v>
      </c>
    </row>
    <row r="474" customFormat="false" ht="15" hidden="false" customHeight="false" outlineLevel="0" collapsed="false">
      <c r="A474" s="18" t="s">
        <v>193</v>
      </c>
      <c r="B474" s="18" t="s">
        <v>194</v>
      </c>
      <c r="C474" s="18"/>
      <c r="D474" s="49" t="n">
        <v>46235</v>
      </c>
      <c r="E474" s="18" t="s">
        <v>127</v>
      </c>
      <c r="F474" s="18" t="s">
        <v>119</v>
      </c>
      <c r="G474" s="18" t="s">
        <v>100</v>
      </c>
      <c r="H474" s="18" t="s">
        <v>128</v>
      </c>
      <c r="I474" s="18" t="s">
        <v>125</v>
      </c>
      <c r="J474" s="18" t="s">
        <v>233</v>
      </c>
      <c r="K474" s="18" t="s">
        <v>199</v>
      </c>
      <c r="L474" s="64" t="n">
        <v>82.61664768</v>
      </c>
      <c r="M474" s="64" t="n">
        <v>9</v>
      </c>
      <c r="N474" s="18" t="s">
        <v>694</v>
      </c>
      <c r="O474" s="65" t="n">
        <v>743.5498</v>
      </c>
      <c r="P474" s="65"/>
      <c r="Q474" s="65"/>
      <c r="R474" s="65" t="s">
        <v>232</v>
      </c>
      <c r="S474" s="66" t="n">
        <f aca="false">Model_Calc!AG83</f>
        <v>743.54982912</v>
      </c>
      <c r="T474" s="66" t="n">
        <f aca="false">ROUND(S474-O474,4)</f>
        <v>0</v>
      </c>
    </row>
    <row r="475" customFormat="false" ht="15" hidden="false" customHeight="false" outlineLevel="0" collapsed="false">
      <c r="A475" s="18" t="s">
        <v>193</v>
      </c>
      <c r="B475" s="18" t="s">
        <v>194</v>
      </c>
      <c r="C475" s="18"/>
      <c r="D475" s="49" t="n">
        <v>46235</v>
      </c>
      <c r="E475" s="18" t="s">
        <v>127</v>
      </c>
      <c r="F475" s="18" t="s">
        <v>119</v>
      </c>
      <c r="G475" s="18" t="s">
        <v>100</v>
      </c>
      <c r="H475" s="18" t="s">
        <v>128</v>
      </c>
      <c r="I475" s="18" t="s">
        <v>125</v>
      </c>
      <c r="J475" s="18" t="s">
        <v>235</v>
      </c>
      <c r="K475" s="18" t="s">
        <v>195</v>
      </c>
      <c r="L475" s="64" t="n">
        <v>163.1232</v>
      </c>
      <c r="M475" s="64" t="n">
        <v>7.8</v>
      </c>
      <c r="N475" s="18" t="s">
        <v>695</v>
      </c>
      <c r="O475" s="65" t="n">
        <v>1272.361</v>
      </c>
      <c r="P475" s="65"/>
      <c r="Q475" s="65"/>
      <c r="R475" s="65" t="s">
        <v>232</v>
      </c>
      <c r="S475" s="66" t="n">
        <f aca="false">Model_Calc!AL83</f>
        <v>1272.36096</v>
      </c>
      <c r="T475" s="66" t="n">
        <f aca="false">ROUND(S475-O475,4)</f>
        <v>0</v>
      </c>
    </row>
    <row r="476" customFormat="false" ht="15" hidden="false" customHeight="false" outlineLevel="0" collapsed="false">
      <c r="A476" s="18" t="s">
        <v>193</v>
      </c>
      <c r="B476" s="18" t="s">
        <v>194</v>
      </c>
      <c r="C476" s="18"/>
      <c r="D476" s="49" t="n">
        <v>46235</v>
      </c>
      <c r="E476" s="18" t="s">
        <v>127</v>
      </c>
      <c r="F476" s="18" t="s">
        <v>119</v>
      </c>
      <c r="G476" s="18" t="s">
        <v>100</v>
      </c>
      <c r="H476" s="18" t="s">
        <v>128</v>
      </c>
      <c r="I476" s="18" t="s">
        <v>125</v>
      </c>
      <c r="J476" s="18" t="s">
        <v>237</v>
      </c>
      <c r="K476" s="18" t="s">
        <v>195</v>
      </c>
      <c r="L476" s="64" t="n">
        <v>65.028096</v>
      </c>
      <c r="M476" s="64" t="n">
        <v>7.8</v>
      </c>
      <c r="N476" s="18" t="s">
        <v>696</v>
      </c>
      <c r="O476" s="65" t="n">
        <v>507.2191</v>
      </c>
      <c r="P476" s="65"/>
      <c r="Q476" s="65"/>
      <c r="R476" s="65" t="s">
        <v>232</v>
      </c>
      <c r="S476" s="66" t="n">
        <f aca="false">Model_Calc!AQ83</f>
        <v>507.2191488</v>
      </c>
      <c r="T476" s="66" t="n">
        <f aca="false">ROUND(S476-O476,4)</f>
        <v>0</v>
      </c>
    </row>
    <row r="477" customFormat="false" ht="15" hidden="false" customHeight="false" outlineLevel="0" collapsed="false">
      <c r="A477" s="18" t="s">
        <v>193</v>
      </c>
      <c r="B477" s="18" t="s">
        <v>194</v>
      </c>
      <c r="C477" s="18"/>
      <c r="D477" s="49" t="n">
        <v>46235</v>
      </c>
      <c r="E477" s="18" t="s">
        <v>127</v>
      </c>
      <c r="F477" s="18" t="s">
        <v>119</v>
      </c>
      <c r="G477" s="18" t="s">
        <v>100</v>
      </c>
      <c r="H477" s="18" t="s">
        <v>128</v>
      </c>
      <c r="I477" s="18" t="s">
        <v>125</v>
      </c>
      <c r="J477" s="18" t="s">
        <v>239</v>
      </c>
      <c r="K477" s="18" t="s">
        <v>199</v>
      </c>
      <c r="L477" s="64" t="n">
        <v>53.08416</v>
      </c>
      <c r="M477" s="64" t="n">
        <v>9</v>
      </c>
      <c r="N477" s="18" t="s">
        <v>697</v>
      </c>
      <c r="O477" s="65" t="n">
        <v>477.7574</v>
      </c>
      <c r="P477" s="65"/>
      <c r="Q477" s="65"/>
      <c r="R477" s="65" t="s">
        <v>232</v>
      </c>
      <c r="S477" s="66" t="n">
        <f aca="false">Model_Calc!AV83</f>
        <v>477.75744</v>
      </c>
      <c r="T477" s="66" t="n">
        <f aca="false">ROUND(S477-O477,4)</f>
        <v>0</v>
      </c>
    </row>
    <row r="478" customFormat="false" ht="15" hidden="false" customHeight="false" outlineLevel="0" collapsed="false">
      <c r="A478" s="18" t="s">
        <v>193</v>
      </c>
      <c r="B478" s="18" t="s">
        <v>194</v>
      </c>
      <c r="C478" s="18"/>
      <c r="D478" s="49" t="n">
        <v>46235</v>
      </c>
      <c r="E478" s="18" t="s">
        <v>127</v>
      </c>
      <c r="F478" s="18" t="s">
        <v>119</v>
      </c>
      <c r="G478" s="18" t="s">
        <v>100</v>
      </c>
      <c r="H478" s="18" t="s">
        <v>128</v>
      </c>
      <c r="I478" s="18" t="s">
        <v>125</v>
      </c>
      <c r="J478" s="18" t="s">
        <v>241</v>
      </c>
      <c r="K478" s="18" t="s">
        <v>199</v>
      </c>
      <c r="L478" s="64" t="n">
        <v>5.01645312</v>
      </c>
      <c r="M478" s="64" t="n">
        <v>9</v>
      </c>
      <c r="N478" s="18" t="s">
        <v>698</v>
      </c>
      <c r="O478" s="65" t="n">
        <v>45.1481</v>
      </c>
      <c r="P478" s="65"/>
      <c r="Q478" s="65"/>
      <c r="R478" s="65" t="s">
        <v>232</v>
      </c>
      <c r="S478" s="66" t="n">
        <f aca="false">Model_Calc!BA83</f>
        <v>45.14807808</v>
      </c>
      <c r="T478" s="66" t="n">
        <f aca="false">ROUND(S478-O478,4)</f>
        <v>0</v>
      </c>
    </row>
    <row r="479" customFormat="false" ht="15" hidden="false" customHeight="false" outlineLevel="0" collapsed="false">
      <c r="A479" s="18" t="s">
        <v>193</v>
      </c>
      <c r="B479" s="18" t="s">
        <v>194</v>
      </c>
      <c r="C479" s="18"/>
      <c r="D479" s="49" t="n">
        <v>46235</v>
      </c>
      <c r="E479" s="18" t="s">
        <v>130</v>
      </c>
      <c r="F479" s="18" t="s">
        <v>119</v>
      </c>
      <c r="G479" s="18" t="s">
        <v>110</v>
      </c>
      <c r="H479" s="18" t="s">
        <v>107</v>
      </c>
      <c r="I479" s="18" t="s">
        <v>125</v>
      </c>
      <c r="J479" s="18" t="s">
        <v>230</v>
      </c>
      <c r="K479" s="18" t="s">
        <v>195</v>
      </c>
      <c r="L479" s="64" t="n">
        <v>1331.424</v>
      </c>
      <c r="M479" s="64" t="n">
        <v>7.8</v>
      </c>
      <c r="N479" s="18" t="s">
        <v>699</v>
      </c>
      <c r="O479" s="65" t="n">
        <v>10385.1072</v>
      </c>
      <c r="P479" s="65"/>
      <c r="Q479" s="65"/>
      <c r="R479" s="65" t="s">
        <v>232</v>
      </c>
      <c r="S479" s="66" t="n">
        <f aca="false">Model_Calc!AF84</f>
        <v>10385.1072</v>
      </c>
      <c r="T479" s="66" t="n">
        <f aca="false">ROUND(S479-O479,4)</f>
        <v>0</v>
      </c>
    </row>
    <row r="480" customFormat="false" ht="15" hidden="false" customHeight="false" outlineLevel="0" collapsed="false">
      <c r="A480" s="18" t="s">
        <v>193</v>
      </c>
      <c r="B480" s="18" t="s">
        <v>194</v>
      </c>
      <c r="C480" s="18"/>
      <c r="D480" s="49" t="n">
        <v>46235</v>
      </c>
      <c r="E480" s="18" t="s">
        <v>130</v>
      </c>
      <c r="F480" s="18" t="s">
        <v>119</v>
      </c>
      <c r="G480" s="18" t="s">
        <v>110</v>
      </c>
      <c r="H480" s="18" t="s">
        <v>107</v>
      </c>
      <c r="I480" s="18" t="s">
        <v>125</v>
      </c>
      <c r="J480" s="18" t="s">
        <v>233</v>
      </c>
      <c r="K480" s="18" t="s">
        <v>195</v>
      </c>
      <c r="L480" s="64" t="n">
        <v>139.79952</v>
      </c>
      <c r="M480" s="64" t="n">
        <v>7.8</v>
      </c>
      <c r="N480" s="18" t="s">
        <v>700</v>
      </c>
      <c r="O480" s="65" t="n">
        <v>1090.4363</v>
      </c>
      <c r="P480" s="65"/>
      <c r="Q480" s="65"/>
      <c r="R480" s="65" t="s">
        <v>232</v>
      </c>
      <c r="S480" s="66" t="n">
        <f aca="false">Model_Calc!AG84</f>
        <v>1090.436256</v>
      </c>
      <c r="T480" s="66" t="n">
        <f aca="false">ROUND(S480-O480,4)</f>
        <v>0</v>
      </c>
    </row>
    <row r="481" customFormat="false" ht="15" hidden="false" customHeight="false" outlineLevel="0" collapsed="false">
      <c r="A481" s="18" t="s">
        <v>193</v>
      </c>
      <c r="B481" s="18" t="s">
        <v>194</v>
      </c>
      <c r="C481" s="18"/>
      <c r="D481" s="49" t="n">
        <v>46235</v>
      </c>
      <c r="E481" s="18" t="s">
        <v>130</v>
      </c>
      <c r="F481" s="18" t="s">
        <v>119</v>
      </c>
      <c r="G481" s="18" t="s">
        <v>110</v>
      </c>
      <c r="H481" s="18" t="s">
        <v>107</v>
      </c>
      <c r="I481" s="18" t="s">
        <v>125</v>
      </c>
      <c r="J481" s="18" t="s">
        <v>235</v>
      </c>
      <c r="K481" s="18" t="s">
        <v>195</v>
      </c>
      <c r="L481" s="64" t="n">
        <v>201.6</v>
      </c>
      <c r="M481" s="64" t="n">
        <v>7.8</v>
      </c>
      <c r="N481" s="18" t="s">
        <v>701</v>
      </c>
      <c r="O481" s="65" t="n">
        <v>1572.48</v>
      </c>
      <c r="P481" s="65"/>
      <c r="Q481" s="65"/>
      <c r="R481" s="65" t="s">
        <v>232</v>
      </c>
      <c r="S481" s="66" t="n">
        <f aca="false">Model_Calc!AL84</f>
        <v>1572.48</v>
      </c>
      <c r="T481" s="66" t="n">
        <f aca="false">ROUND(S481-O481,4)</f>
        <v>0</v>
      </c>
    </row>
    <row r="482" customFormat="false" ht="15" hidden="false" customHeight="false" outlineLevel="0" collapsed="false">
      <c r="A482" s="18" t="s">
        <v>193</v>
      </c>
      <c r="B482" s="18" t="s">
        <v>194</v>
      </c>
      <c r="C482" s="18"/>
      <c r="D482" s="49" t="n">
        <v>46235</v>
      </c>
      <c r="E482" s="18" t="s">
        <v>130</v>
      </c>
      <c r="F482" s="18" t="s">
        <v>119</v>
      </c>
      <c r="G482" s="18" t="s">
        <v>110</v>
      </c>
      <c r="H482" s="18" t="s">
        <v>107</v>
      </c>
      <c r="I482" s="18" t="s">
        <v>125</v>
      </c>
      <c r="J482" s="18" t="s">
        <v>237</v>
      </c>
      <c r="K482" s="18" t="s">
        <v>195</v>
      </c>
      <c r="L482" s="64" t="n">
        <v>83.904</v>
      </c>
      <c r="M482" s="64" t="n">
        <v>7.8</v>
      </c>
      <c r="N482" s="18" t="s">
        <v>702</v>
      </c>
      <c r="O482" s="65" t="n">
        <v>654.4512</v>
      </c>
      <c r="P482" s="65"/>
      <c r="Q482" s="65"/>
      <c r="R482" s="65" t="s">
        <v>232</v>
      </c>
      <c r="S482" s="66" t="n">
        <f aca="false">Model_Calc!AQ84</f>
        <v>654.4512</v>
      </c>
      <c r="T482" s="66" t="n">
        <f aca="false">ROUND(S482-O482,4)</f>
        <v>0</v>
      </c>
    </row>
    <row r="483" customFormat="false" ht="15" hidden="false" customHeight="false" outlineLevel="0" collapsed="false">
      <c r="A483" s="18" t="s">
        <v>193</v>
      </c>
      <c r="B483" s="18" t="s">
        <v>194</v>
      </c>
      <c r="C483" s="18"/>
      <c r="D483" s="49" t="n">
        <v>46235</v>
      </c>
      <c r="E483" s="18" t="s">
        <v>130</v>
      </c>
      <c r="F483" s="18" t="s">
        <v>119</v>
      </c>
      <c r="G483" s="18" t="s">
        <v>110</v>
      </c>
      <c r="H483" s="18" t="s">
        <v>107</v>
      </c>
      <c r="I483" s="18" t="s">
        <v>125</v>
      </c>
      <c r="J483" s="18" t="s">
        <v>239</v>
      </c>
      <c r="K483" s="18" t="s">
        <v>195</v>
      </c>
      <c r="L483" s="64" t="n">
        <v>79.872</v>
      </c>
      <c r="M483" s="64" t="n">
        <v>7.8</v>
      </c>
      <c r="N483" s="18" t="s">
        <v>703</v>
      </c>
      <c r="O483" s="65" t="n">
        <v>623.0016</v>
      </c>
      <c r="P483" s="65"/>
      <c r="Q483" s="65"/>
      <c r="R483" s="65" t="s">
        <v>232</v>
      </c>
      <c r="S483" s="66" t="n">
        <f aca="false">Model_Calc!AV84</f>
        <v>623.0016</v>
      </c>
      <c r="T483" s="66" t="n">
        <f aca="false">ROUND(S483-O483,4)</f>
        <v>0</v>
      </c>
    </row>
    <row r="484" customFormat="false" ht="15" hidden="false" customHeight="false" outlineLevel="0" collapsed="false">
      <c r="A484" s="18" t="s">
        <v>193</v>
      </c>
      <c r="B484" s="18" t="s">
        <v>194</v>
      </c>
      <c r="C484" s="18"/>
      <c r="D484" s="49" t="n">
        <v>46235</v>
      </c>
      <c r="E484" s="18" t="s">
        <v>130</v>
      </c>
      <c r="F484" s="18" t="s">
        <v>119</v>
      </c>
      <c r="G484" s="18" t="s">
        <v>110</v>
      </c>
      <c r="H484" s="18" t="s">
        <v>107</v>
      </c>
      <c r="I484" s="18" t="s">
        <v>125</v>
      </c>
      <c r="J484" s="18" t="s">
        <v>241</v>
      </c>
      <c r="K484" s="18" t="s">
        <v>195</v>
      </c>
      <c r="L484" s="64" t="n">
        <v>7.41888</v>
      </c>
      <c r="M484" s="64" t="n">
        <v>7.8</v>
      </c>
      <c r="N484" s="18" t="s">
        <v>704</v>
      </c>
      <c r="O484" s="65" t="n">
        <v>57.8673</v>
      </c>
      <c r="P484" s="65"/>
      <c r="Q484" s="65"/>
      <c r="R484" s="65" t="s">
        <v>232</v>
      </c>
      <c r="S484" s="66" t="n">
        <f aca="false">Model_Calc!BA84</f>
        <v>57.867264</v>
      </c>
      <c r="T484" s="66" t="n">
        <f aca="false">ROUND(S484-O484,4)</f>
        <v>0</v>
      </c>
    </row>
    <row r="485" customFormat="false" ht="15" hidden="false" customHeight="false" outlineLevel="0" collapsed="false">
      <c r="A485" s="18" t="s">
        <v>193</v>
      </c>
      <c r="B485" s="18" t="s">
        <v>194</v>
      </c>
      <c r="C485" s="18"/>
      <c r="D485" s="49" t="n">
        <v>46266</v>
      </c>
      <c r="E485" s="18" t="s">
        <v>98</v>
      </c>
      <c r="F485" s="18" t="s">
        <v>99</v>
      </c>
      <c r="G485" s="18" t="s">
        <v>100</v>
      </c>
      <c r="H485" s="18" t="s">
        <v>101</v>
      </c>
      <c r="I485" s="18" t="s">
        <v>102</v>
      </c>
      <c r="J485" s="18" t="s">
        <v>230</v>
      </c>
      <c r="K485" s="18" t="s">
        <v>195</v>
      </c>
      <c r="L485" s="64" t="n">
        <v>6375.777408</v>
      </c>
      <c r="M485" s="64" t="n">
        <v>7.8</v>
      </c>
      <c r="N485" s="18" t="s">
        <v>657</v>
      </c>
      <c r="O485" s="65" t="n">
        <v>49731.0638</v>
      </c>
      <c r="P485" s="65"/>
      <c r="Q485" s="65"/>
      <c r="R485" s="65" t="s">
        <v>232</v>
      </c>
      <c r="S485" s="66" t="n">
        <f aca="false">Model_Calc!AF85</f>
        <v>49731.0637824</v>
      </c>
      <c r="T485" s="66" t="n">
        <f aca="false">ROUND(S485-O485,4)</f>
        <v>0</v>
      </c>
    </row>
    <row r="486" customFormat="false" ht="15" hidden="false" customHeight="false" outlineLevel="0" collapsed="false">
      <c r="A486" s="18" t="s">
        <v>193</v>
      </c>
      <c r="B486" s="18" t="s">
        <v>194</v>
      </c>
      <c r="C486" s="18"/>
      <c r="D486" s="49" t="n">
        <v>46266</v>
      </c>
      <c r="E486" s="18" t="s">
        <v>98</v>
      </c>
      <c r="F486" s="18" t="s">
        <v>99</v>
      </c>
      <c r="G486" s="18" t="s">
        <v>100</v>
      </c>
      <c r="H486" s="18" t="s">
        <v>101</v>
      </c>
      <c r="I486" s="18" t="s">
        <v>102</v>
      </c>
      <c r="J486" s="18" t="s">
        <v>233</v>
      </c>
      <c r="K486" s="18" t="s">
        <v>195</v>
      </c>
      <c r="L486" s="64" t="n">
        <v>605.69885376</v>
      </c>
      <c r="M486" s="64" t="n">
        <v>7.8</v>
      </c>
      <c r="N486" s="18" t="s">
        <v>658</v>
      </c>
      <c r="O486" s="65" t="n">
        <v>4724.4511</v>
      </c>
      <c r="P486" s="65"/>
      <c r="Q486" s="65"/>
      <c r="R486" s="65" t="s">
        <v>232</v>
      </c>
      <c r="S486" s="66" t="n">
        <f aca="false">Model_Calc!AG85</f>
        <v>4724.451059328</v>
      </c>
      <c r="T486" s="66" t="n">
        <f aca="false">ROUND(S486-O486,4)</f>
        <v>0</v>
      </c>
    </row>
    <row r="487" customFormat="false" ht="15" hidden="false" customHeight="false" outlineLevel="0" collapsed="false">
      <c r="A487" s="18" t="s">
        <v>193</v>
      </c>
      <c r="B487" s="18" t="s">
        <v>194</v>
      </c>
      <c r="C487" s="18"/>
      <c r="D487" s="49" t="n">
        <v>46266</v>
      </c>
      <c r="E487" s="18" t="s">
        <v>98</v>
      </c>
      <c r="F487" s="18" t="s">
        <v>99</v>
      </c>
      <c r="G487" s="18" t="s">
        <v>100</v>
      </c>
      <c r="H487" s="18" t="s">
        <v>101</v>
      </c>
      <c r="I487" s="18" t="s">
        <v>102</v>
      </c>
      <c r="J487" s="18" t="s">
        <v>235</v>
      </c>
      <c r="K487" s="18" t="s">
        <v>195</v>
      </c>
      <c r="L487" s="64" t="n">
        <v>4175.5008</v>
      </c>
      <c r="M487" s="64" t="n">
        <v>7.8</v>
      </c>
      <c r="N487" s="18" t="s">
        <v>659</v>
      </c>
      <c r="O487" s="65" t="n">
        <v>32568.9062</v>
      </c>
      <c r="P487" s="65"/>
      <c r="Q487" s="65"/>
      <c r="R487" s="65" t="s">
        <v>232</v>
      </c>
      <c r="S487" s="66" t="n">
        <f aca="false">Model_Calc!AL85</f>
        <v>32568.90624</v>
      </c>
      <c r="T487" s="66" t="n">
        <f aca="false">ROUND(S487-O487,4)</f>
        <v>0</v>
      </c>
    </row>
    <row r="488" customFormat="false" ht="15" hidden="false" customHeight="false" outlineLevel="0" collapsed="false">
      <c r="A488" s="18" t="s">
        <v>193</v>
      </c>
      <c r="B488" s="18" t="s">
        <v>194</v>
      </c>
      <c r="C488" s="18"/>
      <c r="D488" s="49" t="n">
        <v>46266</v>
      </c>
      <c r="E488" s="18" t="s">
        <v>98</v>
      </c>
      <c r="F488" s="18" t="s">
        <v>99</v>
      </c>
      <c r="G488" s="18" t="s">
        <v>100</v>
      </c>
      <c r="H488" s="18" t="s">
        <v>101</v>
      </c>
      <c r="I488" s="18" t="s">
        <v>102</v>
      </c>
      <c r="J488" s="18" t="s">
        <v>237</v>
      </c>
      <c r="K488" s="18" t="s">
        <v>195</v>
      </c>
      <c r="L488" s="64" t="n">
        <v>1560.50496</v>
      </c>
      <c r="M488" s="64" t="n">
        <v>7.8</v>
      </c>
      <c r="N488" s="18" t="s">
        <v>660</v>
      </c>
      <c r="O488" s="65" t="n">
        <v>12171.9387</v>
      </c>
      <c r="P488" s="65"/>
      <c r="Q488" s="65"/>
      <c r="R488" s="65" t="s">
        <v>232</v>
      </c>
      <c r="S488" s="66" t="n">
        <f aca="false">Model_Calc!AQ85</f>
        <v>12171.938688</v>
      </c>
      <c r="T488" s="66" t="n">
        <f aca="false">ROUND(S488-O488,4)</f>
        <v>0</v>
      </c>
    </row>
    <row r="489" customFormat="false" ht="15" hidden="false" customHeight="false" outlineLevel="0" collapsed="false">
      <c r="A489" s="18" t="s">
        <v>193</v>
      </c>
      <c r="B489" s="18" t="s">
        <v>194</v>
      </c>
      <c r="C489" s="18"/>
      <c r="D489" s="49" t="n">
        <v>46266</v>
      </c>
      <c r="E489" s="18" t="s">
        <v>98</v>
      </c>
      <c r="F489" s="18" t="s">
        <v>99</v>
      </c>
      <c r="G489" s="18" t="s">
        <v>100</v>
      </c>
      <c r="H489" s="18" t="s">
        <v>101</v>
      </c>
      <c r="I489" s="18" t="s">
        <v>102</v>
      </c>
      <c r="J489" s="18" t="s">
        <v>239</v>
      </c>
      <c r="K489" s="18" t="s">
        <v>195</v>
      </c>
      <c r="L489" s="64" t="n">
        <v>566.1696</v>
      </c>
      <c r="M489" s="64" t="n">
        <v>7.8</v>
      </c>
      <c r="N489" s="18" t="s">
        <v>661</v>
      </c>
      <c r="O489" s="65" t="n">
        <v>4416.1229</v>
      </c>
      <c r="P489" s="65"/>
      <c r="Q489" s="65"/>
      <c r="R489" s="65" t="s">
        <v>232</v>
      </c>
      <c r="S489" s="66" t="n">
        <f aca="false">Model_Calc!AV85</f>
        <v>4416.12288</v>
      </c>
      <c r="T489" s="66" t="n">
        <f aca="false">ROUND(S489-O489,4)</f>
        <v>0</v>
      </c>
    </row>
    <row r="490" customFormat="false" ht="15" hidden="false" customHeight="false" outlineLevel="0" collapsed="false">
      <c r="A490" s="18" t="s">
        <v>193</v>
      </c>
      <c r="B490" s="18" t="s">
        <v>194</v>
      </c>
      <c r="C490" s="18"/>
      <c r="D490" s="49" t="n">
        <v>46266</v>
      </c>
      <c r="E490" s="18" t="s">
        <v>98</v>
      </c>
      <c r="F490" s="18" t="s">
        <v>99</v>
      </c>
      <c r="G490" s="18" t="s">
        <v>100</v>
      </c>
      <c r="H490" s="18" t="s">
        <v>101</v>
      </c>
      <c r="I490" s="18" t="s">
        <v>102</v>
      </c>
      <c r="J490" s="18" t="s">
        <v>241</v>
      </c>
      <c r="K490" s="18" t="s">
        <v>195</v>
      </c>
      <c r="L490" s="64" t="n">
        <v>136.7299584</v>
      </c>
      <c r="M490" s="64" t="n">
        <v>7.8</v>
      </c>
      <c r="N490" s="18" t="s">
        <v>662</v>
      </c>
      <c r="O490" s="65" t="n">
        <v>1066.4937</v>
      </c>
      <c r="P490" s="65"/>
      <c r="Q490" s="65"/>
      <c r="R490" s="65" t="s">
        <v>232</v>
      </c>
      <c r="S490" s="66" t="n">
        <f aca="false">Model_Calc!BA85</f>
        <v>1066.49367552</v>
      </c>
      <c r="T490" s="66" t="n">
        <f aca="false">ROUND(S490-O490,4)</f>
        <v>0</v>
      </c>
    </row>
    <row r="491" customFormat="false" ht="15" hidden="false" customHeight="false" outlineLevel="0" collapsed="false">
      <c r="A491" s="18" t="s">
        <v>193</v>
      </c>
      <c r="B491" s="18" t="s">
        <v>194</v>
      </c>
      <c r="C491" s="18"/>
      <c r="D491" s="49" t="n">
        <v>46266</v>
      </c>
      <c r="E491" s="18" t="s">
        <v>106</v>
      </c>
      <c r="F491" s="18" t="s">
        <v>99</v>
      </c>
      <c r="G491" s="18" t="s">
        <v>100</v>
      </c>
      <c r="H491" s="18" t="s">
        <v>107</v>
      </c>
      <c r="I491" s="18" t="s">
        <v>102</v>
      </c>
      <c r="J491" s="18" t="s">
        <v>230</v>
      </c>
      <c r="K491" s="18" t="s">
        <v>195</v>
      </c>
      <c r="L491" s="64" t="n">
        <v>5449.3824</v>
      </c>
      <c r="M491" s="64" t="n">
        <v>7.8</v>
      </c>
      <c r="N491" s="18" t="s">
        <v>663</v>
      </c>
      <c r="O491" s="65" t="n">
        <v>42505.1827</v>
      </c>
      <c r="P491" s="65"/>
      <c r="Q491" s="65"/>
      <c r="R491" s="65" t="s">
        <v>232</v>
      </c>
      <c r="S491" s="66" t="n">
        <f aca="false">Model_Calc!AF86</f>
        <v>42505.18272</v>
      </c>
      <c r="T491" s="66" t="n">
        <f aca="false">ROUND(S491-O491,4)</f>
        <v>0</v>
      </c>
    </row>
    <row r="492" customFormat="false" ht="15" hidden="false" customHeight="false" outlineLevel="0" collapsed="false">
      <c r="A492" s="18" t="s">
        <v>193</v>
      </c>
      <c r="B492" s="18" t="s">
        <v>194</v>
      </c>
      <c r="C492" s="18"/>
      <c r="D492" s="49" t="n">
        <v>46266</v>
      </c>
      <c r="E492" s="18" t="s">
        <v>106</v>
      </c>
      <c r="F492" s="18" t="s">
        <v>99</v>
      </c>
      <c r="G492" s="18" t="s">
        <v>100</v>
      </c>
      <c r="H492" s="18" t="s">
        <v>107</v>
      </c>
      <c r="I492" s="18" t="s">
        <v>102</v>
      </c>
      <c r="J492" s="18" t="s">
        <v>233</v>
      </c>
      <c r="K492" s="18" t="s">
        <v>195</v>
      </c>
      <c r="L492" s="64" t="n">
        <v>416.134656</v>
      </c>
      <c r="M492" s="64" t="n">
        <v>7.8</v>
      </c>
      <c r="N492" s="18" t="s">
        <v>664</v>
      </c>
      <c r="O492" s="65" t="n">
        <v>3245.8503</v>
      </c>
      <c r="P492" s="65"/>
      <c r="Q492" s="65"/>
      <c r="R492" s="65" t="s">
        <v>232</v>
      </c>
      <c r="S492" s="66" t="n">
        <f aca="false">Model_Calc!AG86</f>
        <v>3245.8503168</v>
      </c>
      <c r="T492" s="66" t="n">
        <f aca="false">ROUND(S492-O492,4)</f>
        <v>0</v>
      </c>
    </row>
    <row r="493" customFormat="false" ht="15" hidden="false" customHeight="false" outlineLevel="0" collapsed="false">
      <c r="A493" s="18" t="s">
        <v>193</v>
      </c>
      <c r="B493" s="18" t="s">
        <v>194</v>
      </c>
      <c r="C493" s="18"/>
      <c r="D493" s="49" t="n">
        <v>46266</v>
      </c>
      <c r="E493" s="18" t="s">
        <v>106</v>
      </c>
      <c r="F493" s="18" t="s">
        <v>99</v>
      </c>
      <c r="G493" s="18" t="s">
        <v>100</v>
      </c>
      <c r="H493" s="18" t="s">
        <v>107</v>
      </c>
      <c r="I493" s="18" t="s">
        <v>102</v>
      </c>
      <c r="J493" s="18" t="s">
        <v>235</v>
      </c>
      <c r="K493" s="18" t="s">
        <v>195</v>
      </c>
      <c r="L493" s="64" t="n">
        <v>2783.6672</v>
      </c>
      <c r="M493" s="64" t="n">
        <v>7.8</v>
      </c>
      <c r="N493" s="18" t="s">
        <v>665</v>
      </c>
      <c r="O493" s="65" t="n">
        <v>21712.6042</v>
      </c>
      <c r="P493" s="65"/>
      <c r="Q493" s="65"/>
      <c r="R493" s="65" t="s">
        <v>232</v>
      </c>
      <c r="S493" s="66" t="n">
        <f aca="false">Model_Calc!AL86</f>
        <v>21712.60416</v>
      </c>
      <c r="T493" s="66" t="n">
        <f aca="false">ROUND(S493-O493,4)</f>
        <v>0</v>
      </c>
    </row>
    <row r="494" customFormat="false" ht="15" hidden="false" customHeight="false" outlineLevel="0" collapsed="false">
      <c r="A494" s="18" t="s">
        <v>193</v>
      </c>
      <c r="B494" s="18" t="s">
        <v>194</v>
      </c>
      <c r="C494" s="18"/>
      <c r="D494" s="49" t="n">
        <v>46266</v>
      </c>
      <c r="E494" s="18" t="s">
        <v>106</v>
      </c>
      <c r="F494" s="18" t="s">
        <v>99</v>
      </c>
      <c r="G494" s="18" t="s">
        <v>100</v>
      </c>
      <c r="H494" s="18" t="s">
        <v>107</v>
      </c>
      <c r="I494" s="18" t="s">
        <v>102</v>
      </c>
      <c r="J494" s="18" t="s">
        <v>237</v>
      </c>
      <c r="K494" s="18" t="s">
        <v>195</v>
      </c>
      <c r="L494" s="64" t="n">
        <v>1040.33664</v>
      </c>
      <c r="M494" s="64" t="n">
        <v>7.8</v>
      </c>
      <c r="N494" s="18" t="s">
        <v>666</v>
      </c>
      <c r="O494" s="65" t="n">
        <v>8114.6258</v>
      </c>
      <c r="P494" s="65"/>
      <c r="Q494" s="65"/>
      <c r="R494" s="65" t="s">
        <v>232</v>
      </c>
      <c r="S494" s="66" t="n">
        <f aca="false">Model_Calc!AQ86</f>
        <v>8114.625792</v>
      </c>
      <c r="T494" s="66" t="n">
        <f aca="false">ROUND(S494-O494,4)</f>
        <v>0</v>
      </c>
    </row>
    <row r="495" customFormat="false" ht="15" hidden="false" customHeight="false" outlineLevel="0" collapsed="false">
      <c r="A495" s="18" t="s">
        <v>193</v>
      </c>
      <c r="B495" s="18" t="s">
        <v>194</v>
      </c>
      <c r="C495" s="18"/>
      <c r="D495" s="49" t="n">
        <v>46266</v>
      </c>
      <c r="E495" s="18" t="s">
        <v>106</v>
      </c>
      <c r="F495" s="18" t="s">
        <v>99</v>
      </c>
      <c r="G495" s="18" t="s">
        <v>100</v>
      </c>
      <c r="H495" s="18" t="s">
        <v>107</v>
      </c>
      <c r="I495" s="18" t="s">
        <v>102</v>
      </c>
      <c r="J495" s="18" t="s">
        <v>239</v>
      </c>
      <c r="K495" s="18" t="s">
        <v>195</v>
      </c>
      <c r="L495" s="64" t="n">
        <v>377.4464</v>
      </c>
      <c r="M495" s="64" t="n">
        <v>7.8</v>
      </c>
      <c r="N495" s="18" t="s">
        <v>667</v>
      </c>
      <c r="O495" s="65" t="n">
        <v>2944.0819</v>
      </c>
      <c r="P495" s="65"/>
      <c r="Q495" s="65"/>
      <c r="R495" s="65" t="s">
        <v>232</v>
      </c>
      <c r="S495" s="66" t="n">
        <f aca="false">Model_Calc!AV86</f>
        <v>2944.08192</v>
      </c>
      <c r="T495" s="66" t="n">
        <f aca="false">ROUND(S495-O495,4)</f>
        <v>0</v>
      </c>
    </row>
    <row r="496" customFormat="false" ht="15" hidden="false" customHeight="false" outlineLevel="0" collapsed="false">
      <c r="A496" s="18" t="s">
        <v>193</v>
      </c>
      <c r="B496" s="18" t="s">
        <v>194</v>
      </c>
      <c r="C496" s="18"/>
      <c r="D496" s="49" t="n">
        <v>46266</v>
      </c>
      <c r="E496" s="18" t="s">
        <v>106</v>
      </c>
      <c r="F496" s="18" t="s">
        <v>99</v>
      </c>
      <c r="G496" s="18" t="s">
        <v>100</v>
      </c>
      <c r="H496" s="18" t="s">
        <v>107</v>
      </c>
      <c r="I496" s="18" t="s">
        <v>102</v>
      </c>
      <c r="J496" s="18" t="s">
        <v>241</v>
      </c>
      <c r="K496" s="18" t="s">
        <v>195</v>
      </c>
      <c r="L496" s="64" t="n">
        <v>74.0620608</v>
      </c>
      <c r="M496" s="64" t="n">
        <v>7.8</v>
      </c>
      <c r="N496" s="18" t="s">
        <v>668</v>
      </c>
      <c r="O496" s="65" t="n">
        <v>577.6841</v>
      </c>
      <c r="P496" s="65"/>
      <c r="Q496" s="65"/>
      <c r="R496" s="65" t="s">
        <v>232</v>
      </c>
      <c r="S496" s="66" t="n">
        <f aca="false">Model_Calc!BA86</f>
        <v>577.68407424</v>
      </c>
      <c r="T496" s="66" t="n">
        <f aca="false">ROUND(S496-O496,4)</f>
        <v>0</v>
      </c>
    </row>
    <row r="497" customFormat="false" ht="15" hidden="false" customHeight="false" outlineLevel="0" collapsed="false">
      <c r="A497" s="18" t="s">
        <v>193</v>
      </c>
      <c r="B497" s="18" t="s">
        <v>194</v>
      </c>
      <c r="C497" s="18"/>
      <c r="D497" s="49" t="n">
        <v>46266</v>
      </c>
      <c r="E497" s="18" t="s">
        <v>109</v>
      </c>
      <c r="F497" s="18" t="s">
        <v>99</v>
      </c>
      <c r="G497" s="18" t="s">
        <v>110</v>
      </c>
      <c r="H497" s="18" t="s">
        <v>107</v>
      </c>
      <c r="I497" s="18" t="s">
        <v>102</v>
      </c>
      <c r="J497" s="18" t="s">
        <v>230</v>
      </c>
      <c r="K497" s="18" t="s">
        <v>195</v>
      </c>
      <c r="L497" s="64" t="n">
        <v>559.063296</v>
      </c>
      <c r="M497" s="64" t="n">
        <v>7.8</v>
      </c>
      <c r="N497" s="18" t="s">
        <v>669</v>
      </c>
      <c r="O497" s="65" t="n">
        <v>4360.6937</v>
      </c>
      <c r="P497" s="65"/>
      <c r="Q497" s="65"/>
      <c r="R497" s="65" t="s">
        <v>232</v>
      </c>
      <c r="S497" s="66" t="n">
        <f aca="false">Model_Calc!AF87</f>
        <v>4360.6937088</v>
      </c>
      <c r="T497" s="66" t="n">
        <f aca="false">ROUND(S497-O497,4)</f>
        <v>0</v>
      </c>
    </row>
    <row r="498" customFormat="false" ht="15" hidden="false" customHeight="false" outlineLevel="0" collapsed="false">
      <c r="A498" s="18" t="s">
        <v>193</v>
      </c>
      <c r="B498" s="18" t="s">
        <v>194</v>
      </c>
      <c r="C498" s="18"/>
      <c r="D498" s="49" t="n">
        <v>46266</v>
      </c>
      <c r="E498" s="18" t="s">
        <v>109</v>
      </c>
      <c r="F498" s="18" t="s">
        <v>99</v>
      </c>
      <c r="G498" s="18" t="s">
        <v>110</v>
      </c>
      <c r="H498" s="18" t="s">
        <v>107</v>
      </c>
      <c r="I498" s="18" t="s">
        <v>102</v>
      </c>
      <c r="J498" s="18" t="s">
        <v>233</v>
      </c>
      <c r="K498" s="18" t="s">
        <v>195</v>
      </c>
      <c r="L498" s="64" t="n">
        <v>40.6591488</v>
      </c>
      <c r="M498" s="64" t="n">
        <v>7.8</v>
      </c>
      <c r="N498" s="18" t="s">
        <v>670</v>
      </c>
      <c r="O498" s="65" t="n">
        <v>317.1414</v>
      </c>
      <c r="P498" s="65"/>
      <c r="Q498" s="65"/>
      <c r="R498" s="65" t="s">
        <v>232</v>
      </c>
      <c r="S498" s="66" t="n">
        <f aca="false">Model_Calc!AG87</f>
        <v>317.14136064</v>
      </c>
      <c r="T498" s="66" t="n">
        <f aca="false">ROUND(S498-O498,4)</f>
        <v>0</v>
      </c>
    </row>
    <row r="499" customFormat="false" ht="15" hidden="false" customHeight="false" outlineLevel="0" collapsed="false">
      <c r="A499" s="18" t="s">
        <v>193</v>
      </c>
      <c r="B499" s="18" t="s">
        <v>194</v>
      </c>
      <c r="C499" s="18"/>
      <c r="D499" s="49" t="n">
        <v>46266</v>
      </c>
      <c r="E499" s="18" t="s">
        <v>109</v>
      </c>
      <c r="F499" s="18" t="s">
        <v>99</v>
      </c>
      <c r="G499" s="18" t="s">
        <v>110</v>
      </c>
      <c r="H499" s="18" t="s">
        <v>107</v>
      </c>
      <c r="I499" s="18" t="s">
        <v>102</v>
      </c>
      <c r="J499" s="18" t="s">
        <v>235</v>
      </c>
      <c r="K499" s="18" t="s">
        <v>195</v>
      </c>
      <c r="L499" s="64" t="n">
        <v>191.52</v>
      </c>
      <c r="M499" s="64" t="n">
        <v>7.8</v>
      </c>
      <c r="N499" s="18" t="s">
        <v>671</v>
      </c>
      <c r="O499" s="65" t="n">
        <v>1493.856</v>
      </c>
      <c r="P499" s="65"/>
      <c r="Q499" s="65"/>
      <c r="R499" s="65" t="s">
        <v>232</v>
      </c>
      <c r="S499" s="66" t="n">
        <f aca="false">Model_Calc!AL87</f>
        <v>1493.856</v>
      </c>
      <c r="T499" s="66" t="n">
        <f aca="false">ROUND(S499-O499,4)</f>
        <v>0</v>
      </c>
    </row>
    <row r="500" customFormat="false" ht="15" hidden="false" customHeight="false" outlineLevel="0" collapsed="false">
      <c r="A500" s="18" t="s">
        <v>193</v>
      </c>
      <c r="B500" s="18" t="s">
        <v>194</v>
      </c>
      <c r="C500" s="18"/>
      <c r="D500" s="49" t="n">
        <v>46266</v>
      </c>
      <c r="E500" s="18" t="s">
        <v>109</v>
      </c>
      <c r="F500" s="18" t="s">
        <v>99</v>
      </c>
      <c r="G500" s="18" t="s">
        <v>110</v>
      </c>
      <c r="H500" s="18" t="s">
        <v>107</v>
      </c>
      <c r="I500" s="18" t="s">
        <v>102</v>
      </c>
      <c r="J500" s="18" t="s">
        <v>237</v>
      </c>
      <c r="K500" s="18" t="s">
        <v>195</v>
      </c>
      <c r="L500" s="64" t="n">
        <v>74.85696</v>
      </c>
      <c r="M500" s="64" t="n">
        <v>7.8</v>
      </c>
      <c r="N500" s="18" t="s">
        <v>672</v>
      </c>
      <c r="O500" s="65" t="n">
        <v>583.8843</v>
      </c>
      <c r="P500" s="65"/>
      <c r="Q500" s="65"/>
      <c r="R500" s="65" t="s">
        <v>232</v>
      </c>
      <c r="S500" s="66" t="n">
        <f aca="false">Model_Calc!AQ87</f>
        <v>583.884288</v>
      </c>
      <c r="T500" s="66" t="n">
        <f aca="false">ROUND(S500-O500,4)</f>
        <v>0</v>
      </c>
    </row>
    <row r="501" customFormat="false" ht="15" hidden="false" customHeight="false" outlineLevel="0" collapsed="false">
      <c r="A501" s="18" t="s">
        <v>193</v>
      </c>
      <c r="B501" s="18" t="s">
        <v>194</v>
      </c>
      <c r="C501" s="18"/>
      <c r="D501" s="49" t="n">
        <v>46266</v>
      </c>
      <c r="E501" s="18" t="s">
        <v>109</v>
      </c>
      <c r="F501" s="18" t="s">
        <v>99</v>
      </c>
      <c r="G501" s="18" t="s">
        <v>110</v>
      </c>
      <c r="H501" s="18" t="s">
        <v>107</v>
      </c>
      <c r="I501" s="18" t="s">
        <v>102</v>
      </c>
      <c r="J501" s="18" t="s">
        <v>239</v>
      </c>
      <c r="K501" s="18" t="s">
        <v>195</v>
      </c>
      <c r="L501" s="64" t="n">
        <v>34.656</v>
      </c>
      <c r="M501" s="64" t="n">
        <v>7.8</v>
      </c>
      <c r="N501" s="18" t="s">
        <v>673</v>
      </c>
      <c r="O501" s="65" t="n">
        <v>270.3168</v>
      </c>
      <c r="P501" s="65"/>
      <c r="Q501" s="65"/>
      <c r="R501" s="65" t="s">
        <v>232</v>
      </c>
      <c r="S501" s="66" t="n">
        <f aca="false">Model_Calc!AV87</f>
        <v>270.3168</v>
      </c>
      <c r="T501" s="66" t="n">
        <f aca="false">ROUND(S501-O501,4)</f>
        <v>0</v>
      </c>
    </row>
    <row r="502" customFormat="false" ht="15" hidden="false" customHeight="false" outlineLevel="0" collapsed="false">
      <c r="A502" s="18" t="s">
        <v>193</v>
      </c>
      <c r="B502" s="18" t="s">
        <v>194</v>
      </c>
      <c r="C502" s="18"/>
      <c r="D502" s="49" t="n">
        <v>46266</v>
      </c>
      <c r="E502" s="18" t="s">
        <v>109</v>
      </c>
      <c r="F502" s="18" t="s">
        <v>99</v>
      </c>
      <c r="G502" s="18" t="s">
        <v>110</v>
      </c>
      <c r="H502" s="18" t="s">
        <v>107</v>
      </c>
      <c r="I502" s="18" t="s">
        <v>102</v>
      </c>
      <c r="J502" s="18" t="s">
        <v>241</v>
      </c>
      <c r="K502" s="18" t="s">
        <v>195</v>
      </c>
      <c r="L502" s="64" t="n">
        <v>6.3431424</v>
      </c>
      <c r="M502" s="64" t="n">
        <v>7.8</v>
      </c>
      <c r="N502" s="18" t="s">
        <v>674</v>
      </c>
      <c r="O502" s="65" t="n">
        <v>49.4765</v>
      </c>
      <c r="P502" s="65"/>
      <c r="Q502" s="65"/>
      <c r="R502" s="65" t="s">
        <v>232</v>
      </c>
      <c r="S502" s="66" t="n">
        <f aca="false">Model_Calc!BA87</f>
        <v>49.47651072</v>
      </c>
      <c r="T502" s="66" t="n">
        <f aca="false">ROUND(S502-O502,4)</f>
        <v>0</v>
      </c>
    </row>
    <row r="503" customFormat="false" ht="15" hidden="false" customHeight="false" outlineLevel="0" collapsed="false">
      <c r="A503" s="18" t="s">
        <v>193</v>
      </c>
      <c r="B503" s="18" t="s">
        <v>194</v>
      </c>
      <c r="C503" s="18"/>
      <c r="D503" s="49" t="n">
        <v>46266</v>
      </c>
      <c r="E503" s="18" t="s">
        <v>112</v>
      </c>
      <c r="F503" s="18" t="s">
        <v>113</v>
      </c>
      <c r="G503" s="18" t="s">
        <v>110</v>
      </c>
      <c r="H503" s="18" t="s">
        <v>101</v>
      </c>
      <c r="I503" s="18" t="s">
        <v>102</v>
      </c>
      <c r="J503" s="18" t="s">
        <v>230</v>
      </c>
      <c r="K503" s="18" t="s">
        <v>195</v>
      </c>
      <c r="L503" s="64" t="n">
        <v>2936.89536</v>
      </c>
      <c r="M503" s="64" t="n">
        <v>7.8</v>
      </c>
      <c r="N503" s="18" t="s">
        <v>435</v>
      </c>
      <c r="O503" s="65" t="n">
        <v>22907.7838</v>
      </c>
      <c r="P503" s="65"/>
      <c r="Q503" s="65"/>
      <c r="R503" s="65" t="s">
        <v>232</v>
      </c>
      <c r="S503" s="66" t="n">
        <f aca="false">Model_Calc!AF88</f>
        <v>22907.783808</v>
      </c>
      <c r="T503" s="66" t="n">
        <f aca="false">ROUND(S503-O503,4)</f>
        <v>0</v>
      </c>
    </row>
    <row r="504" customFormat="false" ht="15" hidden="false" customHeight="false" outlineLevel="0" collapsed="false">
      <c r="A504" s="18" t="s">
        <v>193</v>
      </c>
      <c r="B504" s="18" t="s">
        <v>194</v>
      </c>
      <c r="C504" s="18"/>
      <c r="D504" s="49" t="n">
        <v>46266</v>
      </c>
      <c r="E504" s="18" t="s">
        <v>112</v>
      </c>
      <c r="F504" s="18" t="s">
        <v>113</v>
      </c>
      <c r="G504" s="18" t="s">
        <v>110</v>
      </c>
      <c r="H504" s="18" t="s">
        <v>101</v>
      </c>
      <c r="I504" s="18" t="s">
        <v>102</v>
      </c>
      <c r="J504" s="18" t="s">
        <v>233</v>
      </c>
      <c r="K504" s="18" t="s">
        <v>195</v>
      </c>
      <c r="L504" s="64" t="n">
        <v>264.3205824</v>
      </c>
      <c r="M504" s="64" t="n">
        <v>7.8</v>
      </c>
      <c r="N504" s="18" t="s">
        <v>436</v>
      </c>
      <c r="O504" s="65" t="n">
        <v>2061.7005</v>
      </c>
      <c r="P504" s="65"/>
      <c r="Q504" s="65"/>
      <c r="R504" s="65" t="s">
        <v>232</v>
      </c>
      <c r="S504" s="66" t="n">
        <f aca="false">Model_Calc!AG88</f>
        <v>2061.70054272</v>
      </c>
      <c r="T504" s="66" t="n">
        <f aca="false">ROUND(S504-O504,4)</f>
        <v>0</v>
      </c>
    </row>
    <row r="505" customFormat="false" ht="15" hidden="false" customHeight="false" outlineLevel="0" collapsed="false">
      <c r="A505" s="18" t="s">
        <v>193</v>
      </c>
      <c r="B505" s="18" t="s">
        <v>194</v>
      </c>
      <c r="C505" s="18"/>
      <c r="D505" s="49" t="n">
        <v>46266</v>
      </c>
      <c r="E505" s="18" t="s">
        <v>112</v>
      </c>
      <c r="F505" s="18" t="s">
        <v>113</v>
      </c>
      <c r="G505" s="18" t="s">
        <v>110</v>
      </c>
      <c r="H505" s="18" t="s">
        <v>101</v>
      </c>
      <c r="I505" s="18" t="s">
        <v>102</v>
      </c>
      <c r="J505" s="18" t="s">
        <v>235</v>
      </c>
      <c r="K505" s="18" t="s">
        <v>195</v>
      </c>
      <c r="L505" s="64" t="n">
        <v>1822.8</v>
      </c>
      <c r="M505" s="64" t="n">
        <v>7.8</v>
      </c>
      <c r="N505" s="18" t="s">
        <v>437</v>
      </c>
      <c r="O505" s="65" t="n">
        <v>14217.84</v>
      </c>
      <c r="P505" s="65"/>
      <c r="Q505" s="65"/>
      <c r="R505" s="65" t="s">
        <v>232</v>
      </c>
      <c r="S505" s="66" t="n">
        <f aca="false">Model_Calc!AL88</f>
        <v>14217.84</v>
      </c>
      <c r="T505" s="66" t="n">
        <f aca="false">ROUND(S505-O505,4)</f>
        <v>0</v>
      </c>
    </row>
    <row r="506" customFormat="false" ht="15" hidden="false" customHeight="false" outlineLevel="0" collapsed="false">
      <c r="A506" s="18" t="s">
        <v>193</v>
      </c>
      <c r="B506" s="18" t="s">
        <v>194</v>
      </c>
      <c r="C506" s="18"/>
      <c r="D506" s="49" t="n">
        <v>46266</v>
      </c>
      <c r="E506" s="18" t="s">
        <v>112</v>
      </c>
      <c r="F506" s="18" t="s">
        <v>113</v>
      </c>
      <c r="G506" s="18" t="s">
        <v>110</v>
      </c>
      <c r="H506" s="18" t="s">
        <v>101</v>
      </c>
      <c r="I506" s="18" t="s">
        <v>102</v>
      </c>
      <c r="J506" s="18" t="s">
        <v>237</v>
      </c>
      <c r="K506" s="18" t="s">
        <v>195</v>
      </c>
      <c r="L506" s="64" t="n">
        <v>699.2608</v>
      </c>
      <c r="M506" s="64" t="n">
        <v>7.8</v>
      </c>
      <c r="N506" s="18" t="s">
        <v>438</v>
      </c>
      <c r="O506" s="65" t="n">
        <v>5454.2342</v>
      </c>
      <c r="P506" s="65"/>
      <c r="Q506" s="65"/>
      <c r="R506" s="65" t="s">
        <v>232</v>
      </c>
      <c r="S506" s="66" t="n">
        <f aca="false">Model_Calc!AQ88</f>
        <v>5454.23424</v>
      </c>
      <c r="T506" s="66" t="n">
        <f aca="false">ROUND(S506-O506,4)</f>
        <v>0</v>
      </c>
    </row>
    <row r="507" customFormat="false" ht="15" hidden="false" customHeight="false" outlineLevel="0" collapsed="false">
      <c r="A507" s="18" t="s">
        <v>193</v>
      </c>
      <c r="B507" s="18" t="s">
        <v>194</v>
      </c>
      <c r="C507" s="18"/>
      <c r="D507" s="49" t="n">
        <v>46266</v>
      </c>
      <c r="E507" s="18" t="s">
        <v>112</v>
      </c>
      <c r="F507" s="18" t="s">
        <v>113</v>
      </c>
      <c r="G507" s="18" t="s">
        <v>110</v>
      </c>
      <c r="H507" s="18" t="s">
        <v>101</v>
      </c>
      <c r="I507" s="18" t="s">
        <v>102</v>
      </c>
      <c r="J507" s="18" t="s">
        <v>239</v>
      </c>
      <c r="K507" s="18" t="s">
        <v>195</v>
      </c>
      <c r="L507" s="64" t="n">
        <v>312.48</v>
      </c>
      <c r="M507" s="64" t="n">
        <v>7.8</v>
      </c>
      <c r="N507" s="18" t="s">
        <v>439</v>
      </c>
      <c r="O507" s="65" t="n">
        <v>2437.344</v>
      </c>
      <c r="P507" s="65"/>
      <c r="Q507" s="65"/>
      <c r="R507" s="65" t="s">
        <v>232</v>
      </c>
      <c r="S507" s="66" t="n">
        <f aca="false">Model_Calc!AV88</f>
        <v>2437.344</v>
      </c>
      <c r="T507" s="66" t="n">
        <f aca="false">ROUND(S507-O507,4)</f>
        <v>0</v>
      </c>
    </row>
    <row r="508" customFormat="false" ht="15" hidden="false" customHeight="false" outlineLevel="0" collapsed="false">
      <c r="A508" s="18" t="s">
        <v>193</v>
      </c>
      <c r="B508" s="18" t="s">
        <v>194</v>
      </c>
      <c r="C508" s="18"/>
      <c r="D508" s="49" t="n">
        <v>46266</v>
      </c>
      <c r="E508" s="18" t="s">
        <v>112</v>
      </c>
      <c r="F508" s="18" t="s">
        <v>113</v>
      </c>
      <c r="G508" s="18" t="s">
        <v>110</v>
      </c>
      <c r="H508" s="18" t="s">
        <v>101</v>
      </c>
      <c r="I508" s="18" t="s">
        <v>102</v>
      </c>
      <c r="J508" s="18" t="s">
        <v>241</v>
      </c>
      <c r="K508" s="18" t="s">
        <v>195</v>
      </c>
      <c r="L508" s="64" t="n">
        <v>71.950256</v>
      </c>
      <c r="M508" s="64" t="n">
        <v>7.8</v>
      </c>
      <c r="N508" s="18" t="s">
        <v>440</v>
      </c>
      <c r="O508" s="65" t="n">
        <v>561.212</v>
      </c>
      <c r="P508" s="65"/>
      <c r="Q508" s="65"/>
      <c r="R508" s="65" t="s">
        <v>232</v>
      </c>
      <c r="S508" s="66" t="n">
        <f aca="false">Model_Calc!BA88</f>
        <v>561.2119968</v>
      </c>
      <c r="T508" s="66" t="n">
        <f aca="false">ROUND(S508-O508,4)</f>
        <v>0</v>
      </c>
    </row>
    <row r="509" customFormat="false" ht="15" hidden="false" customHeight="false" outlineLevel="0" collapsed="false">
      <c r="A509" s="18" t="s">
        <v>193</v>
      </c>
      <c r="B509" s="18" t="s">
        <v>194</v>
      </c>
      <c r="C509" s="18"/>
      <c r="D509" s="49" t="n">
        <v>46266</v>
      </c>
      <c r="E509" s="18" t="s">
        <v>116</v>
      </c>
      <c r="F509" s="18" t="s">
        <v>113</v>
      </c>
      <c r="G509" s="18" t="s">
        <v>110</v>
      </c>
      <c r="H509" s="18" t="s">
        <v>107</v>
      </c>
      <c r="I509" s="18" t="s">
        <v>102</v>
      </c>
      <c r="J509" s="18" t="s">
        <v>230</v>
      </c>
      <c r="K509" s="18" t="s">
        <v>195</v>
      </c>
      <c r="L509" s="64" t="n">
        <v>7019.42176</v>
      </c>
      <c r="M509" s="64" t="n">
        <v>7.8</v>
      </c>
      <c r="N509" s="18" t="s">
        <v>441</v>
      </c>
      <c r="O509" s="65" t="n">
        <v>54751.4897</v>
      </c>
      <c r="P509" s="65"/>
      <c r="Q509" s="65"/>
      <c r="R509" s="65" t="s">
        <v>232</v>
      </c>
      <c r="S509" s="66" t="n">
        <f aca="false">Model_Calc!AF89</f>
        <v>54751.489728</v>
      </c>
      <c r="T509" s="66" t="n">
        <f aca="false">ROUND(S509-O509,4)</f>
        <v>0</v>
      </c>
    </row>
    <row r="510" customFormat="false" ht="15" hidden="false" customHeight="false" outlineLevel="0" collapsed="false">
      <c r="A510" s="18" t="s">
        <v>193</v>
      </c>
      <c r="B510" s="18" t="s">
        <v>194</v>
      </c>
      <c r="C510" s="18"/>
      <c r="D510" s="49" t="n">
        <v>46266</v>
      </c>
      <c r="E510" s="18" t="s">
        <v>116</v>
      </c>
      <c r="F510" s="18" t="s">
        <v>113</v>
      </c>
      <c r="G510" s="18" t="s">
        <v>110</v>
      </c>
      <c r="H510" s="18" t="s">
        <v>107</v>
      </c>
      <c r="I510" s="18" t="s">
        <v>102</v>
      </c>
      <c r="J510" s="18" t="s">
        <v>233</v>
      </c>
      <c r="K510" s="18" t="s">
        <v>195</v>
      </c>
      <c r="L510" s="64" t="n">
        <v>539.95552</v>
      </c>
      <c r="M510" s="64" t="n">
        <v>7.8</v>
      </c>
      <c r="N510" s="18" t="s">
        <v>442</v>
      </c>
      <c r="O510" s="65" t="n">
        <v>4211.6531</v>
      </c>
      <c r="P510" s="65"/>
      <c r="Q510" s="65"/>
      <c r="R510" s="65" t="s">
        <v>232</v>
      </c>
      <c r="S510" s="66" t="n">
        <f aca="false">Model_Calc!AG89</f>
        <v>4211.653056</v>
      </c>
      <c r="T510" s="66" t="n">
        <f aca="false">ROUND(S510-O510,4)</f>
        <v>0</v>
      </c>
    </row>
    <row r="511" customFormat="false" ht="15" hidden="false" customHeight="false" outlineLevel="0" collapsed="false">
      <c r="A511" s="18" t="s">
        <v>193</v>
      </c>
      <c r="B511" s="18" t="s">
        <v>194</v>
      </c>
      <c r="C511" s="18"/>
      <c r="D511" s="49" t="n">
        <v>46266</v>
      </c>
      <c r="E511" s="18" t="s">
        <v>116</v>
      </c>
      <c r="F511" s="18" t="s">
        <v>113</v>
      </c>
      <c r="G511" s="18" t="s">
        <v>110</v>
      </c>
      <c r="H511" s="18" t="s">
        <v>107</v>
      </c>
      <c r="I511" s="18" t="s">
        <v>102</v>
      </c>
      <c r="J511" s="18" t="s">
        <v>235</v>
      </c>
      <c r="K511" s="18" t="s">
        <v>195</v>
      </c>
      <c r="L511" s="64" t="n">
        <v>3385.2</v>
      </c>
      <c r="M511" s="64" t="n">
        <v>7.8</v>
      </c>
      <c r="N511" s="18" t="s">
        <v>443</v>
      </c>
      <c r="O511" s="65" t="n">
        <v>26404.56</v>
      </c>
      <c r="P511" s="65"/>
      <c r="Q511" s="65"/>
      <c r="R511" s="65" t="s">
        <v>232</v>
      </c>
      <c r="S511" s="66" t="n">
        <f aca="false">Model_Calc!AL89</f>
        <v>26404.56</v>
      </c>
      <c r="T511" s="66" t="n">
        <f aca="false">ROUND(S511-O511,4)</f>
        <v>0</v>
      </c>
    </row>
    <row r="512" customFormat="false" ht="15" hidden="false" customHeight="false" outlineLevel="0" collapsed="false">
      <c r="A512" s="18" t="s">
        <v>193</v>
      </c>
      <c r="B512" s="18" t="s">
        <v>194</v>
      </c>
      <c r="C512" s="18"/>
      <c r="D512" s="49" t="n">
        <v>46266</v>
      </c>
      <c r="E512" s="18" t="s">
        <v>116</v>
      </c>
      <c r="F512" s="18" t="s">
        <v>113</v>
      </c>
      <c r="G512" s="18" t="s">
        <v>110</v>
      </c>
      <c r="H512" s="18" t="s">
        <v>107</v>
      </c>
      <c r="I512" s="18" t="s">
        <v>102</v>
      </c>
      <c r="J512" s="18" t="s">
        <v>237</v>
      </c>
      <c r="K512" s="18" t="s">
        <v>195</v>
      </c>
      <c r="L512" s="64" t="n">
        <v>1298.6272</v>
      </c>
      <c r="M512" s="64" t="n">
        <v>7.8</v>
      </c>
      <c r="N512" s="18" t="s">
        <v>444</v>
      </c>
      <c r="O512" s="65" t="n">
        <v>10129.2922</v>
      </c>
      <c r="P512" s="65"/>
      <c r="Q512" s="65"/>
      <c r="R512" s="65" t="s">
        <v>232</v>
      </c>
      <c r="S512" s="66" t="n">
        <f aca="false">Model_Calc!AQ89</f>
        <v>10129.29216</v>
      </c>
      <c r="T512" s="66" t="n">
        <f aca="false">ROUND(S512-O512,4)</f>
        <v>0</v>
      </c>
    </row>
    <row r="513" customFormat="false" ht="15" hidden="false" customHeight="false" outlineLevel="0" collapsed="false">
      <c r="A513" s="18" t="s">
        <v>193</v>
      </c>
      <c r="B513" s="18" t="s">
        <v>194</v>
      </c>
      <c r="C513" s="18"/>
      <c r="D513" s="49" t="n">
        <v>46266</v>
      </c>
      <c r="E513" s="18" t="s">
        <v>116</v>
      </c>
      <c r="F513" s="18" t="s">
        <v>113</v>
      </c>
      <c r="G513" s="18" t="s">
        <v>110</v>
      </c>
      <c r="H513" s="18" t="s">
        <v>107</v>
      </c>
      <c r="I513" s="18" t="s">
        <v>102</v>
      </c>
      <c r="J513" s="18" t="s">
        <v>239</v>
      </c>
      <c r="K513" s="18" t="s">
        <v>195</v>
      </c>
      <c r="L513" s="64" t="n">
        <v>580.32</v>
      </c>
      <c r="M513" s="64" t="n">
        <v>7.8</v>
      </c>
      <c r="N513" s="18" t="s">
        <v>445</v>
      </c>
      <c r="O513" s="65" t="n">
        <v>4526.496</v>
      </c>
      <c r="P513" s="65"/>
      <c r="Q513" s="65"/>
      <c r="R513" s="65" t="s">
        <v>232</v>
      </c>
      <c r="S513" s="66" t="n">
        <f aca="false">Model_Calc!AV89</f>
        <v>4526.496</v>
      </c>
      <c r="T513" s="66" t="n">
        <f aca="false">ROUND(S513-O513,4)</f>
        <v>0</v>
      </c>
    </row>
    <row r="514" customFormat="false" ht="15" hidden="false" customHeight="false" outlineLevel="0" collapsed="false">
      <c r="A514" s="18" t="s">
        <v>193</v>
      </c>
      <c r="B514" s="18" t="s">
        <v>194</v>
      </c>
      <c r="C514" s="18"/>
      <c r="D514" s="49" t="n">
        <v>46266</v>
      </c>
      <c r="E514" s="18" t="s">
        <v>116</v>
      </c>
      <c r="F514" s="18" t="s">
        <v>113</v>
      </c>
      <c r="G514" s="18" t="s">
        <v>110</v>
      </c>
      <c r="H514" s="18" t="s">
        <v>107</v>
      </c>
      <c r="I514" s="18" t="s">
        <v>102</v>
      </c>
      <c r="J514" s="18" t="s">
        <v>241</v>
      </c>
      <c r="K514" s="18" t="s">
        <v>195</v>
      </c>
      <c r="L514" s="64" t="n">
        <v>110.041568</v>
      </c>
      <c r="M514" s="64" t="n">
        <v>7.8</v>
      </c>
      <c r="N514" s="18" t="s">
        <v>446</v>
      </c>
      <c r="O514" s="65" t="n">
        <v>858.3242</v>
      </c>
      <c r="P514" s="65"/>
      <c r="Q514" s="65"/>
      <c r="R514" s="65" t="s">
        <v>232</v>
      </c>
      <c r="S514" s="66" t="n">
        <f aca="false">Model_Calc!BA89</f>
        <v>858.3242304</v>
      </c>
      <c r="T514" s="66" t="n">
        <f aca="false">ROUND(S514-O514,4)</f>
        <v>0</v>
      </c>
    </row>
    <row r="515" customFormat="false" ht="15" hidden="false" customHeight="false" outlineLevel="0" collapsed="false">
      <c r="A515" s="18" t="s">
        <v>193</v>
      </c>
      <c r="B515" s="18" t="s">
        <v>194</v>
      </c>
      <c r="C515" s="18"/>
      <c r="D515" s="49" t="n">
        <v>46266</v>
      </c>
      <c r="E515" s="18" t="s">
        <v>118</v>
      </c>
      <c r="F515" s="18" t="s">
        <v>119</v>
      </c>
      <c r="G515" s="18" t="s">
        <v>100</v>
      </c>
      <c r="H515" s="18" t="s">
        <v>101</v>
      </c>
      <c r="I515" s="18" t="s">
        <v>102</v>
      </c>
      <c r="J515" s="18" t="s">
        <v>230</v>
      </c>
      <c r="K515" s="18" t="s">
        <v>199</v>
      </c>
      <c r="L515" s="64" t="n">
        <v>14143.094784</v>
      </c>
      <c r="M515" s="64" t="n">
        <v>9</v>
      </c>
      <c r="N515" s="18" t="s">
        <v>705</v>
      </c>
      <c r="O515" s="65" t="n">
        <v>127287.8531</v>
      </c>
      <c r="P515" s="65"/>
      <c r="Q515" s="65"/>
      <c r="R515" s="65" t="s">
        <v>232</v>
      </c>
      <c r="S515" s="66" t="n">
        <f aca="false">Model_Calc!AF90</f>
        <v>127287.853056</v>
      </c>
      <c r="T515" s="66" t="n">
        <f aca="false">ROUND(S515-O515,4)</f>
        <v>0</v>
      </c>
    </row>
    <row r="516" customFormat="false" ht="15" hidden="false" customHeight="false" outlineLevel="0" collapsed="false">
      <c r="A516" s="18" t="s">
        <v>193</v>
      </c>
      <c r="B516" s="18" t="s">
        <v>194</v>
      </c>
      <c r="C516" s="18"/>
      <c r="D516" s="49" t="n">
        <v>46266</v>
      </c>
      <c r="E516" s="18" t="s">
        <v>118</v>
      </c>
      <c r="F516" s="18" t="s">
        <v>119</v>
      </c>
      <c r="G516" s="18" t="s">
        <v>100</v>
      </c>
      <c r="H516" s="18" t="s">
        <v>101</v>
      </c>
      <c r="I516" s="18" t="s">
        <v>102</v>
      </c>
      <c r="J516" s="18" t="s">
        <v>233</v>
      </c>
      <c r="K516" s="18" t="s">
        <v>199</v>
      </c>
      <c r="L516" s="64" t="n">
        <v>1414.3094784</v>
      </c>
      <c r="M516" s="64" t="n">
        <v>9</v>
      </c>
      <c r="N516" s="18" t="s">
        <v>706</v>
      </c>
      <c r="O516" s="65" t="n">
        <v>12728.7853</v>
      </c>
      <c r="P516" s="65"/>
      <c r="Q516" s="65"/>
      <c r="R516" s="65" t="s">
        <v>232</v>
      </c>
      <c r="S516" s="66" t="n">
        <f aca="false">Model_Calc!AG90</f>
        <v>12728.7853056</v>
      </c>
      <c r="T516" s="66" t="n">
        <f aca="false">ROUND(S516-O516,4)</f>
        <v>0</v>
      </c>
    </row>
    <row r="517" customFormat="false" ht="15" hidden="false" customHeight="false" outlineLevel="0" collapsed="false">
      <c r="A517" s="18" t="s">
        <v>193</v>
      </c>
      <c r="B517" s="18" t="s">
        <v>194</v>
      </c>
      <c r="C517" s="18"/>
      <c r="D517" s="49" t="n">
        <v>46266</v>
      </c>
      <c r="E517" s="18" t="s">
        <v>118</v>
      </c>
      <c r="F517" s="18" t="s">
        <v>119</v>
      </c>
      <c r="G517" s="18" t="s">
        <v>100</v>
      </c>
      <c r="H517" s="18" t="s">
        <v>101</v>
      </c>
      <c r="I517" s="18" t="s">
        <v>102</v>
      </c>
      <c r="J517" s="18" t="s">
        <v>235</v>
      </c>
      <c r="K517" s="18" t="s">
        <v>195</v>
      </c>
      <c r="L517" s="64" t="n">
        <v>3652.1472</v>
      </c>
      <c r="M517" s="64" t="n">
        <v>7.8</v>
      </c>
      <c r="N517" s="18" t="s">
        <v>707</v>
      </c>
      <c r="O517" s="65" t="n">
        <v>28486.7482</v>
      </c>
      <c r="P517" s="65"/>
      <c r="Q517" s="65"/>
      <c r="R517" s="65" t="s">
        <v>232</v>
      </c>
      <c r="S517" s="66" t="n">
        <f aca="false">Model_Calc!AL90</f>
        <v>28486.74816</v>
      </c>
      <c r="T517" s="66" t="n">
        <f aca="false">ROUND(S517-O517,4)</f>
        <v>0</v>
      </c>
    </row>
    <row r="518" customFormat="false" ht="15" hidden="false" customHeight="false" outlineLevel="0" collapsed="false">
      <c r="A518" s="18" t="s">
        <v>193</v>
      </c>
      <c r="B518" s="18" t="s">
        <v>194</v>
      </c>
      <c r="C518" s="18"/>
      <c r="D518" s="49" t="n">
        <v>46266</v>
      </c>
      <c r="E518" s="18" t="s">
        <v>118</v>
      </c>
      <c r="F518" s="18" t="s">
        <v>119</v>
      </c>
      <c r="G518" s="18" t="s">
        <v>100</v>
      </c>
      <c r="H518" s="18" t="s">
        <v>101</v>
      </c>
      <c r="I518" s="18" t="s">
        <v>102</v>
      </c>
      <c r="J518" s="18" t="s">
        <v>237</v>
      </c>
      <c r="K518" s="18" t="s">
        <v>195</v>
      </c>
      <c r="L518" s="64" t="n">
        <v>1455.906816</v>
      </c>
      <c r="M518" s="64" t="n">
        <v>7.8</v>
      </c>
      <c r="N518" s="18" t="s">
        <v>708</v>
      </c>
      <c r="O518" s="65" t="n">
        <v>11356.0732</v>
      </c>
      <c r="P518" s="65"/>
      <c r="Q518" s="65"/>
      <c r="R518" s="65" t="s">
        <v>232</v>
      </c>
      <c r="S518" s="66" t="n">
        <f aca="false">Model_Calc!AQ90</f>
        <v>11356.0731648</v>
      </c>
      <c r="T518" s="66" t="n">
        <f aca="false">ROUND(S518-O518,4)</f>
        <v>0</v>
      </c>
    </row>
    <row r="519" customFormat="false" ht="15" hidden="false" customHeight="false" outlineLevel="0" collapsed="false">
      <c r="A519" s="18" t="s">
        <v>193</v>
      </c>
      <c r="B519" s="18" t="s">
        <v>194</v>
      </c>
      <c r="C519" s="18"/>
      <c r="D519" s="49" t="n">
        <v>46266</v>
      </c>
      <c r="E519" s="18" t="s">
        <v>118</v>
      </c>
      <c r="F519" s="18" t="s">
        <v>119</v>
      </c>
      <c r="G519" s="18" t="s">
        <v>100</v>
      </c>
      <c r="H519" s="18" t="s">
        <v>101</v>
      </c>
      <c r="I519" s="18" t="s">
        <v>102</v>
      </c>
      <c r="J519" s="18" t="s">
        <v>239</v>
      </c>
      <c r="K519" s="18" t="s">
        <v>199</v>
      </c>
      <c r="L519" s="64" t="n">
        <v>1188.49536</v>
      </c>
      <c r="M519" s="64" t="n">
        <v>9</v>
      </c>
      <c r="N519" s="18" t="s">
        <v>709</v>
      </c>
      <c r="O519" s="65" t="n">
        <v>10696.4582</v>
      </c>
      <c r="P519" s="65"/>
      <c r="Q519" s="65"/>
      <c r="R519" s="65" t="s">
        <v>232</v>
      </c>
      <c r="S519" s="66" t="n">
        <f aca="false">Model_Calc!AV90</f>
        <v>10696.45824</v>
      </c>
      <c r="T519" s="66" t="n">
        <f aca="false">ROUND(S519-O519,4)</f>
        <v>0</v>
      </c>
    </row>
    <row r="520" customFormat="false" ht="15" hidden="false" customHeight="false" outlineLevel="0" collapsed="false">
      <c r="A520" s="18" t="s">
        <v>193</v>
      </c>
      <c r="B520" s="18" t="s">
        <v>194</v>
      </c>
      <c r="C520" s="18"/>
      <c r="D520" s="49" t="n">
        <v>46266</v>
      </c>
      <c r="E520" s="18" t="s">
        <v>118</v>
      </c>
      <c r="F520" s="18" t="s">
        <v>119</v>
      </c>
      <c r="G520" s="18" t="s">
        <v>100</v>
      </c>
      <c r="H520" s="18" t="s">
        <v>101</v>
      </c>
      <c r="I520" s="18" t="s">
        <v>102</v>
      </c>
      <c r="J520" s="18" t="s">
        <v>241</v>
      </c>
      <c r="K520" s="18" t="s">
        <v>199</v>
      </c>
      <c r="L520" s="64" t="n">
        <v>175.40210688</v>
      </c>
      <c r="M520" s="64" t="n">
        <v>9</v>
      </c>
      <c r="N520" s="18" t="s">
        <v>710</v>
      </c>
      <c r="O520" s="65" t="n">
        <v>1578.619</v>
      </c>
      <c r="P520" s="65"/>
      <c r="Q520" s="65"/>
      <c r="R520" s="65" t="s">
        <v>232</v>
      </c>
      <c r="S520" s="66" t="n">
        <f aca="false">Model_Calc!BA90</f>
        <v>1578.61896192</v>
      </c>
      <c r="T520" s="66" t="n">
        <f aca="false">ROUND(S520-O520,4)</f>
        <v>0</v>
      </c>
    </row>
    <row r="521" customFormat="false" ht="15" hidden="false" customHeight="false" outlineLevel="0" collapsed="false">
      <c r="A521" s="18" t="s">
        <v>193</v>
      </c>
      <c r="B521" s="18" t="s">
        <v>194</v>
      </c>
      <c r="C521" s="18"/>
      <c r="D521" s="49" t="n">
        <v>46266</v>
      </c>
      <c r="E521" s="18" t="s">
        <v>122</v>
      </c>
      <c r="F521" s="18" t="s">
        <v>119</v>
      </c>
      <c r="G521" s="18" t="s">
        <v>100</v>
      </c>
      <c r="H521" s="18" t="s">
        <v>107</v>
      </c>
      <c r="I521" s="18" t="s">
        <v>102</v>
      </c>
      <c r="J521" s="18" t="s">
        <v>230</v>
      </c>
      <c r="K521" s="18" t="s">
        <v>199</v>
      </c>
      <c r="L521" s="64" t="n">
        <v>6266.2656</v>
      </c>
      <c r="M521" s="64" t="n">
        <v>9</v>
      </c>
      <c r="N521" s="18" t="s">
        <v>711</v>
      </c>
      <c r="O521" s="65" t="n">
        <v>56396.3904</v>
      </c>
      <c r="P521" s="65"/>
      <c r="Q521" s="65"/>
      <c r="R521" s="65" t="s">
        <v>232</v>
      </c>
      <c r="S521" s="66" t="n">
        <f aca="false">Model_Calc!AF91</f>
        <v>56396.3904</v>
      </c>
      <c r="T521" s="66" t="n">
        <f aca="false">ROUND(S521-O521,4)</f>
        <v>0</v>
      </c>
    </row>
    <row r="522" customFormat="false" ht="15" hidden="false" customHeight="false" outlineLevel="0" collapsed="false">
      <c r="A522" s="18" t="s">
        <v>193</v>
      </c>
      <c r="B522" s="18" t="s">
        <v>194</v>
      </c>
      <c r="C522" s="18"/>
      <c r="D522" s="49" t="n">
        <v>46266</v>
      </c>
      <c r="E522" s="18" t="s">
        <v>122</v>
      </c>
      <c r="F522" s="18" t="s">
        <v>119</v>
      </c>
      <c r="G522" s="18" t="s">
        <v>100</v>
      </c>
      <c r="H522" s="18" t="s">
        <v>107</v>
      </c>
      <c r="I522" s="18" t="s">
        <v>102</v>
      </c>
      <c r="J522" s="18" t="s">
        <v>233</v>
      </c>
      <c r="K522" s="18" t="s">
        <v>199</v>
      </c>
      <c r="L522" s="64" t="n">
        <v>439.97184</v>
      </c>
      <c r="M522" s="64" t="n">
        <v>9</v>
      </c>
      <c r="N522" s="18" t="s">
        <v>712</v>
      </c>
      <c r="O522" s="65" t="n">
        <v>3959.7466</v>
      </c>
      <c r="P522" s="65"/>
      <c r="Q522" s="65"/>
      <c r="R522" s="65" t="s">
        <v>232</v>
      </c>
      <c r="S522" s="66" t="n">
        <f aca="false">Model_Calc!AG91</f>
        <v>3959.74656</v>
      </c>
      <c r="T522" s="66" t="n">
        <f aca="false">ROUND(S522-O522,4)</f>
        <v>0</v>
      </c>
    </row>
    <row r="523" customFormat="false" ht="15" hidden="false" customHeight="false" outlineLevel="0" collapsed="false">
      <c r="A523" s="18" t="s">
        <v>193</v>
      </c>
      <c r="B523" s="18" t="s">
        <v>194</v>
      </c>
      <c r="C523" s="18"/>
      <c r="D523" s="49" t="n">
        <v>46266</v>
      </c>
      <c r="E523" s="18" t="s">
        <v>122</v>
      </c>
      <c r="F523" s="18" t="s">
        <v>119</v>
      </c>
      <c r="G523" s="18" t="s">
        <v>100</v>
      </c>
      <c r="H523" s="18" t="s">
        <v>107</v>
      </c>
      <c r="I523" s="18" t="s">
        <v>102</v>
      </c>
      <c r="J523" s="18" t="s">
        <v>235</v>
      </c>
      <c r="K523" s="18" t="s">
        <v>195</v>
      </c>
      <c r="L523" s="64" t="n">
        <v>1404.672</v>
      </c>
      <c r="M523" s="64" t="n">
        <v>7.8</v>
      </c>
      <c r="N523" s="18" t="s">
        <v>713</v>
      </c>
      <c r="O523" s="65" t="n">
        <v>10956.4416</v>
      </c>
      <c r="P523" s="65"/>
      <c r="Q523" s="65"/>
      <c r="R523" s="65" t="s">
        <v>232</v>
      </c>
      <c r="S523" s="66" t="n">
        <f aca="false">Model_Calc!AL91</f>
        <v>10956.4416</v>
      </c>
      <c r="T523" s="66" t="n">
        <f aca="false">ROUND(S523-O523,4)</f>
        <v>0</v>
      </c>
    </row>
    <row r="524" customFormat="false" ht="15" hidden="false" customHeight="false" outlineLevel="0" collapsed="false">
      <c r="A524" s="18" t="s">
        <v>193</v>
      </c>
      <c r="B524" s="18" t="s">
        <v>194</v>
      </c>
      <c r="C524" s="18"/>
      <c r="D524" s="49" t="n">
        <v>46266</v>
      </c>
      <c r="E524" s="18" t="s">
        <v>122</v>
      </c>
      <c r="F524" s="18" t="s">
        <v>119</v>
      </c>
      <c r="G524" s="18" t="s">
        <v>100</v>
      </c>
      <c r="H524" s="18" t="s">
        <v>107</v>
      </c>
      <c r="I524" s="18" t="s">
        <v>102</v>
      </c>
      <c r="J524" s="18" t="s">
        <v>237</v>
      </c>
      <c r="K524" s="18" t="s">
        <v>195</v>
      </c>
      <c r="L524" s="64" t="n">
        <v>559.96416</v>
      </c>
      <c r="M524" s="64" t="n">
        <v>7.8</v>
      </c>
      <c r="N524" s="18" t="s">
        <v>714</v>
      </c>
      <c r="O524" s="65" t="n">
        <v>4367.7204</v>
      </c>
      <c r="P524" s="65"/>
      <c r="Q524" s="65"/>
      <c r="R524" s="65" t="s">
        <v>232</v>
      </c>
      <c r="S524" s="66" t="n">
        <f aca="false">Model_Calc!AQ91</f>
        <v>4367.720448</v>
      </c>
      <c r="T524" s="66" t="n">
        <f aca="false">ROUND(S524-O524,4)</f>
        <v>0</v>
      </c>
    </row>
    <row r="525" customFormat="false" ht="15" hidden="false" customHeight="false" outlineLevel="0" collapsed="false">
      <c r="A525" s="18" t="s">
        <v>193</v>
      </c>
      <c r="B525" s="18" t="s">
        <v>194</v>
      </c>
      <c r="C525" s="18"/>
      <c r="D525" s="49" t="n">
        <v>46266</v>
      </c>
      <c r="E525" s="18" t="s">
        <v>122</v>
      </c>
      <c r="F525" s="18" t="s">
        <v>119</v>
      </c>
      <c r="G525" s="18" t="s">
        <v>100</v>
      </c>
      <c r="H525" s="18" t="s">
        <v>107</v>
      </c>
      <c r="I525" s="18" t="s">
        <v>102</v>
      </c>
      <c r="J525" s="18" t="s">
        <v>239</v>
      </c>
      <c r="K525" s="18" t="s">
        <v>199</v>
      </c>
      <c r="L525" s="64" t="n">
        <v>457.1136</v>
      </c>
      <c r="M525" s="64" t="n">
        <v>9</v>
      </c>
      <c r="N525" s="18" t="s">
        <v>715</v>
      </c>
      <c r="O525" s="65" t="n">
        <v>4114.0224</v>
      </c>
      <c r="P525" s="65"/>
      <c r="Q525" s="65"/>
      <c r="R525" s="65" t="s">
        <v>232</v>
      </c>
      <c r="S525" s="66" t="n">
        <f aca="false">Model_Calc!AV91</f>
        <v>4114.0224</v>
      </c>
      <c r="T525" s="66" t="n">
        <f aca="false">ROUND(S525-O525,4)</f>
        <v>0</v>
      </c>
    </row>
    <row r="526" customFormat="false" ht="15" hidden="false" customHeight="false" outlineLevel="0" collapsed="false">
      <c r="A526" s="18" t="s">
        <v>193</v>
      </c>
      <c r="B526" s="18" t="s">
        <v>194</v>
      </c>
      <c r="C526" s="18"/>
      <c r="D526" s="49" t="n">
        <v>46266</v>
      </c>
      <c r="E526" s="18" t="s">
        <v>122</v>
      </c>
      <c r="F526" s="18" t="s">
        <v>119</v>
      </c>
      <c r="G526" s="18" t="s">
        <v>100</v>
      </c>
      <c r="H526" s="18" t="s">
        <v>107</v>
      </c>
      <c r="I526" s="18" t="s">
        <v>102</v>
      </c>
      <c r="J526" s="18" t="s">
        <v>241</v>
      </c>
      <c r="K526" s="18" t="s">
        <v>199</v>
      </c>
      <c r="L526" s="64" t="n">
        <v>52.1299968</v>
      </c>
      <c r="M526" s="64" t="n">
        <v>9</v>
      </c>
      <c r="N526" s="18" t="s">
        <v>716</v>
      </c>
      <c r="O526" s="65" t="n">
        <v>469.17</v>
      </c>
      <c r="P526" s="65"/>
      <c r="Q526" s="65"/>
      <c r="R526" s="65" t="s">
        <v>232</v>
      </c>
      <c r="S526" s="66" t="n">
        <f aca="false">Model_Calc!BA91</f>
        <v>469.1699712</v>
      </c>
      <c r="T526" s="66" t="n">
        <f aca="false">ROUND(S526-O526,4)</f>
        <v>0</v>
      </c>
    </row>
    <row r="527" customFormat="false" ht="15" hidden="false" customHeight="false" outlineLevel="0" collapsed="false">
      <c r="A527" s="18" t="s">
        <v>193</v>
      </c>
      <c r="B527" s="18" t="s">
        <v>194</v>
      </c>
      <c r="C527" s="18"/>
      <c r="D527" s="49" t="n">
        <v>46266</v>
      </c>
      <c r="E527" s="18" t="s">
        <v>124</v>
      </c>
      <c r="F527" s="18" t="s">
        <v>119</v>
      </c>
      <c r="G527" s="18" t="s">
        <v>100</v>
      </c>
      <c r="H527" s="18" t="s">
        <v>107</v>
      </c>
      <c r="I527" s="18" t="s">
        <v>125</v>
      </c>
      <c r="J527" s="18" t="s">
        <v>230</v>
      </c>
      <c r="K527" s="18" t="s">
        <v>199</v>
      </c>
      <c r="L527" s="64" t="n">
        <v>2175.64741632</v>
      </c>
      <c r="M527" s="64" t="n">
        <v>9</v>
      </c>
      <c r="N527" s="18" t="s">
        <v>717</v>
      </c>
      <c r="O527" s="65" t="n">
        <v>19580.8267</v>
      </c>
      <c r="P527" s="65"/>
      <c r="Q527" s="65"/>
      <c r="R527" s="65" t="s">
        <v>232</v>
      </c>
      <c r="S527" s="66" t="n">
        <f aca="false">Model_Calc!AF92</f>
        <v>19580.82674688</v>
      </c>
      <c r="T527" s="66" t="n">
        <f aca="false">ROUND(S527-O527,4)</f>
        <v>0</v>
      </c>
    </row>
    <row r="528" customFormat="false" ht="15" hidden="false" customHeight="false" outlineLevel="0" collapsed="false">
      <c r="A528" s="18" t="s">
        <v>193</v>
      </c>
      <c r="B528" s="18" t="s">
        <v>194</v>
      </c>
      <c r="C528" s="18"/>
      <c r="D528" s="49" t="n">
        <v>46266</v>
      </c>
      <c r="E528" s="18" t="s">
        <v>124</v>
      </c>
      <c r="F528" s="18" t="s">
        <v>119</v>
      </c>
      <c r="G528" s="18" t="s">
        <v>100</v>
      </c>
      <c r="H528" s="18" t="s">
        <v>107</v>
      </c>
      <c r="I528" s="18" t="s">
        <v>125</v>
      </c>
      <c r="J528" s="18" t="s">
        <v>233</v>
      </c>
      <c r="K528" s="18" t="s">
        <v>199</v>
      </c>
      <c r="L528" s="64" t="n">
        <v>250.1994528768</v>
      </c>
      <c r="M528" s="64" t="n">
        <v>9</v>
      </c>
      <c r="N528" s="18" t="s">
        <v>718</v>
      </c>
      <c r="O528" s="65" t="n">
        <v>2251.7951</v>
      </c>
      <c r="P528" s="65"/>
      <c r="Q528" s="65"/>
      <c r="R528" s="65" t="s">
        <v>232</v>
      </c>
      <c r="S528" s="66" t="n">
        <f aca="false">Model_Calc!AG92</f>
        <v>2251.7950758912</v>
      </c>
      <c r="T528" s="66" t="n">
        <f aca="false">ROUND(S528-O528,4)</f>
        <v>0</v>
      </c>
    </row>
    <row r="529" customFormat="false" ht="15" hidden="false" customHeight="false" outlineLevel="0" collapsed="false">
      <c r="A529" s="18" t="s">
        <v>193</v>
      </c>
      <c r="B529" s="18" t="s">
        <v>194</v>
      </c>
      <c r="C529" s="18"/>
      <c r="D529" s="49" t="n">
        <v>46266</v>
      </c>
      <c r="E529" s="18" t="s">
        <v>124</v>
      </c>
      <c r="F529" s="18" t="s">
        <v>119</v>
      </c>
      <c r="G529" s="18" t="s">
        <v>100</v>
      </c>
      <c r="H529" s="18" t="s">
        <v>107</v>
      </c>
      <c r="I529" s="18" t="s">
        <v>125</v>
      </c>
      <c r="J529" s="18" t="s">
        <v>235</v>
      </c>
      <c r="K529" s="18" t="s">
        <v>195</v>
      </c>
      <c r="L529" s="64" t="n">
        <v>393.30816</v>
      </c>
      <c r="M529" s="64" t="n">
        <v>7.8</v>
      </c>
      <c r="N529" s="18" t="s">
        <v>719</v>
      </c>
      <c r="O529" s="65" t="n">
        <v>3067.8036</v>
      </c>
      <c r="P529" s="65"/>
      <c r="Q529" s="65"/>
      <c r="R529" s="65" t="s">
        <v>232</v>
      </c>
      <c r="S529" s="66" t="n">
        <f aca="false">Model_Calc!AL92</f>
        <v>3067.803648</v>
      </c>
      <c r="T529" s="66" t="n">
        <f aca="false">ROUND(S529-O529,4)</f>
        <v>0</v>
      </c>
    </row>
    <row r="530" customFormat="false" ht="15" hidden="false" customHeight="false" outlineLevel="0" collapsed="false">
      <c r="A530" s="18" t="s">
        <v>193</v>
      </c>
      <c r="B530" s="18" t="s">
        <v>194</v>
      </c>
      <c r="C530" s="18"/>
      <c r="D530" s="49" t="n">
        <v>46266</v>
      </c>
      <c r="E530" s="18" t="s">
        <v>124</v>
      </c>
      <c r="F530" s="18" t="s">
        <v>119</v>
      </c>
      <c r="G530" s="18" t="s">
        <v>100</v>
      </c>
      <c r="H530" s="18" t="s">
        <v>107</v>
      </c>
      <c r="I530" s="18" t="s">
        <v>125</v>
      </c>
      <c r="J530" s="18" t="s">
        <v>237</v>
      </c>
      <c r="K530" s="18" t="s">
        <v>195</v>
      </c>
      <c r="L530" s="64" t="n">
        <v>156.7899648</v>
      </c>
      <c r="M530" s="64" t="n">
        <v>7.8</v>
      </c>
      <c r="N530" s="18" t="s">
        <v>720</v>
      </c>
      <c r="O530" s="65" t="n">
        <v>1222.9617</v>
      </c>
      <c r="P530" s="65"/>
      <c r="Q530" s="65"/>
      <c r="R530" s="65" t="s">
        <v>232</v>
      </c>
      <c r="S530" s="66" t="n">
        <f aca="false">Model_Calc!AQ92</f>
        <v>1222.96172544</v>
      </c>
      <c r="T530" s="66" t="n">
        <f aca="false">ROUND(S530-O530,4)</f>
        <v>0</v>
      </c>
    </row>
    <row r="531" customFormat="false" ht="15" hidden="false" customHeight="false" outlineLevel="0" collapsed="false">
      <c r="A531" s="18" t="s">
        <v>193</v>
      </c>
      <c r="B531" s="18" t="s">
        <v>194</v>
      </c>
      <c r="C531" s="18"/>
      <c r="D531" s="49" t="n">
        <v>46266</v>
      </c>
      <c r="E531" s="18" t="s">
        <v>124</v>
      </c>
      <c r="F531" s="18" t="s">
        <v>119</v>
      </c>
      <c r="G531" s="18" t="s">
        <v>100</v>
      </c>
      <c r="H531" s="18" t="s">
        <v>107</v>
      </c>
      <c r="I531" s="18" t="s">
        <v>125</v>
      </c>
      <c r="J531" s="18" t="s">
        <v>239</v>
      </c>
      <c r="K531" s="18" t="s">
        <v>199</v>
      </c>
      <c r="L531" s="64" t="n">
        <v>127.991808</v>
      </c>
      <c r="M531" s="64" t="n">
        <v>9</v>
      </c>
      <c r="N531" s="18" t="s">
        <v>721</v>
      </c>
      <c r="O531" s="65" t="n">
        <v>1151.9263</v>
      </c>
      <c r="P531" s="65"/>
      <c r="Q531" s="65"/>
      <c r="R531" s="65" t="s">
        <v>232</v>
      </c>
      <c r="S531" s="66" t="n">
        <f aca="false">Model_Calc!AV92</f>
        <v>1151.926272</v>
      </c>
      <c r="T531" s="66" t="n">
        <f aca="false">ROUND(S531-O531,4)</f>
        <v>0</v>
      </c>
    </row>
    <row r="532" customFormat="false" ht="15" hidden="false" customHeight="false" outlineLevel="0" collapsed="false">
      <c r="A532" s="18" t="s">
        <v>193</v>
      </c>
      <c r="B532" s="18" t="s">
        <v>194</v>
      </c>
      <c r="C532" s="18"/>
      <c r="D532" s="49" t="n">
        <v>46266</v>
      </c>
      <c r="E532" s="18" t="s">
        <v>124</v>
      </c>
      <c r="F532" s="18" t="s">
        <v>119</v>
      </c>
      <c r="G532" s="18" t="s">
        <v>100</v>
      </c>
      <c r="H532" s="18" t="s">
        <v>107</v>
      </c>
      <c r="I532" s="18" t="s">
        <v>125</v>
      </c>
      <c r="J532" s="18" t="s">
        <v>241</v>
      </c>
      <c r="K532" s="18" t="s">
        <v>199</v>
      </c>
      <c r="L532" s="64" t="n">
        <v>13.588463616</v>
      </c>
      <c r="M532" s="64" t="n">
        <v>9</v>
      </c>
      <c r="N532" s="18" t="s">
        <v>722</v>
      </c>
      <c r="O532" s="65" t="n">
        <v>122.2962</v>
      </c>
      <c r="P532" s="65"/>
      <c r="Q532" s="65"/>
      <c r="R532" s="65" t="s">
        <v>232</v>
      </c>
      <c r="S532" s="66" t="n">
        <f aca="false">Model_Calc!BA92</f>
        <v>122.296172544</v>
      </c>
      <c r="T532" s="66" t="n">
        <f aca="false">ROUND(S532-O532,4)</f>
        <v>0</v>
      </c>
    </row>
    <row r="533" customFormat="false" ht="15" hidden="false" customHeight="false" outlineLevel="0" collapsed="false">
      <c r="A533" s="18" t="s">
        <v>193</v>
      </c>
      <c r="B533" s="18" t="s">
        <v>194</v>
      </c>
      <c r="C533" s="18"/>
      <c r="D533" s="49" t="n">
        <v>46266</v>
      </c>
      <c r="E533" s="18" t="s">
        <v>127</v>
      </c>
      <c r="F533" s="18" t="s">
        <v>119</v>
      </c>
      <c r="G533" s="18" t="s">
        <v>100</v>
      </c>
      <c r="H533" s="18" t="s">
        <v>128</v>
      </c>
      <c r="I533" s="18" t="s">
        <v>125</v>
      </c>
      <c r="J533" s="18" t="s">
        <v>230</v>
      </c>
      <c r="K533" s="18" t="s">
        <v>199</v>
      </c>
      <c r="L533" s="64" t="n">
        <v>1103.929344</v>
      </c>
      <c r="M533" s="64" t="n">
        <v>9</v>
      </c>
      <c r="N533" s="18" t="s">
        <v>723</v>
      </c>
      <c r="O533" s="65" t="n">
        <v>9935.3641</v>
      </c>
      <c r="P533" s="65"/>
      <c r="Q533" s="65"/>
      <c r="R533" s="65" t="s">
        <v>232</v>
      </c>
      <c r="S533" s="66" t="n">
        <f aca="false">Model_Calc!AF93</f>
        <v>9935.364096</v>
      </c>
      <c r="T533" s="66" t="n">
        <f aca="false">ROUND(S533-O533,4)</f>
        <v>0</v>
      </c>
    </row>
    <row r="534" customFormat="false" ht="15" hidden="false" customHeight="false" outlineLevel="0" collapsed="false">
      <c r="A534" s="18" t="s">
        <v>193</v>
      </c>
      <c r="B534" s="18" t="s">
        <v>194</v>
      </c>
      <c r="C534" s="18"/>
      <c r="D534" s="49" t="n">
        <v>46266</v>
      </c>
      <c r="E534" s="18" t="s">
        <v>127</v>
      </c>
      <c r="F534" s="18" t="s">
        <v>119</v>
      </c>
      <c r="G534" s="18" t="s">
        <v>100</v>
      </c>
      <c r="H534" s="18" t="s">
        <v>128</v>
      </c>
      <c r="I534" s="18" t="s">
        <v>125</v>
      </c>
      <c r="J534" s="18" t="s">
        <v>233</v>
      </c>
      <c r="K534" s="18" t="s">
        <v>199</v>
      </c>
      <c r="L534" s="64" t="n">
        <v>85.370535936</v>
      </c>
      <c r="M534" s="64" t="n">
        <v>9</v>
      </c>
      <c r="N534" s="18" t="s">
        <v>724</v>
      </c>
      <c r="O534" s="65" t="n">
        <v>768.3348</v>
      </c>
      <c r="P534" s="65"/>
      <c r="Q534" s="65"/>
      <c r="R534" s="65" t="s">
        <v>232</v>
      </c>
      <c r="S534" s="66" t="n">
        <f aca="false">Model_Calc!AG93</f>
        <v>768.334823424</v>
      </c>
      <c r="T534" s="66" t="n">
        <f aca="false">ROUND(S534-O534,4)</f>
        <v>0</v>
      </c>
    </row>
    <row r="535" customFormat="false" ht="15" hidden="false" customHeight="false" outlineLevel="0" collapsed="false">
      <c r="A535" s="18" t="s">
        <v>193</v>
      </c>
      <c r="B535" s="18" t="s">
        <v>194</v>
      </c>
      <c r="C535" s="18"/>
      <c r="D535" s="49" t="n">
        <v>46266</v>
      </c>
      <c r="E535" s="18" t="s">
        <v>127</v>
      </c>
      <c r="F535" s="18" t="s">
        <v>119</v>
      </c>
      <c r="G535" s="18" t="s">
        <v>100</v>
      </c>
      <c r="H535" s="18" t="s">
        <v>128</v>
      </c>
      <c r="I535" s="18" t="s">
        <v>125</v>
      </c>
      <c r="J535" s="18" t="s">
        <v>235</v>
      </c>
      <c r="K535" s="18" t="s">
        <v>195</v>
      </c>
      <c r="L535" s="64" t="n">
        <v>168.56064</v>
      </c>
      <c r="M535" s="64" t="n">
        <v>7.8</v>
      </c>
      <c r="N535" s="18" t="s">
        <v>725</v>
      </c>
      <c r="O535" s="65" t="n">
        <v>1314.773</v>
      </c>
      <c r="P535" s="65"/>
      <c r="Q535" s="65"/>
      <c r="R535" s="65" t="s">
        <v>232</v>
      </c>
      <c r="S535" s="66" t="n">
        <f aca="false">Model_Calc!AL93</f>
        <v>1314.772992</v>
      </c>
      <c r="T535" s="66" t="n">
        <f aca="false">ROUND(S535-O535,4)</f>
        <v>0</v>
      </c>
    </row>
    <row r="536" customFormat="false" ht="15" hidden="false" customHeight="false" outlineLevel="0" collapsed="false">
      <c r="A536" s="18" t="s">
        <v>193</v>
      </c>
      <c r="B536" s="18" t="s">
        <v>194</v>
      </c>
      <c r="C536" s="18"/>
      <c r="D536" s="49" t="n">
        <v>46266</v>
      </c>
      <c r="E536" s="18" t="s">
        <v>127</v>
      </c>
      <c r="F536" s="18" t="s">
        <v>119</v>
      </c>
      <c r="G536" s="18" t="s">
        <v>100</v>
      </c>
      <c r="H536" s="18" t="s">
        <v>128</v>
      </c>
      <c r="I536" s="18" t="s">
        <v>125</v>
      </c>
      <c r="J536" s="18" t="s">
        <v>237</v>
      </c>
      <c r="K536" s="18" t="s">
        <v>195</v>
      </c>
      <c r="L536" s="64" t="n">
        <v>67.1956992</v>
      </c>
      <c r="M536" s="64" t="n">
        <v>7.8</v>
      </c>
      <c r="N536" s="18" t="s">
        <v>726</v>
      </c>
      <c r="O536" s="65" t="n">
        <v>524.1265</v>
      </c>
      <c r="P536" s="65"/>
      <c r="Q536" s="65"/>
      <c r="R536" s="65" t="s">
        <v>232</v>
      </c>
      <c r="S536" s="66" t="n">
        <f aca="false">Model_Calc!AQ93</f>
        <v>524.12645376</v>
      </c>
      <c r="T536" s="66" t="n">
        <f aca="false">ROUND(S536-O536,4)</f>
        <v>0</v>
      </c>
    </row>
    <row r="537" customFormat="false" ht="15" hidden="false" customHeight="false" outlineLevel="0" collapsed="false">
      <c r="A537" s="18" t="s">
        <v>193</v>
      </c>
      <c r="B537" s="18" t="s">
        <v>194</v>
      </c>
      <c r="C537" s="18"/>
      <c r="D537" s="49" t="n">
        <v>46266</v>
      </c>
      <c r="E537" s="18" t="s">
        <v>127</v>
      </c>
      <c r="F537" s="18" t="s">
        <v>119</v>
      </c>
      <c r="G537" s="18" t="s">
        <v>100</v>
      </c>
      <c r="H537" s="18" t="s">
        <v>128</v>
      </c>
      <c r="I537" s="18" t="s">
        <v>125</v>
      </c>
      <c r="J537" s="18" t="s">
        <v>239</v>
      </c>
      <c r="K537" s="18" t="s">
        <v>199</v>
      </c>
      <c r="L537" s="64" t="n">
        <v>54.853632</v>
      </c>
      <c r="M537" s="64" t="n">
        <v>9</v>
      </c>
      <c r="N537" s="18" t="s">
        <v>727</v>
      </c>
      <c r="O537" s="65" t="n">
        <v>493.6827</v>
      </c>
      <c r="P537" s="65"/>
      <c r="Q537" s="65"/>
      <c r="R537" s="65" t="s">
        <v>232</v>
      </c>
      <c r="S537" s="66" t="n">
        <f aca="false">Model_Calc!AV93</f>
        <v>493.682688</v>
      </c>
      <c r="T537" s="66" t="n">
        <f aca="false">ROUND(S537-O537,4)</f>
        <v>0</v>
      </c>
    </row>
    <row r="538" customFormat="false" ht="15" hidden="false" customHeight="false" outlineLevel="0" collapsed="false">
      <c r="A538" s="18" t="s">
        <v>193</v>
      </c>
      <c r="B538" s="18" t="s">
        <v>194</v>
      </c>
      <c r="C538" s="18"/>
      <c r="D538" s="49" t="n">
        <v>46266</v>
      </c>
      <c r="E538" s="18" t="s">
        <v>127</v>
      </c>
      <c r="F538" s="18" t="s">
        <v>119</v>
      </c>
      <c r="G538" s="18" t="s">
        <v>100</v>
      </c>
      <c r="H538" s="18" t="s">
        <v>128</v>
      </c>
      <c r="I538" s="18" t="s">
        <v>125</v>
      </c>
      <c r="J538" s="18" t="s">
        <v>241</v>
      </c>
      <c r="K538" s="18" t="s">
        <v>199</v>
      </c>
      <c r="L538" s="64" t="n">
        <v>5.183668224</v>
      </c>
      <c r="M538" s="64" t="n">
        <v>9</v>
      </c>
      <c r="N538" s="18" t="s">
        <v>728</v>
      </c>
      <c r="O538" s="65" t="n">
        <v>46.653</v>
      </c>
      <c r="P538" s="65"/>
      <c r="Q538" s="65"/>
      <c r="R538" s="65" t="s">
        <v>232</v>
      </c>
      <c r="S538" s="66" t="n">
        <f aca="false">Model_Calc!BA93</f>
        <v>46.653014016</v>
      </c>
      <c r="T538" s="66" t="n">
        <f aca="false">ROUND(S538-O538,4)</f>
        <v>0</v>
      </c>
    </row>
    <row r="539" customFormat="false" ht="15" hidden="false" customHeight="false" outlineLevel="0" collapsed="false">
      <c r="A539" s="18" t="s">
        <v>193</v>
      </c>
      <c r="B539" s="18" t="s">
        <v>194</v>
      </c>
      <c r="C539" s="18"/>
      <c r="D539" s="49" t="n">
        <v>46266</v>
      </c>
      <c r="E539" s="18" t="s">
        <v>130</v>
      </c>
      <c r="F539" s="18" t="s">
        <v>119</v>
      </c>
      <c r="G539" s="18" t="s">
        <v>110</v>
      </c>
      <c r="H539" s="18" t="s">
        <v>107</v>
      </c>
      <c r="I539" s="18" t="s">
        <v>125</v>
      </c>
      <c r="J539" s="18" t="s">
        <v>230</v>
      </c>
      <c r="K539" s="18" t="s">
        <v>195</v>
      </c>
      <c r="L539" s="64" t="n">
        <v>1375.8048</v>
      </c>
      <c r="M539" s="64" t="n">
        <v>7.8</v>
      </c>
      <c r="N539" s="18" t="s">
        <v>729</v>
      </c>
      <c r="O539" s="65" t="n">
        <v>10731.2774</v>
      </c>
      <c r="P539" s="65"/>
      <c r="Q539" s="65"/>
      <c r="R539" s="65" t="s">
        <v>232</v>
      </c>
      <c r="S539" s="66" t="n">
        <f aca="false">Model_Calc!AF94</f>
        <v>10731.27744</v>
      </c>
      <c r="T539" s="66" t="n">
        <f aca="false">ROUND(S539-O539,4)</f>
        <v>0</v>
      </c>
    </row>
    <row r="540" customFormat="false" ht="15" hidden="false" customHeight="false" outlineLevel="0" collapsed="false">
      <c r="A540" s="18" t="s">
        <v>193</v>
      </c>
      <c r="B540" s="18" t="s">
        <v>194</v>
      </c>
      <c r="C540" s="18"/>
      <c r="D540" s="49" t="n">
        <v>46266</v>
      </c>
      <c r="E540" s="18" t="s">
        <v>130</v>
      </c>
      <c r="F540" s="18" t="s">
        <v>119</v>
      </c>
      <c r="G540" s="18" t="s">
        <v>110</v>
      </c>
      <c r="H540" s="18" t="s">
        <v>107</v>
      </c>
      <c r="I540" s="18" t="s">
        <v>125</v>
      </c>
      <c r="J540" s="18" t="s">
        <v>233</v>
      </c>
      <c r="K540" s="18" t="s">
        <v>195</v>
      </c>
      <c r="L540" s="64" t="n">
        <v>144.459504</v>
      </c>
      <c r="M540" s="64" t="n">
        <v>7.8</v>
      </c>
      <c r="N540" s="18" t="s">
        <v>730</v>
      </c>
      <c r="O540" s="65" t="n">
        <v>1126.7841</v>
      </c>
      <c r="P540" s="65"/>
      <c r="Q540" s="65"/>
      <c r="R540" s="65" t="s">
        <v>232</v>
      </c>
      <c r="S540" s="66" t="n">
        <f aca="false">Model_Calc!AG94</f>
        <v>1126.7841312</v>
      </c>
      <c r="T540" s="66" t="n">
        <f aca="false">ROUND(S540-O540,4)</f>
        <v>0</v>
      </c>
    </row>
    <row r="541" customFormat="false" ht="15" hidden="false" customHeight="false" outlineLevel="0" collapsed="false">
      <c r="A541" s="18" t="s">
        <v>193</v>
      </c>
      <c r="B541" s="18" t="s">
        <v>194</v>
      </c>
      <c r="C541" s="18"/>
      <c r="D541" s="49" t="n">
        <v>46266</v>
      </c>
      <c r="E541" s="18" t="s">
        <v>130</v>
      </c>
      <c r="F541" s="18" t="s">
        <v>119</v>
      </c>
      <c r="G541" s="18" t="s">
        <v>110</v>
      </c>
      <c r="H541" s="18" t="s">
        <v>107</v>
      </c>
      <c r="I541" s="18" t="s">
        <v>125</v>
      </c>
      <c r="J541" s="18" t="s">
        <v>235</v>
      </c>
      <c r="K541" s="18" t="s">
        <v>195</v>
      </c>
      <c r="L541" s="64" t="n">
        <v>208.32</v>
      </c>
      <c r="M541" s="64" t="n">
        <v>7.8</v>
      </c>
      <c r="N541" s="18" t="s">
        <v>731</v>
      </c>
      <c r="O541" s="65" t="n">
        <v>1624.896</v>
      </c>
      <c r="P541" s="65"/>
      <c r="Q541" s="65"/>
      <c r="R541" s="65" t="s">
        <v>232</v>
      </c>
      <c r="S541" s="66" t="n">
        <f aca="false">Model_Calc!AL94</f>
        <v>1624.896</v>
      </c>
      <c r="T541" s="66" t="n">
        <f aca="false">ROUND(S541-O541,4)</f>
        <v>0</v>
      </c>
    </row>
    <row r="542" customFormat="false" ht="15" hidden="false" customHeight="false" outlineLevel="0" collapsed="false">
      <c r="A542" s="18" t="s">
        <v>193</v>
      </c>
      <c r="B542" s="18" t="s">
        <v>194</v>
      </c>
      <c r="C542" s="18"/>
      <c r="D542" s="49" t="n">
        <v>46266</v>
      </c>
      <c r="E542" s="18" t="s">
        <v>130</v>
      </c>
      <c r="F542" s="18" t="s">
        <v>119</v>
      </c>
      <c r="G542" s="18" t="s">
        <v>110</v>
      </c>
      <c r="H542" s="18" t="s">
        <v>107</v>
      </c>
      <c r="I542" s="18" t="s">
        <v>125</v>
      </c>
      <c r="J542" s="18" t="s">
        <v>237</v>
      </c>
      <c r="K542" s="18" t="s">
        <v>195</v>
      </c>
      <c r="L542" s="64" t="n">
        <v>86.7008</v>
      </c>
      <c r="M542" s="64" t="n">
        <v>7.8</v>
      </c>
      <c r="N542" s="18" t="s">
        <v>732</v>
      </c>
      <c r="O542" s="65" t="n">
        <v>676.2662</v>
      </c>
      <c r="P542" s="65"/>
      <c r="Q542" s="65"/>
      <c r="R542" s="65" t="s">
        <v>232</v>
      </c>
      <c r="S542" s="66" t="n">
        <f aca="false">Model_Calc!AQ94</f>
        <v>676.26624</v>
      </c>
      <c r="T542" s="66" t="n">
        <f aca="false">ROUND(S542-O542,4)</f>
        <v>0</v>
      </c>
    </row>
    <row r="543" customFormat="false" ht="15" hidden="false" customHeight="false" outlineLevel="0" collapsed="false">
      <c r="A543" s="18" t="s">
        <v>193</v>
      </c>
      <c r="B543" s="18" t="s">
        <v>194</v>
      </c>
      <c r="C543" s="18"/>
      <c r="D543" s="49" t="n">
        <v>46266</v>
      </c>
      <c r="E543" s="18" t="s">
        <v>130</v>
      </c>
      <c r="F543" s="18" t="s">
        <v>119</v>
      </c>
      <c r="G543" s="18" t="s">
        <v>110</v>
      </c>
      <c r="H543" s="18" t="s">
        <v>107</v>
      </c>
      <c r="I543" s="18" t="s">
        <v>125</v>
      </c>
      <c r="J543" s="18" t="s">
        <v>239</v>
      </c>
      <c r="K543" s="18" t="s">
        <v>195</v>
      </c>
      <c r="L543" s="64" t="n">
        <v>82.5344</v>
      </c>
      <c r="M543" s="64" t="n">
        <v>7.8</v>
      </c>
      <c r="N543" s="18" t="s">
        <v>733</v>
      </c>
      <c r="O543" s="65" t="n">
        <v>643.7683</v>
      </c>
      <c r="P543" s="65"/>
      <c r="Q543" s="65"/>
      <c r="R543" s="65" t="s">
        <v>232</v>
      </c>
      <c r="S543" s="66" t="n">
        <f aca="false">Model_Calc!AV94</f>
        <v>643.76832</v>
      </c>
      <c r="T543" s="66" t="n">
        <f aca="false">ROUND(S543-O543,4)</f>
        <v>0</v>
      </c>
    </row>
    <row r="544" customFormat="false" ht="15" hidden="false" customHeight="false" outlineLevel="0" collapsed="false">
      <c r="A544" s="18" t="s">
        <v>193</v>
      </c>
      <c r="B544" s="18" t="s">
        <v>194</v>
      </c>
      <c r="C544" s="18"/>
      <c r="D544" s="49" t="n">
        <v>46266</v>
      </c>
      <c r="E544" s="18" t="s">
        <v>130</v>
      </c>
      <c r="F544" s="18" t="s">
        <v>119</v>
      </c>
      <c r="G544" s="18" t="s">
        <v>110</v>
      </c>
      <c r="H544" s="18" t="s">
        <v>107</v>
      </c>
      <c r="I544" s="18" t="s">
        <v>125</v>
      </c>
      <c r="J544" s="18" t="s">
        <v>241</v>
      </c>
      <c r="K544" s="18" t="s">
        <v>195</v>
      </c>
      <c r="L544" s="64" t="n">
        <v>7.666176</v>
      </c>
      <c r="M544" s="64" t="n">
        <v>7.8</v>
      </c>
      <c r="N544" s="18" t="s">
        <v>734</v>
      </c>
      <c r="O544" s="65" t="n">
        <v>59.7962</v>
      </c>
      <c r="P544" s="65"/>
      <c r="Q544" s="65"/>
      <c r="R544" s="65" t="s">
        <v>232</v>
      </c>
      <c r="S544" s="66" t="n">
        <f aca="false">Model_Calc!BA94</f>
        <v>59.7961728</v>
      </c>
      <c r="T544" s="66" t="n">
        <f aca="false">ROUND(S544-O544,4)</f>
        <v>0</v>
      </c>
    </row>
    <row r="545" customFormat="false" ht="15" hidden="false" customHeight="false" outlineLevel="0" collapsed="false">
      <c r="A545" s="18" t="s">
        <v>193</v>
      </c>
      <c r="B545" s="18" t="s">
        <v>194</v>
      </c>
      <c r="C545" s="18"/>
      <c r="D545" s="49" t="n">
        <v>46296</v>
      </c>
      <c r="E545" s="18" t="s">
        <v>98</v>
      </c>
      <c r="F545" s="18" t="s">
        <v>99</v>
      </c>
      <c r="G545" s="18" t="s">
        <v>100</v>
      </c>
      <c r="H545" s="18" t="s">
        <v>101</v>
      </c>
      <c r="I545" s="18" t="s">
        <v>102</v>
      </c>
      <c r="J545" s="18" t="s">
        <v>230</v>
      </c>
      <c r="K545" s="18" t="s">
        <v>195</v>
      </c>
      <c r="L545" s="64" t="n">
        <v>6863.18881248</v>
      </c>
      <c r="M545" s="64" t="n">
        <v>7.8</v>
      </c>
      <c r="N545" s="18" t="s">
        <v>735</v>
      </c>
      <c r="O545" s="65" t="n">
        <v>53532.8727</v>
      </c>
      <c r="P545" s="65"/>
      <c r="Q545" s="65"/>
      <c r="R545" s="65" t="s">
        <v>232</v>
      </c>
      <c r="S545" s="66" t="n">
        <f aca="false">Model_Calc!AF95</f>
        <v>53532.872737344</v>
      </c>
      <c r="T545" s="66" t="n">
        <f aca="false">ROUND(S545-O545,4)</f>
        <v>0</v>
      </c>
    </row>
    <row r="546" customFormat="false" ht="15" hidden="false" customHeight="false" outlineLevel="0" collapsed="false">
      <c r="A546" s="18" t="s">
        <v>193</v>
      </c>
      <c r="B546" s="18" t="s">
        <v>194</v>
      </c>
      <c r="C546" s="18"/>
      <c r="D546" s="49" t="n">
        <v>46296</v>
      </c>
      <c r="E546" s="18" t="s">
        <v>98</v>
      </c>
      <c r="F546" s="18" t="s">
        <v>99</v>
      </c>
      <c r="G546" s="18" t="s">
        <v>100</v>
      </c>
      <c r="H546" s="18" t="s">
        <v>101</v>
      </c>
      <c r="I546" s="18" t="s">
        <v>102</v>
      </c>
      <c r="J546" s="18" t="s">
        <v>233</v>
      </c>
      <c r="K546" s="18" t="s">
        <v>195</v>
      </c>
      <c r="L546" s="64" t="n">
        <v>652.0029371856</v>
      </c>
      <c r="M546" s="64" t="n">
        <v>7.8</v>
      </c>
      <c r="N546" s="18" t="s">
        <v>736</v>
      </c>
      <c r="O546" s="65" t="n">
        <v>5085.6229</v>
      </c>
      <c r="P546" s="65"/>
      <c r="Q546" s="65"/>
      <c r="R546" s="65" t="s">
        <v>232</v>
      </c>
      <c r="S546" s="66" t="n">
        <f aca="false">Model_Calc!AG95</f>
        <v>5085.62291004768</v>
      </c>
      <c r="T546" s="66" t="n">
        <f aca="false">ROUND(S546-O546,4)</f>
        <v>0</v>
      </c>
    </row>
    <row r="547" customFormat="false" ht="15" hidden="false" customHeight="false" outlineLevel="0" collapsed="false">
      <c r="A547" s="18" t="s">
        <v>193</v>
      </c>
      <c r="B547" s="18" t="s">
        <v>194</v>
      </c>
      <c r="C547" s="18"/>
      <c r="D547" s="49" t="n">
        <v>46296</v>
      </c>
      <c r="E547" s="18" t="s">
        <v>98</v>
      </c>
      <c r="F547" s="18" t="s">
        <v>99</v>
      </c>
      <c r="G547" s="18" t="s">
        <v>100</v>
      </c>
      <c r="H547" s="18" t="s">
        <v>101</v>
      </c>
      <c r="I547" s="18" t="s">
        <v>102</v>
      </c>
      <c r="J547" s="18" t="s">
        <v>235</v>
      </c>
      <c r="K547" s="18" t="s">
        <v>195</v>
      </c>
      <c r="L547" s="64" t="n">
        <v>4450.2048</v>
      </c>
      <c r="M547" s="64" t="n">
        <v>7.8</v>
      </c>
      <c r="N547" s="18" t="s">
        <v>737</v>
      </c>
      <c r="O547" s="65" t="n">
        <v>34711.5974</v>
      </c>
      <c r="P547" s="65"/>
      <c r="Q547" s="65"/>
      <c r="R547" s="65" t="s">
        <v>232</v>
      </c>
      <c r="S547" s="66" t="n">
        <f aca="false">Model_Calc!AL95</f>
        <v>34711.59744</v>
      </c>
      <c r="T547" s="66" t="n">
        <f aca="false">ROUND(S547-O547,4)</f>
        <v>0</v>
      </c>
    </row>
    <row r="548" customFormat="false" ht="15" hidden="false" customHeight="false" outlineLevel="0" collapsed="false">
      <c r="A548" s="18" t="s">
        <v>193</v>
      </c>
      <c r="B548" s="18" t="s">
        <v>194</v>
      </c>
      <c r="C548" s="18"/>
      <c r="D548" s="49" t="n">
        <v>46296</v>
      </c>
      <c r="E548" s="18" t="s">
        <v>98</v>
      </c>
      <c r="F548" s="18" t="s">
        <v>99</v>
      </c>
      <c r="G548" s="18" t="s">
        <v>100</v>
      </c>
      <c r="H548" s="18" t="s">
        <v>101</v>
      </c>
      <c r="I548" s="18" t="s">
        <v>102</v>
      </c>
      <c r="J548" s="18" t="s">
        <v>237</v>
      </c>
      <c r="K548" s="18" t="s">
        <v>195</v>
      </c>
      <c r="L548" s="64" t="n">
        <v>1663.16976</v>
      </c>
      <c r="M548" s="64" t="n">
        <v>7.8</v>
      </c>
      <c r="N548" s="18" t="s">
        <v>738</v>
      </c>
      <c r="O548" s="65" t="n">
        <v>12972.7241</v>
      </c>
      <c r="P548" s="65"/>
      <c r="Q548" s="65"/>
      <c r="R548" s="65" t="s">
        <v>232</v>
      </c>
      <c r="S548" s="66" t="n">
        <f aca="false">Model_Calc!AQ95</f>
        <v>12972.724128</v>
      </c>
      <c r="T548" s="66" t="n">
        <f aca="false">ROUND(S548-O548,4)</f>
        <v>0</v>
      </c>
    </row>
    <row r="549" customFormat="false" ht="15" hidden="false" customHeight="false" outlineLevel="0" collapsed="false">
      <c r="A549" s="18" t="s">
        <v>193</v>
      </c>
      <c r="B549" s="18" t="s">
        <v>194</v>
      </c>
      <c r="C549" s="18"/>
      <c r="D549" s="49" t="n">
        <v>46296</v>
      </c>
      <c r="E549" s="18" t="s">
        <v>98</v>
      </c>
      <c r="F549" s="18" t="s">
        <v>99</v>
      </c>
      <c r="G549" s="18" t="s">
        <v>100</v>
      </c>
      <c r="H549" s="18" t="s">
        <v>101</v>
      </c>
      <c r="I549" s="18" t="s">
        <v>102</v>
      </c>
      <c r="J549" s="18" t="s">
        <v>239</v>
      </c>
      <c r="K549" s="18" t="s">
        <v>195</v>
      </c>
      <c r="L549" s="64" t="n">
        <v>603.4176</v>
      </c>
      <c r="M549" s="64" t="n">
        <v>7.8</v>
      </c>
      <c r="N549" s="18" t="s">
        <v>739</v>
      </c>
      <c r="O549" s="65" t="n">
        <v>4706.6573</v>
      </c>
      <c r="P549" s="65"/>
      <c r="Q549" s="65"/>
      <c r="R549" s="65" t="s">
        <v>232</v>
      </c>
      <c r="S549" s="66" t="n">
        <f aca="false">Model_Calc!AV95</f>
        <v>4706.65728</v>
      </c>
      <c r="T549" s="66" t="n">
        <f aca="false">ROUND(S549-O549,4)</f>
        <v>0</v>
      </c>
    </row>
    <row r="550" customFormat="false" ht="15" hidden="false" customHeight="false" outlineLevel="0" collapsed="false">
      <c r="A550" s="18" t="s">
        <v>193</v>
      </c>
      <c r="B550" s="18" t="s">
        <v>194</v>
      </c>
      <c r="C550" s="18"/>
      <c r="D550" s="49" t="n">
        <v>46296</v>
      </c>
      <c r="E550" s="18" t="s">
        <v>98</v>
      </c>
      <c r="F550" s="18" t="s">
        <v>99</v>
      </c>
      <c r="G550" s="18" t="s">
        <v>100</v>
      </c>
      <c r="H550" s="18" t="s">
        <v>101</v>
      </c>
      <c r="I550" s="18" t="s">
        <v>102</v>
      </c>
      <c r="J550" s="18" t="s">
        <v>241</v>
      </c>
      <c r="K550" s="18" t="s">
        <v>195</v>
      </c>
      <c r="L550" s="64" t="n">
        <v>145.7253504</v>
      </c>
      <c r="M550" s="64" t="n">
        <v>7.8</v>
      </c>
      <c r="N550" s="18" t="s">
        <v>740</v>
      </c>
      <c r="O550" s="65" t="n">
        <v>1136.6577</v>
      </c>
      <c r="P550" s="65"/>
      <c r="Q550" s="65"/>
      <c r="R550" s="65" t="s">
        <v>232</v>
      </c>
      <c r="S550" s="66" t="n">
        <f aca="false">Model_Calc!BA95</f>
        <v>1136.65773312</v>
      </c>
      <c r="T550" s="66" t="n">
        <f aca="false">ROUND(S550-O550,4)</f>
        <v>0</v>
      </c>
    </row>
    <row r="551" customFormat="false" ht="15" hidden="false" customHeight="false" outlineLevel="0" collapsed="false">
      <c r="A551" s="18" t="s">
        <v>193</v>
      </c>
      <c r="B551" s="18" t="s">
        <v>194</v>
      </c>
      <c r="C551" s="18"/>
      <c r="D551" s="49" t="n">
        <v>46296</v>
      </c>
      <c r="E551" s="18" t="s">
        <v>106</v>
      </c>
      <c r="F551" s="18" t="s">
        <v>99</v>
      </c>
      <c r="G551" s="18" t="s">
        <v>100</v>
      </c>
      <c r="H551" s="18" t="s">
        <v>107</v>
      </c>
      <c r="I551" s="18" t="s">
        <v>102</v>
      </c>
      <c r="J551" s="18" t="s">
        <v>230</v>
      </c>
      <c r="K551" s="18" t="s">
        <v>195</v>
      </c>
      <c r="L551" s="64" t="n">
        <v>5865.973344</v>
      </c>
      <c r="M551" s="64" t="n">
        <v>7.8</v>
      </c>
      <c r="N551" s="18" t="s">
        <v>741</v>
      </c>
      <c r="O551" s="65" t="n">
        <v>45754.5921</v>
      </c>
      <c r="P551" s="65"/>
      <c r="Q551" s="65"/>
      <c r="R551" s="65" t="s">
        <v>232</v>
      </c>
      <c r="S551" s="66" t="n">
        <f aca="false">Model_Calc!AF96</f>
        <v>45754.5920832</v>
      </c>
      <c r="T551" s="66" t="n">
        <f aca="false">ROUND(S551-O551,4)</f>
        <v>0</v>
      </c>
    </row>
    <row r="552" customFormat="false" ht="15" hidden="false" customHeight="false" outlineLevel="0" collapsed="false">
      <c r="A552" s="18" t="s">
        <v>193</v>
      </c>
      <c r="B552" s="18" t="s">
        <v>194</v>
      </c>
      <c r="C552" s="18"/>
      <c r="D552" s="49" t="n">
        <v>46296</v>
      </c>
      <c r="E552" s="18" t="s">
        <v>106</v>
      </c>
      <c r="F552" s="18" t="s">
        <v>99</v>
      </c>
      <c r="G552" s="18" t="s">
        <v>100</v>
      </c>
      <c r="H552" s="18" t="s">
        <v>107</v>
      </c>
      <c r="I552" s="18" t="s">
        <v>102</v>
      </c>
      <c r="J552" s="18" t="s">
        <v>233</v>
      </c>
      <c r="K552" s="18" t="s">
        <v>195</v>
      </c>
      <c r="L552" s="64" t="n">
        <v>447.94705536</v>
      </c>
      <c r="M552" s="64" t="n">
        <v>7.8</v>
      </c>
      <c r="N552" s="18" t="s">
        <v>742</v>
      </c>
      <c r="O552" s="65" t="n">
        <v>3493.987</v>
      </c>
      <c r="P552" s="65"/>
      <c r="Q552" s="65"/>
      <c r="R552" s="65" t="s">
        <v>232</v>
      </c>
      <c r="S552" s="66" t="n">
        <f aca="false">Model_Calc!AG96</f>
        <v>3493.987031808</v>
      </c>
      <c r="T552" s="66" t="n">
        <f aca="false">ROUND(S552-O552,4)</f>
        <v>0</v>
      </c>
    </row>
    <row r="553" customFormat="false" ht="15" hidden="false" customHeight="false" outlineLevel="0" collapsed="false">
      <c r="A553" s="18" t="s">
        <v>193</v>
      </c>
      <c r="B553" s="18" t="s">
        <v>194</v>
      </c>
      <c r="C553" s="18"/>
      <c r="D553" s="49" t="n">
        <v>46296</v>
      </c>
      <c r="E553" s="18" t="s">
        <v>106</v>
      </c>
      <c r="F553" s="18" t="s">
        <v>99</v>
      </c>
      <c r="G553" s="18" t="s">
        <v>100</v>
      </c>
      <c r="H553" s="18" t="s">
        <v>107</v>
      </c>
      <c r="I553" s="18" t="s">
        <v>102</v>
      </c>
      <c r="J553" s="18" t="s">
        <v>235</v>
      </c>
      <c r="K553" s="18" t="s">
        <v>195</v>
      </c>
      <c r="L553" s="64" t="n">
        <v>2966.8032</v>
      </c>
      <c r="M553" s="64" t="n">
        <v>7.8</v>
      </c>
      <c r="N553" s="18" t="s">
        <v>743</v>
      </c>
      <c r="O553" s="65" t="n">
        <v>23141.065</v>
      </c>
      <c r="P553" s="65"/>
      <c r="Q553" s="65"/>
      <c r="R553" s="65" t="s">
        <v>232</v>
      </c>
      <c r="S553" s="66" t="n">
        <f aca="false">Model_Calc!AL96</f>
        <v>23141.06496</v>
      </c>
      <c r="T553" s="66" t="n">
        <f aca="false">ROUND(S553-O553,4)</f>
        <v>0</v>
      </c>
    </row>
    <row r="554" customFormat="false" ht="15" hidden="false" customHeight="false" outlineLevel="0" collapsed="false">
      <c r="A554" s="18" t="s">
        <v>193</v>
      </c>
      <c r="B554" s="18" t="s">
        <v>194</v>
      </c>
      <c r="C554" s="18"/>
      <c r="D554" s="49" t="n">
        <v>46296</v>
      </c>
      <c r="E554" s="18" t="s">
        <v>106</v>
      </c>
      <c r="F554" s="18" t="s">
        <v>99</v>
      </c>
      <c r="G554" s="18" t="s">
        <v>100</v>
      </c>
      <c r="H554" s="18" t="s">
        <v>107</v>
      </c>
      <c r="I554" s="18" t="s">
        <v>102</v>
      </c>
      <c r="J554" s="18" t="s">
        <v>237</v>
      </c>
      <c r="K554" s="18" t="s">
        <v>195</v>
      </c>
      <c r="L554" s="64" t="n">
        <v>1108.77984</v>
      </c>
      <c r="M554" s="64" t="n">
        <v>7.8</v>
      </c>
      <c r="N554" s="18" t="s">
        <v>744</v>
      </c>
      <c r="O554" s="65" t="n">
        <v>8648.4828</v>
      </c>
      <c r="P554" s="65"/>
      <c r="Q554" s="65"/>
      <c r="R554" s="65" t="s">
        <v>232</v>
      </c>
      <c r="S554" s="66" t="n">
        <f aca="false">Model_Calc!AQ96</f>
        <v>8648.482752</v>
      </c>
      <c r="T554" s="66" t="n">
        <f aca="false">ROUND(S554-O554,4)</f>
        <v>0</v>
      </c>
    </row>
    <row r="555" customFormat="false" ht="15" hidden="false" customHeight="false" outlineLevel="0" collapsed="false">
      <c r="A555" s="18" t="s">
        <v>193</v>
      </c>
      <c r="B555" s="18" t="s">
        <v>194</v>
      </c>
      <c r="C555" s="18"/>
      <c r="D555" s="49" t="n">
        <v>46296</v>
      </c>
      <c r="E555" s="18" t="s">
        <v>106</v>
      </c>
      <c r="F555" s="18" t="s">
        <v>99</v>
      </c>
      <c r="G555" s="18" t="s">
        <v>100</v>
      </c>
      <c r="H555" s="18" t="s">
        <v>107</v>
      </c>
      <c r="I555" s="18" t="s">
        <v>102</v>
      </c>
      <c r="J555" s="18" t="s">
        <v>239</v>
      </c>
      <c r="K555" s="18" t="s">
        <v>195</v>
      </c>
      <c r="L555" s="64" t="n">
        <v>402.2784</v>
      </c>
      <c r="M555" s="64" t="n">
        <v>7.8</v>
      </c>
      <c r="N555" s="18" t="s">
        <v>745</v>
      </c>
      <c r="O555" s="65" t="n">
        <v>3137.7715</v>
      </c>
      <c r="P555" s="65"/>
      <c r="Q555" s="65"/>
      <c r="R555" s="65" t="s">
        <v>232</v>
      </c>
      <c r="S555" s="66" t="n">
        <f aca="false">Model_Calc!AV96</f>
        <v>3137.77152</v>
      </c>
      <c r="T555" s="66" t="n">
        <f aca="false">ROUND(S555-O555,4)</f>
        <v>0</v>
      </c>
    </row>
    <row r="556" customFormat="false" ht="15" hidden="false" customHeight="false" outlineLevel="0" collapsed="false">
      <c r="A556" s="18" t="s">
        <v>193</v>
      </c>
      <c r="B556" s="18" t="s">
        <v>194</v>
      </c>
      <c r="C556" s="18"/>
      <c r="D556" s="49" t="n">
        <v>46296</v>
      </c>
      <c r="E556" s="18" t="s">
        <v>106</v>
      </c>
      <c r="F556" s="18" t="s">
        <v>99</v>
      </c>
      <c r="G556" s="18" t="s">
        <v>100</v>
      </c>
      <c r="H556" s="18" t="s">
        <v>107</v>
      </c>
      <c r="I556" s="18" t="s">
        <v>102</v>
      </c>
      <c r="J556" s="18" t="s">
        <v>241</v>
      </c>
      <c r="K556" s="18" t="s">
        <v>195</v>
      </c>
      <c r="L556" s="64" t="n">
        <v>78.9345648</v>
      </c>
      <c r="M556" s="64" t="n">
        <v>7.8</v>
      </c>
      <c r="N556" s="18" t="s">
        <v>746</v>
      </c>
      <c r="O556" s="65" t="n">
        <v>615.6896</v>
      </c>
      <c r="P556" s="65"/>
      <c r="Q556" s="65"/>
      <c r="R556" s="65" t="s">
        <v>232</v>
      </c>
      <c r="S556" s="66" t="n">
        <f aca="false">Model_Calc!BA96</f>
        <v>615.68960544</v>
      </c>
      <c r="T556" s="66" t="n">
        <f aca="false">ROUND(S556-O556,4)</f>
        <v>0</v>
      </c>
    </row>
    <row r="557" customFormat="false" ht="15" hidden="false" customHeight="false" outlineLevel="0" collapsed="false">
      <c r="A557" s="18" t="s">
        <v>193</v>
      </c>
      <c r="B557" s="18" t="s">
        <v>194</v>
      </c>
      <c r="C557" s="18"/>
      <c r="D557" s="49" t="n">
        <v>46296</v>
      </c>
      <c r="E557" s="18" t="s">
        <v>109</v>
      </c>
      <c r="F557" s="18" t="s">
        <v>99</v>
      </c>
      <c r="G557" s="18" t="s">
        <v>110</v>
      </c>
      <c r="H557" s="18" t="s">
        <v>107</v>
      </c>
      <c r="I557" s="18" t="s">
        <v>102</v>
      </c>
      <c r="J557" s="18" t="s">
        <v>230</v>
      </c>
      <c r="K557" s="18" t="s">
        <v>195</v>
      </c>
      <c r="L557" s="64" t="n">
        <v>601.80221376</v>
      </c>
      <c r="M557" s="64" t="n">
        <v>7.8</v>
      </c>
      <c r="N557" s="18" t="s">
        <v>747</v>
      </c>
      <c r="O557" s="65" t="n">
        <v>4694.0573</v>
      </c>
      <c r="P557" s="65"/>
      <c r="Q557" s="65"/>
      <c r="R557" s="65" t="s">
        <v>232</v>
      </c>
      <c r="S557" s="66" t="n">
        <f aca="false">Model_Calc!AF97</f>
        <v>4694.057267328</v>
      </c>
      <c r="T557" s="66" t="n">
        <f aca="false">ROUND(S557-O557,4)</f>
        <v>0</v>
      </c>
    </row>
    <row r="558" customFormat="false" ht="15" hidden="false" customHeight="false" outlineLevel="0" collapsed="false">
      <c r="A558" s="18" t="s">
        <v>193</v>
      </c>
      <c r="B558" s="18" t="s">
        <v>194</v>
      </c>
      <c r="C558" s="18"/>
      <c r="D558" s="49" t="n">
        <v>46296</v>
      </c>
      <c r="E558" s="18" t="s">
        <v>109</v>
      </c>
      <c r="F558" s="18" t="s">
        <v>99</v>
      </c>
      <c r="G558" s="18" t="s">
        <v>110</v>
      </c>
      <c r="H558" s="18" t="s">
        <v>107</v>
      </c>
      <c r="I558" s="18" t="s">
        <v>102</v>
      </c>
      <c r="J558" s="18" t="s">
        <v>233</v>
      </c>
      <c r="K558" s="18" t="s">
        <v>195</v>
      </c>
      <c r="L558" s="64" t="n">
        <v>43.767433728</v>
      </c>
      <c r="M558" s="64" t="n">
        <v>7.8</v>
      </c>
      <c r="N558" s="18" t="s">
        <v>748</v>
      </c>
      <c r="O558" s="65" t="n">
        <v>341.386</v>
      </c>
      <c r="P558" s="65"/>
      <c r="Q558" s="65"/>
      <c r="R558" s="65" t="s">
        <v>232</v>
      </c>
      <c r="S558" s="66" t="n">
        <f aca="false">Model_Calc!AG97</f>
        <v>341.3859830784</v>
      </c>
      <c r="T558" s="66" t="n">
        <f aca="false">ROUND(S558-O558,4)</f>
        <v>0</v>
      </c>
    </row>
    <row r="559" customFormat="false" ht="15" hidden="false" customHeight="false" outlineLevel="0" collapsed="false">
      <c r="A559" s="18" t="s">
        <v>193</v>
      </c>
      <c r="B559" s="18" t="s">
        <v>194</v>
      </c>
      <c r="C559" s="18"/>
      <c r="D559" s="49" t="n">
        <v>46296</v>
      </c>
      <c r="E559" s="18" t="s">
        <v>109</v>
      </c>
      <c r="F559" s="18" t="s">
        <v>99</v>
      </c>
      <c r="G559" s="18" t="s">
        <v>110</v>
      </c>
      <c r="H559" s="18" t="s">
        <v>107</v>
      </c>
      <c r="I559" s="18" t="s">
        <v>102</v>
      </c>
      <c r="J559" s="18" t="s">
        <v>235</v>
      </c>
      <c r="K559" s="18" t="s">
        <v>195</v>
      </c>
      <c r="L559" s="64" t="n">
        <v>204.12</v>
      </c>
      <c r="M559" s="64" t="n">
        <v>7.8</v>
      </c>
      <c r="N559" s="18" t="s">
        <v>749</v>
      </c>
      <c r="O559" s="65" t="n">
        <v>1592.136</v>
      </c>
      <c r="P559" s="65"/>
      <c r="Q559" s="65"/>
      <c r="R559" s="65" t="s">
        <v>232</v>
      </c>
      <c r="S559" s="66" t="n">
        <f aca="false">Model_Calc!AL97</f>
        <v>1592.136</v>
      </c>
      <c r="T559" s="66" t="n">
        <f aca="false">ROUND(S559-O559,4)</f>
        <v>0</v>
      </c>
    </row>
    <row r="560" customFormat="false" ht="15" hidden="false" customHeight="false" outlineLevel="0" collapsed="false">
      <c r="A560" s="18" t="s">
        <v>193</v>
      </c>
      <c r="B560" s="18" t="s">
        <v>194</v>
      </c>
      <c r="C560" s="18"/>
      <c r="D560" s="49" t="n">
        <v>46296</v>
      </c>
      <c r="E560" s="18" t="s">
        <v>109</v>
      </c>
      <c r="F560" s="18" t="s">
        <v>99</v>
      </c>
      <c r="G560" s="18" t="s">
        <v>110</v>
      </c>
      <c r="H560" s="18" t="s">
        <v>107</v>
      </c>
      <c r="I560" s="18" t="s">
        <v>102</v>
      </c>
      <c r="J560" s="18" t="s">
        <v>237</v>
      </c>
      <c r="K560" s="18" t="s">
        <v>195</v>
      </c>
      <c r="L560" s="64" t="n">
        <v>79.78176</v>
      </c>
      <c r="M560" s="64" t="n">
        <v>7.8</v>
      </c>
      <c r="N560" s="18" t="s">
        <v>750</v>
      </c>
      <c r="O560" s="65" t="n">
        <v>622.2977</v>
      </c>
      <c r="P560" s="65"/>
      <c r="Q560" s="65"/>
      <c r="R560" s="65" t="s">
        <v>232</v>
      </c>
      <c r="S560" s="66" t="n">
        <f aca="false">Model_Calc!AQ97</f>
        <v>622.297728</v>
      </c>
      <c r="T560" s="66" t="n">
        <f aca="false">ROUND(S560-O560,4)</f>
        <v>0</v>
      </c>
    </row>
    <row r="561" customFormat="false" ht="15" hidden="false" customHeight="false" outlineLevel="0" collapsed="false">
      <c r="A561" s="18" t="s">
        <v>193</v>
      </c>
      <c r="B561" s="18" t="s">
        <v>194</v>
      </c>
      <c r="C561" s="18"/>
      <c r="D561" s="49" t="n">
        <v>46296</v>
      </c>
      <c r="E561" s="18" t="s">
        <v>109</v>
      </c>
      <c r="F561" s="18" t="s">
        <v>99</v>
      </c>
      <c r="G561" s="18" t="s">
        <v>110</v>
      </c>
      <c r="H561" s="18" t="s">
        <v>107</v>
      </c>
      <c r="I561" s="18" t="s">
        <v>102</v>
      </c>
      <c r="J561" s="18" t="s">
        <v>239</v>
      </c>
      <c r="K561" s="18" t="s">
        <v>195</v>
      </c>
      <c r="L561" s="64" t="n">
        <v>36.936</v>
      </c>
      <c r="M561" s="64" t="n">
        <v>7.8</v>
      </c>
      <c r="N561" s="18" t="s">
        <v>751</v>
      </c>
      <c r="O561" s="65" t="n">
        <v>288.1008</v>
      </c>
      <c r="P561" s="65"/>
      <c r="Q561" s="65"/>
      <c r="R561" s="65" t="s">
        <v>232</v>
      </c>
      <c r="S561" s="66" t="n">
        <f aca="false">Model_Calc!AV97</f>
        <v>288.1008</v>
      </c>
      <c r="T561" s="66" t="n">
        <f aca="false">ROUND(S561-O561,4)</f>
        <v>0</v>
      </c>
    </row>
    <row r="562" customFormat="false" ht="15" hidden="false" customHeight="false" outlineLevel="0" collapsed="false">
      <c r="A562" s="18" t="s">
        <v>193</v>
      </c>
      <c r="B562" s="18" t="s">
        <v>194</v>
      </c>
      <c r="C562" s="18"/>
      <c r="D562" s="49" t="n">
        <v>46296</v>
      </c>
      <c r="E562" s="18" t="s">
        <v>109</v>
      </c>
      <c r="F562" s="18" t="s">
        <v>99</v>
      </c>
      <c r="G562" s="18" t="s">
        <v>110</v>
      </c>
      <c r="H562" s="18" t="s">
        <v>107</v>
      </c>
      <c r="I562" s="18" t="s">
        <v>102</v>
      </c>
      <c r="J562" s="18" t="s">
        <v>241</v>
      </c>
      <c r="K562" s="18" t="s">
        <v>195</v>
      </c>
      <c r="L562" s="64" t="n">
        <v>6.7604544</v>
      </c>
      <c r="M562" s="64" t="n">
        <v>7.8</v>
      </c>
      <c r="N562" s="18" t="s">
        <v>752</v>
      </c>
      <c r="O562" s="65" t="n">
        <v>52.7315</v>
      </c>
      <c r="P562" s="65"/>
      <c r="Q562" s="65"/>
      <c r="R562" s="65" t="s">
        <v>232</v>
      </c>
      <c r="S562" s="66" t="n">
        <f aca="false">Model_Calc!BA97</f>
        <v>52.73154432</v>
      </c>
      <c r="T562" s="66" t="n">
        <f aca="false">ROUND(S562-O562,4)</f>
        <v>0</v>
      </c>
    </row>
    <row r="563" customFormat="false" ht="15" hidden="false" customHeight="false" outlineLevel="0" collapsed="false">
      <c r="A563" s="18" t="s">
        <v>193</v>
      </c>
      <c r="B563" s="18" t="s">
        <v>194</v>
      </c>
      <c r="C563" s="18"/>
      <c r="D563" s="49" t="n">
        <v>46296</v>
      </c>
      <c r="E563" s="18" t="s">
        <v>112</v>
      </c>
      <c r="F563" s="18" t="s">
        <v>113</v>
      </c>
      <c r="G563" s="18" t="s">
        <v>110</v>
      </c>
      <c r="H563" s="18" t="s">
        <v>101</v>
      </c>
      <c r="I563" s="18" t="s">
        <v>102</v>
      </c>
      <c r="J563" s="18" t="s">
        <v>230</v>
      </c>
      <c r="K563" s="18" t="s">
        <v>195</v>
      </c>
      <c r="L563" s="64" t="n">
        <v>3337.0473528</v>
      </c>
      <c r="M563" s="64" t="n">
        <v>7.8</v>
      </c>
      <c r="N563" s="18" t="s">
        <v>753</v>
      </c>
      <c r="O563" s="65" t="n">
        <v>26028.9694</v>
      </c>
      <c r="P563" s="65"/>
      <c r="Q563" s="65"/>
      <c r="R563" s="65" t="s">
        <v>232</v>
      </c>
      <c r="S563" s="66" t="n">
        <f aca="false">Model_Calc!AF98</f>
        <v>26028.96935184</v>
      </c>
      <c r="T563" s="66" t="n">
        <f aca="false">ROUND(S563-O563,4)</f>
        <v>0</v>
      </c>
    </row>
    <row r="564" customFormat="false" ht="15" hidden="false" customHeight="false" outlineLevel="0" collapsed="false">
      <c r="A564" s="18" t="s">
        <v>193</v>
      </c>
      <c r="B564" s="18" t="s">
        <v>194</v>
      </c>
      <c r="C564" s="18"/>
      <c r="D564" s="49" t="n">
        <v>46296</v>
      </c>
      <c r="E564" s="18" t="s">
        <v>112</v>
      </c>
      <c r="F564" s="18" t="s">
        <v>113</v>
      </c>
      <c r="G564" s="18" t="s">
        <v>110</v>
      </c>
      <c r="H564" s="18" t="s">
        <v>101</v>
      </c>
      <c r="I564" s="18" t="s">
        <v>102</v>
      </c>
      <c r="J564" s="18" t="s">
        <v>233</v>
      </c>
      <c r="K564" s="18" t="s">
        <v>195</v>
      </c>
      <c r="L564" s="64" t="n">
        <v>300.334261752</v>
      </c>
      <c r="M564" s="64" t="n">
        <v>7.8</v>
      </c>
      <c r="N564" s="18" t="s">
        <v>754</v>
      </c>
      <c r="O564" s="65" t="n">
        <v>2342.6072</v>
      </c>
      <c r="P564" s="65"/>
      <c r="Q564" s="65"/>
      <c r="R564" s="65" t="s">
        <v>232</v>
      </c>
      <c r="S564" s="66" t="n">
        <f aca="false">Model_Calc!AG98</f>
        <v>2342.6072416656</v>
      </c>
      <c r="T564" s="66" t="n">
        <f aca="false">ROUND(S564-O564,4)</f>
        <v>0</v>
      </c>
    </row>
    <row r="565" customFormat="false" ht="15" hidden="false" customHeight="false" outlineLevel="0" collapsed="false">
      <c r="A565" s="18" t="s">
        <v>193</v>
      </c>
      <c r="B565" s="18" t="s">
        <v>194</v>
      </c>
      <c r="C565" s="18"/>
      <c r="D565" s="49" t="n">
        <v>46296</v>
      </c>
      <c r="E565" s="18" t="s">
        <v>112</v>
      </c>
      <c r="F565" s="18" t="s">
        <v>113</v>
      </c>
      <c r="G565" s="18" t="s">
        <v>110</v>
      </c>
      <c r="H565" s="18" t="s">
        <v>101</v>
      </c>
      <c r="I565" s="18" t="s">
        <v>102</v>
      </c>
      <c r="J565" s="18" t="s">
        <v>235</v>
      </c>
      <c r="K565" s="18" t="s">
        <v>195</v>
      </c>
      <c r="L565" s="64" t="n">
        <v>2050.65</v>
      </c>
      <c r="M565" s="64" t="n">
        <v>7.8</v>
      </c>
      <c r="N565" s="18" t="s">
        <v>755</v>
      </c>
      <c r="O565" s="65" t="n">
        <v>15995.07</v>
      </c>
      <c r="P565" s="65"/>
      <c r="Q565" s="65"/>
      <c r="R565" s="65" t="s">
        <v>232</v>
      </c>
      <c r="S565" s="66" t="n">
        <f aca="false">Model_Calc!AL98</f>
        <v>15995.07</v>
      </c>
      <c r="T565" s="66" t="n">
        <f aca="false">ROUND(S565-O565,4)</f>
        <v>0</v>
      </c>
    </row>
    <row r="566" customFormat="false" ht="15" hidden="false" customHeight="false" outlineLevel="0" collapsed="false">
      <c r="A566" s="18" t="s">
        <v>193</v>
      </c>
      <c r="B566" s="18" t="s">
        <v>194</v>
      </c>
      <c r="C566" s="18"/>
      <c r="D566" s="49" t="n">
        <v>46296</v>
      </c>
      <c r="E566" s="18" t="s">
        <v>112</v>
      </c>
      <c r="F566" s="18" t="s">
        <v>113</v>
      </c>
      <c r="G566" s="18" t="s">
        <v>110</v>
      </c>
      <c r="H566" s="18" t="s">
        <v>101</v>
      </c>
      <c r="I566" s="18" t="s">
        <v>102</v>
      </c>
      <c r="J566" s="18" t="s">
        <v>237</v>
      </c>
      <c r="K566" s="18" t="s">
        <v>195</v>
      </c>
      <c r="L566" s="64" t="n">
        <v>786.6684</v>
      </c>
      <c r="M566" s="64" t="n">
        <v>7.8</v>
      </c>
      <c r="N566" s="18" t="s">
        <v>756</v>
      </c>
      <c r="O566" s="65" t="n">
        <v>6136.0135</v>
      </c>
      <c r="P566" s="65"/>
      <c r="Q566" s="65"/>
      <c r="R566" s="65" t="s">
        <v>232</v>
      </c>
      <c r="S566" s="66" t="n">
        <f aca="false">Model_Calc!AQ98</f>
        <v>6136.01352</v>
      </c>
      <c r="T566" s="66" t="n">
        <f aca="false">ROUND(S566-O566,4)</f>
        <v>0</v>
      </c>
    </row>
    <row r="567" customFormat="false" ht="15" hidden="false" customHeight="false" outlineLevel="0" collapsed="false">
      <c r="A567" s="18" t="s">
        <v>193</v>
      </c>
      <c r="B567" s="18" t="s">
        <v>194</v>
      </c>
      <c r="C567" s="18"/>
      <c r="D567" s="49" t="n">
        <v>46296</v>
      </c>
      <c r="E567" s="18" t="s">
        <v>112</v>
      </c>
      <c r="F567" s="18" t="s">
        <v>113</v>
      </c>
      <c r="G567" s="18" t="s">
        <v>110</v>
      </c>
      <c r="H567" s="18" t="s">
        <v>101</v>
      </c>
      <c r="I567" s="18" t="s">
        <v>102</v>
      </c>
      <c r="J567" s="18" t="s">
        <v>239</v>
      </c>
      <c r="K567" s="18" t="s">
        <v>195</v>
      </c>
      <c r="L567" s="64" t="n">
        <v>351.54</v>
      </c>
      <c r="M567" s="64" t="n">
        <v>7.8</v>
      </c>
      <c r="N567" s="18" t="s">
        <v>757</v>
      </c>
      <c r="O567" s="65" t="n">
        <v>2742.012</v>
      </c>
      <c r="P567" s="65"/>
      <c r="Q567" s="65"/>
      <c r="R567" s="65" t="s">
        <v>232</v>
      </c>
      <c r="S567" s="66" t="n">
        <f aca="false">Model_Calc!AV98</f>
        <v>2742.012</v>
      </c>
      <c r="T567" s="66" t="n">
        <f aca="false">ROUND(S567-O567,4)</f>
        <v>0</v>
      </c>
    </row>
    <row r="568" customFormat="false" ht="15" hidden="false" customHeight="false" outlineLevel="0" collapsed="false">
      <c r="A568" s="18" t="s">
        <v>193</v>
      </c>
      <c r="B568" s="18" t="s">
        <v>194</v>
      </c>
      <c r="C568" s="18"/>
      <c r="D568" s="49" t="n">
        <v>46296</v>
      </c>
      <c r="E568" s="18" t="s">
        <v>112</v>
      </c>
      <c r="F568" s="18" t="s">
        <v>113</v>
      </c>
      <c r="G568" s="18" t="s">
        <v>110</v>
      </c>
      <c r="H568" s="18" t="s">
        <v>101</v>
      </c>
      <c r="I568" s="18" t="s">
        <v>102</v>
      </c>
      <c r="J568" s="18" t="s">
        <v>241</v>
      </c>
      <c r="K568" s="18" t="s">
        <v>195</v>
      </c>
      <c r="L568" s="64" t="n">
        <v>80.944038</v>
      </c>
      <c r="M568" s="64" t="n">
        <v>7.8</v>
      </c>
      <c r="N568" s="18" t="s">
        <v>758</v>
      </c>
      <c r="O568" s="65" t="n">
        <v>631.3635</v>
      </c>
      <c r="P568" s="65"/>
      <c r="Q568" s="65"/>
      <c r="R568" s="65" t="s">
        <v>232</v>
      </c>
      <c r="S568" s="66" t="n">
        <f aca="false">Model_Calc!BA98</f>
        <v>631.3634964</v>
      </c>
      <c r="T568" s="66" t="n">
        <f aca="false">ROUND(S568-O568,4)</f>
        <v>0</v>
      </c>
    </row>
    <row r="569" customFormat="false" ht="15" hidden="false" customHeight="false" outlineLevel="0" collapsed="false">
      <c r="A569" s="18" t="s">
        <v>193</v>
      </c>
      <c r="B569" s="18" t="s">
        <v>194</v>
      </c>
      <c r="C569" s="18"/>
      <c r="D569" s="49" t="n">
        <v>46296</v>
      </c>
      <c r="E569" s="18" t="s">
        <v>116</v>
      </c>
      <c r="F569" s="18" t="s">
        <v>113</v>
      </c>
      <c r="G569" s="18" t="s">
        <v>110</v>
      </c>
      <c r="H569" s="18" t="s">
        <v>107</v>
      </c>
      <c r="I569" s="18" t="s">
        <v>102</v>
      </c>
      <c r="J569" s="18" t="s">
        <v>230</v>
      </c>
      <c r="K569" s="18" t="s">
        <v>195</v>
      </c>
      <c r="L569" s="64" t="n">
        <v>7975.8179748</v>
      </c>
      <c r="M569" s="64" t="n">
        <v>7.8</v>
      </c>
      <c r="N569" s="18" t="s">
        <v>759</v>
      </c>
      <c r="O569" s="65" t="n">
        <v>62211.3802</v>
      </c>
      <c r="P569" s="65"/>
      <c r="Q569" s="65"/>
      <c r="R569" s="65" t="s">
        <v>232</v>
      </c>
      <c r="S569" s="66" t="n">
        <f aca="false">Model_Calc!AF99</f>
        <v>62211.38020344</v>
      </c>
      <c r="T569" s="66" t="n">
        <f aca="false">ROUND(S569-O569,4)</f>
        <v>0</v>
      </c>
    </row>
    <row r="570" customFormat="false" ht="15" hidden="false" customHeight="false" outlineLevel="0" collapsed="false">
      <c r="A570" s="18" t="s">
        <v>193</v>
      </c>
      <c r="B570" s="18" t="s">
        <v>194</v>
      </c>
      <c r="C570" s="18"/>
      <c r="D570" s="49" t="n">
        <v>46296</v>
      </c>
      <c r="E570" s="18" t="s">
        <v>116</v>
      </c>
      <c r="F570" s="18" t="s">
        <v>113</v>
      </c>
      <c r="G570" s="18" t="s">
        <v>110</v>
      </c>
      <c r="H570" s="18" t="s">
        <v>107</v>
      </c>
      <c r="I570" s="18" t="s">
        <v>102</v>
      </c>
      <c r="J570" s="18" t="s">
        <v>233</v>
      </c>
      <c r="K570" s="18" t="s">
        <v>195</v>
      </c>
      <c r="L570" s="64" t="n">
        <v>613.5244596</v>
      </c>
      <c r="M570" s="64" t="n">
        <v>7.8</v>
      </c>
      <c r="N570" s="18" t="s">
        <v>760</v>
      </c>
      <c r="O570" s="65" t="n">
        <v>4785.4908</v>
      </c>
      <c r="P570" s="65"/>
      <c r="Q570" s="65"/>
      <c r="R570" s="65" t="s">
        <v>232</v>
      </c>
      <c r="S570" s="66" t="n">
        <f aca="false">Model_Calc!AG99</f>
        <v>4785.49078488</v>
      </c>
      <c r="T570" s="66" t="n">
        <f aca="false">ROUND(S570-O570,4)</f>
        <v>0</v>
      </c>
    </row>
    <row r="571" customFormat="false" ht="15" hidden="false" customHeight="false" outlineLevel="0" collapsed="false">
      <c r="A571" s="18" t="s">
        <v>193</v>
      </c>
      <c r="B571" s="18" t="s">
        <v>194</v>
      </c>
      <c r="C571" s="18"/>
      <c r="D571" s="49" t="n">
        <v>46296</v>
      </c>
      <c r="E571" s="18" t="s">
        <v>116</v>
      </c>
      <c r="F571" s="18" t="s">
        <v>113</v>
      </c>
      <c r="G571" s="18" t="s">
        <v>110</v>
      </c>
      <c r="H571" s="18" t="s">
        <v>107</v>
      </c>
      <c r="I571" s="18" t="s">
        <v>102</v>
      </c>
      <c r="J571" s="18" t="s">
        <v>235</v>
      </c>
      <c r="K571" s="18" t="s">
        <v>195</v>
      </c>
      <c r="L571" s="64" t="n">
        <v>3808.35</v>
      </c>
      <c r="M571" s="64" t="n">
        <v>7.8</v>
      </c>
      <c r="N571" s="18" t="s">
        <v>761</v>
      </c>
      <c r="O571" s="65" t="n">
        <v>29705.13</v>
      </c>
      <c r="P571" s="65"/>
      <c r="Q571" s="65"/>
      <c r="R571" s="65" t="s">
        <v>232</v>
      </c>
      <c r="S571" s="66" t="n">
        <f aca="false">Model_Calc!AL99</f>
        <v>29705.13</v>
      </c>
      <c r="T571" s="66" t="n">
        <f aca="false">ROUND(S571-O571,4)</f>
        <v>0</v>
      </c>
    </row>
    <row r="572" customFormat="false" ht="15" hidden="false" customHeight="false" outlineLevel="0" collapsed="false">
      <c r="A572" s="18" t="s">
        <v>193</v>
      </c>
      <c r="B572" s="18" t="s">
        <v>194</v>
      </c>
      <c r="C572" s="18"/>
      <c r="D572" s="49" t="n">
        <v>46296</v>
      </c>
      <c r="E572" s="18" t="s">
        <v>116</v>
      </c>
      <c r="F572" s="18" t="s">
        <v>113</v>
      </c>
      <c r="G572" s="18" t="s">
        <v>110</v>
      </c>
      <c r="H572" s="18" t="s">
        <v>107</v>
      </c>
      <c r="I572" s="18" t="s">
        <v>102</v>
      </c>
      <c r="J572" s="18" t="s">
        <v>237</v>
      </c>
      <c r="K572" s="18" t="s">
        <v>195</v>
      </c>
      <c r="L572" s="64" t="n">
        <v>1460.9556</v>
      </c>
      <c r="M572" s="64" t="n">
        <v>7.8</v>
      </c>
      <c r="N572" s="18" t="s">
        <v>762</v>
      </c>
      <c r="O572" s="65" t="n">
        <v>11395.4537</v>
      </c>
      <c r="P572" s="65"/>
      <c r="Q572" s="65"/>
      <c r="R572" s="65" t="s">
        <v>232</v>
      </c>
      <c r="S572" s="66" t="n">
        <f aca="false">Model_Calc!AQ99</f>
        <v>11395.45368</v>
      </c>
      <c r="T572" s="66" t="n">
        <f aca="false">ROUND(S572-O572,4)</f>
        <v>0</v>
      </c>
    </row>
    <row r="573" customFormat="false" ht="15" hidden="false" customHeight="false" outlineLevel="0" collapsed="false">
      <c r="A573" s="18" t="s">
        <v>193</v>
      </c>
      <c r="B573" s="18" t="s">
        <v>194</v>
      </c>
      <c r="C573" s="18"/>
      <c r="D573" s="49" t="n">
        <v>46296</v>
      </c>
      <c r="E573" s="18" t="s">
        <v>116</v>
      </c>
      <c r="F573" s="18" t="s">
        <v>113</v>
      </c>
      <c r="G573" s="18" t="s">
        <v>110</v>
      </c>
      <c r="H573" s="18" t="s">
        <v>107</v>
      </c>
      <c r="I573" s="18" t="s">
        <v>102</v>
      </c>
      <c r="J573" s="18" t="s">
        <v>239</v>
      </c>
      <c r="K573" s="18" t="s">
        <v>195</v>
      </c>
      <c r="L573" s="64" t="n">
        <v>652.86</v>
      </c>
      <c r="M573" s="64" t="n">
        <v>7.8</v>
      </c>
      <c r="N573" s="18" t="s">
        <v>763</v>
      </c>
      <c r="O573" s="65" t="n">
        <v>5092.308</v>
      </c>
      <c r="P573" s="65"/>
      <c r="Q573" s="65"/>
      <c r="R573" s="65" t="s">
        <v>232</v>
      </c>
      <c r="S573" s="66" t="n">
        <f aca="false">Model_Calc!AV99</f>
        <v>5092.308</v>
      </c>
      <c r="T573" s="66" t="n">
        <f aca="false">ROUND(S573-O573,4)</f>
        <v>0</v>
      </c>
    </row>
    <row r="574" customFormat="false" ht="15" hidden="false" customHeight="false" outlineLevel="0" collapsed="false">
      <c r="A574" s="18" t="s">
        <v>193</v>
      </c>
      <c r="B574" s="18" t="s">
        <v>194</v>
      </c>
      <c r="C574" s="18"/>
      <c r="D574" s="49" t="n">
        <v>46296</v>
      </c>
      <c r="E574" s="18" t="s">
        <v>116</v>
      </c>
      <c r="F574" s="18" t="s">
        <v>113</v>
      </c>
      <c r="G574" s="18" t="s">
        <v>110</v>
      </c>
      <c r="H574" s="18" t="s">
        <v>107</v>
      </c>
      <c r="I574" s="18" t="s">
        <v>102</v>
      </c>
      <c r="J574" s="18" t="s">
        <v>241</v>
      </c>
      <c r="K574" s="18" t="s">
        <v>195</v>
      </c>
      <c r="L574" s="64" t="n">
        <v>123.796764</v>
      </c>
      <c r="M574" s="64" t="n">
        <v>7.8</v>
      </c>
      <c r="N574" s="18" t="s">
        <v>764</v>
      </c>
      <c r="O574" s="65" t="n">
        <v>965.6148</v>
      </c>
      <c r="P574" s="65"/>
      <c r="Q574" s="65"/>
      <c r="R574" s="65" t="s">
        <v>232</v>
      </c>
      <c r="S574" s="66" t="n">
        <f aca="false">Model_Calc!BA99</f>
        <v>965.6147592</v>
      </c>
      <c r="T574" s="66" t="n">
        <f aca="false">ROUND(S574-O574,4)</f>
        <v>0</v>
      </c>
    </row>
    <row r="575" customFormat="false" ht="15" hidden="false" customHeight="false" outlineLevel="0" collapsed="false">
      <c r="A575" s="18" t="s">
        <v>193</v>
      </c>
      <c r="B575" s="18" t="s">
        <v>194</v>
      </c>
      <c r="C575" s="18"/>
      <c r="D575" s="49" t="n">
        <v>46296</v>
      </c>
      <c r="E575" s="18" t="s">
        <v>118</v>
      </c>
      <c r="F575" s="18" t="s">
        <v>119</v>
      </c>
      <c r="G575" s="18" t="s">
        <v>100</v>
      </c>
      <c r="H575" s="18" t="s">
        <v>101</v>
      </c>
      <c r="I575" s="18" t="s">
        <v>102</v>
      </c>
      <c r="J575" s="18" t="s">
        <v>230</v>
      </c>
      <c r="K575" s="18" t="s">
        <v>199</v>
      </c>
      <c r="L575" s="64" t="n">
        <v>17106.87154176</v>
      </c>
      <c r="M575" s="64" t="n">
        <v>9</v>
      </c>
      <c r="N575" s="18" t="s">
        <v>765</v>
      </c>
      <c r="O575" s="65" t="n">
        <v>153961.8439</v>
      </c>
      <c r="P575" s="65"/>
      <c r="Q575" s="65"/>
      <c r="R575" s="65" t="s">
        <v>232</v>
      </c>
      <c r="S575" s="66" t="n">
        <f aca="false">Model_Calc!AF100</f>
        <v>153961.84387584</v>
      </c>
      <c r="T575" s="66" t="n">
        <f aca="false">ROUND(S575-O575,4)</f>
        <v>0</v>
      </c>
    </row>
    <row r="576" customFormat="false" ht="15" hidden="false" customHeight="false" outlineLevel="0" collapsed="false">
      <c r="A576" s="18" t="s">
        <v>193</v>
      </c>
      <c r="B576" s="18" t="s">
        <v>194</v>
      </c>
      <c r="C576" s="18"/>
      <c r="D576" s="49" t="n">
        <v>46296</v>
      </c>
      <c r="E576" s="18" t="s">
        <v>118</v>
      </c>
      <c r="F576" s="18" t="s">
        <v>119</v>
      </c>
      <c r="G576" s="18" t="s">
        <v>100</v>
      </c>
      <c r="H576" s="18" t="s">
        <v>101</v>
      </c>
      <c r="I576" s="18" t="s">
        <v>102</v>
      </c>
      <c r="J576" s="18" t="s">
        <v>233</v>
      </c>
      <c r="K576" s="18" t="s">
        <v>199</v>
      </c>
      <c r="L576" s="64" t="n">
        <v>1710.687154176</v>
      </c>
      <c r="M576" s="64" t="n">
        <v>9</v>
      </c>
      <c r="N576" s="18" t="s">
        <v>766</v>
      </c>
      <c r="O576" s="65" t="n">
        <v>15396.1844</v>
      </c>
      <c r="P576" s="65"/>
      <c r="Q576" s="65"/>
      <c r="R576" s="65" t="s">
        <v>232</v>
      </c>
      <c r="S576" s="66" t="n">
        <f aca="false">Model_Calc!AG100</f>
        <v>15396.184387584</v>
      </c>
      <c r="T576" s="66" t="n">
        <f aca="false">ROUND(S576-O576,4)</f>
        <v>0</v>
      </c>
    </row>
    <row r="577" customFormat="false" ht="15" hidden="false" customHeight="false" outlineLevel="0" collapsed="false">
      <c r="A577" s="18" t="s">
        <v>193</v>
      </c>
      <c r="B577" s="18" t="s">
        <v>194</v>
      </c>
      <c r="C577" s="18"/>
      <c r="D577" s="49" t="n">
        <v>46296</v>
      </c>
      <c r="E577" s="18" t="s">
        <v>118</v>
      </c>
      <c r="F577" s="18" t="s">
        <v>119</v>
      </c>
      <c r="G577" s="18" t="s">
        <v>100</v>
      </c>
      <c r="H577" s="18" t="s">
        <v>101</v>
      </c>
      <c r="I577" s="18" t="s">
        <v>102</v>
      </c>
      <c r="J577" s="18" t="s">
        <v>235</v>
      </c>
      <c r="K577" s="18" t="s">
        <v>195</v>
      </c>
      <c r="L577" s="64" t="n">
        <v>4373.7408</v>
      </c>
      <c r="M577" s="64" t="n">
        <v>7.8</v>
      </c>
      <c r="N577" s="18" t="s">
        <v>767</v>
      </c>
      <c r="O577" s="65" t="n">
        <v>34115.1782</v>
      </c>
      <c r="P577" s="65"/>
      <c r="Q577" s="65"/>
      <c r="R577" s="65" t="s">
        <v>232</v>
      </c>
      <c r="S577" s="66" t="n">
        <f aca="false">Model_Calc!AL100</f>
        <v>34115.17824</v>
      </c>
      <c r="T577" s="66" t="n">
        <f aca="false">ROUND(S577-O577,4)</f>
        <v>0</v>
      </c>
    </row>
    <row r="578" customFormat="false" ht="15" hidden="false" customHeight="false" outlineLevel="0" collapsed="false">
      <c r="A578" s="18" t="s">
        <v>193</v>
      </c>
      <c r="B578" s="18" t="s">
        <v>194</v>
      </c>
      <c r="C578" s="18"/>
      <c r="D578" s="49" t="n">
        <v>46296</v>
      </c>
      <c r="E578" s="18" t="s">
        <v>118</v>
      </c>
      <c r="F578" s="18" t="s">
        <v>119</v>
      </c>
      <c r="G578" s="18" t="s">
        <v>100</v>
      </c>
      <c r="H578" s="18" t="s">
        <v>101</v>
      </c>
      <c r="I578" s="18" t="s">
        <v>102</v>
      </c>
      <c r="J578" s="18" t="s">
        <v>237</v>
      </c>
      <c r="K578" s="18" t="s">
        <v>195</v>
      </c>
      <c r="L578" s="64" t="n">
        <v>1743.565824</v>
      </c>
      <c r="M578" s="64" t="n">
        <v>7.8</v>
      </c>
      <c r="N578" s="18" t="s">
        <v>768</v>
      </c>
      <c r="O578" s="65" t="n">
        <v>13599.8134</v>
      </c>
      <c r="P578" s="65"/>
      <c r="Q578" s="65"/>
      <c r="R578" s="65" t="s">
        <v>232</v>
      </c>
      <c r="S578" s="66" t="n">
        <f aca="false">Model_Calc!AQ100</f>
        <v>13599.8134272</v>
      </c>
      <c r="T578" s="66" t="n">
        <f aca="false">ROUND(S578-O578,4)</f>
        <v>0</v>
      </c>
    </row>
    <row r="579" customFormat="false" ht="15" hidden="false" customHeight="false" outlineLevel="0" collapsed="false">
      <c r="A579" s="18" t="s">
        <v>193</v>
      </c>
      <c r="B579" s="18" t="s">
        <v>194</v>
      </c>
      <c r="C579" s="18"/>
      <c r="D579" s="49" t="n">
        <v>46296</v>
      </c>
      <c r="E579" s="18" t="s">
        <v>118</v>
      </c>
      <c r="F579" s="18" t="s">
        <v>119</v>
      </c>
      <c r="G579" s="18" t="s">
        <v>100</v>
      </c>
      <c r="H579" s="18" t="s">
        <v>101</v>
      </c>
      <c r="I579" s="18" t="s">
        <v>102</v>
      </c>
      <c r="J579" s="18" t="s">
        <v>239</v>
      </c>
      <c r="K579" s="18" t="s">
        <v>199</v>
      </c>
      <c r="L579" s="64" t="n">
        <v>1423.31904</v>
      </c>
      <c r="M579" s="64" t="n">
        <v>9</v>
      </c>
      <c r="N579" s="18" t="s">
        <v>769</v>
      </c>
      <c r="O579" s="65" t="n">
        <v>12809.8714</v>
      </c>
      <c r="P579" s="65"/>
      <c r="Q579" s="65"/>
      <c r="R579" s="65" t="s">
        <v>232</v>
      </c>
      <c r="S579" s="66" t="n">
        <f aca="false">Model_Calc!AV100</f>
        <v>12809.87136</v>
      </c>
      <c r="T579" s="66" t="n">
        <f aca="false">ROUND(S579-O579,4)</f>
        <v>0</v>
      </c>
    </row>
    <row r="580" customFormat="false" ht="15" hidden="false" customHeight="false" outlineLevel="0" collapsed="false">
      <c r="A580" s="18" t="s">
        <v>193</v>
      </c>
      <c r="B580" s="18" t="s">
        <v>194</v>
      </c>
      <c r="C580" s="18"/>
      <c r="D580" s="49" t="n">
        <v>46296</v>
      </c>
      <c r="E580" s="18" t="s">
        <v>118</v>
      </c>
      <c r="F580" s="18" t="s">
        <v>119</v>
      </c>
      <c r="G580" s="18" t="s">
        <v>100</v>
      </c>
      <c r="H580" s="18" t="s">
        <v>101</v>
      </c>
      <c r="I580" s="18" t="s">
        <v>102</v>
      </c>
      <c r="J580" s="18" t="s">
        <v>241</v>
      </c>
      <c r="K580" s="18" t="s">
        <v>199</v>
      </c>
      <c r="L580" s="64" t="n">
        <v>210.05816832</v>
      </c>
      <c r="M580" s="64" t="n">
        <v>9</v>
      </c>
      <c r="N580" s="18" t="s">
        <v>770</v>
      </c>
      <c r="O580" s="65" t="n">
        <v>1890.5235</v>
      </c>
      <c r="P580" s="65"/>
      <c r="Q580" s="65"/>
      <c r="R580" s="65" t="s">
        <v>232</v>
      </c>
      <c r="S580" s="66" t="n">
        <f aca="false">Model_Calc!BA100</f>
        <v>1890.52351488</v>
      </c>
      <c r="T580" s="66" t="n">
        <f aca="false">ROUND(S580-O580,4)</f>
        <v>0</v>
      </c>
    </row>
    <row r="581" customFormat="false" ht="15" hidden="false" customHeight="false" outlineLevel="0" collapsed="false">
      <c r="A581" s="18" t="s">
        <v>193</v>
      </c>
      <c r="B581" s="18" t="s">
        <v>194</v>
      </c>
      <c r="C581" s="18"/>
      <c r="D581" s="49" t="n">
        <v>46296</v>
      </c>
      <c r="E581" s="18" t="s">
        <v>122</v>
      </c>
      <c r="F581" s="18" t="s">
        <v>119</v>
      </c>
      <c r="G581" s="18" t="s">
        <v>100</v>
      </c>
      <c r="H581" s="18" t="s">
        <v>107</v>
      </c>
      <c r="I581" s="18" t="s">
        <v>102</v>
      </c>
      <c r="J581" s="18" t="s">
        <v>230</v>
      </c>
      <c r="K581" s="18" t="s">
        <v>199</v>
      </c>
      <c r="L581" s="64" t="n">
        <v>7579.401984</v>
      </c>
      <c r="M581" s="64" t="n">
        <v>9</v>
      </c>
      <c r="N581" s="18" t="s">
        <v>771</v>
      </c>
      <c r="O581" s="65" t="n">
        <v>68214.6179</v>
      </c>
      <c r="P581" s="65"/>
      <c r="Q581" s="65"/>
      <c r="R581" s="65" t="s">
        <v>232</v>
      </c>
      <c r="S581" s="66" t="n">
        <f aca="false">Model_Calc!AF101</f>
        <v>68214.617856</v>
      </c>
      <c r="T581" s="66" t="n">
        <f aca="false">ROUND(S581-O581,4)</f>
        <v>0</v>
      </c>
    </row>
    <row r="582" customFormat="false" ht="15" hidden="false" customHeight="false" outlineLevel="0" collapsed="false">
      <c r="A582" s="18" t="s">
        <v>193</v>
      </c>
      <c r="B582" s="18" t="s">
        <v>194</v>
      </c>
      <c r="C582" s="18"/>
      <c r="D582" s="49" t="n">
        <v>46296</v>
      </c>
      <c r="E582" s="18" t="s">
        <v>122</v>
      </c>
      <c r="F582" s="18" t="s">
        <v>119</v>
      </c>
      <c r="G582" s="18" t="s">
        <v>100</v>
      </c>
      <c r="H582" s="18" t="s">
        <v>107</v>
      </c>
      <c r="I582" s="18" t="s">
        <v>102</v>
      </c>
      <c r="J582" s="18" t="s">
        <v>233</v>
      </c>
      <c r="K582" s="18" t="s">
        <v>199</v>
      </c>
      <c r="L582" s="64" t="n">
        <v>532.1707776</v>
      </c>
      <c r="M582" s="64" t="n">
        <v>9</v>
      </c>
      <c r="N582" s="18" t="s">
        <v>772</v>
      </c>
      <c r="O582" s="65" t="n">
        <v>4789.537</v>
      </c>
      <c r="P582" s="65"/>
      <c r="Q582" s="65"/>
      <c r="R582" s="65" t="s">
        <v>232</v>
      </c>
      <c r="S582" s="66" t="n">
        <f aca="false">Model_Calc!AG101</f>
        <v>4789.5369984</v>
      </c>
      <c r="T582" s="66" t="n">
        <f aca="false">ROUND(S582-O582,4)</f>
        <v>0</v>
      </c>
    </row>
    <row r="583" customFormat="false" ht="15" hidden="false" customHeight="false" outlineLevel="0" collapsed="false">
      <c r="A583" s="18" t="s">
        <v>193</v>
      </c>
      <c r="B583" s="18" t="s">
        <v>194</v>
      </c>
      <c r="C583" s="18"/>
      <c r="D583" s="49" t="n">
        <v>46296</v>
      </c>
      <c r="E583" s="18" t="s">
        <v>122</v>
      </c>
      <c r="F583" s="18" t="s">
        <v>119</v>
      </c>
      <c r="G583" s="18" t="s">
        <v>100</v>
      </c>
      <c r="H583" s="18" t="s">
        <v>107</v>
      </c>
      <c r="I583" s="18" t="s">
        <v>102</v>
      </c>
      <c r="J583" s="18" t="s">
        <v>235</v>
      </c>
      <c r="K583" s="18" t="s">
        <v>195</v>
      </c>
      <c r="L583" s="64" t="n">
        <v>1682.208</v>
      </c>
      <c r="M583" s="64" t="n">
        <v>7.8</v>
      </c>
      <c r="N583" s="18" t="s">
        <v>773</v>
      </c>
      <c r="O583" s="65" t="n">
        <v>13121.2224</v>
      </c>
      <c r="P583" s="65"/>
      <c r="Q583" s="65"/>
      <c r="R583" s="65" t="s">
        <v>232</v>
      </c>
      <c r="S583" s="66" t="n">
        <f aca="false">Model_Calc!AL101</f>
        <v>13121.2224</v>
      </c>
      <c r="T583" s="66" t="n">
        <f aca="false">ROUND(S583-O583,4)</f>
        <v>0</v>
      </c>
    </row>
    <row r="584" customFormat="false" ht="15" hidden="false" customHeight="false" outlineLevel="0" collapsed="false">
      <c r="A584" s="18" t="s">
        <v>193</v>
      </c>
      <c r="B584" s="18" t="s">
        <v>194</v>
      </c>
      <c r="C584" s="18"/>
      <c r="D584" s="49" t="n">
        <v>46296</v>
      </c>
      <c r="E584" s="18" t="s">
        <v>122</v>
      </c>
      <c r="F584" s="18" t="s">
        <v>119</v>
      </c>
      <c r="G584" s="18" t="s">
        <v>100</v>
      </c>
      <c r="H584" s="18" t="s">
        <v>107</v>
      </c>
      <c r="I584" s="18" t="s">
        <v>102</v>
      </c>
      <c r="J584" s="18" t="s">
        <v>237</v>
      </c>
      <c r="K584" s="18" t="s">
        <v>195</v>
      </c>
      <c r="L584" s="64" t="n">
        <v>670.60224</v>
      </c>
      <c r="M584" s="64" t="n">
        <v>7.8</v>
      </c>
      <c r="N584" s="18" t="s">
        <v>774</v>
      </c>
      <c r="O584" s="65" t="n">
        <v>5230.6975</v>
      </c>
      <c r="P584" s="65"/>
      <c r="Q584" s="65"/>
      <c r="R584" s="65" t="s">
        <v>232</v>
      </c>
      <c r="S584" s="66" t="n">
        <f aca="false">Model_Calc!AQ101</f>
        <v>5230.697472</v>
      </c>
      <c r="T584" s="66" t="n">
        <f aca="false">ROUND(S584-O584,4)</f>
        <v>0</v>
      </c>
    </row>
    <row r="585" customFormat="false" ht="15" hidden="false" customHeight="false" outlineLevel="0" collapsed="false">
      <c r="A585" s="18" t="s">
        <v>193</v>
      </c>
      <c r="B585" s="18" t="s">
        <v>194</v>
      </c>
      <c r="C585" s="18"/>
      <c r="D585" s="49" t="n">
        <v>46296</v>
      </c>
      <c r="E585" s="18" t="s">
        <v>122</v>
      </c>
      <c r="F585" s="18" t="s">
        <v>119</v>
      </c>
      <c r="G585" s="18" t="s">
        <v>100</v>
      </c>
      <c r="H585" s="18" t="s">
        <v>107</v>
      </c>
      <c r="I585" s="18" t="s">
        <v>102</v>
      </c>
      <c r="J585" s="18" t="s">
        <v>239</v>
      </c>
      <c r="K585" s="18" t="s">
        <v>199</v>
      </c>
      <c r="L585" s="64" t="n">
        <v>547.4304</v>
      </c>
      <c r="M585" s="64" t="n">
        <v>9</v>
      </c>
      <c r="N585" s="18" t="s">
        <v>775</v>
      </c>
      <c r="O585" s="65" t="n">
        <v>4926.8736</v>
      </c>
      <c r="P585" s="65"/>
      <c r="Q585" s="65"/>
      <c r="R585" s="65" t="s">
        <v>232</v>
      </c>
      <c r="S585" s="66" t="n">
        <f aca="false">Model_Calc!AV101</f>
        <v>4926.8736</v>
      </c>
      <c r="T585" s="66" t="n">
        <f aca="false">ROUND(S585-O585,4)</f>
        <v>0</v>
      </c>
    </row>
    <row r="586" customFormat="false" ht="15" hidden="false" customHeight="false" outlineLevel="0" collapsed="false">
      <c r="A586" s="18" t="s">
        <v>193</v>
      </c>
      <c r="B586" s="18" t="s">
        <v>194</v>
      </c>
      <c r="C586" s="18"/>
      <c r="D586" s="49" t="n">
        <v>46296</v>
      </c>
      <c r="E586" s="18" t="s">
        <v>122</v>
      </c>
      <c r="F586" s="18" t="s">
        <v>119</v>
      </c>
      <c r="G586" s="18" t="s">
        <v>100</v>
      </c>
      <c r="H586" s="18" t="s">
        <v>107</v>
      </c>
      <c r="I586" s="18" t="s">
        <v>102</v>
      </c>
      <c r="J586" s="18" t="s">
        <v>241</v>
      </c>
      <c r="K586" s="18" t="s">
        <v>199</v>
      </c>
      <c r="L586" s="64" t="n">
        <v>62.4298752</v>
      </c>
      <c r="M586" s="64" t="n">
        <v>9</v>
      </c>
      <c r="N586" s="18" t="s">
        <v>776</v>
      </c>
      <c r="O586" s="65" t="n">
        <v>561.8689</v>
      </c>
      <c r="P586" s="65"/>
      <c r="Q586" s="65"/>
      <c r="R586" s="65" t="s">
        <v>232</v>
      </c>
      <c r="S586" s="66" t="n">
        <f aca="false">Model_Calc!BA101</f>
        <v>561.8688768</v>
      </c>
      <c r="T586" s="66" t="n">
        <f aca="false">ROUND(S586-O586,4)</f>
        <v>0</v>
      </c>
    </row>
    <row r="587" customFormat="false" ht="15" hidden="false" customHeight="false" outlineLevel="0" collapsed="false">
      <c r="A587" s="18" t="s">
        <v>193</v>
      </c>
      <c r="B587" s="18" t="s">
        <v>194</v>
      </c>
      <c r="C587" s="18"/>
      <c r="D587" s="49" t="n">
        <v>46296</v>
      </c>
      <c r="E587" s="18" t="s">
        <v>124</v>
      </c>
      <c r="F587" s="18" t="s">
        <v>119</v>
      </c>
      <c r="G587" s="18" t="s">
        <v>100</v>
      </c>
      <c r="H587" s="18" t="s">
        <v>107</v>
      </c>
      <c r="I587" s="18" t="s">
        <v>125</v>
      </c>
      <c r="J587" s="18" t="s">
        <v>230</v>
      </c>
      <c r="K587" s="18" t="s">
        <v>199</v>
      </c>
      <c r="L587" s="64" t="n">
        <v>2631.5683688448</v>
      </c>
      <c r="M587" s="64" t="n">
        <v>9</v>
      </c>
      <c r="N587" s="18" t="s">
        <v>777</v>
      </c>
      <c r="O587" s="65" t="n">
        <v>23684.1153</v>
      </c>
      <c r="P587" s="65"/>
      <c r="Q587" s="65"/>
      <c r="R587" s="65" t="s">
        <v>232</v>
      </c>
      <c r="S587" s="66" t="n">
        <f aca="false">Model_Calc!AF102</f>
        <v>23684.1153196032</v>
      </c>
      <c r="T587" s="66" t="n">
        <f aca="false">ROUND(S587-O587,4)</f>
        <v>0</v>
      </c>
    </row>
    <row r="588" customFormat="false" ht="15" hidden="false" customHeight="false" outlineLevel="0" collapsed="false">
      <c r="A588" s="18" t="s">
        <v>193</v>
      </c>
      <c r="B588" s="18" t="s">
        <v>194</v>
      </c>
      <c r="C588" s="18"/>
      <c r="D588" s="49" t="n">
        <v>46296</v>
      </c>
      <c r="E588" s="18" t="s">
        <v>124</v>
      </c>
      <c r="F588" s="18" t="s">
        <v>119</v>
      </c>
      <c r="G588" s="18" t="s">
        <v>100</v>
      </c>
      <c r="H588" s="18" t="s">
        <v>107</v>
      </c>
      <c r="I588" s="18" t="s">
        <v>125</v>
      </c>
      <c r="J588" s="18" t="s">
        <v>233</v>
      </c>
      <c r="K588" s="18" t="s">
        <v>199</v>
      </c>
      <c r="L588" s="64" t="n">
        <v>302.630362417152</v>
      </c>
      <c r="M588" s="64" t="n">
        <v>9</v>
      </c>
      <c r="N588" s="18" t="s">
        <v>778</v>
      </c>
      <c r="O588" s="65" t="n">
        <v>2723.6733</v>
      </c>
      <c r="P588" s="65"/>
      <c r="Q588" s="65"/>
      <c r="R588" s="65" t="s">
        <v>232</v>
      </c>
      <c r="S588" s="66" t="n">
        <f aca="false">Model_Calc!AG102</f>
        <v>2723.67326175437</v>
      </c>
      <c r="T588" s="66" t="n">
        <f aca="false">ROUND(S588-O588,4)</f>
        <v>0</v>
      </c>
    </row>
    <row r="589" customFormat="false" ht="15" hidden="false" customHeight="false" outlineLevel="0" collapsed="false">
      <c r="A589" s="18" t="s">
        <v>193</v>
      </c>
      <c r="B589" s="18" t="s">
        <v>194</v>
      </c>
      <c r="C589" s="18"/>
      <c r="D589" s="49" t="n">
        <v>46296</v>
      </c>
      <c r="E589" s="18" t="s">
        <v>124</v>
      </c>
      <c r="F589" s="18" t="s">
        <v>119</v>
      </c>
      <c r="G589" s="18" t="s">
        <v>100</v>
      </c>
      <c r="H589" s="18" t="s">
        <v>107</v>
      </c>
      <c r="I589" s="18" t="s">
        <v>125</v>
      </c>
      <c r="J589" s="18" t="s">
        <v>235</v>
      </c>
      <c r="K589" s="18" t="s">
        <v>195</v>
      </c>
      <c r="L589" s="64" t="n">
        <v>471.01824</v>
      </c>
      <c r="M589" s="64" t="n">
        <v>7.8</v>
      </c>
      <c r="N589" s="18" t="s">
        <v>779</v>
      </c>
      <c r="O589" s="65" t="n">
        <v>3673.9423</v>
      </c>
      <c r="P589" s="65"/>
      <c r="Q589" s="65"/>
      <c r="R589" s="65" t="s">
        <v>232</v>
      </c>
      <c r="S589" s="66" t="n">
        <f aca="false">Model_Calc!AL102</f>
        <v>3673.942272</v>
      </c>
      <c r="T589" s="66" t="n">
        <f aca="false">ROUND(S589-O589,4)</f>
        <v>0</v>
      </c>
    </row>
    <row r="590" customFormat="false" ht="15" hidden="false" customHeight="false" outlineLevel="0" collapsed="false">
      <c r="A590" s="18" t="s">
        <v>193</v>
      </c>
      <c r="B590" s="18" t="s">
        <v>194</v>
      </c>
      <c r="C590" s="18"/>
      <c r="D590" s="49" t="n">
        <v>46296</v>
      </c>
      <c r="E590" s="18" t="s">
        <v>124</v>
      </c>
      <c r="F590" s="18" t="s">
        <v>119</v>
      </c>
      <c r="G590" s="18" t="s">
        <v>100</v>
      </c>
      <c r="H590" s="18" t="s">
        <v>107</v>
      </c>
      <c r="I590" s="18" t="s">
        <v>125</v>
      </c>
      <c r="J590" s="18" t="s">
        <v>237</v>
      </c>
      <c r="K590" s="18" t="s">
        <v>195</v>
      </c>
      <c r="L590" s="64" t="n">
        <v>187.7686272</v>
      </c>
      <c r="M590" s="64" t="n">
        <v>7.8</v>
      </c>
      <c r="N590" s="18" t="s">
        <v>780</v>
      </c>
      <c r="O590" s="65" t="n">
        <v>1464.5953</v>
      </c>
      <c r="P590" s="65"/>
      <c r="Q590" s="65"/>
      <c r="R590" s="65" t="s">
        <v>232</v>
      </c>
      <c r="S590" s="66" t="n">
        <f aca="false">Model_Calc!AQ102</f>
        <v>1464.59529216</v>
      </c>
      <c r="T590" s="66" t="n">
        <f aca="false">ROUND(S590-O590,4)</f>
        <v>0</v>
      </c>
    </row>
    <row r="591" customFormat="false" ht="15" hidden="false" customHeight="false" outlineLevel="0" collapsed="false">
      <c r="A591" s="18" t="s">
        <v>193</v>
      </c>
      <c r="B591" s="18" t="s">
        <v>194</v>
      </c>
      <c r="C591" s="18"/>
      <c r="D591" s="49" t="n">
        <v>46296</v>
      </c>
      <c r="E591" s="18" t="s">
        <v>124</v>
      </c>
      <c r="F591" s="18" t="s">
        <v>119</v>
      </c>
      <c r="G591" s="18" t="s">
        <v>100</v>
      </c>
      <c r="H591" s="18" t="s">
        <v>107</v>
      </c>
      <c r="I591" s="18" t="s">
        <v>125</v>
      </c>
      <c r="J591" s="18" t="s">
        <v>239</v>
      </c>
      <c r="K591" s="18" t="s">
        <v>199</v>
      </c>
      <c r="L591" s="64" t="n">
        <v>153.280512</v>
      </c>
      <c r="M591" s="64" t="n">
        <v>9</v>
      </c>
      <c r="N591" s="18" t="s">
        <v>781</v>
      </c>
      <c r="O591" s="65" t="n">
        <v>1379.5246</v>
      </c>
      <c r="P591" s="65"/>
      <c r="Q591" s="65"/>
      <c r="R591" s="65" t="s">
        <v>232</v>
      </c>
      <c r="S591" s="66" t="n">
        <f aca="false">Model_Calc!AV102</f>
        <v>1379.524608</v>
      </c>
      <c r="T591" s="66" t="n">
        <f aca="false">ROUND(S591-O591,4)</f>
        <v>0</v>
      </c>
    </row>
    <row r="592" customFormat="false" ht="15" hidden="false" customHeight="false" outlineLevel="0" collapsed="false">
      <c r="A592" s="18" t="s">
        <v>193</v>
      </c>
      <c r="B592" s="18" t="s">
        <v>194</v>
      </c>
      <c r="C592" s="18"/>
      <c r="D592" s="49" t="n">
        <v>46296</v>
      </c>
      <c r="E592" s="18" t="s">
        <v>124</v>
      </c>
      <c r="F592" s="18" t="s">
        <v>119</v>
      </c>
      <c r="G592" s="18" t="s">
        <v>100</v>
      </c>
      <c r="H592" s="18" t="s">
        <v>107</v>
      </c>
      <c r="I592" s="18" t="s">
        <v>125</v>
      </c>
      <c r="J592" s="18" t="s">
        <v>241</v>
      </c>
      <c r="K592" s="18" t="s">
        <v>199</v>
      </c>
      <c r="L592" s="64" t="n">
        <v>16.273281024</v>
      </c>
      <c r="M592" s="64" t="n">
        <v>9</v>
      </c>
      <c r="N592" s="18" t="s">
        <v>782</v>
      </c>
      <c r="O592" s="65" t="n">
        <v>146.4595</v>
      </c>
      <c r="P592" s="65"/>
      <c r="Q592" s="65"/>
      <c r="R592" s="65" t="s">
        <v>232</v>
      </c>
      <c r="S592" s="66" t="n">
        <f aca="false">Model_Calc!BA102</f>
        <v>146.459529216</v>
      </c>
      <c r="T592" s="66" t="n">
        <f aca="false">ROUND(S592-O592,4)</f>
        <v>0</v>
      </c>
    </row>
    <row r="593" customFormat="false" ht="15" hidden="false" customHeight="false" outlineLevel="0" collapsed="false">
      <c r="A593" s="18" t="s">
        <v>193</v>
      </c>
      <c r="B593" s="18" t="s">
        <v>194</v>
      </c>
      <c r="C593" s="18"/>
      <c r="D593" s="49" t="n">
        <v>46296</v>
      </c>
      <c r="E593" s="18" t="s">
        <v>127</v>
      </c>
      <c r="F593" s="18" t="s">
        <v>119</v>
      </c>
      <c r="G593" s="18" t="s">
        <v>100</v>
      </c>
      <c r="H593" s="18" t="s">
        <v>128</v>
      </c>
      <c r="I593" s="18" t="s">
        <v>125</v>
      </c>
      <c r="J593" s="18" t="s">
        <v>230</v>
      </c>
      <c r="K593" s="18" t="s">
        <v>199</v>
      </c>
      <c r="L593" s="64" t="n">
        <v>1335.26486016</v>
      </c>
      <c r="M593" s="64" t="n">
        <v>9</v>
      </c>
      <c r="N593" s="18" t="s">
        <v>783</v>
      </c>
      <c r="O593" s="65" t="n">
        <v>12017.3837</v>
      </c>
      <c r="P593" s="65"/>
      <c r="Q593" s="65"/>
      <c r="R593" s="65" t="s">
        <v>232</v>
      </c>
      <c r="S593" s="66" t="n">
        <f aca="false">Model_Calc!AF103</f>
        <v>12017.38374144</v>
      </c>
      <c r="T593" s="66" t="n">
        <f aca="false">ROUND(S593-O593,4)</f>
        <v>0</v>
      </c>
    </row>
    <row r="594" customFormat="false" ht="15" hidden="false" customHeight="false" outlineLevel="0" collapsed="false">
      <c r="A594" s="18" t="s">
        <v>193</v>
      </c>
      <c r="B594" s="18" t="s">
        <v>194</v>
      </c>
      <c r="C594" s="18"/>
      <c r="D594" s="49" t="n">
        <v>46296</v>
      </c>
      <c r="E594" s="18" t="s">
        <v>127</v>
      </c>
      <c r="F594" s="18" t="s">
        <v>119</v>
      </c>
      <c r="G594" s="18" t="s">
        <v>100</v>
      </c>
      <c r="H594" s="18" t="s">
        <v>128</v>
      </c>
      <c r="I594" s="18" t="s">
        <v>125</v>
      </c>
      <c r="J594" s="18" t="s">
        <v>233</v>
      </c>
      <c r="K594" s="18" t="s">
        <v>199</v>
      </c>
      <c r="L594" s="64" t="n">
        <v>103.26048251904</v>
      </c>
      <c r="M594" s="64" t="n">
        <v>9</v>
      </c>
      <c r="N594" s="18" t="s">
        <v>784</v>
      </c>
      <c r="O594" s="65" t="n">
        <v>929.3443</v>
      </c>
      <c r="P594" s="65"/>
      <c r="Q594" s="65"/>
      <c r="R594" s="65" t="s">
        <v>232</v>
      </c>
      <c r="S594" s="66" t="n">
        <f aca="false">Model_Calc!AG103</f>
        <v>929.34434267136</v>
      </c>
      <c r="T594" s="66" t="n">
        <f aca="false">ROUND(S594-O594,4)</f>
        <v>0</v>
      </c>
    </row>
    <row r="595" customFormat="false" ht="15" hidden="false" customHeight="false" outlineLevel="0" collapsed="false">
      <c r="A595" s="18" t="s">
        <v>193</v>
      </c>
      <c r="B595" s="18" t="s">
        <v>194</v>
      </c>
      <c r="C595" s="18"/>
      <c r="D595" s="49" t="n">
        <v>46296</v>
      </c>
      <c r="E595" s="18" t="s">
        <v>127</v>
      </c>
      <c r="F595" s="18" t="s">
        <v>119</v>
      </c>
      <c r="G595" s="18" t="s">
        <v>100</v>
      </c>
      <c r="H595" s="18" t="s">
        <v>128</v>
      </c>
      <c r="I595" s="18" t="s">
        <v>125</v>
      </c>
      <c r="J595" s="18" t="s">
        <v>235</v>
      </c>
      <c r="K595" s="18" t="s">
        <v>195</v>
      </c>
      <c r="L595" s="64" t="n">
        <v>201.86496</v>
      </c>
      <c r="M595" s="64" t="n">
        <v>7.8</v>
      </c>
      <c r="N595" s="18" t="s">
        <v>785</v>
      </c>
      <c r="O595" s="65" t="n">
        <v>1574.5467</v>
      </c>
      <c r="P595" s="65"/>
      <c r="Q595" s="65"/>
      <c r="R595" s="65" t="s">
        <v>232</v>
      </c>
      <c r="S595" s="66" t="n">
        <f aca="false">Model_Calc!AL103</f>
        <v>1574.546688</v>
      </c>
      <c r="T595" s="66" t="n">
        <f aca="false">ROUND(S595-O595,4)</f>
        <v>0</v>
      </c>
    </row>
    <row r="596" customFormat="false" ht="15" hidden="false" customHeight="false" outlineLevel="0" collapsed="false">
      <c r="A596" s="18" t="s">
        <v>193</v>
      </c>
      <c r="B596" s="18" t="s">
        <v>194</v>
      </c>
      <c r="C596" s="18"/>
      <c r="D596" s="49" t="n">
        <v>46296</v>
      </c>
      <c r="E596" s="18" t="s">
        <v>127</v>
      </c>
      <c r="F596" s="18" t="s">
        <v>119</v>
      </c>
      <c r="G596" s="18" t="s">
        <v>100</v>
      </c>
      <c r="H596" s="18" t="s">
        <v>128</v>
      </c>
      <c r="I596" s="18" t="s">
        <v>125</v>
      </c>
      <c r="J596" s="18" t="s">
        <v>237</v>
      </c>
      <c r="K596" s="18" t="s">
        <v>195</v>
      </c>
      <c r="L596" s="64" t="n">
        <v>80.4722688</v>
      </c>
      <c r="M596" s="64" t="n">
        <v>7.8</v>
      </c>
      <c r="N596" s="18" t="s">
        <v>786</v>
      </c>
      <c r="O596" s="65" t="n">
        <v>627.6837</v>
      </c>
      <c r="P596" s="65"/>
      <c r="Q596" s="65"/>
      <c r="R596" s="65" t="s">
        <v>232</v>
      </c>
      <c r="S596" s="66" t="n">
        <f aca="false">Model_Calc!AQ103</f>
        <v>627.68369664</v>
      </c>
      <c r="T596" s="66" t="n">
        <f aca="false">ROUND(S596-O596,4)</f>
        <v>0</v>
      </c>
    </row>
    <row r="597" customFormat="false" ht="15" hidden="false" customHeight="false" outlineLevel="0" collapsed="false">
      <c r="A597" s="18" t="s">
        <v>193</v>
      </c>
      <c r="B597" s="18" t="s">
        <v>194</v>
      </c>
      <c r="C597" s="18"/>
      <c r="D597" s="49" t="n">
        <v>46296</v>
      </c>
      <c r="E597" s="18" t="s">
        <v>127</v>
      </c>
      <c r="F597" s="18" t="s">
        <v>119</v>
      </c>
      <c r="G597" s="18" t="s">
        <v>100</v>
      </c>
      <c r="H597" s="18" t="s">
        <v>128</v>
      </c>
      <c r="I597" s="18" t="s">
        <v>125</v>
      </c>
      <c r="J597" s="18" t="s">
        <v>239</v>
      </c>
      <c r="K597" s="18" t="s">
        <v>199</v>
      </c>
      <c r="L597" s="64" t="n">
        <v>65.691648</v>
      </c>
      <c r="M597" s="64" t="n">
        <v>9</v>
      </c>
      <c r="N597" s="18" t="s">
        <v>787</v>
      </c>
      <c r="O597" s="65" t="n">
        <v>591.2248</v>
      </c>
      <c r="P597" s="65"/>
      <c r="Q597" s="65"/>
      <c r="R597" s="65" t="s">
        <v>232</v>
      </c>
      <c r="S597" s="66" t="n">
        <f aca="false">Model_Calc!AV103</f>
        <v>591.224832</v>
      </c>
      <c r="T597" s="66" t="n">
        <f aca="false">ROUND(S597-O597,4)</f>
        <v>0</v>
      </c>
    </row>
    <row r="598" customFormat="false" ht="15" hidden="false" customHeight="false" outlineLevel="0" collapsed="false">
      <c r="A598" s="18" t="s">
        <v>193</v>
      </c>
      <c r="B598" s="18" t="s">
        <v>194</v>
      </c>
      <c r="C598" s="18"/>
      <c r="D598" s="49" t="n">
        <v>46296</v>
      </c>
      <c r="E598" s="18" t="s">
        <v>127</v>
      </c>
      <c r="F598" s="18" t="s">
        <v>119</v>
      </c>
      <c r="G598" s="18" t="s">
        <v>100</v>
      </c>
      <c r="H598" s="18" t="s">
        <v>128</v>
      </c>
      <c r="I598" s="18" t="s">
        <v>125</v>
      </c>
      <c r="J598" s="18" t="s">
        <v>241</v>
      </c>
      <c r="K598" s="18" t="s">
        <v>199</v>
      </c>
      <c r="L598" s="64" t="n">
        <v>6.207860736</v>
      </c>
      <c r="M598" s="64" t="n">
        <v>9</v>
      </c>
      <c r="N598" s="18" t="s">
        <v>788</v>
      </c>
      <c r="O598" s="65" t="n">
        <v>55.8707</v>
      </c>
      <c r="P598" s="65"/>
      <c r="Q598" s="65"/>
      <c r="R598" s="65" t="s">
        <v>232</v>
      </c>
      <c r="S598" s="66" t="n">
        <f aca="false">Model_Calc!BA103</f>
        <v>55.870746624</v>
      </c>
      <c r="T598" s="66" t="n">
        <f aca="false">ROUND(S598-O598,4)</f>
        <v>0</v>
      </c>
    </row>
    <row r="599" customFormat="false" ht="15" hidden="false" customHeight="false" outlineLevel="0" collapsed="false">
      <c r="A599" s="18" t="s">
        <v>193</v>
      </c>
      <c r="B599" s="18" t="s">
        <v>194</v>
      </c>
      <c r="C599" s="18"/>
      <c r="D599" s="49" t="n">
        <v>46296</v>
      </c>
      <c r="E599" s="18" t="s">
        <v>130</v>
      </c>
      <c r="F599" s="18" t="s">
        <v>119</v>
      </c>
      <c r="G599" s="18" t="s">
        <v>110</v>
      </c>
      <c r="H599" s="18" t="s">
        <v>107</v>
      </c>
      <c r="I599" s="18" t="s">
        <v>125</v>
      </c>
      <c r="J599" s="18" t="s">
        <v>230</v>
      </c>
      <c r="K599" s="18" t="s">
        <v>195</v>
      </c>
      <c r="L599" s="64" t="n">
        <v>1664.113572</v>
      </c>
      <c r="M599" s="64" t="n">
        <v>7.8</v>
      </c>
      <c r="N599" s="18" t="s">
        <v>789</v>
      </c>
      <c r="O599" s="65" t="n">
        <v>12980.0859</v>
      </c>
      <c r="P599" s="65"/>
      <c r="Q599" s="65"/>
      <c r="R599" s="65" t="s">
        <v>232</v>
      </c>
      <c r="S599" s="66" t="n">
        <f aca="false">Model_Calc!AF104</f>
        <v>12980.0858616</v>
      </c>
      <c r="T599" s="66" t="n">
        <f aca="false">ROUND(S599-O599,4)</f>
        <v>0</v>
      </c>
    </row>
    <row r="600" customFormat="false" ht="15" hidden="false" customHeight="false" outlineLevel="0" collapsed="false">
      <c r="A600" s="18" t="s">
        <v>193</v>
      </c>
      <c r="B600" s="18" t="s">
        <v>194</v>
      </c>
      <c r="C600" s="18"/>
      <c r="D600" s="49" t="n">
        <v>46296</v>
      </c>
      <c r="E600" s="18" t="s">
        <v>130</v>
      </c>
      <c r="F600" s="18" t="s">
        <v>119</v>
      </c>
      <c r="G600" s="18" t="s">
        <v>110</v>
      </c>
      <c r="H600" s="18" t="s">
        <v>107</v>
      </c>
      <c r="I600" s="18" t="s">
        <v>125</v>
      </c>
      <c r="J600" s="18" t="s">
        <v>233</v>
      </c>
      <c r="K600" s="18" t="s">
        <v>195</v>
      </c>
      <c r="L600" s="64" t="n">
        <v>174.73192506</v>
      </c>
      <c r="M600" s="64" t="n">
        <v>7.8</v>
      </c>
      <c r="N600" s="18" t="s">
        <v>790</v>
      </c>
      <c r="O600" s="65" t="n">
        <v>1362.909</v>
      </c>
      <c r="P600" s="65"/>
      <c r="Q600" s="65"/>
      <c r="R600" s="65" t="s">
        <v>232</v>
      </c>
      <c r="S600" s="66" t="n">
        <f aca="false">Model_Calc!AG104</f>
        <v>1362.909015468</v>
      </c>
      <c r="T600" s="66" t="n">
        <f aca="false">ROUND(S600-O600,4)</f>
        <v>0</v>
      </c>
    </row>
    <row r="601" customFormat="false" ht="15" hidden="false" customHeight="false" outlineLevel="0" collapsed="false">
      <c r="A601" s="18" t="s">
        <v>193</v>
      </c>
      <c r="B601" s="18" t="s">
        <v>194</v>
      </c>
      <c r="C601" s="18"/>
      <c r="D601" s="49" t="n">
        <v>46296</v>
      </c>
      <c r="E601" s="18" t="s">
        <v>130</v>
      </c>
      <c r="F601" s="18" t="s">
        <v>119</v>
      </c>
      <c r="G601" s="18" t="s">
        <v>110</v>
      </c>
      <c r="H601" s="18" t="s">
        <v>107</v>
      </c>
      <c r="I601" s="18" t="s">
        <v>125</v>
      </c>
      <c r="J601" s="18" t="s">
        <v>235</v>
      </c>
      <c r="K601" s="18" t="s">
        <v>195</v>
      </c>
      <c r="L601" s="64" t="n">
        <v>249.48</v>
      </c>
      <c r="M601" s="64" t="n">
        <v>7.8</v>
      </c>
      <c r="N601" s="18" t="s">
        <v>791</v>
      </c>
      <c r="O601" s="65" t="n">
        <v>1945.944</v>
      </c>
      <c r="P601" s="65"/>
      <c r="Q601" s="65"/>
      <c r="R601" s="65" t="s">
        <v>232</v>
      </c>
      <c r="S601" s="66" t="n">
        <f aca="false">Model_Calc!AL104</f>
        <v>1945.944</v>
      </c>
      <c r="T601" s="66" t="n">
        <f aca="false">ROUND(S601-O601,4)</f>
        <v>0</v>
      </c>
    </row>
    <row r="602" customFormat="false" ht="15" hidden="false" customHeight="false" outlineLevel="0" collapsed="false">
      <c r="A602" s="18" t="s">
        <v>193</v>
      </c>
      <c r="B602" s="18" t="s">
        <v>194</v>
      </c>
      <c r="C602" s="18"/>
      <c r="D602" s="49" t="n">
        <v>46296</v>
      </c>
      <c r="E602" s="18" t="s">
        <v>130</v>
      </c>
      <c r="F602" s="18" t="s">
        <v>119</v>
      </c>
      <c r="G602" s="18" t="s">
        <v>110</v>
      </c>
      <c r="H602" s="18" t="s">
        <v>107</v>
      </c>
      <c r="I602" s="18" t="s">
        <v>125</v>
      </c>
      <c r="J602" s="18" t="s">
        <v>237</v>
      </c>
      <c r="K602" s="18" t="s">
        <v>195</v>
      </c>
      <c r="L602" s="64" t="n">
        <v>103.8312</v>
      </c>
      <c r="M602" s="64" t="n">
        <v>7.8</v>
      </c>
      <c r="N602" s="18" t="s">
        <v>792</v>
      </c>
      <c r="O602" s="65" t="n">
        <v>809.8834</v>
      </c>
      <c r="P602" s="65"/>
      <c r="Q602" s="65"/>
      <c r="R602" s="65" t="s">
        <v>232</v>
      </c>
      <c r="S602" s="66" t="n">
        <f aca="false">Model_Calc!AQ104</f>
        <v>809.88336</v>
      </c>
      <c r="T602" s="66" t="n">
        <f aca="false">ROUND(S602-O602,4)</f>
        <v>0</v>
      </c>
    </row>
    <row r="603" customFormat="false" ht="15" hidden="false" customHeight="false" outlineLevel="0" collapsed="false">
      <c r="A603" s="18" t="s">
        <v>193</v>
      </c>
      <c r="B603" s="18" t="s">
        <v>194</v>
      </c>
      <c r="C603" s="18"/>
      <c r="D603" s="49" t="n">
        <v>46296</v>
      </c>
      <c r="E603" s="18" t="s">
        <v>130</v>
      </c>
      <c r="F603" s="18" t="s">
        <v>119</v>
      </c>
      <c r="G603" s="18" t="s">
        <v>110</v>
      </c>
      <c r="H603" s="18" t="s">
        <v>107</v>
      </c>
      <c r="I603" s="18" t="s">
        <v>125</v>
      </c>
      <c r="J603" s="18" t="s">
        <v>239</v>
      </c>
      <c r="K603" s="18" t="s">
        <v>195</v>
      </c>
      <c r="L603" s="64" t="n">
        <v>98.8416</v>
      </c>
      <c r="M603" s="64" t="n">
        <v>7.8</v>
      </c>
      <c r="N603" s="18" t="s">
        <v>793</v>
      </c>
      <c r="O603" s="65" t="n">
        <v>770.9645</v>
      </c>
      <c r="P603" s="65"/>
      <c r="Q603" s="65"/>
      <c r="R603" s="65" t="s">
        <v>232</v>
      </c>
      <c r="S603" s="66" t="n">
        <f aca="false">Model_Calc!AV104</f>
        <v>770.96448</v>
      </c>
      <c r="T603" s="66" t="n">
        <f aca="false">ROUND(S603-O603,4)</f>
        <v>0</v>
      </c>
    </row>
    <row r="604" customFormat="false" ht="15" hidden="false" customHeight="false" outlineLevel="0" collapsed="false">
      <c r="A604" s="18" t="s">
        <v>193</v>
      </c>
      <c r="B604" s="18" t="s">
        <v>194</v>
      </c>
      <c r="C604" s="18"/>
      <c r="D604" s="49" t="n">
        <v>46296</v>
      </c>
      <c r="E604" s="18" t="s">
        <v>130</v>
      </c>
      <c r="F604" s="18" t="s">
        <v>119</v>
      </c>
      <c r="G604" s="18" t="s">
        <v>110</v>
      </c>
      <c r="H604" s="18" t="s">
        <v>107</v>
      </c>
      <c r="I604" s="18" t="s">
        <v>125</v>
      </c>
      <c r="J604" s="18" t="s">
        <v>241</v>
      </c>
      <c r="K604" s="18" t="s">
        <v>195</v>
      </c>
      <c r="L604" s="64" t="n">
        <v>9.180864</v>
      </c>
      <c r="M604" s="64" t="n">
        <v>7.8</v>
      </c>
      <c r="N604" s="18" t="s">
        <v>794</v>
      </c>
      <c r="O604" s="65" t="n">
        <v>71.6107</v>
      </c>
      <c r="P604" s="65"/>
      <c r="Q604" s="65"/>
      <c r="R604" s="65" t="s">
        <v>232</v>
      </c>
      <c r="S604" s="66" t="n">
        <f aca="false">Model_Calc!BA104</f>
        <v>71.6107392</v>
      </c>
      <c r="T604" s="66" t="n">
        <f aca="false">ROUND(S604-O604,4)</f>
        <v>0</v>
      </c>
    </row>
    <row r="605" customFormat="false" ht="15" hidden="false" customHeight="false" outlineLevel="0" collapsed="false">
      <c r="A605" s="18" t="s">
        <v>193</v>
      </c>
      <c r="B605" s="18" t="s">
        <v>194</v>
      </c>
      <c r="C605" s="18"/>
      <c r="D605" s="49" t="n">
        <v>46327</v>
      </c>
      <c r="E605" s="18" t="s">
        <v>98</v>
      </c>
      <c r="F605" s="18" t="s">
        <v>99</v>
      </c>
      <c r="G605" s="18" t="s">
        <v>100</v>
      </c>
      <c r="H605" s="18" t="s">
        <v>101</v>
      </c>
      <c r="I605" s="18" t="s">
        <v>102</v>
      </c>
      <c r="J605" s="18" t="s">
        <v>230</v>
      </c>
      <c r="K605" s="18" t="s">
        <v>195</v>
      </c>
      <c r="L605" s="64" t="n">
        <v>7922.32288848</v>
      </c>
      <c r="M605" s="64" t="n">
        <v>7.8</v>
      </c>
      <c r="N605" s="18" t="s">
        <v>795</v>
      </c>
      <c r="O605" s="65" t="n">
        <v>61794.1185</v>
      </c>
      <c r="P605" s="65"/>
      <c r="Q605" s="65"/>
      <c r="R605" s="65" t="s">
        <v>232</v>
      </c>
      <c r="S605" s="66" t="n">
        <f aca="false">Model_Calc!AF105</f>
        <v>61794.118530144</v>
      </c>
      <c r="T605" s="66" t="n">
        <f aca="false">ROUND(S605-O605,4)</f>
        <v>0</v>
      </c>
    </row>
    <row r="606" customFormat="false" ht="15" hidden="false" customHeight="false" outlineLevel="0" collapsed="false">
      <c r="A606" s="18" t="s">
        <v>193</v>
      </c>
      <c r="B606" s="18" t="s">
        <v>194</v>
      </c>
      <c r="C606" s="18"/>
      <c r="D606" s="49" t="n">
        <v>46327</v>
      </c>
      <c r="E606" s="18" t="s">
        <v>98</v>
      </c>
      <c r="F606" s="18" t="s">
        <v>99</v>
      </c>
      <c r="G606" s="18" t="s">
        <v>100</v>
      </c>
      <c r="H606" s="18" t="s">
        <v>101</v>
      </c>
      <c r="I606" s="18" t="s">
        <v>102</v>
      </c>
      <c r="J606" s="18" t="s">
        <v>233</v>
      </c>
      <c r="K606" s="18" t="s">
        <v>195</v>
      </c>
      <c r="L606" s="64" t="n">
        <v>752.6206744056</v>
      </c>
      <c r="M606" s="64" t="n">
        <v>7.8</v>
      </c>
      <c r="N606" s="18" t="s">
        <v>796</v>
      </c>
      <c r="O606" s="65" t="n">
        <v>5870.4413</v>
      </c>
      <c r="P606" s="65"/>
      <c r="Q606" s="65"/>
      <c r="R606" s="65" t="s">
        <v>232</v>
      </c>
      <c r="S606" s="66" t="n">
        <f aca="false">Model_Calc!AG105</f>
        <v>5870.44126036368</v>
      </c>
      <c r="T606" s="66" t="n">
        <f aca="false">ROUND(S606-O606,4)</f>
        <v>0</v>
      </c>
    </row>
    <row r="607" customFormat="false" ht="15" hidden="false" customHeight="false" outlineLevel="0" collapsed="false">
      <c r="A607" s="18" t="s">
        <v>193</v>
      </c>
      <c r="B607" s="18" t="s">
        <v>194</v>
      </c>
      <c r="C607" s="18"/>
      <c r="D607" s="49" t="n">
        <v>46327</v>
      </c>
      <c r="E607" s="18" t="s">
        <v>98</v>
      </c>
      <c r="F607" s="18" t="s">
        <v>99</v>
      </c>
      <c r="G607" s="18" t="s">
        <v>100</v>
      </c>
      <c r="H607" s="18" t="s">
        <v>101</v>
      </c>
      <c r="I607" s="18" t="s">
        <v>102</v>
      </c>
      <c r="J607" s="18" t="s">
        <v>235</v>
      </c>
      <c r="K607" s="18" t="s">
        <v>195</v>
      </c>
      <c r="L607" s="64" t="n">
        <v>5136.9648</v>
      </c>
      <c r="M607" s="64" t="n">
        <v>7.8</v>
      </c>
      <c r="N607" s="18" t="s">
        <v>797</v>
      </c>
      <c r="O607" s="65" t="n">
        <v>40068.3254</v>
      </c>
      <c r="P607" s="65"/>
      <c r="Q607" s="65"/>
      <c r="R607" s="65" t="s">
        <v>232</v>
      </c>
      <c r="S607" s="66" t="n">
        <f aca="false">Model_Calc!AL105</f>
        <v>40068.32544</v>
      </c>
      <c r="T607" s="66" t="n">
        <f aca="false">ROUND(S607-O607,4)</f>
        <v>0</v>
      </c>
    </row>
    <row r="608" customFormat="false" ht="15" hidden="false" customHeight="false" outlineLevel="0" collapsed="false">
      <c r="A608" s="18" t="s">
        <v>193</v>
      </c>
      <c r="B608" s="18" t="s">
        <v>194</v>
      </c>
      <c r="C608" s="18"/>
      <c r="D608" s="49" t="n">
        <v>46327</v>
      </c>
      <c r="E608" s="18" t="s">
        <v>98</v>
      </c>
      <c r="F608" s="18" t="s">
        <v>99</v>
      </c>
      <c r="G608" s="18" t="s">
        <v>100</v>
      </c>
      <c r="H608" s="18" t="s">
        <v>101</v>
      </c>
      <c r="I608" s="18" t="s">
        <v>102</v>
      </c>
      <c r="J608" s="18" t="s">
        <v>237</v>
      </c>
      <c r="K608" s="18" t="s">
        <v>195</v>
      </c>
      <c r="L608" s="64" t="n">
        <v>1919.83176</v>
      </c>
      <c r="M608" s="64" t="n">
        <v>7.8</v>
      </c>
      <c r="N608" s="18" t="s">
        <v>798</v>
      </c>
      <c r="O608" s="65" t="n">
        <v>14974.6877</v>
      </c>
      <c r="P608" s="65"/>
      <c r="Q608" s="65"/>
      <c r="R608" s="65" t="s">
        <v>232</v>
      </c>
      <c r="S608" s="66" t="n">
        <f aca="false">Model_Calc!AQ105</f>
        <v>14974.687728</v>
      </c>
      <c r="T608" s="66" t="n">
        <f aca="false">ROUND(S608-O608,4)</f>
        <v>0</v>
      </c>
    </row>
    <row r="609" customFormat="false" ht="15" hidden="false" customHeight="false" outlineLevel="0" collapsed="false">
      <c r="A609" s="18" t="s">
        <v>193</v>
      </c>
      <c r="B609" s="18" t="s">
        <v>194</v>
      </c>
      <c r="C609" s="18"/>
      <c r="D609" s="49" t="n">
        <v>46327</v>
      </c>
      <c r="E609" s="18" t="s">
        <v>98</v>
      </c>
      <c r="F609" s="18" t="s">
        <v>99</v>
      </c>
      <c r="G609" s="18" t="s">
        <v>100</v>
      </c>
      <c r="H609" s="18" t="s">
        <v>101</v>
      </c>
      <c r="I609" s="18" t="s">
        <v>102</v>
      </c>
      <c r="J609" s="18" t="s">
        <v>239</v>
      </c>
      <c r="K609" s="18" t="s">
        <v>195</v>
      </c>
      <c r="L609" s="64" t="n">
        <v>696.5376</v>
      </c>
      <c r="M609" s="64" t="n">
        <v>7.8</v>
      </c>
      <c r="N609" s="18" t="s">
        <v>799</v>
      </c>
      <c r="O609" s="65" t="n">
        <v>5432.9933</v>
      </c>
      <c r="P609" s="65"/>
      <c r="Q609" s="65"/>
      <c r="R609" s="65" t="s">
        <v>232</v>
      </c>
      <c r="S609" s="66" t="n">
        <f aca="false">Model_Calc!AV105</f>
        <v>5432.99328</v>
      </c>
      <c r="T609" s="66" t="n">
        <f aca="false">ROUND(S609-O609,4)</f>
        <v>0</v>
      </c>
    </row>
    <row r="610" customFormat="false" ht="15" hidden="false" customHeight="false" outlineLevel="0" collapsed="false">
      <c r="A610" s="18" t="s">
        <v>193</v>
      </c>
      <c r="B610" s="18" t="s">
        <v>194</v>
      </c>
      <c r="C610" s="18"/>
      <c r="D610" s="49" t="n">
        <v>46327</v>
      </c>
      <c r="E610" s="18" t="s">
        <v>98</v>
      </c>
      <c r="F610" s="18" t="s">
        <v>99</v>
      </c>
      <c r="G610" s="18" t="s">
        <v>100</v>
      </c>
      <c r="H610" s="18" t="s">
        <v>101</v>
      </c>
      <c r="I610" s="18" t="s">
        <v>102</v>
      </c>
      <c r="J610" s="18" t="s">
        <v>241</v>
      </c>
      <c r="K610" s="18" t="s">
        <v>195</v>
      </c>
      <c r="L610" s="64" t="n">
        <v>168.2138304</v>
      </c>
      <c r="M610" s="64" t="n">
        <v>7.8</v>
      </c>
      <c r="N610" s="18" t="s">
        <v>800</v>
      </c>
      <c r="O610" s="65" t="n">
        <v>1312.0679</v>
      </c>
      <c r="P610" s="65"/>
      <c r="Q610" s="65"/>
      <c r="R610" s="65" t="s">
        <v>232</v>
      </c>
      <c r="S610" s="66" t="n">
        <f aca="false">Model_Calc!BA105</f>
        <v>1312.06787712</v>
      </c>
      <c r="T610" s="66" t="n">
        <f aca="false">ROUND(S610-O610,4)</f>
        <v>0</v>
      </c>
    </row>
    <row r="611" customFormat="false" ht="15" hidden="false" customHeight="false" outlineLevel="0" collapsed="false">
      <c r="A611" s="18" t="s">
        <v>193</v>
      </c>
      <c r="B611" s="18" t="s">
        <v>194</v>
      </c>
      <c r="C611" s="18"/>
      <c r="D611" s="49" t="n">
        <v>46327</v>
      </c>
      <c r="E611" s="18" t="s">
        <v>106</v>
      </c>
      <c r="F611" s="18" t="s">
        <v>99</v>
      </c>
      <c r="G611" s="18" t="s">
        <v>100</v>
      </c>
      <c r="H611" s="18" t="s">
        <v>107</v>
      </c>
      <c r="I611" s="18" t="s">
        <v>102</v>
      </c>
      <c r="J611" s="18" t="s">
        <v>230</v>
      </c>
      <c r="K611" s="18" t="s">
        <v>195</v>
      </c>
      <c r="L611" s="64" t="n">
        <v>6771.216144</v>
      </c>
      <c r="M611" s="64" t="n">
        <v>7.8</v>
      </c>
      <c r="N611" s="18" t="s">
        <v>801</v>
      </c>
      <c r="O611" s="65" t="n">
        <v>52815.4859</v>
      </c>
      <c r="P611" s="65"/>
      <c r="Q611" s="65"/>
      <c r="R611" s="65" t="s">
        <v>232</v>
      </c>
      <c r="S611" s="66" t="n">
        <f aca="false">Model_Calc!AF106</f>
        <v>52815.4859232</v>
      </c>
      <c r="T611" s="66" t="n">
        <f aca="false">ROUND(S611-O611,4)</f>
        <v>0</v>
      </c>
    </row>
    <row r="612" customFormat="false" ht="15" hidden="false" customHeight="false" outlineLevel="0" collapsed="false">
      <c r="A612" s="18" t="s">
        <v>193</v>
      </c>
      <c r="B612" s="18" t="s">
        <v>194</v>
      </c>
      <c r="C612" s="18"/>
      <c r="D612" s="49" t="n">
        <v>46327</v>
      </c>
      <c r="E612" s="18" t="s">
        <v>106</v>
      </c>
      <c r="F612" s="18" t="s">
        <v>99</v>
      </c>
      <c r="G612" s="18" t="s">
        <v>100</v>
      </c>
      <c r="H612" s="18" t="s">
        <v>107</v>
      </c>
      <c r="I612" s="18" t="s">
        <v>102</v>
      </c>
      <c r="J612" s="18" t="s">
        <v>233</v>
      </c>
      <c r="K612" s="18" t="s">
        <v>195</v>
      </c>
      <c r="L612" s="64" t="n">
        <v>517.07468736</v>
      </c>
      <c r="M612" s="64" t="n">
        <v>7.8</v>
      </c>
      <c r="N612" s="18" t="s">
        <v>802</v>
      </c>
      <c r="O612" s="65" t="n">
        <v>4033.1826</v>
      </c>
      <c r="P612" s="65"/>
      <c r="Q612" s="65"/>
      <c r="R612" s="65" t="s">
        <v>232</v>
      </c>
      <c r="S612" s="66" t="n">
        <f aca="false">Model_Calc!AG106</f>
        <v>4033.182561408</v>
      </c>
      <c r="T612" s="66" t="n">
        <f aca="false">ROUND(S612-O612,4)</f>
        <v>0</v>
      </c>
    </row>
    <row r="613" customFormat="false" ht="15" hidden="false" customHeight="false" outlineLevel="0" collapsed="false">
      <c r="A613" s="18" t="s">
        <v>193</v>
      </c>
      <c r="B613" s="18" t="s">
        <v>194</v>
      </c>
      <c r="C613" s="18"/>
      <c r="D613" s="49" t="n">
        <v>46327</v>
      </c>
      <c r="E613" s="18" t="s">
        <v>106</v>
      </c>
      <c r="F613" s="18" t="s">
        <v>99</v>
      </c>
      <c r="G613" s="18" t="s">
        <v>100</v>
      </c>
      <c r="H613" s="18" t="s">
        <v>107</v>
      </c>
      <c r="I613" s="18" t="s">
        <v>102</v>
      </c>
      <c r="J613" s="18" t="s">
        <v>235</v>
      </c>
      <c r="K613" s="18" t="s">
        <v>195</v>
      </c>
      <c r="L613" s="64" t="n">
        <v>3424.6432</v>
      </c>
      <c r="M613" s="64" t="n">
        <v>7.8</v>
      </c>
      <c r="N613" s="18" t="s">
        <v>803</v>
      </c>
      <c r="O613" s="65" t="n">
        <v>26712.217</v>
      </c>
      <c r="P613" s="65"/>
      <c r="Q613" s="65"/>
      <c r="R613" s="65" t="s">
        <v>232</v>
      </c>
      <c r="S613" s="66" t="n">
        <f aca="false">Model_Calc!AL106</f>
        <v>26712.21696</v>
      </c>
      <c r="T613" s="66" t="n">
        <f aca="false">ROUND(S613-O613,4)</f>
        <v>0</v>
      </c>
    </row>
    <row r="614" customFormat="false" ht="15" hidden="false" customHeight="false" outlineLevel="0" collapsed="false">
      <c r="A614" s="18" t="s">
        <v>193</v>
      </c>
      <c r="B614" s="18" t="s">
        <v>194</v>
      </c>
      <c r="C614" s="18"/>
      <c r="D614" s="49" t="n">
        <v>46327</v>
      </c>
      <c r="E614" s="18" t="s">
        <v>106</v>
      </c>
      <c r="F614" s="18" t="s">
        <v>99</v>
      </c>
      <c r="G614" s="18" t="s">
        <v>100</v>
      </c>
      <c r="H614" s="18" t="s">
        <v>107</v>
      </c>
      <c r="I614" s="18" t="s">
        <v>102</v>
      </c>
      <c r="J614" s="18" t="s">
        <v>237</v>
      </c>
      <c r="K614" s="18" t="s">
        <v>195</v>
      </c>
      <c r="L614" s="64" t="n">
        <v>1279.88784</v>
      </c>
      <c r="M614" s="64" t="n">
        <v>7.8</v>
      </c>
      <c r="N614" s="18" t="s">
        <v>804</v>
      </c>
      <c r="O614" s="65" t="n">
        <v>9983.1252</v>
      </c>
      <c r="P614" s="65"/>
      <c r="Q614" s="65"/>
      <c r="R614" s="65" t="s">
        <v>232</v>
      </c>
      <c r="S614" s="66" t="n">
        <f aca="false">Model_Calc!AQ106</f>
        <v>9983.125152</v>
      </c>
      <c r="T614" s="66" t="n">
        <f aca="false">ROUND(S614-O614,4)</f>
        <v>0</v>
      </c>
    </row>
    <row r="615" customFormat="false" ht="15" hidden="false" customHeight="false" outlineLevel="0" collapsed="false">
      <c r="A615" s="18" t="s">
        <v>193</v>
      </c>
      <c r="B615" s="18" t="s">
        <v>194</v>
      </c>
      <c r="C615" s="18"/>
      <c r="D615" s="49" t="n">
        <v>46327</v>
      </c>
      <c r="E615" s="18" t="s">
        <v>106</v>
      </c>
      <c r="F615" s="18" t="s">
        <v>99</v>
      </c>
      <c r="G615" s="18" t="s">
        <v>100</v>
      </c>
      <c r="H615" s="18" t="s">
        <v>107</v>
      </c>
      <c r="I615" s="18" t="s">
        <v>102</v>
      </c>
      <c r="J615" s="18" t="s">
        <v>239</v>
      </c>
      <c r="K615" s="18" t="s">
        <v>195</v>
      </c>
      <c r="L615" s="64" t="n">
        <v>464.3584</v>
      </c>
      <c r="M615" s="64" t="n">
        <v>7.8</v>
      </c>
      <c r="N615" s="18" t="s">
        <v>805</v>
      </c>
      <c r="O615" s="65" t="n">
        <v>3621.9955</v>
      </c>
      <c r="P615" s="65"/>
      <c r="Q615" s="65"/>
      <c r="R615" s="65" t="s">
        <v>232</v>
      </c>
      <c r="S615" s="66" t="n">
        <f aca="false">Model_Calc!AV106</f>
        <v>3621.99552</v>
      </c>
      <c r="T615" s="66" t="n">
        <f aca="false">ROUND(S615-O615,4)</f>
        <v>0</v>
      </c>
    </row>
    <row r="616" customFormat="false" ht="15" hidden="false" customHeight="false" outlineLevel="0" collapsed="false">
      <c r="A616" s="18" t="s">
        <v>193</v>
      </c>
      <c r="B616" s="18" t="s">
        <v>194</v>
      </c>
      <c r="C616" s="18"/>
      <c r="D616" s="49" t="n">
        <v>46327</v>
      </c>
      <c r="E616" s="18" t="s">
        <v>106</v>
      </c>
      <c r="F616" s="18" t="s">
        <v>99</v>
      </c>
      <c r="G616" s="18" t="s">
        <v>100</v>
      </c>
      <c r="H616" s="18" t="s">
        <v>107</v>
      </c>
      <c r="I616" s="18" t="s">
        <v>102</v>
      </c>
      <c r="J616" s="18" t="s">
        <v>241</v>
      </c>
      <c r="K616" s="18" t="s">
        <v>195</v>
      </c>
      <c r="L616" s="64" t="n">
        <v>91.1158248</v>
      </c>
      <c r="M616" s="64" t="n">
        <v>7.8</v>
      </c>
      <c r="N616" s="18" t="s">
        <v>806</v>
      </c>
      <c r="O616" s="65" t="n">
        <v>710.7034</v>
      </c>
      <c r="P616" s="65"/>
      <c r="Q616" s="65"/>
      <c r="R616" s="65" t="s">
        <v>232</v>
      </c>
      <c r="S616" s="66" t="n">
        <f aca="false">Model_Calc!BA106</f>
        <v>710.70343344</v>
      </c>
      <c r="T616" s="66" t="n">
        <f aca="false">ROUND(S616-O616,4)</f>
        <v>0</v>
      </c>
    </row>
    <row r="617" customFormat="false" ht="15" hidden="false" customHeight="false" outlineLevel="0" collapsed="false">
      <c r="A617" s="18" t="s">
        <v>193</v>
      </c>
      <c r="B617" s="18" t="s">
        <v>194</v>
      </c>
      <c r="C617" s="18"/>
      <c r="D617" s="49" t="n">
        <v>46327</v>
      </c>
      <c r="E617" s="18" t="s">
        <v>109</v>
      </c>
      <c r="F617" s="18" t="s">
        <v>99</v>
      </c>
      <c r="G617" s="18" t="s">
        <v>110</v>
      </c>
      <c r="H617" s="18" t="s">
        <v>107</v>
      </c>
      <c r="I617" s="18" t="s">
        <v>102</v>
      </c>
      <c r="J617" s="18" t="s">
        <v>230</v>
      </c>
      <c r="K617" s="18" t="s">
        <v>195</v>
      </c>
      <c r="L617" s="64" t="n">
        <v>694.67292576</v>
      </c>
      <c r="M617" s="64" t="n">
        <v>7.8</v>
      </c>
      <c r="N617" s="18" t="s">
        <v>807</v>
      </c>
      <c r="O617" s="65" t="n">
        <v>5418.4488</v>
      </c>
      <c r="P617" s="65"/>
      <c r="Q617" s="65"/>
      <c r="R617" s="65" t="s">
        <v>232</v>
      </c>
      <c r="S617" s="66" t="n">
        <f aca="false">Model_Calc!AF107</f>
        <v>5418.448820928</v>
      </c>
      <c r="T617" s="66" t="n">
        <f aca="false">ROUND(S617-O617,4)</f>
        <v>0</v>
      </c>
    </row>
    <row r="618" customFormat="false" ht="15" hidden="false" customHeight="false" outlineLevel="0" collapsed="false">
      <c r="A618" s="18" t="s">
        <v>193</v>
      </c>
      <c r="B618" s="18" t="s">
        <v>194</v>
      </c>
      <c r="C618" s="18"/>
      <c r="D618" s="49" t="n">
        <v>46327</v>
      </c>
      <c r="E618" s="18" t="s">
        <v>109</v>
      </c>
      <c r="F618" s="18" t="s">
        <v>99</v>
      </c>
      <c r="G618" s="18" t="s">
        <v>110</v>
      </c>
      <c r="H618" s="18" t="s">
        <v>107</v>
      </c>
      <c r="I618" s="18" t="s">
        <v>102</v>
      </c>
      <c r="J618" s="18" t="s">
        <v>233</v>
      </c>
      <c r="K618" s="18" t="s">
        <v>195</v>
      </c>
      <c r="L618" s="64" t="n">
        <v>50.521667328</v>
      </c>
      <c r="M618" s="64" t="n">
        <v>7.8</v>
      </c>
      <c r="N618" s="18" t="s">
        <v>808</v>
      </c>
      <c r="O618" s="65" t="n">
        <v>394.069</v>
      </c>
      <c r="P618" s="65"/>
      <c r="Q618" s="65"/>
      <c r="R618" s="65" t="s">
        <v>232</v>
      </c>
      <c r="S618" s="66" t="n">
        <f aca="false">Model_Calc!AG107</f>
        <v>394.0690051584</v>
      </c>
      <c r="T618" s="66" t="n">
        <f aca="false">ROUND(S618-O618,4)</f>
        <v>0</v>
      </c>
    </row>
    <row r="619" customFormat="false" ht="15" hidden="false" customHeight="false" outlineLevel="0" collapsed="false">
      <c r="A619" s="18" t="s">
        <v>193</v>
      </c>
      <c r="B619" s="18" t="s">
        <v>194</v>
      </c>
      <c r="C619" s="18"/>
      <c r="D619" s="49" t="n">
        <v>46327</v>
      </c>
      <c r="E619" s="18" t="s">
        <v>109</v>
      </c>
      <c r="F619" s="18" t="s">
        <v>99</v>
      </c>
      <c r="G619" s="18" t="s">
        <v>110</v>
      </c>
      <c r="H619" s="18" t="s">
        <v>107</v>
      </c>
      <c r="I619" s="18" t="s">
        <v>102</v>
      </c>
      <c r="J619" s="18" t="s">
        <v>235</v>
      </c>
      <c r="K619" s="18" t="s">
        <v>195</v>
      </c>
      <c r="L619" s="64" t="n">
        <v>235.62</v>
      </c>
      <c r="M619" s="64" t="n">
        <v>7.8</v>
      </c>
      <c r="N619" s="18" t="s">
        <v>809</v>
      </c>
      <c r="O619" s="65" t="n">
        <v>1837.836</v>
      </c>
      <c r="P619" s="65"/>
      <c r="Q619" s="65"/>
      <c r="R619" s="65" t="s">
        <v>232</v>
      </c>
      <c r="S619" s="66" t="n">
        <f aca="false">Model_Calc!AL107</f>
        <v>1837.836</v>
      </c>
      <c r="T619" s="66" t="n">
        <f aca="false">ROUND(S619-O619,4)</f>
        <v>0</v>
      </c>
    </row>
    <row r="620" customFormat="false" ht="15" hidden="false" customHeight="false" outlineLevel="0" collapsed="false">
      <c r="A620" s="18" t="s">
        <v>193</v>
      </c>
      <c r="B620" s="18" t="s">
        <v>194</v>
      </c>
      <c r="C620" s="18"/>
      <c r="D620" s="49" t="n">
        <v>46327</v>
      </c>
      <c r="E620" s="18" t="s">
        <v>109</v>
      </c>
      <c r="F620" s="18" t="s">
        <v>99</v>
      </c>
      <c r="G620" s="18" t="s">
        <v>110</v>
      </c>
      <c r="H620" s="18" t="s">
        <v>107</v>
      </c>
      <c r="I620" s="18" t="s">
        <v>102</v>
      </c>
      <c r="J620" s="18" t="s">
        <v>237</v>
      </c>
      <c r="K620" s="18" t="s">
        <v>195</v>
      </c>
      <c r="L620" s="64" t="n">
        <v>92.09376</v>
      </c>
      <c r="M620" s="64" t="n">
        <v>7.8</v>
      </c>
      <c r="N620" s="18" t="s">
        <v>810</v>
      </c>
      <c r="O620" s="65" t="n">
        <v>718.3313</v>
      </c>
      <c r="P620" s="65"/>
      <c r="Q620" s="65"/>
      <c r="R620" s="65" t="s">
        <v>232</v>
      </c>
      <c r="S620" s="66" t="n">
        <f aca="false">Model_Calc!AQ107</f>
        <v>718.331328</v>
      </c>
      <c r="T620" s="66" t="n">
        <f aca="false">ROUND(S620-O620,4)</f>
        <v>0</v>
      </c>
    </row>
    <row r="621" customFormat="false" ht="15" hidden="false" customHeight="false" outlineLevel="0" collapsed="false">
      <c r="A621" s="18" t="s">
        <v>193</v>
      </c>
      <c r="B621" s="18" t="s">
        <v>194</v>
      </c>
      <c r="C621" s="18"/>
      <c r="D621" s="49" t="n">
        <v>46327</v>
      </c>
      <c r="E621" s="18" t="s">
        <v>109</v>
      </c>
      <c r="F621" s="18" t="s">
        <v>99</v>
      </c>
      <c r="G621" s="18" t="s">
        <v>110</v>
      </c>
      <c r="H621" s="18" t="s">
        <v>107</v>
      </c>
      <c r="I621" s="18" t="s">
        <v>102</v>
      </c>
      <c r="J621" s="18" t="s">
        <v>239</v>
      </c>
      <c r="K621" s="18" t="s">
        <v>195</v>
      </c>
      <c r="L621" s="64" t="n">
        <v>42.636</v>
      </c>
      <c r="M621" s="64" t="n">
        <v>7.8</v>
      </c>
      <c r="N621" s="18" t="s">
        <v>811</v>
      </c>
      <c r="O621" s="65" t="n">
        <v>332.5608</v>
      </c>
      <c r="P621" s="65"/>
      <c r="Q621" s="65"/>
      <c r="R621" s="65" t="s">
        <v>232</v>
      </c>
      <c r="S621" s="66" t="n">
        <f aca="false">Model_Calc!AV107</f>
        <v>332.5608</v>
      </c>
      <c r="T621" s="66" t="n">
        <f aca="false">ROUND(S621-O621,4)</f>
        <v>0</v>
      </c>
    </row>
    <row r="622" customFormat="false" ht="15" hidden="false" customHeight="false" outlineLevel="0" collapsed="false">
      <c r="A622" s="18" t="s">
        <v>193</v>
      </c>
      <c r="B622" s="18" t="s">
        <v>194</v>
      </c>
      <c r="C622" s="18"/>
      <c r="D622" s="49" t="n">
        <v>46327</v>
      </c>
      <c r="E622" s="18" t="s">
        <v>109</v>
      </c>
      <c r="F622" s="18" t="s">
        <v>99</v>
      </c>
      <c r="G622" s="18" t="s">
        <v>110</v>
      </c>
      <c r="H622" s="18" t="s">
        <v>107</v>
      </c>
      <c r="I622" s="18" t="s">
        <v>102</v>
      </c>
      <c r="J622" s="18" t="s">
        <v>241</v>
      </c>
      <c r="K622" s="18" t="s">
        <v>195</v>
      </c>
      <c r="L622" s="64" t="n">
        <v>7.8037344</v>
      </c>
      <c r="M622" s="64" t="n">
        <v>7.8</v>
      </c>
      <c r="N622" s="18" t="s">
        <v>812</v>
      </c>
      <c r="O622" s="65" t="n">
        <v>60.8691</v>
      </c>
      <c r="P622" s="65"/>
      <c r="Q622" s="65"/>
      <c r="R622" s="65" t="s">
        <v>232</v>
      </c>
      <c r="S622" s="66" t="n">
        <f aca="false">Model_Calc!BA107</f>
        <v>60.86912832</v>
      </c>
      <c r="T622" s="66" t="n">
        <f aca="false">ROUND(S622-O622,4)</f>
        <v>0</v>
      </c>
    </row>
    <row r="623" customFormat="false" ht="15" hidden="false" customHeight="false" outlineLevel="0" collapsed="false">
      <c r="A623" s="18" t="s">
        <v>193</v>
      </c>
      <c r="B623" s="18" t="s">
        <v>194</v>
      </c>
      <c r="C623" s="18"/>
      <c r="D623" s="49" t="n">
        <v>46327</v>
      </c>
      <c r="E623" s="18" t="s">
        <v>112</v>
      </c>
      <c r="F623" s="18" t="s">
        <v>113</v>
      </c>
      <c r="G623" s="18" t="s">
        <v>110</v>
      </c>
      <c r="H623" s="18" t="s">
        <v>101</v>
      </c>
      <c r="I623" s="18" t="s">
        <v>102</v>
      </c>
      <c r="J623" s="18" t="s">
        <v>230</v>
      </c>
      <c r="K623" s="18" t="s">
        <v>195</v>
      </c>
      <c r="L623" s="64" t="n">
        <v>3947.045256</v>
      </c>
      <c r="M623" s="64" t="n">
        <v>7.8</v>
      </c>
      <c r="N623" s="18" t="s">
        <v>813</v>
      </c>
      <c r="O623" s="65" t="n">
        <v>30786.953</v>
      </c>
      <c r="P623" s="65"/>
      <c r="Q623" s="65"/>
      <c r="R623" s="65" t="s">
        <v>232</v>
      </c>
      <c r="S623" s="66" t="n">
        <f aca="false">Model_Calc!AF108</f>
        <v>30786.9529968</v>
      </c>
      <c r="T623" s="66" t="n">
        <f aca="false">ROUND(S623-O623,4)</f>
        <v>0</v>
      </c>
    </row>
    <row r="624" customFormat="false" ht="15" hidden="false" customHeight="false" outlineLevel="0" collapsed="false">
      <c r="A624" s="18" t="s">
        <v>193</v>
      </c>
      <c r="B624" s="18" t="s">
        <v>194</v>
      </c>
      <c r="C624" s="18"/>
      <c r="D624" s="49" t="n">
        <v>46327</v>
      </c>
      <c r="E624" s="18" t="s">
        <v>112</v>
      </c>
      <c r="F624" s="18" t="s">
        <v>113</v>
      </c>
      <c r="G624" s="18" t="s">
        <v>110</v>
      </c>
      <c r="H624" s="18" t="s">
        <v>101</v>
      </c>
      <c r="I624" s="18" t="s">
        <v>102</v>
      </c>
      <c r="J624" s="18" t="s">
        <v>233</v>
      </c>
      <c r="K624" s="18" t="s">
        <v>195</v>
      </c>
      <c r="L624" s="64" t="n">
        <v>355.23407304</v>
      </c>
      <c r="M624" s="64" t="n">
        <v>7.8</v>
      </c>
      <c r="N624" s="18" t="s">
        <v>814</v>
      </c>
      <c r="O624" s="65" t="n">
        <v>2770.8258</v>
      </c>
      <c r="P624" s="65"/>
      <c r="Q624" s="65"/>
      <c r="R624" s="65" t="s">
        <v>232</v>
      </c>
      <c r="S624" s="66" t="n">
        <f aca="false">Model_Calc!AG108</f>
        <v>2770.825769712</v>
      </c>
      <c r="T624" s="66" t="n">
        <f aca="false">ROUND(S624-O624,4)</f>
        <v>0</v>
      </c>
    </row>
    <row r="625" customFormat="false" ht="15" hidden="false" customHeight="false" outlineLevel="0" collapsed="false">
      <c r="A625" s="18" t="s">
        <v>193</v>
      </c>
      <c r="B625" s="18" t="s">
        <v>194</v>
      </c>
      <c r="C625" s="18"/>
      <c r="D625" s="49" t="n">
        <v>46327</v>
      </c>
      <c r="E625" s="18" t="s">
        <v>112</v>
      </c>
      <c r="F625" s="18" t="s">
        <v>113</v>
      </c>
      <c r="G625" s="18" t="s">
        <v>110</v>
      </c>
      <c r="H625" s="18" t="s">
        <v>101</v>
      </c>
      <c r="I625" s="18" t="s">
        <v>102</v>
      </c>
      <c r="J625" s="18" t="s">
        <v>235</v>
      </c>
      <c r="K625" s="18" t="s">
        <v>195</v>
      </c>
      <c r="L625" s="64" t="n">
        <v>2425.5</v>
      </c>
      <c r="M625" s="64" t="n">
        <v>7.8</v>
      </c>
      <c r="N625" s="18" t="s">
        <v>815</v>
      </c>
      <c r="O625" s="65" t="n">
        <v>18918.9</v>
      </c>
      <c r="P625" s="65"/>
      <c r="Q625" s="65"/>
      <c r="R625" s="65" t="s">
        <v>232</v>
      </c>
      <c r="S625" s="66" t="n">
        <f aca="false">Model_Calc!AL108</f>
        <v>18918.9</v>
      </c>
      <c r="T625" s="66" t="n">
        <f aca="false">ROUND(S625-O625,4)</f>
        <v>0</v>
      </c>
    </row>
    <row r="626" customFormat="false" ht="15" hidden="false" customHeight="false" outlineLevel="0" collapsed="false">
      <c r="A626" s="18" t="s">
        <v>193</v>
      </c>
      <c r="B626" s="18" t="s">
        <v>194</v>
      </c>
      <c r="C626" s="18"/>
      <c r="D626" s="49" t="n">
        <v>46327</v>
      </c>
      <c r="E626" s="18" t="s">
        <v>112</v>
      </c>
      <c r="F626" s="18" t="s">
        <v>113</v>
      </c>
      <c r="G626" s="18" t="s">
        <v>110</v>
      </c>
      <c r="H626" s="18" t="s">
        <v>101</v>
      </c>
      <c r="I626" s="18" t="s">
        <v>102</v>
      </c>
      <c r="J626" s="18" t="s">
        <v>237</v>
      </c>
      <c r="K626" s="18" t="s">
        <v>195</v>
      </c>
      <c r="L626" s="64" t="n">
        <v>930.468</v>
      </c>
      <c r="M626" s="64" t="n">
        <v>7.8</v>
      </c>
      <c r="N626" s="18" t="s">
        <v>816</v>
      </c>
      <c r="O626" s="65" t="n">
        <v>7257.6504</v>
      </c>
      <c r="P626" s="65"/>
      <c r="Q626" s="65"/>
      <c r="R626" s="65" t="s">
        <v>232</v>
      </c>
      <c r="S626" s="66" t="n">
        <f aca="false">Model_Calc!AQ108</f>
        <v>7257.6504</v>
      </c>
      <c r="T626" s="66" t="n">
        <f aca="false">ROUND(S626-O626,4)</f>
        <v>0</v>
      </c>
    </row>
    <row r="627" customFormat="false" ht="15" hidden="false" customHeight="false" outlineLevel="0" collapsed="false">
      <c r="A627" s="18" t="s">
        <v>193</v>
      </c>
      <c r="B627" s="18" t="s">
        <v>194</v>
      </c>
      <c r="C627" s="18"/>
      <c r="D627" s="49" t="n">
        <v>46327</v>
      </c>
      <c r="E627" s="18" t="s">
        <v>112</v>
      </c>
      <c r="F627" s="18" t="s">
        <v>113</v>
      </c>
      <c r="G627" s="18" t="s">
        <v>110</v>
      </c>
      <c r="H627" s="18" t="s">
        <v>101</v>
      </c>
      <c r="I627" s="18" t="s">
        <v>102</v>
      </c>
      <c r="J627" s="18" t="s">
        <v>239</v>
      </c>
      <c r="K627" s="18" t="s">
        <v>195</v>
      </c>
      <c r="L627" s="64" t="n">
        <v>415.8</v>
      </c>
      <c r="M627" s="64" t="n">
        <v>7.8</v>
      </c>
      <c r="N627" s="18" t="s">
        <v>817</v>
      </c>
      <c r="O627" s="65" t="n">
        <v>3243.24</v>
      </c>
      <c r="P627" s="65"/>
      <c r="Q627" s="65"/>
      <c r="R627" s="65" t="s">
        <v>232</v>
      </c>
      <c r="S627" s="66" t="n">
        <f aca="false">Model_Calc!AV108</f>
        <v>3243.24</v>
      </c>
      <c r="T627" s="66" t="n">
        <f aca="false">ROUND(S627-O627,4)</f>
        <v>0</v>
      </c>
    </row>
    <row r="628" customFormat="false" ht="15" hidden="false" customHeight="false" outlineLevel="0" collapsed="false">
      <c r="A628" s="18" t="s">
        <v>193</v>
      </c>
      <c r="B628" s="18" t="s">
        <v>194</v>
      </c>
      <c r="C628" s="18"/>
      <c r="D628" s="49" t="n">
        <v>46327</v>
      </c>
      <c r="E628" s="18" t="s">
        <v>112</v>
      </c>
      <c r="F628" s="18" t="s">
        <v>113</v>
      </c>
      <c r="G628" s="18" t="s">
        <v>110</v>
      </c>
      <c r="H628" s="18" t="s">
        <v>101</v>
      </c>
      <c r="I628" s="18" t="s">
        <v>102</v>
      </c>
      <c r="J628" s="18" t="s">
        <v>241</v>
      </c>
      <c r="K628" s="18" t="s">
        <v>195</v>
      </c>
      <c r="L628" s="64" t="n">
        <v>95.74026</v>
      </c>
      <c r="M628" s="64" t="n">
        <v>7.8</v>
      </c>
      <c r="N628" s="18" t="s">
        <v>818</v>
      </c>
      <c r="O628" s="65" t="n">
        <v>746.774</v>
      </c>
      <c r="P628" s="65"/>
      <c r="Q628" s="65"/>
      <c r="R628" s="65" t="s">
        <v>232</v>
      </c>
      <c r="S628" s="66" t="n">
        <f aca="false">Model_Calc!BA108</f>
        <v>746.774028</v>
      </c>
      <c r="T628" s="66" t="n">
        <f aca="false">ROUND(S628-O628,4)</f>
        <v>0</v>
      </c>
    </row>
    <row r="629" customFormat="false" ht="15" hidden="false" customHeight="false" outlineLevel="0" collapsed="false">
      <c r="A629" s="18" t="s">
        <v>193</v>
      </c>
      <c r="B629" s="18" t="s">
        <v>194</v>
      </c>
      <c r="C629" s="18"/>
      <c r="D629" s="49" t="n">
        <v>46327</v>
      </c>
      <c r="E629" s="18" t="s">
        <v>116</v>
      </c>
      <c r="F629" s="18" t="s">
        <v>113</v>
      </c>
      <c r="G629" s="18" t="s">
        <v>110</v>
      </c>
      <c r="H629" s="18" t="s">
        <v>107</v>
      </c>
      <c r="I629" s="18" t="s">
        <v>102</v>
      </c>
      <c r="J629" s="18" t="s">
        <v>230</v>
      </c>
      <c r="K629" s="18" t="s">
        <v>195</v>
      </c>
      <c r="L629" s="64" t="n">
        <v>9433.763196</v>
      </c>
      <c r="M629" s="64" t="n">
        <v>7.8</v>
      </c>
      <c r="N629" s="18" t="s">
        <v>819</v>
      </c>
      <c r="O629" s="65" t="n">
        <v>73583.3529</v>
      </c>
      <c r="P629" s="65"/>
      <c r="Q629" s="65"/>
      <c r="R629" s="65" t="s">
        <v>232</v>
      </c>
      <c r="S629" s="66" t="n">
        <f aca="false">Model_Calc!AF109</f>
        <v>73583.3529288</v>
      </c>
      <c r="T629" s="66" t="n">
        <f aca="false">ROUND(S629-O629,4)</f>
        <v>0</v>
      </c>
    </row>
    <row r="630" customFormat="false" ht="15" hidden="false" customHeight="false" outlineLevel="0" collapsed="false">
      <c r="A630" s="18" t="s">
        <v>193</v>
      </c>
      <c r="B630" s="18" t="s">
        <v>194</v>
      </c>
      <c r="C630" s="18"/>
      <c r="D630" s="49" t="n">
        <v>46327</v>
      </c>
      <c r="E630" s="18" t="s">
        <v>116</v>
      </c>
      <c r="F630" s="18" t="s">
        <v>113</v>
      </c>
      <c r="G630" s="18" t="s">
        <v>110</v>
      </c>
      <c r="H630" s="18" t="s">
        <v>107</v>
      </c>
      <c r="I630" s="18" t="s">
        <v>102</v>
      </c>
      <c r="J630" s="18" t="s">
        <v>233</v>
      </c>
      <c r="K630" s="18" t="s">
        <v>195</v>
      </c>
      <c r="L630" s="64" t="n">
        <v>725.674092</v>
      </c>
      <c r="M630" s="64" t="n">
        <v>7.8</v>
      </c>
      <c r="N630" s="18" t="s">
        <v>820</v>
      </c>
      <c r="O630" s="65" t="n">
        <v>5660.2579</v>
      </c>
      <c r="P630" s="65"/>
      <c r="Q630" s="65"/>
      <c r="R630" s="65" t="s">
        <v>232</v>
      </c>
      <c r="S630" s="66" t="n">
        <f aca="false">Model_Calc!AG109</f>
        <v>5660.2579176</v>
      </c>
      <c r="T630" s="66" t="n">
        <f aca="false">ROUND(S630-O630,4)</f>
        <v>0</v>
      </c>
    </row>
    <row r="631" customFormat="false" ht="15" hidden="false" customHeight="false" outlineLevel="0" collapsed="false">
      <c r="A631" s="18" t="s">
        <v>193</v>
      </c>
      <c r="B631" s="18" t="s">
        <v>194</v>
      </c>
      <c r="C631" s="18"/>
      <c r="D631" s="49" t="n">
        <v>46327</v>
      </c>
      <c r="E631" s="18" t="s">
        <v>116</v>
      </c>
      <c r="F631" s="18" t="s">
        <v>113</v>
      </c>
      <c r="G631" s="18" t="s">
        <v>110</v>
      </c>
      <c r="H631" s="18" t="s">
        <v>107</v>
      </c>
      <c r="I631" s="18" t="s">
        <v>102</v>
      </c>
      <c r="J631" s="18" t="s">
        <v>235</v>
      </c>
      <c r="K631" s="18" t="s">
        <v>195</v>
      </c>
      <c r="L631" s="64" t="n">
        <v>4504.5</v>
      </c>
      <c r="M631" s="64" t="n">
        <v>7.8</v>
      </c>
      <c r="N631" s="18" t="s">
        <v>821</v>
      </c>
      <c r="O631" s="65" t="n">
        <v>35135.1</v>
      </c>
      <c r="P631" s="65"/>
      <c r="Q631" s="65"/>
      <c r="R631" s="65" t="s">
        <v>232</v>
      </c>
      <c r="S631" s="66" t="n">
        <f aca="false">Model_Calc!AL109</f>
        <v>35135.1</v>
      </c>
      <c r="T631" s="66" t="n">
        <f aca="false">ROUND(S631-O631,4)</f>
        <v>0</v>
      </c>
    </row>
    <row r="632" customFormat="false" ht="15" hidden="false" customHeight="false" outlineLevel="0" collapsed="false">
      <c r="A632" s="18" t="s">
        <v>193</v>
      </c>
      <c r="B632" s="18" t="s">
        <v>194</v>
      </c>
      <c r="C632" s="18"/>
      <c r="D632" s="49" t="n">
        <v>46327</v>
      </c>
      <c r="E632" s="18" t="s">
        <v>116</v>
      </c>
      <c r="F632" s="18" t="s">
        <v>113</v>
      </c>
      <c r="G632" s="18" t="s">
        <v>110</v>
      </c>
      <c r="H632" s="18" t="s">
        <v>107</v>
      </c>
      <c r="I632" s="18" t="s">
        <v>102</v>
      </c>
      <c r="J632" s="18" t="s">
        <v>237</v>
      </c>
      <c r="K632" s="18" t="s">
        <v>195</v>
      </c>
      <c r="L632" s="64" t="n">
        <v>1728.012</v>
      </c>
      <c r="M632" s="64" t="n">
        <v>7.8</v>
      </c>
      <c r="N632" s="18" t="s">
        <v>822</v>
      </c>
      <c r="O632" s="65" t="n">
        <v>13478.4936</v>
      </c>
      <c r="P632" s="65"/>
      <c r="Q632" s="65"/>
      <c r="R632" s="65" t="s">
        <v>232</v>
      </c>
      <c r="S632" s="66" t="n">
        <f aca="false">Model_Calc!AQ109</f>
        <v>13478.4936</v>
      </c>
      <c r="T632" s="66" t="n">
        <f aca="false">ROUND(S632-O632,4)</f>
        <v>0</v>
      </c>
    </row>
    <row r="633" customFormat="false" ht="15" hidden="false" customHeight="false" outlineLevel="0" collapsed="false">
      <c r="A633" s="18" t="s">
        <v>193</v>
      </c>
      <c r="B633" s="18" t="s">
        <v>194</v>
      </c>
      <c r="C633" s="18"/>
      <c r="D633" s="49" t="n">
        <v>46327</v>
      </c>
      <c r="E633" s="18" t="s">
        <v>116</v>
      </c>
      <c r="F633" s="18" t="s">
        <v>113</v>
      </c>
      <c r="G633" s="18" t="s">
        <v>110</v>
      </c>
      <c r="H633" s="18" t="s">
        <v>107</v>
      </c>
      <c r="I633" s="18" t="s">
        <v>102</v>
      </c>
      <c r="J633" s="18" t="s">
        <v>239</v>
      </c>
      <c r="K633" s="18" t="s">
        <v>195</v>
      </c>
      <c r="L633" s="64" t="n">
        <v>772.2</v>
      </c>
      <c r="M633" s="64" t="n">
        <v>7.8</v>
      </c>
      <c r="N633" s="18" t="s">
        <v>823</v>
      </c>
      <c r="O633" s="65" t="n">
        <v>6023.16</v>
      </c>
      <c r="P633" s="65"/>
      <c r="Q633" s="65"/>
      <c r="R633" s="65" t="s">
        <v>232</v>
      </c>
      <c r="S633" s="66" t="n">
        <f aca="false">Model_Calc!AV109</f>
        <v>6023.16</v>
      </c>
      <c r="T633" s="66" t="n">
        <f aca="false">ROUND(S633-O633,4)</f>
        <v>0</v>
      </c>
    </row>
    <row r="634" customFormat="false" ht="15" hidden="false" customHeight="false" outlineLevel="0" collapsed="false">
      <c r="A634" s="18" t="s">
        <v>193</v>
      </c>
      <c r="B634" s="18" t="s">
        <v>194</v>
      </c>
      <c r="C634" s="18"/>
      <c r="D634" s="49" t="n">
        <v>46327</v>
      </c>
      <c r="E634" s="18" t="s">
        <v>116</v>
      </c>
      <c r="F634" s="18" t="s">
        <v>113</v>
      </c>
      <c r="G634" s="18" t="s">
        <v>110</v>
      </c>
      <c r="H634" s="18" t="s">
        <v>107</v>
      </c>
      <c r="I634" s="18" t="s">
        <v>102</v>
      </c>
      <c r="J634" s="18" t="s">
        <v>241</v>
      </c>
      <c r="K634" s="18" t="s">
        <v>195</v>
      </c>
      <c r="L634" s="64" t="n">
        <v>146.42628</v>
      </c>
      <c r="M634" s="64" t="n">
        <v>7.8</v>
      </c>
      <c r="N634" s="18" t="s">
        <v>824</v>
      </c>
      <c r="O634" s="65" t="n">
        <v>1142.125</v>
      </c>
      <c r="P634" s="65"/>
      <c r="Q634" s="65"/>
      <c r="R634" s="65" t="s">
        <v>232</v>
      </c>
      <c r="S634" s="66" t="n">
        <f aca="false">Model_Calc!BA109</f>
        <v>1142.124984</v>
      </c>
      <c r="T634" s="66" t="n">
        <f aca="false">ROUND(S634-O634,4)</f>
        <v>0</v>
      </c>
    </row>
    <row r="635" customFormat="false" ht="15" hidden="false" customHeight="false" outlineLevel="0" collapsed="false">
      <c r="A635" s="18" t="s">
        <v>193</v>
      </c>
      <c r="B635" s="18" t="s">
        <v>194</v>
      </c>
      <c r="C635" s="18"/>
      <c r="D635" s="49" t="n">
        <v>46327</v>
      </c>
      <c r="E635" s="18" t="s">
        <v>118</v>
      </c>
      <c r="F635" s="18" t="s">
        <v>119</v>
      </c>
      <c r="G635" s="18" t="s">
        <v>100</v>
      </c>
      <c r="H635" s="18" t="s">
        <v>101</v>
      </c>
      <c r="I635" s="18" t="s">
        <v>102</v>
      </c>
      <c r="J635" s="18" t="s">
        <v>230</v>
      </c>
      <c r="K635" s="18" t="s">
        <v>199</v>
      </c>
      <c r="L635" s="64" t="n">
        <v>22809.16205568</v>
      </c>
      <c r="M635" s="64" t="n">
        <v>9</v>
      </c>
      <c r="N635" s="18" t="s">
        <v>825</v>
      </c>
      <c r="O635" s="65" t="n">
        <v>205282.4585</v>
      </c>
      <c r="P635" s="65"/>
      <c r="Q635" s="65"/>
      <c r="R635" s="65" t="s">
        <v>232</v>
      </c>
      <c r="S635" s="66" t="n">
        <f aca="false">Model_Calc!AF110</f>
        <v>205282.45850112</v>
      </c>
      <c r="T635" s="66" t="n">
        <f aca="false">ROUND(S635-O635,4)</f>
        <v>0</v>
      </c>
    </row>
    <row r="636" customFormat="false" ht="15" hidden="false" customHeight="false" outlineLevel="0" collapsed="false">
      <c r="A636" s="18" t="s">
        <v>193</v>
      </c>
      <c r="B636" s="18" t="s">
        <v>194</v>
      </c>
      <c r="C636" s="18"/>
      <c r="D636" s="49" t="n">
        <v>46327</v>
      </c>
      <c r="E636" s="18" t="s">
        <v>118</v>
      </c>
      <c r="F636" s="18" t="s">
        <v>119</v>
      </c>
      <c r="G636" s="18" t="s">
        <v>100</v>
      </c>
      <c r="H636" s="18" t="s">
        <v>101</v>
      </c>
      <c r="I636" s="18" t="s">
        <v>102</v>
      </c>
      <c r="J636" s="18" t="s">
        <v>233</v>
      </c>
      <c r="K636" s="18" t="s">
        <v>199</v>
      </c>
      <c r="L636" s="64" t="n">
        <v>2280.916205568</v>
      </c>
      <c r="M636" s="64" t="n">
        <v>9</v>
      </c>
      <c r="N636" s="18" t="s">
        <v>826</v>
      </c>
      <c r="O636" s="65" t="n">
        <v>20528.2459</v>
      </c>
      <c r="P636" s="65"/>
      <c r="Q636" s="65"/>
      <c r="R636" s="65" t="s">
        <v>232</v>
      </c>
      <c r="S636" s="66" t="n">
        <f aca="false">Model_Calc!AG110</f>
        <v>20528.245850112</v>
      </c>
      <c r="T636" s="66" t="n">
        <f aca="false">ROUND(S636-O636,4)</f>
        <v>0</v>
      </c>
    </row>
    <row r="637" customFormat="false" ht="15" hidden="false" customHeight="false" outlineLevel="0" collapsed="false">
      <c r="A637" s="18" t="s">
        <v>193</v>
      </c>
      <c r="B637" s="18" t="s">
        <v>194</v>
      </c>
      <c r="C637" s="18"/>
      <c r="D637" s="49" t="n">
        <v>46327</v>
      </c>
      <c r="E637" s="18" t="s">
        <v>118</v>
      </c>
      <c r="F637" s="18" t="s">
        <v>119</v>
      </c>
      <c r="G637" s="18" t="s">
        <v>100</v>
      </c>
      <c r="H637" s="18" t="s">
        <v>101</v>
      </c>
      <c r="I637" s="18" t="s">
        <v>102</v>
      </c>
      <c r="J637" s="18" t="s">
        <v>235</v>
      </c>
      <c r="K637" s="18" t="s">
        <v>195</v>
      </c>
      <c r="L637" s="64" t="n">
        <v>5831.6544</v>
      </c>
      <c r="M637" s="64" t="n">
        <v>7.8</v>
      </c>
      <c r="N637" s="18" t="s">
        <v>827</v>
      </c>
      <c r="O637" s="65" t="n">
        <v>45486.9043</v>
      </c>
      <c r="P637" s="65"/>
      <c r="Q637" s="65"/>
      <c r="R637" s="65" t="s">
        <v>232</v>
      </c>
      <c r="S637" s="66" t="n">
        <f aca="false">Model_Calc!AL110</f>
        <v>45486.90432</v>
      </c>
      <c r="T637" s="66" t="n">
        <f aca="false">ROUND(S637-O637,4)</f>
        <v>0</v>
      </c>
    </row>
    <row r="638" customFormat="false" ht="15" hidden="false" customHeight="false" outlineLevel="0" collapsed="false">
      <c r="A638" s="18" t="s">
        <v>193</v>
      </c>
      <c r="B638" s="18" t="s">
        <v>194</v>
      </c>
      <c r="C638" s="18"/>
      <c r="D638" s="49" t="n">
        <v>46327</v>
      </c>
      <c r="E638" s="18" t="s">
        <v>118</v>
      </c>
      <c r="F638" s="18" t="s">
        <v>119</v>
      </c>
      <c r="G638" s="18" t="s">
        <v>100</v>
      </c>
      <c r="H638" s="18" t="s">
        <v>101</v>
      </c>
      <c r="I638" s="18" t="s">
        <v>102</v>
      </c>
      <c r="J638" s="18" t="s">
        <v>237</v>
      </c>
      <c r="K638" s="18" t="s">
        <v>195</v>
      </c>
      <c r="L638" s="64" t="n">
        <v>2324.754432</v>
      </c>
      <c r="M638" s="64" t="n">
        <v>7.8</v>
      </c>
      <c r="N638" s="18" t="s">
        <v>828</v>
      </c>
      <c r="O638" s="65" t="n">
        <v>18133.0846</v>
      </c>
      <c r="P638" s="65"/>
      <c r="Q638" s="65"/>
      <c r="R638" s="65" t="s">
        <v>232</v>
      </c>
      <c r="S638" s="66" t="n">
        <f aca="false">Model_Calc!AQ110</f>
        <v>18133.0845696</v>
      </c>
      <c r="T638" s="66" t="n">
        <f aca="false">ROUND(S638-O638,4)</f>
        <v>0</v>
      </c>
    </row>
    <row r="639" customFormat="false" ht="15" hidden="false" customHeight="false" outlineLevel="0" collapsed="false">
      <c r="A639" s="18" t="s">
        <v>193</v>
      </c>
      <c r="B639" s="18" t="s">
        <v>194</v>
      </c>
      <c r="C639" s="18"/>
      <c r="D639" s="49" t="n">
        <v>46327</v>
      </c>
      <c r="E639" s="18" t="s">
        <v>118</v>
      </c>
      <c r="F639" s="18" t="s">
        <v>119</v>
      </c>
      <c r="G639" s="18" t="s">
        <v>100</v>
      </c>
      <c r="H639" s="18" t="s">
        <v>101</v>
      </c>
      <c r="I639" s="18" t="s">
        <v>102</v>
      </c>
      <c r="J639" s="18" t="s">
        <v>239</v>
      </c>
      <c r="K639" s="18" t="s">
        <v>199</v>
      </c>
      <c r="L639" s="64" t="n">
        <v>1897.75872</v>
      </c>
      <c r="M639" s="64" t="n">
        <v>9</v>
      </c>
      <c r="N639" s="18" t="s">
        <v>829</v>
      </c>
      <c r="O639" s="65" t="n">
        <v>17079.8285</v>
      </c>
      <c r="P639" s="65"/>
      <c r="Q639" s="65"/>
      <c r="R639" s="65" t="s">
        <v>232</v>
      </c>
      <c r="S639" s="66" t="n">
        <f aca="false">Model_Calc!AV110</f>
        <v>17079.82848</v>
      </c>
      <c r="T639" s="66" t="n">
        <f aca="false">ROUND(S639-O639,4)</f>
        <v>0</v>
      </c>
    </row>
    <row r="640" customFormat="false" ht="15" hidden="false" customHeight="false" outlineLevel="0" collapsed="false">
      <c r="A640" s="18" t="s">
        <v>193</v>
      </c>
      <c r="B640" s="18" t="s">
        <v>194</v>
      </c>
      <c r="C640" s="18"/>
      <c r="D640" s="49" t="n">
        <v>46327</v>
      </c>
      <c r="E640" s="18" t="s">
        <v>118</v>
      </c>
      <c r="F640" s="18" t="s">
        <v>119</v>
      </c>
      <c r="G640" s="18" t="s">
        <v>100</v>
      </c>
      <c r="H640" s="18" t="s">
        <v>101</v>
      </c>
      <c r="I640" s="18" t="s">
        <v>102</v>
      </c>
      <c r="J640" s="18" t="s">
        <v>241</v>
      </c>
      <c r="K640" s="18" t="s">
        <v>199</v>
      </c>
      <c r="L640" s="64" t="n">
        <v>280.07755776</v>
      </c>
      <c r="M640" s="64" t="n">
        <v>9</v>
      </c>
      <c r="N640" s="18" t="s">
        <v>830</v>
      </c>
      <c r="O640" s="65" t="n">
        <v>2520.698</v>
      </c>
      <c r="P640" s="65"/>
      <c r="Q640" s="65"/>
      <c r="R640" s="65" t="s">
        <v>232</v>
      </c>
      <c r="S640" s="66" t="n">
        <f aca="false">Model_Calc!BA110</f>
        <v>2520.69801984</v>
      </c>
      <c r="T640" s="66" t="n">
        <f aca="false">ROUND(S640-O640,4)</f>
        <v>0</v>
      </c>
    </row>
    <row r="641" customFormat="false" ht="15" hidden="false" customHeight="false" outlineLevel="0" collapsed="false">
      <c r="A641" s="18" t="s">
        <v>193</v>
      </c>
      <c r="B641" s="18" t="s">
        <v>194</v>
      </c>
      <c r="C641" s="18"/>
      <c r="D641" s="49" t="n">
        <v>46327</v>
      </c>
      <c r="E641" s="18" t="s">
        <v>122</v>
      </c>
      <c r="F641" s="18" t="s">
        <v>119</v>
      </c>
      <c r="G641" s="18" t="s">
        <v>100</v>
      </c>
      <c r="H641" s="18" t="s">
        <v>107</v>
      </c>
      <c r="I641" s="18" t="s">
        <v>102</v>
      </c>
      <c r="J641" s="18" t="s">
        <v>230</v>
      </c>
      <c r="K641" s="18" t="s">
        <v>199</v>
      </c>
      <c r="L641" s="64" t="n">
        <v>10105.869312</v>
      </c>
      <c r="M641" s="64" t="n">
        <v>9</v>
      </c>
      <c r="N641" s="18" t="s">
        <v>831</v>
      </c>
      <c r="O641" s="65" t="n">
        <v>90952.8238</v>
      </c>
      <c r="P641" s="65"/>
      <c r="Q641" s="65"/>
      <c r="R641" s="65" t="s">
        <v>232</v>
      </c>
      <c r="S641" s="66" t="n">
        <f aca="false">Model_Calc!AF111</f>
        <v>90952.823808</v>
      </c>
      <c r="T641" s="66" t="n">
        <f aca="false">ROUND(S641-O641,4)</f>
        <v>0</v>
      </c>
    </row>
    <row r="642" customFormat="false" ht="15" hidden="false" customHeight="false" outlineLevel="0" collapsed="false">
      <c r="A642" s="18" t="s">
        <v>193</v>
      </c>
      <c r="B642" s="18" t="s">
        <v>194</v>
      </c>
      <c r="C642" s="18"/>
      <c r="D642" s="49" t="n">
        <v>46327</v>
      </c>
      <c r="E642" s="18" t="s">
        <v>122</v>
      </c>
      <c r="F642" s="18" t="s">
        <v>119</v>
      </c>
      <c r="G642" s="18" t="s">
        <v>100</v>
      </c>
      <c r="H642" s="18" t="s">
        <v>107</v>
      </c>
      <c r="I642" s="18" t="s">
        <v>102</v>
      </c>
      <c r="J642" s="18" t="s">
        <v>233</v>
      </c>
      <c r="K642" s="18" t="s">
        <v>199</v>
      </c>
      <c r="L642" s="64" t="n">
        <v>709.5610368</v>
      </c>
      <c r="M642" s="64" t="n">
        <v>9</v>
      </c>
      <c r="N642" s="18" t="s">
        <v>832</v>
      </c>
      <c r="O642" s="65" t="n">
        <v>6386.0493</v>
      </c>
      <c r="P642" s="65"/>
      <c r="Q642" s="65"/>
      <c r="R642" s="65" t="s">
        <v>232</v>
      </c>
      <c r="S642" s="66" t="n">
        <f aca="false">Model_Calc!AG111</f>
        <v>6386.0493312</v>
      </c>
      <c r="T642" s="66" t="n">
        <f aca="false">ROUND(S642-O642,4)</f>
        <v>0</v>
      </c>
    </row>
    <row r="643" customFormat="false" ht="15" hidden="false" customHeight="false" outlineLevel="0" collapsed="false">
      <c r="A643" s="18" t="s">
        <v>193</v>
      </c>
      <c r="B643" s="18" t="s">
        <v>194</v>
      </c>
      <c r="C643" s="18"/>
      <c r="D643" s="49" t="n">
        <v>46327</v>
      </c>
      <c r="E643" s="18" t="s">
        <v>122</v>
      </c>
      <c r="F643" s="18" t="s">
        <v>119</v>
      </c>
      <c r="G643" s="18" t="s">
        <v>100</v>
      </c>
      <c r="H643" s="18" t="s">
        <v>107</v>
      </c>
      <c r="I643" s="18" t="s">
        <v>102</v>
      </c>
      <c r="J643" s="18" t="s">
        <v>235</v>
      </c>
      <c r="K643" s="18" t="s">
        <v>195</v>
      </c>
      <c r="L643" s="64" t="n">
        <v>2242.944</v>
      </c>
      <c r="M643" s="64" t="n">
        <v>7.8</v>
      </c>
      <c r="N643" s="18" t="s">
        <v>833</v>
      </c>
      <c r="O643" s="65" t="n">
        <v>17494.9632</v>
      </c>
      <c r="P643" s="65"/>
      <c r="Q643" s="65"/>
      <c r="R643" s="65" t="s">
        <v>232</v>
      </c>
      <c r="S643" s="66" t="n">
        <f aca="false">Model_Calc!AL111</f>
        <v>17494.9632</v>
      </c>
      <c r="T643" s="66" t="n">
        <f aca="false">ROUND(S643-O643,4)</f>
        <v>0</v>
      </c>
    </row>
    <row r="644" customFormat="false" ht="15" hidden="false" customHeight="false" outlineLevel="0" collapsed="false">
      <c r="A644" s="18" t="s">
        <v>193</v>
      </c>
      <c r="B644" s="18" t="s">
        <v>194</v>
      </c>
      <c r="C644" s="18"/>
      <c r="D644" s="49" t="n">
        <v>46327</v>
      </c>
      <c r="E644" s="18" t="s">
        <v>122</v>
      </c>
      <c r="F644" s="18" t="s">
        <v>119</v>
      </c>
      <c r="G644" s="18" t="s">
        <v>100</v>
      </c>
      <c r="H644" s="18" t="s">
        <v>107</v>
      </c>
      <c r="I644" s="18" t="s">
        <v>102</v>
      </c>
      <c r="J644" s="18" t="s">
        <v>237</v>
      </c>
      <c r="K644" s="18" t="s">
        <v>195</v>
      </c>
      <c r="L644" s="64" t="n">
        <v>894.13632</v>
      </c>
      <c r="M644" s="64" t="n">
        <v>7.8</v>
      </c>
      <c r="N644" s="18" t="s">
        <v>834</v>
      </c>
      <c r="O644" s="65" t="n">
        <v>6974.2633</v>
      </c>
      <c r="P644" s="65"/>
      <c r="Q644" s="65"/>
      <c r="R644" s="65" t="s">
        <v>232</v>
      </c>
      <c r="S644" s="66" t="n">
        <f aca="false">Model_Calc!AQ111</f>
        <v>6974.263296</v>
      </c>
      <c r="T644" s="66" t="n">
        <f aca="false">ROUND(S644-O644,4)</f>
        <v>0</v>
      </c>
    </row>
    <row r="645" customFormat="false" ht="15" hidden="false" customHeight="false" outlineLevel="0" collapsed="false">
      <c r="A645" s="18" t="s">
        <v>193</v>
      </c>
      <c r="B645" s="18" t="s">
        <v>194</v>
      </c>
      <c r="C645" s="18"/>
      <c r="D645" s="49" t="n">
        <v>46327</v>
      </c>
      <c r="E645" s="18" t="s">
        <v>122</v>
      </c>
      <c r="F645" s="18" t="s">
        <v>119</v>
      </c>
      <c r="G645" s="18" t="s">
        <v>100</v>
      </c>
      <c r="H645" s="18" t="s">
        <v>107</v>
      </c>
      <c r="I645" s="18" t="s">
        <v>102</v>
      </c>
      <c r="J645" s="18" t="s">
        <v>239</v>
      </c>
      <c r="K645" s="18" t="s">
        <v>199</v>
      </c>
      <c r="L645" s="64" t="n">
        <v>729.9072</v>
      </c>
      <c r="M645" s="64" t="n">
        <v>9</v>
      </c>
      <c r="N645" s="18" t="s">
        <v>835</v>
      </c>
      <c r="O645" s="65" t="n">
        <v>6569.1648</v>
      </c>
      <c r="P645" s="65"/>
      <c r="Q645" s="65"/>
      <c r="R645" s="65" t="s">
        <v>232</v>
      </c>
      <c r="S645" s="66" t="n">
        <f aca="false">Model_Calc!AV111</f>
        <v>6569.1648</v>
      </c>
      <c r="T645" s="66" t="n">
        <f aca="false">ROUND(S645-O645,4)</f>
        <v>0</v>
      </c>
    </row>
    <row r="646" customFormat="false" ht="15" hidden="false" customHeight="false" outlineLevel="0" collapsed="false">
      <c r="A646" s="18" t="s">
        <v>193</v>
      </c>
      <c r="B646" s="18" t="s">
        <v>194</v>
      </c>
      <c r="C646" s="18"/>
      <c r="D646" s="49" t="n">
        <v>46327</v>
      </c>
      <c r="E646" s="18" t="s">
        <v>122</v>
      </c>
      <c r="F646" s="18" t="s">
        <v>119</v>
      </c>
      <c r="G646" s="18" t="s">
        <v>100</v>
      </c>
      <c r="H646" s="18" t="s">
        <v>107</v>
      </c>
      <c r="I646" s="18" t="s">
        <v>102</v>
      </c>
      <c r="J646" s="18" t="s">
        <v>241</v>
      </c>
      <c r="K646" s="18" t="s">
        <v>199</v>
      </c>
      <c r="L646" s="64" t="n">
        <v>83.2398336</v>
      </c>
      <c r="M646" s="64" t="n">
        <v>9</v>
      </c>
      <c r="N646" s="18" t="s">
        <v>836</v>
      </c>
      <c r="O646" s="65" t="n">
        <v>749.1585</v>
      </c>
      <c r="P646" s="65"/>
      <c r="Q646" s="65"/>
      <c r="R646" s="65" t="s">
        <v>232</v>
      </c>
      <c r="S646" s="66" t="n">
        <f aca="false">Model_Calc!BA111</f>
        <v>749.1585024</v>
      </c>
      <c r="T646" s="66" t="n">
        <f aca="false">ROUND(S646-O646,4)</f>
        <v>0</v>
      </c>
    </row>
    <row r="647" customFormat="false" ht="15" hidden="false" customHeight="false" outlineLevel="0" collapsed="false">
      <c r="A647" s="18" t="s">
        <v>193</v>
      </c>
      <c r="B647" s="18" t="s">
        <v>194</v>
      </c>
      <c r="C647" s="18"/>
      <c r="D647" s="49" t="n">
        <v>46327</v>
      </c>
      <c r="E647" s="18" t="s">
        <v>124</v>
      </c>
      <c r="F647" s="18" t="s">
        <v>119</v>
      </c>
      <c r="G647" s="18" t="s">
        <v>100</v>
      </c>
      <c r="H647" s="18" t="s">
        <v>107</v>
      </c>
      <c r="I647" s="18" t="s">
        <v>125</v>
      </c>
      <c r="J647" s="18" t="s">
        <v>230</v>
      </c>
      <c r="K647" s="18" t="s">
        <v>199</v>
      </c>
      <c r="L647" s="64" t="n">
        <v>3508.7578251264</v>
      </c>
      <c r="M647" s="64" t="n">
        <v>9</v>
      </c>
      <c r="N647" s="18" t="s">
        <v>837</v>
      </c>
      <c r="O647" s="65" t="n">
        <v>31578.8204</v>
      </c>
      <c r="P647" s="65"/>
      <c r="Q647" s="65"/>
      <c r="R647" s="65" t="s">
        <v>232</v>
      </c>
      <c r="S647" s="66" t="n">
        <f aca="false">Model_Calc!AF112</f>
        <v>31578.8204261376</v>
      </c>
      <c r="T647" s="66" t="n">
        <f aca="false">ROUND(S647-O647,4)</f>
        <v>0</v>
      </c>
    </row>
    <row r="648" customFormat="false" ht="15" hidden="false" customHeight="false" outlineLevel="0" collapsed="false">
      <c r="A648" s="18" t="s">
        <v>193</v>
      </c>
      <c r="B648" s="18" t="s">
        <v>194</v>
      </c>
      <c r="C648" s="18"/>
      <c r="D648" s="49" t="n">
        <v>46327</v>
      </c>
      <c r="E648" s="18" t="s">
        <v>124</v>
      </c>
      <c r="F648" s="18" t="s">
        <v>119</v>
      </c>
      <c r="G648" s="18" t="s">
        <v>100</v>
      </c>
      <c r="H648" s="18" t="s">
        <v>107</v>
      </c>
      <c r="I648" s="18" t="s">
        <v>125</v>
      </c>
      <c r="J648" s="18" t="s">
        <v>233</v>
      </c>
      <c r="K648" s="18" t="s">
        <v>199</v>
      </c>
      <c r="L648" s="64" t="n">
        <v>403.507149889536</v>
      </c>
      <c r="M648" s="64" t="n">
        <v>9</v>
      </c>
      <c r="N648" s="18" t="s">
        <v>838</v>
      </c>
      <c r="O648" s="65" t="n">
        <v>3631.5643</v>
      </c>
      <c r="P648" s="65"/>
      <c r="Q648" s="65"/>
      <c r="R648" s="65" t="s">
        <v>232</v>
      </c>
      <c r="S648" s="66" t="n">
        <f aca="false">Model_Calc!AG112</f>
        <v>3631.56434900582</v>
      </c>
      <c r="T648" s="66" t="n">
        <f aca="false">ROUND(S648-O648,4)</f>
        <v>0</v>
      </c>
    </row>
    <row r="649" customFormat="false" ht="15" hidden="false" customHeight="false" outlineLevel="0" collapsed="false">
      <c r="A649" s="18" t="s">
        <v>193</v>
      </c>
      <c r="B649" s="18" t="s">
        <v>194</v>
      </c>
      <c r="C649" s="18"/>
      <c r="D649" s="49" t="n">
        <v>46327</v>
      </c>
      <c r="E649" s="18" t="s">
        <v>124</v>
      </c>
      <c r="F649" s="18" t="s">
        <v>119</v>
      </c>
      <c r="G649" s="18" t="s">
        <v>100</v>
      </c>
      <c r="H649" s="18" t="s">
        <v>107</v>
      </c>
      <c r="I649" s="18" t="s">
        <v>125</v>
      </c>
      <c r="J649" s="18" t="s">
        <v>235</v>
      </c>
      <c r="K649" s="18" t="s">
        <v>195</v>
      </c>
      <c r="L649" s="64" t="n">
        <v>628.02432</v>
      </c>
      <c r="M649" s="64" t="n">
        <v>7.8</v>
      </c>
      <c r="N649" s="18" t="s">
        <v>839</v>
      </c>
      <c r="O649" s="65" t="n">
        <v>4898.5897</v>
      </c>
      <c r="P649" s="65"/>
      <c r="Q649" s="65"/>
      <c r="R649" s="65" t="s">
        <v>232</v>
      </c>
      <c r="S649" s="66" t="n">
        <f aca="false">Model_Calc!AL112</f>
        <v>4898.589696</v>
      </c>
      <c r="T649" s="66" t="n">
        <f aca="false">ROUND(S649-O649,4)</f>
        <v>0</v>
      </c>
    </row>
    <row r="650" customFormat="false" ht="15" hidden="false" customHeight="false" outlineLevel="0" collapsed="false">
      <c r="A650" s="18" t="s">
        <v>193</v>
      </c>
      <c r="B650" s="18" t="s">
        <v>194</v>
      </c>
      <c r="C650" s="18"/>
      <c r="D650" s="49" t="n">
        <v>46327</v>
      </c>
      <c r="E650" s="18" t="s">
        <v>124</v>
      </c>
      <c r="F650" s="18" t="s">
        <v>119</v>
      </c>
      <c r="G650" s="18" t="s">
        <v>100</v>
      </c>
      <c r="H650" s="18" t="s">
        <v>107</v>
      </c>
      <c r="I650" s="18" t="s">
        <v>125</v>
      </c>
      <c r="J650" s="18" t="s">
        <v>237</v>
      </c>
      <c r="K650" s="18" t="s">
        <v>195</v>
      </c>
      <c r="L650" s="64" t="n">
        <v>250.3581696</v>
      </c>
      <c r="M650" s="64" t="n">
        <v>7.8</v>
      </c>
      <c r="N650" s="18" t="s">
        <v>840</v>
      </c>
      <c r="O650" s="65" t="n">
        <v>1952.7937</v>
      </c>
      <c r="P650" s="65"/>
      <c r="Q650" s="65"/>
      <c r="R650" s="65" t="s">
        <v>232</v>
      </c>
      <c r="S650" s="66" t="n">
        <f aca="false">Model_Calc!AQ112</f>
        <v>1952.79372288</v>
      </c>
      <c r="T650" s="66" t="n">
        <f aca="false">ROUND(S650-O650,4)</f>
        <v>0</v>
      </c>
    </row>
    <row r="651" customFormat="false" ht="15" hidden="false" customHeight="false" outlineLevel="0" collapsed="false">
      <c r="A651" s="18" t="s">
        <v>193</v>
      </c>
      <c r="B651" s="18" t="s">
        <v>194</v>
      </c>
      <c r="C651" s="18"/>
      <c r="D651" s="49" t="n">
        <v>46327</v>
      </c>
      <c r="E651" s="18" t="s">
        <v>124</v>
      </c>
      <c r="F651" s="18" t="s">
        <v>119</v>
      </c>
      <c r="G651" s="18" t="s">
        <v>100</v>
      </c>
      <c r="H651" s="18" t="s">
        <v>107</v>
      </c>
      <c r="I651" s="18" t="s">
        <v>125</v>
      </c>
      <c r="J651" s="18" t="s">
        <v>239</v>
      </c>
      <c r="K651" s="18" t="s">
        <v>199</v>
      </c>
      <c r="L651" s="64" t="n">
        <v>204.374016</v>
      </c>
      <c r="M651" s="64" t="n">
        <v>9</v>
      </c>
      <c r="N651" s="18" t="s">
        <v>841</v>
      </c>
      <c r="O651" s="65" t="n">
        <v>1839.3661</v>
      </c>
      <c r="P651" s="65"/>
      <c r="Q651" s="65"/>
      <c r="R651" s="65" t="s">
        <v>232</v>
      </c>
      <c r="S651" s="66" t="n">
        <f aca="false">Model_Calc!AV112</f>
        <v>1839.366144</v>
      </c>
      <c r="T651" s="66" t="n">
        <f aca="false">ROUND(S651-O651,4)</f>
        <v>0</v>
      </c>
    </row>
    <row r="652" customFormat="false" ht="15" hidden="false" customHeight="false" outlineLevel="0" collapsed="false">
      <c r="A652" s="18" t="s">
        <v>193</v>
      </c>
      <c r="B652" s="18" t="s">
        <v>194</v>
      </c>
      <c r="C652" s="18"/>
      <c r="D652" s="49" t="n">
        <v>46327</v>
      </c>
      <c r="E652" s="18" t="s">
        <v>124</v>
      </c>
      <c r="F652" s="18" t="s">
        <v>119</v>
      </c>
      <c r="G652" s="18" t="s">
        <v>100</v>
      </c>
      <c r="H652" s="18" t="s">
        <v>107</v>
      </c>
      <c r="I652" s="18" t="s">
        <v>125</v>
      </c>
      <c r="J652" s="18" t="s">
        <v>241</v>
      </c>
      <c r="K652" s="18" t="s">
        <v>199</v>
      </c>
      <c r="L652" s="64" t="n">
        <v>21.697708032</v>
      </c>
      <c r="M652" s="64" t="n">
        <v>9</v>
      </c>
      <c r="N652" s="18" t="s">
        <v>842</v>
      </c>
      <c r="O652" s="65" t="n">
        <v>195.2794</v>
      </c>
      <c r="P652" s="65"/>
      <c r="Q652" s="65"/>
      <c r="R652" s="65" t="s">
        <v>232</v>
      </c>
      <c r="S652" s="66" t="n">
        <f aca="false">Model_Calc!BA112</f>
        <v>195.279372288</v>
      </c>
      <c r="T652" s="66" t="n">
        <f aca="false">ROUND(S652-O652,4)</f>
        <v>0</v>
      </c>
    </row>
    <row r="653" customFormat="false" ht="15" hidden="false" customHeight="false" outlineLevel="0" collapsed="false">
      <c r="A653" s="18" t="s">
        <v>193</v>
      </c>
      <c r="B653" s="18" t="s">
        <v>194</v>
      </c>
      <c r="C653" s="18"/>
      <c r="D653" s="49" t="n">
        <v>46327</v>
      </c>
      <c r="E653" s="18" t="s">
        <v>127</v>
      </c>
      <c r="F653" s="18" t="s">
        <v>119</v>
      </c>
      <c r="G653" s="18" t="s">
        <v>100</v>
      </c>
      <c r="H653" s="18" t="s">
        <v>128</v>
      </c>
      <c r="I653" s="18" t="s">
        <v>125</v>
      </c>
      <c r="J653" s="18" t="s">
        <v>230</v>
      </c>
      <c r="K653" s="18" t="s">
        <v>199</v>
      </c>
      <c r="L653" s="64" t="n">
        <v>1780.35314688</v>
      </c>
      <c r="M653" s="64" t="n">
        <v>9</v>
      </c>
      <c r="N653" s="18" t="s">
        <v>843</v>
      </c>
      <c r="O653" s="65" t="n">
        <v>16023.1783</v>
      </c>
      <c r="P653" s="65"/>
      <c r="Q653" s="65"/>
      <c r="R653" s="65" t="s">
        <v>232</v>
      </c>
      <c r="S653" s="66" t="n">
        <f aca="false">Model_Calc!AF113</f>
        <v>16023.17832192</v>
      </c>
      <c r="T653" s="66" t="n">
        <f aca="false">ROUND(S653-O653,4)</f>
        <v>0</v>
      </c>
    </row>
    <row r="654" customFormat="false" ht="15" hidden="false" customHeight="false" outlineLevel="0" collapsed="false">
      <c r="A654" s="18" t="s">
        <v>193</v>
      </c>
      <c r="B654" s="18" t="s">
        <v>194</v>
      </c>
      <c r="C654" s="18"/>
      <c r="D654" s="49" t="n">
        <v>46327</v>
      </c>
      <c r="E654" s="18" t="s">
        <v>127</v>
      </c>
      <c r="F654" s="18" t="s">
        <v>119</v>
      </c>
      <c r="G654" s="18" t="s">
        <v>100</v>
      </c>
      <c r="H654" s="18" t="s">
        <v>128</v>
      </c>
      <c r="I654" s="18" t="s">
        <v>125</v>
      </c>
      <c r="J654" s="18" t="s">
        <v>233</v>
      </c>
      <c r="K654" s="18" t="s">
        <v>199</v>
      </c>
      <c r="L654" s="64" t="n">
        <v>137.68064335872</v>
      </c>
      <c r="M654" s="64" t="n">
        <v>9</v>
      </c>
      <c r="N654" s="18" t="s">
        <v>844</v>
      </c>
      <c r="O654" s="65" t="n">
        <v>1239.1258</v>
      </c>
      <c r="P654" s="65"/>
      <c r="Q654" s="65"/>
      <c r="R654" s="65" t="s">
        <v>232</v>
      </c>
      <c r="S654" s="66" t="n">
        <f aca="false">Model_Calc!AG113</f>
        <v>1239.12579022848</v>
      </c>
      <c r="T654" s="66" t="n">
        <f aca="false">ROUND(S654-O654,4)</f>
        <v>0</v>
      </c>
    </row>
    <row r="655" customFormat="false" ht="15" hidden="false" customHeight="false" outlineLevel="0" collapsed="false">
      <c r="A655" s="18" t="s">
        <v>193</v>
      </c>
      <c r="B655" s="18" t="s">
        <v>194</v>
      </c>
      <c r="C655" s="18"/>
      <c r="D655" s="49" t="n">
        <v>46327</v>
      </c>
      <c r="E655" s="18" t="s">
        <v>127</v>
      </c>
      <c r="F655" s="18" t="s">
        <v>119</v>
      </c>
      <c r="G655" s="18" t="s">
        <v>100</v>
      </c>
      <c r="H655" s="18" t="s">
        <v>128</v>
      </c>
      <c r="I655" s="18" t="s">
        <v>125</v>
      </c>
      <c r="J655" s="18" t="s">
        <v>235</v>
      </c>
      <c r="K655" s="18" t="s">
        <v>195</v>
      </c>
      <c r="L655" s="64" t="n">
        <v>269.15328</v>
      </c>
      <c r="M655" s="64" t="n">
        <v>7.8</v>
      </c>
      <c r="N655" s="18" t="s">
        <v>845</v>
      </c>
      <c r="O655" s="65" t="n">
        <v>2099.3956</v>
      </c>
      <c r="P655" s="65"/>
      <c r="Q655" s="65"/>
      <c r="R655" s="65" t="s">
        <v>232</v>
      </c>
      <c r="S655" s="66" t="n">
        <f aca="false">Model_Calc!AL113</f>
        <v>2099.395584</v>
      </c>
      <c r="T655" s="66" t="n">
        <f aca="false">ROUND(S655-O655,4)</f>
        <v>0</v>
      </c>
    </row>
    <row r="656" customFormat="false" ht="15" hidden="false" customHeight="false" outlineLevel="0" collapsed="false">
      <c r="A656" s="18" t="s">
        <v>193</v>
      </c>
      <c r="B656" s="18" t="s">
        <v>194</v>
      </c>
      <c r="C656" s="18"/>
      <c r="D656" s="49" t="n">
        <v>46327</v>
      </c>
      <c r="E656" s="18" t="s">
        <v>127</v>
      </c>
      <c r="F656" s="18" t="s">
        <v>119</v>
      </c>
      <c r="G656" s="18" t="s">
        <v>100</v>
      </c>
      <c r="H656" s="18" t="s">
        <v>128</v>
      </c>
      <c r="I656" s="18" t="s">
        <v>125</v>
      </c>
      <c r="J656" s="18" t="s">
        <v>237</v>
      </c>
      <c r="K656" s="18" t="s">
        <v>195</v>
      </c>
      <c r="L656" s="64" t="n">
        <v>107.2963584</v>
      </c>
      <c r="M656" s="64" t="n">
        <v>7.8</v>
      </c>
      <c r="N656" s="18" t="s">
        <v>846</v>
      </c>
      <c r="O656" s="65" t="n">
        <v>836.9116</v>
      </c>
      <c r="P656" s="65"/>
      <c r="Q656" s="65"/>
      <c r="R656" s="65" t="s">
        <v>232</v>
      </c>
      <c r="S656" s="66" t="n">
        <f aca="false">Model_Calc!AQ113</f>
        <v>836.91159552</v>
      </c>
      <c r="T656" s="66" t="n">
        <f aca="false">ROUND(S656-O656,4)</f>
        <v>0</v>
      </c>
    </row>
    <row r="657" customFormat="false" ht="15" hidden="false" customHeight="false" outlineLevel="0" collapsed="false">
      <c r="A657" s="18" t="s">
        <v>193</v>
      </c>
      <c r="B657" s="18" t="s">
        <v>194</v>
      </c>
      <c r="C657" s="18"/>
      <c r="D657" s="49" t="n">
        <v>46327</v>
      </c>
      <c r="E657" s="18" t="s">
        <v>127</v>
      </c>
      <c r="F657" s="18" t="s">
        <v>119</v>
      </c>
      <c r="G657" s="18" t="s">
        <v>100</v>
      </c>
      <c r="H657" s="18" t="s">
        <v>128</v>
      </c>
      <c r="I657" s="18" t="s">
        <v>125</v>
      </c>
      <c r="J657" s="18" t="s">
        <v>239</v>
      </c>
      <c r="K657" s="18" t="s">
        <v>199</v>
      </c>
      <c r="L657" s="64" t="n">
        <v>87.588864</v>
      </c>
      <c r="M657" s="64" t="n">
        <v>9</v>
      </c>
      <c r="N657" s="18" t="s">
        <v>847</v>
      </c>
      <c r="O657" s="65" t="n">
        <v>788.2998</v>
      </c>
      <c r="P657" s="65"/>
      <c r="Q657" s="65"/>
      <c r="R657" s="65" t="s">
        <v>232</v>
      </c>
      <c r="S657" s="66" t="n">
        <f aca="false">Model_Calc!AV113</f>
        <v>788.299776</v>
      </c>
      <c r="T657" s="66" t="n">
        <f aca="false">ROUND(S657-O657,4)</f>
        <v>0</v>
      </c>
    </row>
    <row r="658" customFormat="false" ht="15" hidden="false" customHeight="false" outlineLevel="0" collapsed="false">
      <c r="A658" s="18" t="s">
        <v>193</v>
      </c>
      <c r="B658" s="18" t="s">
        <v>194</v>
      </c>
      <c r="C658" s="18"/>
      <c r="D658" s="49" t="n">
        <v>46327</v>
      </c>
      <c r="E658" s="18" t="s">
        <v>127</v>
      </c>
      <c r="F658" s="18" t="s">
        <v>119</v>
      </c>
      <c r="G658" s="18" t="s">
        <v>100</v>
      </c>
      <c r="H658" s="18" t="s">
        <v>128</v>
      </c>
      <c r="I658" s="18" t="s">
        <v>125</v>
      </c>
      <c r="J658" s="18" t="s">
        <v>241</v>
      </c>
      <c r="K658" s="18" t="s">
        <v>199</v>
      </c>
      <c r="L658" s="64" t="n">
        <v>8.277147648</v>
      </c>
      <c r="M658" s="64" t="n">
        <v>9</v>
      </c>
      <c r="N658" s="18" t="s">
        <v>848</v>
      </c>
      <c r="O658" s="65" t="n">
        <v>74.4943</v>
      </c>
      <c r="P658" s="65"/>
      <c r="Q658" s="65"/>
      <c r="R658" s="65" t="s">
        <v>232</v>
      </c>
      <c r="S658" s="66" t="n">
        <f aca="false">Model_Calc!BA113</f>
        <v>74.494328832</v>
      </c>
      <c r="T658" s="66" t="n">
        <f aca="false">ROUND(S658-O658,4)</f>
        <v>0</v>
      </c>
    </row>
    <row r="659" customFormat="false" ht="15" hidden="false" customHeight="false" outlineLevel="0" collapsed="false">
      <c r="A659" s="18" t="s">
        <v>193</v>
      </c>
      <c r="B659" s="18" t="s">
        <v>194</v>
      </c>
      <c r="C659" s="18"/>
      <c r="D659" s="49" t="n">
        <v>46327</v>
      </c>
      <c r="E659" s="18" t="s">
        <v>130</v>
      </c>
      <c r="F659" s="18" t="s">
        <v>119</v>
      </c>
      <c r="G659" s="18" t="s">
        <v>110</v>
      </c>
      <c r="H659" s="18" t="s">
        <v>107</v>
      </c>
      <c r="I659" s="18" t="s">
        <v>125</v>
      </c>
      <c r="J659" s="18" t="s">
        <v>230</v>
      </c>
      <c r="K659" s="18" t="s">
        <v>195</v>
      </c>
      <c r="L659" s="64" t="n">
        <v>2218.818096</v>
      </c>
      <c r="M659" s="64" t="n">
        <v>7.8</v>
      </c>
      <c r="N659" s="18" t="s">
        <v>849</v>
      </c>
      <c r="O659" s="65" t="n">
        <v>17306.7811</v>
      </c>
      <c r="P659" s="65"/>
      <c r="Q659" s="65"/>
      <c r="R659" s="65" t="s">
        <v>232</v>
      </c>
      <c r="S659" s="66" t="n">
        <f aca="false">Model_Calc!AF114</f>
        <v>17306.7811488</v>
      </c>
      <c r="T659" s="66" t="n">
        <f aca="false">ROUND(S659-O659,4)</f>
        <v>0</v>
      </c>
    </row>
    <row r="660" customFormat="false" ht="15" hidden="false" customHeight="false" outlineLevel="0" collapsed="false">
      <c r="A660" s="18" t="s">
        <v>193</v>
      </c>
      <c r="B660" s="18" t="s">
        <v>194</v>
      </c>
      <c r="C660" s="18"/>
      <c r="D660" s="49" t="n">
        <v>46327</v>
      </c>
      <c r="E660" s="18" t="s">
        <v>130</v>
      </c>
      <c r="F660" s="18" t="s">
        <v>119</v>
      </c>
      <c r="G660" s="18" t="s">
        <v>110</v>
      </c>
      <c r="H660" s="18" t="s">
        <v>107</v>
      </c>
      <c r="I660" s="18" t="s">
        <v>125</v>
      </c>
      <c r="J660" s="18" t="s">
        <v>233</v>
      </c>
      <c r="K660" s="18" t="s">
        <v>195</v>
      </c>
      <c r="L660" s="64" t="n">
        <v>232.97590008</v>
      </c>
      <c r="M660" s="64" t="n">
        <v>7.8</v>
      </c>
      <c r="N660" s="18" t="s">
        <v>850</v>
      </c>
      <c r="O660" s="65" t="n">
        <v>1817.212</v>
      </c>
      <c r="P660" s="65"/>
      <c r="Q660" s="65"/>
      <c r="R660" s="65" t="s">
        <v>232</v>
      </c>
      <c r="S660" s="66" t="n">
        <f aca="false">Model_Calc!AG114</f>
        <v>1817.212020624</v>
      </c>
      <c r="T660" s="66" t="n">
        <f aca="false">ROUND(S660-O660,4)</f>
        <v>0</v>
      </c>
    </row>
    <row r="661" customFormat="false" ht="15" hidden="false" customHeight="false" outlineLevel="0" collapsed="false">
      <c r="A661" s="18" t="s">
        <v>193</v>
      </c>
      <c r="B661" s="18" t="s">
        <v>194</v>
      </c>
      <c r="C661" s="18"/>
      <c r="D661" s="49" t="n">
        <v>46327</v>
      </c>
      <c r="E661" s="18" t="s">
        <v>130</v>
      </c>
      <c r="F661" s="18" t="s">
        <v>119</v>
      </c>
      <c r="G661" s="18" t="s">
        <v>110</v>
      </c>
      <c r="H661" s="18" t="s">
        <v>107</v>
      </c>
      <c r="I661" s="18" t="s">
        <v>125</v>
      </c>
      <c r="J661" s="18" t="s">
        <v>235</v>
      </c>
      <c r="K661" s="18" t="s">
        <v>195</v>
      </c>
      <c r="L661" s="64" t="n">
        <v>332.64</v>
      </c>
      <c r="M661" s="64" t="n">
        <v>7.8</v>
      </c>
      <c r="N661" s="18" t="s">
        <v>851</v>
      </c>
      <c r="O661" s="65" t="n">
        <v>2594.592</v>
      </c>
      <c r="P661" s="65"/>
      <c r="Q661" s="65"/>
      <c r="R661" s="65" t="s">
        <v>232</v>
      </c>
      <c r="S661" s="66" t="n">
        <f aca="false">Model_Calc!AL114</f>
        <v>2594.592</v>
      </c>
      <c r="T661" s="66" t="n">
        <f aca="false">ROUND(S661-O661,4)</f>
        <v>0</v>
      </c>
    </row>
    <row r="662" customFormat="false" ht="15" hidden="false" customHeight="false" outlineLevel="0" collapsed="false">
      <c r="A662" s="18" t="s">
        <v>193</v>
      </c>
      <c r="B662" s="18" t="s">
        <v>194</v>
      </c>
      <c r="C662" s="18"/>
      <c r="D662" s="49" t="n">
        <v>46327</v>
      </c>
      <c r="E662" s="18" t="s">
        <v>130</v>
      </c>
      <c r="F662" s="18" t="s">
        <v>119</v>
      </c>
      <c r="G662" s="18" t="s">
        <v>110</v>
      </c>
      <c r="H662" s="18" t="s">
        <v>107</v>
      </c>
      <c r="I662" s="18" t="s">
        <v>125</v>
      </c>
      <c r="J662" s="18" t="s">
        <v>237</v>
      </c>
      <c r="K662" s="18" t="s">
        <v>195</v>
      </c>
      <c r="L662" s="64" t="n">
        <v>138.4416</v>
      </c>
      <c r="M662" s="64" t="n">
        <v>7.8</v>
      </c>
      <c r="N662" s="18" t="s">
        <v>852</v>
      </c>
      <c r="O662" s="65" t="n">
        <v>1079.8445</v>
      </c>
      <c r="P662" s="65"/>
      <c r="Q662" s="65"/>
      <c r="R662" s="65" t="s">
        <v>232</v>
      </c>
      <c r="S662" s="66" t="n">
        <f aca="false">Model_Calc!AQ114</f>
        <v>1079.84448</v>
      </c>
      <c r="T662" s="66" t="n">
        <f aca="false">ROUND(S662-O662,4)</f>
        <v>0</v>
      </c>
    </row>
    <row r="663" customFormat="false" ht="15" hidden="false" customHeight="false" outlineLevel="0" collapsed="false">
      <c r="A663" s="18" t="s">
        <v>193</v>
      </c>
      <c r="B663" s="18" t="s">
        <v>194</v>
      </c>
      <c r="C663" s="18"/>
      <c r="D663" s="49" t="n">
        <v>46327</v>
      </c>
      <c r="E663" s="18" t="s">
        <v>130</v>
      </c>
      <c r="F663" s="18" t="s">
        <v>119</v>
      </c>
      <c r="G663" s="18" t="s">
        <v>110</v>
      </c>
      <c r="H663" s="18" t="s">
        <v>107</v>
      </c>
      <c r="I663" s="18" t="s">
        <v>125</v>
      </c>
      <c r="J663" s="18" t="s">
        <v>239</v>
      </c>
      <c r="K663" s="18" t="s">
        <v>195</v>
      </c>
      <c r="L663" s="64" t="n">
        <v>131.7888</v>
      </c>
      <c r="M663" s="64" t="n">
        <v>7.8</v>
      </c>
      <c r="N663" s="18" t="s">
        <v>853</v>
      </c>
      <c r="O663" s="65" t="n">
        <v>1027.9526</v>
      </c>
      <c r="P663" s="65"/>
      <c r="Q663" s="65"/>
      <c r="R663" s="65" t="s">
        <v>232</v>
      </c>
      <c r="S663" s="66" t="n">
        <f aca="false">Model_Calc!AV114</f>
        <v>1027.95264</v>
      </c>
      <c r="T663" s="66" t="n">
        <f aca="false">ROUND(S663-O663,4)</f>
        <v>0</v>
      </c>
    </row>
    <row r="664" customFormat="false" ht="15" hidden="false" customHeight="false" outlineLevel="0" collapsed="false">
      <c r="A664" s="18" t="s">
        <v>193</v>
      </c>
      <c r="B664" s="18" t="s">
        <v>194</v>
      </c>
      <c r="C664" s="18"/>
      <c r="D664" s="49" t="n">
        <v>46327</v>
      </c>
      <c r="E664" s="18" t="s">
        <v>130</v>
      </c>
      <c r="F664" s="18" t="s">
        <v>119</v>
      </c>
      <c r="G664" s="18" t="s">
        <v>110</v>
      </c>
      <c r="H664" s="18" t="s">
        <v>107</v>
      </c>
      <c r="I664" s="18" t="s">
        <v>125</v>
      </c>
      <c r="J664" s="18" t="s">
        <v>241</v>
      </c>
      <c r="K664" s="18" t="s">
        <v>195</v>
      </c>
      <c r="L664" s="64" t="n">
        <v>12.241152</v>
      </c>
      <c r="M664" s="64" t="n">
        <v>7.8</v>
      </c>
      <c r="N664" s="18" t="s">
        <v>854</v>
      </c>
      <c r="O664" s="65" t="n">
        <v>95.481</v>
      </c>
      <c r="P664" s="65"/>
      <c r="Q664" s="65"/>
      <c r="R664" s="65" t="s">
        <v>232</v>
      </c>
      <c r="S664" s="66" t="n">
        <f aca="false">Model_Calc!BA114</f>
        <v>95.4809856</v>
      </c>
      <c r="T664" s="66" t="n">
        <f aca="false">ROUND(S664-O664,4)</f>
        <v>0</v>
      </c>
    </row>
    <row r="665" customFormat="false" ht="15" hidden="false" customHeight="false" outlineLevel="0" collapsed="false">
      <c r="A665" s="18" t="s">
        <v>193</v>
      </c>
      <c r="B665" s="18" t="s">
        <v>194</v>
      </c>
      <c r="C665" s="18"/>
      <c r="D665" s="49" t="n">
        <v>46357</v>
      </c>
      <c r="E665" s="18" t="s">
        <v>98</v>
      </c>
      <c r="F665" s="18" t="s">
        <v>99</v>
      </c>
      <c r="G665" s="18" t="s">
        <v>100</v>
      </c>
      <c r="H665" s="18" t="s">
        <v>101</v>
      </c>
      <c r="I665" s="18" t="s">
        <v>102</v>
      </c>
      <c r="J665" s="18" t="s">
        <v>230</v>
      </c>
      <c r="K665" s="18" t="s">
        <v>195</v>
      </c>
      <c r="L665" s="64" t="n">
        <v>9362.74523184</v>
      </c>
      <c r="M665" s="64" t="n">
        <v>7.8</v>
      </c>
      <c r="N665" s="18" t="s">
        <v>855</v>
      </c>
      <c r="O665" s="65" t="n">
        <v>73029.4128</v>
      </c>
      <c r="P665" s="65"/>
      <c r="Q665" s="65"/>
      <c r="R665" s="65" t="s">
        <v>232</v>
      </c>
      <c r="S665" s="66" t="n">
        <f aca="false">Model_Calc!AF115</f>
        <v>73029.412808352</v>
      </c>
      <c r="T665" s="66" t="n">
        <f aca="false">ROUND(S665-O665,4)</f>
        <v>0</v>
      </c>
    </row>
    <row r="666" customFormat="false" ht="15" hidden="false" customHeight="false" outlineLevel="0" collapsed="false">
      <c r="A666" s="18" t="s">
        <v>193</v>
      </c>
      <c r="B666" s="18" t="s">
        <v>194</v>
      </c>
      <c r="C666" s="18"/>
      <c r="D666" s="49" t="n">
        <v>46357</v>
      </c>
      <c r="E666" s="18" t="s">
        <v>98</v>
      </c>
      <c r="F666" s="18" t="s">
        <v>99</v>
      </c>
      <c r="G666" s="18" t="s">
        <v>100</v>
      </c>
      <c r="H666" s="18" t="s">
        <v>101</v>
      </c>
      <c r="I666" s="18" t="s">
        <v>102</v>
      </c>
      <c r="J666" s="18" t="s">
        <v>233</v>
      </c>
      <c r="K666" s="18" t="s">
        <v>195</v>
      </c>
      <c r="L666" s="64" t="n">
        <v>889.4607970248</v>
      </c>
      <c r="M666" s="64" t="n">
        <v>7.8</v>
      </c>
      <c r="N666" s="18" t="s">
        <v>856</v>
      </c>
      <c r="O666" s="65" t="n">
        <v>6937.7942</v>
      </c>
      <c r="P666" s="65"/>
      <c r="Q666" s="65"/>
      <c r="R666" s="65" t="s">
        <v>232</v>
      </c>
      <c r="S666" s="66" t="n">
        <f aca="false">Model_Calc!AG115</f>
        <v>6937.79421679344</v>
      </c>
      <c r="T666" s="66" t="n">
        <f aca="false">ROUND(S666-O666,4)</f>
        <v>0</v>
      </c>
    </row>
    <row r="667" customFormat="false" ht="15" hidden="false" customHeight="false" outlineLevel="0" collapsed="false">
      <c r="A667" s="18" t="s">
        <v>193</v>
      </c>
      <c r="B667" s="18" t="s">
        <v>194</v>
      </c>
      <c r="C667" s="18"/>
      <c r="D667" s="49" t="n">
        <v>46357</v>
      </c>
      <c r="E667" s="18" t="s">
        <v>98</v>
      </c>
      <c r="F667" s="18" t="s">
        <v>99</v>
      </c>
      <c r="G667" s="18" t="s">
        <v>100</v>
      </c>
      <c r="H667" s="18" t="s">
        <v>101</v>
      </c>
      <c r="I667" s="18" t="s">
        <v>102</v>
      </c>
      <c r="J667" s="18" t="s">
        <v>235</v>
      </c>
      <c r="K667" s="18" t="s">
        <v>195</v>
      </c>
      <c r="L667" s="64" t="n">
        <v>6070.9584</v>
      </c>
      <c r="M667" s="64" t="n">
        <v>7.8</v>
      </c>
      <c r="N667" s="18" t="s">
        <v>857</v>
      </c>
      <c r="O667" s="65" t="n">
        <v>47353.4755</v>
      </c>
      <c r="P667" s="65"/>
      <c r="Q667" s="65"/>
      <c r="R667" s="65" t="s">
        <v>232</v>
      </c>
      <c r="S667" s="66" t="n">
        <f aca="false">Model_Calc!AL115</f>
        <v>47353.47552</v>
      </c>
      <c r="T667" s="66" t="n">
        <f aca="false">ROUND(S667-O667,4)</f>
        <v>0</v>
      </c>
    </row>
    <row r="668" customFormat="false" ht="15" hidden="false" customHeight="false" outlineLevel="0" collapsed="false">
      <c r="A668" s="18" t="s">
        <v>193</v>
      </c>
      <c r="B668" s="18" t="s">
        <v>194</v>
      </c>
      <c r="C668" s="18"/>
      <c r="D668" s="49" t="n">
        <v>46357</v>
      </c>
      <c r="E668" s="18" t="s">
        <v>98</v>
      </c>
      <c r="F668" s="18" t="s">
        <v>99</v>
      </c>
      <c r="G668" s="18" t="s">
        <v>100</v>
      </c>
      <c r="H668" s="18" t="s">
        <v>101</v>
      </c>
      <c r="I668" s="18" t="s">
        <v>102</v>
      </c>
      <c r="J668" s="18" t="s">
        <v>237</v>
      </c>
      <c r="K668" s="18" t="s">
        <v>195</v>
      </c>
      <c r="L668" s="64" t="n">
        <v>2268.89208</v>
      </c>
      <c r="M668" s="64" t="n">
        <v>7.8</v>
      </c>
      <c r="N668" s="18" t="s">
        <v>858</v>
      </c>
      <c r="O668" s="65" t="n">
        <v>17697.3582</v>
      </c>
      <c r="P668" s="65"/>
      <c r="Q668" s="65"/>
      <c r="R668" s="65" t="s">
        <v>232</v>
      </c>
      <c r="S668" s="66" t="n">
        <f aca="false">Model_Calc!AQ115</f>
        <v>17697.358224</v>
      </c>
      <c r="T668" s="66" t="n">
        <f aca="false">ROUND(S668-O668,4)</f>
        <v>0</v>
      </c>
    </row>
    <row r="669" customFormat="false" ht="15" hidden="false" customHeight="false" outlineLevel="0" collapsed="false">
      <c r="A669" s="18" t="s">
        <v>193</v>
      </c>
      <c r="B669" s="18" t="s">
        <v>194</v>
      </c>
      <c r="C669" s="18"/>
      <c r="D669" s="49" t="n">
        <v>46357</v>
      </c>
      <c r="E669" s="18" t="s">
        <v>98</v>
      </c>
      <c r="F669" s="18" t="s">
        <v>99</v>
      </c>
      <c r="G669" s="18" t="s">
        <v>100</v>
      </c>
      <c r="H669" s="18" t="s">
        <v>101</v>
      </c>
      <c r="I669" s="18" t="s">
        <v>102</v>
      </c>
      <c r="J669" s="18" t="s">
        <v>239</v>
      </c>
      <c r="K669" s="18" t="s">
        <v>195</v>
      </c>
      <c r="L669" s="64" t="n">
        <v>823.1808</v>
      </c>
      <c r="M669" s="64" t="n">
        <v>7.8</v>
      </c>
      <c r="N669" s="18" t="s">
        <v>859</v>
      </c>
      <c r="O669" s="65" t="n">
        <v>6420.8102</v>
      </c>
      <c r="P669" s="65"/>
      <c r="Q669" s="65"/>
      <c r="R669" s="65" t="s">
        <v>232</v>
      </c>
      <c r="S669" s="66" t="n">
        <f aca="false">Model_Calc!AV115</f>
        <v>6420.81024</v>
      </c>
      <c r="T669" s="66" t="n">
        <f aca="false">ROUND(S669-O669,4)</f>
        <v>0</v>
      </c>
    </row>
    <row r="670" customFormat="false" ht="15" hidden="false" customHeight="false" outlineLevel="0" collapsed="false">
      <c r="A670" s="18" t="s">
        <v>193</v>
      </c>
      <c r="B670" s="18" t="s">
        <v>194</v>
      </c>
      <c r="C670" s="18"/>
      <c r="D670" s="49" t="n">
        <v>46357</v>
      </c>
      <c r="E670" s="18" t="s">
        <v>98</v>
      </c>
      <c r="F670" s="18" t="s">
        <v>99</v>
      </c>
      <c r="G670" s="18" t="s">
        <v>100</v>
      </c>
      <c r="H670" s="18" t="s">
        <v>101</v>
      </c>
      <c r="I670" s="18" t="s">
        <v>102</v>
      </c>
      <c r="J670" s="18" t="s">
        <v>241</v>
      </c>
      <c r="K670" s="18" t="s">
        <v>195</v>
      </c>
      <c r="L670" s="64" t="n">
        <v>198.7981632</v>
      </c>
      <c r="M670" s="64" t="n">
        <v>7.8</v>
      </c>
      <c r="N670" s="18" t="s">
        <v>860</v>
      </c>
      <c r="O670" s="65" t="n">
        <v>1550.6257</v>
      </c>
      <c r="P670" s="65"/>
      <c r="Q670" s="65"/>
      <c r="R670" s="65" t="s">
        <v>232</v>
      </c>
      <c r="S670" s="66" t="n">
        <f aca="false">Model_Calc!BA115</f>
        <v>1550.62567296</v>
      </c>
      <c r="T670" s="66" t="n">
        <f aca="false">ROUND(S670-O670,4)</f>
        <v>0</v>
      </c>
    </row>
    <row r="671" customFormat="false" ht="15" hidden="false" customHeight="false" outlineLevel="0" collapsed="false">
      <c r="A671" s="18" t="s">
        <v>193</v>
      </c>
      <c r="B671" s="18" t="s">
        <v>194</v>
      </c>
      <c r="C671" s="18"/>
      <c r="D671" s="49" t="n">
        <v>46357</v>
      </c>
      <c r="E671" s="18" t="s">
        <v>106</v>
      </c>
      <c r="F671" s="18" t="s">
        <v>99</v>
      </c>
      <c r="G671" s="18" t="s">
        <v>100</v>
      </c>
      <c r="H671" s="18" t="s">
        <v>107</v>
      </c>
      <c r="I671" s="18" t="s">
        <v>102</v>
      </c>
      <c r="J671" s="18" t="s">
        <v>230</v>
      </c>
      <c r="K671" s="18" t="s">
        <v>195</v>
      </c>
      <c r="L671" s="64" t="n">
        <v>8002.346352</v>
      </c>
      <c r="M671" s="64" t="n">
        <v>7.8</v>
      </c>
      <c r="N671" s="18" t="s">
        <v>861</v>
      </c>
      <c r="O671" s="65" t="n">
        <v>62418.3015</v>
      </c>
      <c r="P671" s="65"/>
      <c r="Q671" s="65"/>
      <c r="R671" s="65" t="s">
        <v>232</v>
      </c>
      <c r="S671" s="66" t="n">
        <f aca="false">Model_Calc!AF116</f>
        <v>62418.3015456</v>
      </c>
      <c r="T671" s="66" t="n">
        <f aca="false">ROUND(S671-O671,4)</f>
        <v>0</v>
      </c>
    </row>
    <row r="672" customFormat="false" ht="15" hidden="false" customHeight="false" outlineLevel="0" collapsed="false">
      <c r="A672" s="18" t="s">
        <v>193</v>
      </c>
      <c r="B672" s="18" t="s">
        <v>194</v>
      </c>
      <c r="C672" s="18"/>
      <c r="D672" s="49" t="n">
        <v>46357</v>
      </c>
      <c r="E672" s="18" t="s">
        <v>106</v>
      </c>
      <c r="F672" s="18" t="s">
        <v>99</v>
      </c>
      <c r="G672" s="18" t="s">
        <v>100</v>
      </c>
      <c r="H672" s="18" t="s">
        <v>107</v>
      </c>
      <c r="I672" s="18" t="s">
        <v>102</v>
      </c>
      <c r="J672" s="18" t="s">
        <v>233</v>
      </c>
      <c r="K672" s="18" t="s">
        <v>195</v>
      </c>
      <c r="L672" s="64" t="n">
        <v>611.08826688</v>
      </c>
      <c r="M672" s="64" t="n">
        <v>7.8</v>
      </c>
      <c r="N672" s="18" t="s">
        <v>862</v>
      </c>
      <c r="O672" s="65" t="n">
        <v>4766.4885</v>
      </c>
      <c r="P672" s="65"/>
      <c r="Q672" s="65"/>
      <c r="R672" s="65" t="s">
        <v>232</v>
      </c>
      <c r="S672" s="66" t="n">
        <f aca="false">Model_Calc!AG116</f>
        <v>4766.488481664</v>
      </c>
      <c r="T672" s="66" t="n">
        <f aca="false">ROUND(S672-O672,4)</f>
        <v>0</v>
      </c>
    </row>
    <row r="673" customFormat="false" ht="15" hidden="false" customHeight="false" outlineLevel="0" collapsed="false">
      <c r="A673" s="18" t="s">
        <v>193</v>
      </c>
      <c r="B673" s="18" t="s">
        <v>194</v>
      </c>
      <c r="C673" s="18"/>
      <c r="D673" s="49" t="n">
        <v>46357</v>
      </c>
      <c r="E673" s="18" t="s">
        <v>106</v>
      </c>
      <c r="F673" s="18" t="s">
        <v>99</v>
      </c>
      <c r="G673" s="18" t="s">
        <v>100</v>
      </c>
      <c r="H673" s="18" t="s">
        <v>107</v>
      </c>
      <c r="I673" s="18" t="s">
        <v>102</v>
      </c>
      <c r="J673" s="18" t="s">
        <v>235</v>
      </c>
      <c r="K673" s="18" t="s">
        <v>195</v>
      </c>
      <c r="L673" s="64" t="n">
        <v>4047.3056</v>
      </c>
      <c r="M673" s="64" t="n">
        <v>7.8</v>
      </c>
      <c r="N673" s="18" t="s">
        <v>863</v>
      </c>
      <c r="O673" s="65" t="n">
        <v>31568.9837</v>
      </c>
      <c r="P673" s="65"/>
      <c r="Q673" s="65"/>
      <c r="R673" s="65" t="s">
        <v>232</v>
      </c>
      <c r="S673" s="66" t="n">
        <f aca="false">Model_Calc!AL116</f>
        <v>31568.98368</v>
      </c>
      <c r="T673" s="66" t="n">
        <f aca="false">ROUND(S673-O673,4)</f>
        <v>0</v>
      </c>
    </row>
    <row r="674" customFormat="false" ht="15" hidden="false" customHeight="false" outlineLevel="0" collapsed="false">
      <c r="A674" s="18" t="s">
        <v>193</v>
      </c>
      <c r="B674" s="18" t="s">
        <v>194</v>
      </c>
      <c r="C674" s="18"/>
      <c r="D674" s="49" t="n">
        <v>46357</v>
      </c>
      <c r="E674" s="18" t="s">
        <v>106</v>
      </c>
      <c r="F674" s="18" t="s">
        <v>99</v>
      </c>
      <c r="G674" s="18" t="s">
        <v>100</v>
      </c>
      <c r="H674" s="18" t="s">
        <v>107</v>
      </c>
      <c r="I674" s="18" t="s">
        <v>102</v>
      </c>
      <c r="J674" s="18" t="s">
        <v>237</v>
      </c>
      <c r="K674" s="18" t="s">
        <v>195</v>
      </c>
      <c r="L674" s="64" t="n">
        <v>1512.59472</v>
      </c>
      <c r="M674" s="64" t="n">
        <v>7.8</v>
      </c>
      <c r="N674" s="18" t="s">
        <v>864</v>
      </c>
      <c r="O674" s="65" t="n">
        <v>11798.2388</v>
      </c>
      <c r="P674" s="65"/>
      <c r="Q674" s="65"/>
      <c r="R674" s="65" t="s">
        <v>232</v>
      </c>
      <c r="S674" s="66" t="n">
        <f aca="false">Model_Calc!AQ116</f>
        <v>11798.238816</v>
      </c>
      <c r="T674" s="66" t="n">
        <f aca="false">ROUND(S674-O674,4)</f>
        <v>0</v>
      </c>
    </row>
    <row r="675" customFormat="false" ht="15" hidden="false" customHeight="false" outlineLevel="0" collapsed="false">
      <c r="A675" s="18" t="s">
        <v>193</v>
      </c>
      <c r="B675" s="18" t="s">
        <v>194</v>
      </c>
      <c r="C675" s="18"/>
      <c r="D675" s="49" t="n">
        <v>46357</v>
      </c>
      <c r="E675" s="18" t="s">
        <v>106</v>
      </c>
      <c r="F675" s="18" t="s">
        <v>99</v>
      </c>
      <c r="G675" s="18" t="s">
        <v>100</v>
      </c>
      <c r="H675" s="18" t="s">
        <v>107</v>
      </c>
      <c r="I675" s="18" t="s">
        <v>102</v>
      </c>
      <c r="J675" s="18" t="s">
        <v>239</v>
      </c>
      <c r="K675" s="18" t="s">
        <v>195</v>
      </c>
      <c r="L675" s="64" t="n">
        <v>548.7872</v>
      </c>
      <c r="M675" s="64" t="n">
        <v>7.8</v>
      </c>
      <c r="N675" s="18" t="s">
        <v>865</v>
      </c>
      <c r="O675" s="65" t="n">
        <v>4280.5402</v>
      </c>
      <c r="P675" s="65"/>
      <c r="Q675" s="65"/>
      <c r="R675" s="65" t="s">
        <v>232</v>
      </c>
      <c r="S675" s="66" t="n">
        <f aca="false">Model_Calc!AV116</f>
        <v>4280.54016</v>
      </c>
      <c r="T675" s="66" t="n">
        <f aca="false">ROUND(S675-O675,4)</f>
        <v>0</v>
      </c>
    </row>
    <row r="676" customFormat="false" ht="15" hidden="false" customHeight="false" outlineLevel="0" collapsed="false">
      <c r="A676" s="18" t="s">
        <v>193</v>
      </c>
      <c r="B676" s="18" t="s">
        <v>194</v>
      </c>
      <c r="C676" s="18"/>
      <c r="D676" s="49" t="n">
        <v>46357</v>
      </c>
      <c r="E676" s="18" t="s">
        <v>106</v>
      </c>
      <c r="F676" s="18" t="s">
        <v>99</v>
      </c>
      <c r="G676" s="18" t="s">
        <v>100</v>
      </c>
      <c r="H676" s="18" t="s">
        <v>107</v>
      </c>
      <c r="I676" s="18" t="s">
        <v>102</v>
      </c>
      <c r="J676" s="18" t="s">
        <v>241</v>
      </c>
      <c r="K676" s="18" t="s">
        <v>195</v>
      </c>
      <c r="L676" s="64" t="n">
        <v>107.6823384</v>
      </c>
      <c r="M676" s="64" t="n">
        <v>7.8</v>
      </c>
      <c r="N676" s="18" t="s">
        <v>866</v>
      </c>
      <c r="O676" s="65" t="n">
        <v>839.9222</v>
      </c>
      <c r="P676" s="65"/>
      <c r="Q676" s="65"/>
      <c r="R676" s="65" t="s">
        <v>232</v>
      </c>
      <c r="S676" s="66" t="n">
        <f aca="false">Model_Calc!BA116</f>
        <v>839.92223952</v>
      </c>
      <c r="T676" s="66" t="n">
        <f aca="false">ROUND(S676-O676,4)</f>
        <v>0</v>
      </c>
    </row>
    <row r="677" customFormat="false" ht="15" hidden="false" customHeight="false" outlineLevel="0" collapsed="false">
      <c r="A677" s="18" t="s">
        <v>193</v>
      </c>
      <c r="B677" s="18" t="s">
        <v>194</v>
      </c>
      <c r="C677" s="18"/>
      <c r="D677" s="49" t="n">
        <v>46357</v>
      </c>
      <c r="E677" s="18" t="s">
        <v>109</v>
      </c>
      <c r="F677" s="18" t="s">
        <v>99</v>
      </c>
      <c r="G677" s="18" t="s">
        <v>110</v>
      </c>
      <c r="H677" s="18" t="s">
        <v>107</v>
      </c>
      <c r="I677" s="18" t="s">
        <v>102</v>
      </c>
      <c r="J677" s="18" t="s">
        <v>230</v>
      </c>
      <c r="K677" s="18" t="s">
        <v>195</v>
      </c>
      <c r="L677" s="64" t="n">
        <v>820.97709408</v>
      </c>
      <c r="M677" s="64" t="n">
        <v>7.8</v>
      </c>
      <c r="N677" s="18" t="s">
        <v>867</v>
      </c>
      <c r="O677" s="65" t="n">
        <v>6403.6213</v>
      </c>
      <c r="P677" s="65"/>
      <c r="Q677" s="65"/>
      <c r="R677" s="65" t="s">
        <v>232</v>
      </c>
      <c r="S677" s="66" t="n">
        <f aca="false">Model_Calc!AF117</f>
        <v>6403.621333824</v>
      </c>
      <c r="T677" s="66" t="n">
        <f aca="false">ROUND(S677-O677,4)</f>
        <v>0</v>
      </c>
    </row>
    <row r="678" customFormat="false" ht="15" hidden="false" customHeight="false" outlineLevel="0" collapsed="false">
      <c r="A678" s="18" t="s">
        <v>193</v>
      </c>
      <c r="B678" s="18" t="s">
        <v>194</v>
      </c>
      <c r="C678" s="18"/>
      <c r="D678" s="49" t="n">
        <v>46357</v>
      </c>
      <c r="E678" s="18" t="s">
        <v>109</v>
      </c>
      <c r="F678" s="18" t="s">
        <v>99</v>
      </c>
      <c r="G678" s="18" t="s">
        <v>110</v>
      </c>
      <c r="H678" s="18" t="s">
        <v>107</v>
      </c>
      <c r="I678" s="18" t="s">
        <v>102</v>
      </c>
      <c r="J678" s="18" t="s">
        <v>233</v>
      </c>
      <c r="K678" s="18" t="s">
        <v>195</v>
      </c>
      <c r="L678" s="64" t="n">
        <v>59.707425024</v>
      </c>
      <c r="M678" s="64" t="n">
        <v>7.8</v>
      </c>
      <c r="N678" s="18" t="s">
        <v>868</v>
      </c>
      <c r="O678" s="65" t="n">
        <v>465.7179</v>
      </c>
      <c r="P678" s="65"/>
      <c r="Q678" s="65"/>
      <c r="R678" s="65" t="s">
        <v>232</v>
      </c>
      <c r="S678" s="66" t="n">
        <f aca="false">Model_Calc!AG117</f>
        <v>465.7179151872</v>
      </c>
      <c r="T678" s="66" t="n">
        <f aca="false">ROUND(S678-O678,4)</f>
        <v>0</v>
      </c>
    </row>
    <row r="679" customFormat="false" ht="15" hidden="false" customHeight="false" outlineLevel="0" collapsed="false">
      <c r="A679" s="18" t="s">
        <v>193</v>
      </c>
      <c r="B679" s="18" t="s">
        <v>194</v>
      </c>
      <c r="C679" s="18"/>
      <c r="D679" s="49" t="n">
        <v>46357</v>
      </c>
      <c r="E679" s="18" t="s">
        <v>109</v>
      </c>
      <c r="F679" s="18" t="s">
        <v>99</v>
      </c>
      <c r="G679" s="18" t="s">
        <v>110</v>
      </c>
      <c r="H679" s="18" t="s">
        <v>107</v>
      </c>
      <c r="I679" s="18" t="s">
        <v>102</v>
      </c>
      <c r="J679" s="18" t="s">
        <v>235</v>
      </c>
      <c r="K679" s="18" t="s">
        <v>195</v>
      </c>
      <c r="L679" s="64" t="n">
        <v>278.46</v>
      </c>
      <c r="M679" s="64" t="n">
        <v>7.8</v>
      </c>
      <c r="N679" s="18" t="s">
        <v>869</v>
      </c>
      <c r="O679" s="65" t="n">
        <v>2171.988</v>
      </c>
      <c r="P679" s="65"/>
      <c r="Q679" s="65"/>
      <c r="R679" s="65" t="s">
        <v>232</v>
      </c>
      <c r="S679" s="66" t="n">
        <f aca="false">Model_Calc!AL117</f>
        <v>2171.988</v>
      </c>
      <c r="T679" s="66" t="n">
        <f aca="false">ROUND(S679-O679,4)</f>
        <v>0</v>
      </c>
    </row>
    <row r="680" customFormat="false" ht="15" hidden="false" customHeight="false" outlineLevel="0" collapsed="false">
      <c r="A680" s="18" t="s">
        <v>193</v>
      </c>
      <c r="B680" s="18" t="s">
        <v>194</v>
      </c>
      <c r="C680" s="18"/>
      <c r="D680" s="49" t="n">
        <v>46357</v>
      </c>
      <c r="E680" s="18" t="s">
        <v>109</v>
      </c>
      <c r="F680" s="18" t="s">
        <v>99</v>
      </c>
      <c r="G680" s="18" t="s">
        <v>110</v>
      </c>
      <c r="H680" s="18" t="s">
        <v>107</v>
      </c>
      <c r="I680" s="18" t="s">
        <v>102</v>
      </c>
      <c r="J680" s="18" t="s">
        <v>237</v>
      </c>
      <c r="K680" s="18" t="s">
        <v>195</v>
      </c>
      <c r="L680" s="64" t="n">
        <v>108.83808</v>
      </c>
      <c r="M680" s="64" t="n">
        <v>7.8</v>
      </c>
      <c r="N680" s="18" t="s">
        <v>870</v>
      </c>
      <c r="O680" s="65" t="n">
        <v>848.937</v>
      </c>
      <c r="P680" s="65"/>
      <c r="Q680" s="65"/>
      <c r="R680" s="65" t="s">
        <v>232</v>
      </c>
      <c r="S680" s="66" t="n">
        <f aca="false">Model_Calc!AQ117</f>
        <v>848.937024</v>
      </c>
      <c r="T680" s="66" t="n">
        <f aca="false">ROUND(S680-O680,4)</f>
        <v>0</v>
      </c>
    </row>
    <row r="681" customFormat="false" ht="15" hidden="false" customHeight="false" outlineLevel="0" collapsed="false">
      <c r="A681" s="18" t="s">
        <v>193</v>
      </c>
      <c r="B681" s="18" t="s">
        <v>194</v>
      </c>
      <c r="C681" s="18"/>
      <c r="D681" s="49" t="n">
        <v>46357</v>
      </c>
      <c r="E681" s="18" t="s">
        <v>109</v>
      </c>
      <c r="F681" s="18" t="s">
        <v>99</v>
      </c>
      <c r="G681" s="18" t="s">
        <v>110</v>
      </c>
      <c r="H681" s="18" t="s">
        <v>107</v>
      </c>
      <c r="I681" s="18" t="s">
        <v>102</v>
      </c>
      <c r="J681" s="18" t="s">
        <v>239</v>
      </c>
      <c r="K681" s="18" t="s">
        <v>195</v>
      </c>
      <c r="L681" s="64" t="n">
        <v>50.388</v>
      </c>
      <c r="M681" s="64" t="n">
        <v>7.8</v>
      </c>
      <c r="N681" s="18" t="s">
        <v>871</v>
      </c>
      <c r="O681" s="65" t="n">
        <v>393.0264</v>
      </c>
      <c r="P681" s="65"/>
      <c r="Q681" s="65"/>
      <c r="R681" s="65" t="s">
        <v>232</v>
      </c>
      <c r="S681" s="66" t="n">
        <f aca="false">Model_Calc!AV117</f>
        <v>393.0264</v>
      </c>
      <c r="T681" s="66" t="n">
        <f aca="false">ROUND(S681-O681,4)</f>
        <v>0</v>
      </c>
    </row>
    <row r="682" customFormat="false" ht="15" hidden="false" customHeight="false" outlineLevel="0" collapsed="false">
      <c r="A682" s="18" t="s">
        <v>193</v>
      </c>
      <c r="B682" s="18" t="s">
        <v>194</v>
      </c>
      <c r="C682" s="18"/>
      <c r="D682" s="49" t="n">
        <v>46357</v>
      </c>
      <c r="E682" s="18" t="s">
        <v>109</v>
      </c>
      <c r="F682" s="18" t="s">
        <v>99</v>
      </c>
      <c r="G682" s="18" t="s">
        <v>110</v>
      </c>
      <c r="H682" s="18" t="s">
        <v>107</v>
      </c>
      <c r="I682" s="18" t="s">
        <v>102</v>
      </c>
      <c r="J682" s="18" t="s">
        <v>241</v>
      </c>
      <c r="K682" s="18" t="s">
        <v>195</v>
      </c>
      <c r="L682" s="64" t="n">
        <v>9.2225952</v>
      </c>
      <c r="M682" s="64" t="n">
        <v>7.8</v>
      </c>
      <c r="N682" s="18" t="s">
        <v>872</v>
      </c>
      <c r="O682" s="65" t="n">
        <v>71.9362</v>
      </c>
      <c r="P682" s="65"/>
      <c r="Q682" s="65"/>
      <c r="R682" s="65" t="s">
        <v>232</v>
      </c>
      <c r="S682" s="66" t="n">
        <f aca="false">Model_Calc!BA117</f>
        <v>71.93624256</v>
      </c>
      <c r="T682" s="66" t="n">
        <f aca="false">ROUND(S682-O682,4)</f>
        <v>0</v>
      </c>
    </row>
    <row r="683" customFormat="false" ht="15" hidden="false" customHeight="false" outlineLevel="0" collapsed="false">
      <c r="A683" s="18" t="s">
        <v>193</v>
      </c>
      <c r="B683" s="18" t="s">
        <v>194</v>
      </c>
      <c r="C683" s="18"/>
      <c r="D683" s="49" t="n">
        <v>46357</v>
      </c>
      <c r="E683" s="18" t="s">
        <v>112</v>
      </c>
      <c r="F683" s="18" t="s">
        <v>113</v>
      </c>
      <c r="G683" s="18" t="s">
        <v>110</v>
      </c>
      <c r="H683" s="18" t="s">
        <v>101</v>
      </c>
      <c r="I683" s="18" t="s">
        <v>102</v>
      </c>
      <c r="J683" s="18" t="s">
        <v>230</v>
      </c>
      <c r="K683" s="18" t="s">
        <v>195</v>
      </c>
      <c r="L683" s="64" t="n">
        <v>4509.2001864</v>
      </c>
      <c r="M683" s="64" t="n">
        <v>7.8</v>
      </c>
      <c r="N683" s="18" t="s">
        <v>873</v>
      </c>
      <c r="O683" s="65" t="n">
        <v>35171.7615</v>
      </c>
      <c r="P683" s="65"/>
      <c r="Q683" s="65"/>
      <c r="R683" s="65" t="s">
        <v>232</v>
      </c>
      <c r="S683" s="66" t="n">
        <f aca="false">Model_Calc!AF118</f>
        <v>35171.76145392</v>
      </c>
      <c r="T683" s="66" t="n">
        <f aca="false">ROUND(S683-O683,4)</f>
        <v>0</v>
      </c>
    </row>
    <row r="684" customFormat="false" ht="15" hidden="false" customHeight="false" outlineLevel="0" collapsed="false">
      <c r="A684" s="18" t="s">
        <v>193</v>
      </c>
      <c r="B684" s="18" t="s">
        <v>194</v>
      </c>
      <c r="C684" s="18"/>
      <c r="D684" s="49" t="n">
        <v>46357</v>
      </c>
      <c r="E684" s="18" t="s">
        <v>112</v>
      </c>
      <c r="F684" s="18" t="s">
        <v>113</v>
      </c>
      <c r="G684" s="18" t="s">
        <v>110</v>
      </c>
      <c r="H684" s="18" t="s">
        <v>101</v>
      </c>
      <c r="I684" s="18" t="s">
        <v>102</v>
      </c>
      <c r="J684" s="18" t="s">
        <v>233</v>
      </c>
      <c r="K684" s="18" t="s">
        <v>195</v>
      </c>
      <c r="L684" s="64" t="n">
        <v>405.828016776</v>
      </c>
      <c r="M684" s="64" t="n">
        <v>7.8</v>
      </c>
      <c r="N684" s="18" t="s">
        <v>874</v>
      </c>
      <c r="O684" s="65" t="n">
        <v>3165.4585</v>
      </c>
      <c r="P684" s="65"/>
      <c r="Q684" s="65"/>
      <c r="R684" s="65" t="s">
        <v>232</v>
      </c>
      <c r="S684" s="66" t="n">
        <f aca="false">Model_Calc!AG118</f>
        <v>3165.4585308528</v>
      </c>
      <c r="T684" s="66" t="n">
        <f aca="false">ROUND(S684-O684,4)</f>
        <v>0</v>
      </c>
    </row>
    <row r="685" customFormat="false" ht="15" hidden="false" customHeight="false" outlineLevel="0" collapsed="false">
      <c r="A685" s="18" t="s">
        <v>193</v>
      </c>
      <c r="B685" s="18" t="s">
        <v>194</v>
      </c>
      <c r="C685" s="18"/>
      <c r="D685" s="49" t="n">
        <v>46357</v>
      </c>
      <c r="E685" s="18" t="s">
        <v>112</v>
      </c>
      <c r="F685" s="18" t="s">
        <v>113</v>
      </c>
      <c r="G685" s="18" t="s">
        <v>110</v>
      </c>
      <c r="H685" s="18" t="s">
        <v>101</v>
      </c>
      <c r="I685" s="18" t="s">
        <v>102</v>
      </c>
      <c r="J685" s="18" t="s">
        <v>235</v>
      </c>
      <c r="K685" s="18" t="s">
        <v>195</v>
      </c>
      <c r="L685" s="64" t="n">
        <v>2770.95</v>
      </c>
      <c r="M685" s="64" t="n">
        <v>7.8</v>
      </c>
      <c r="N685" s="18" t="s">
        <v>875</v>
      </c>
      <c r="O685" s="65" t="n">
        <v>21613.41</v>
      </c>
      <c r="P685" s="65"/>
      <c r="Q685" s="65"/>
      <c r="R685" s="65" t="s">
        <v>232</v>
      </c>
      <c r="S685" s="66" t="n">
        <f aca="false">Model_Calc!AL118</f>
        <v>21613.41</v>
      </c>
      <c r="T685" s="66" t="n">
        <f aca="false">ROUND(S685-O685,4)</f>
        <v>0</v>
      </c>
    </row>
    <row r="686" customFormat="false" ht="15" hidden="false" customHeight="false" outlineLevel="0" collapsed="false">
      <c r="A686" s="18" t="s">
        <v>193</v>
      </c>
      <c r="B686" s="18" t="s">
        <v>194</v>
      </c>
      <c r="C686" s="18"/>
      <c r="D686" s="49" t="n">
        <v>46357</v>
      </c>
      <c r="E686" s="18" t="s">
        <v>112</v>
      </c>
      <c r="F686" s="18" t="s">
        <v>113</v>
      </c>
      <c r="G686" s="18" t="s">
        <v>110</v>
      </c>
      <c r="H686" s="18" t="s">
        <v>101</v>
      </c>
      <c r="I686" s="18" t="s">
        <v>102</v>
      </c>
      <c r="J686" s="18" t="s">
        <v>237</v>
      </c>
      <c r="K686" s="18" t="s">
        <v>195</v>
      </c>
      <c r="L686" s="64" t="n">
        <v>1062.9892</v>
      </c>
      <c r="M686" s="64" t="n">
        <v>7.8</v>
      </c>
      <c r="N686" s="18" t="s">
        <v>876</v>
      </c>
      <c r="O686" s="65" t="n">
        <v>8291.3158</v>
      </c>
      <c r="P686" s="65"/>
      <c r="Q686" s="65"/>
      <c r="R686" s="65" t="s">
        <v>232</v>
      </c>
      <c r="S686" s="66" t="n">
        <f aca="false">Model_Calc!AQ118</f>
        <v>8291.31576</v>
      </c>
      <c r="T686" s="66" t="n">
        <f aca="false">ROUND(S686-O686,4)</f>
        <v>0</v>
      </c>
    </row>
    <row r="687" customFormat="false" ht="15" hidden="false" customHeight="false" outlineLevel="0" collapsed="false">
      <c r="A687" s="18" t="s">
        <v>193</v>
      </c>
      <c r="B687" s="18" t="s">
        <v>194</v>
      </c>
      <c r="C687" s="18"/>
      <c r="D687" s="49" t="n">
        <v>46357</v>
      </c>
      <c r="E687" s="18" t="s">
        <v>112</v>
      </c>
      <c r="F687" s="18" t="s">
        <v>113</v>
      </c>
      <c r="G687" s="18" t="s">
        <v>110</v>
      </c>
      <c r="H687" s="18" t="s">
        <v>101</v>
      </c>
      <c r="I687" s="18" t="s">
        <v>102</v>
      </c>
      <c r="J687" s="18" t="s">
        <v>239</v>
      </c>
      <c r="K687" s="18" t="s">
        <v>195</v>
      </c>
      <c r="L687" s="64" t="n">
        <v>475.02</v>
      </c>
      <c r="M687" s="64" t="n">
        <v>7.8</v>
      </c>
      <c r="N687" s="18" t="s">
        <v>877</v>
      </c>
      <c r="O687" s="65" t="n">
        <v>3705.156</v>
      </c>
      <c r="P687" s="65"/>
      <c r="Q687" s="65"/>
      <c r="R687" s="65" t="s">
        <v>232</v>
      </c>
      <c r="S687" s="66" t="n">
        <f aca="false">Model_Calc!AV118</f>
        <v>3705.156</v>
      </c>
      <c r="T687" s="66" t="n">
        <f aca="false">ROUND(S687-O687,4)</f>
        <v>0</v>
      </c>
    </row>
    <row r="688" customFormat="false" ht="15" hidden="false" customHeight="false" outlineLevel="0" collapsed="false">
      <c r="A688" s="18" t="s">
        <v>193</v>
      </c>
      <c r="B688" s="18" t="s">
        <v>194</v>
      </c>
      <c r="C688" s="18"/>
      <c r="D688" s="49" t="n">
        <v>46357</v>
      </c>
      <c r="E688" s="18" t="s">
        <v>112</v>
      </c>
      <c r="F688" s="18" t="s">
        <v>113</v>
      </c>
      <c r="G688" s="18" t="s">
        <v>110</v>
      </c>
      <c r="H688" s="18" t="s">
        <v>101</v>
      </c>
      <c r="I688" s="18" t="s">
        <v>102</v>
      </c>
      <c r="J688" s="18" t="s">
        <v>241</v>
      </c>
      <c r="K688" s="18" t="s">
        <v>195</v>
      </c>
      <c r="L688" s="64" t="n">
        <v>109.375994</v>
      </c>
      <c r="M688" s="64" t="n">
        <v>7.8</v>
      </c>
      <c r="N688" s="18" t="s">
        <v>878</v>
      </c>
      <c r="O688" s="65" t="n">
        <v>853.1328</v>
      </c>
      <c r="P688" s="65"/>
      <c r="Q688" s="65"/>
      <c r="R688" s="65" t="s">
        <v>232</v>
      </c>
      <c r="S688" s="66" t="n">
        <f aca="false">Model_Calc!BA118</f>
        <v>853.1327532</v>
      </c>
      <c r="T688" s="66" t="n">
        <f aca="false">ROUND(S688-O688,4)</f>
        <v>0</v>
      </c>
    </row>
    <row r="689" customFormat="false" ht="15" hidden="false" customHeight="false" outlineLevel="0" collapsed="false">
      <c r="A689" s="18" t="s">
        <v>193</v>
      </c>
      <c r="B689" s="18" t="s">
        <v>194</v>
      </c>
      <c r="C689" s="18"/>
      <c r="D689" s="49" t="n">
        <v>46357</v>
      </c>
      <c r="E689" s="18" t="s">
        <v>116</v>
      </c>
      <c r="F689" s="18" t="s">
        <v>113</v>
      </c>
      <c r="G689" s="18" t="s">
        <v>110</v>
      </c>
      <c r="H689" s="18" t="s">
        <v>107</v>
      </c>
      <c r="I689" s="18" t="s">
        <v>102</v>
      </c>
      <c r="J689" s="18" t="s">
        <v>230</v>
      </c>
      <c r="K689" s="18" t="s">
        <v>195</v>
      </c>
      <c r="L689" s="64" t="n">
        <v>10777.3597724</v>
      </c>
      <c r="M689" s="64" t="n">
        <v>7.8</v>
      </c>
      <c r="N689" s="18" t="s">
        <v>879</v>
      </c>
      <c r="O689" s="65" t="n">
        <v>84063.4062</v>
      </c>
      <c r="P689" s="65"/>
      <c r="Q689" s="65"/>
      <c r="R689" s="65" t="s">
        <v>232</v>
      </c>
      <c r="S689" s="66" t="n">
        <f aca="false">Model_Calc!AF119</f>
        <v>84063.40622472</v>
      </c>
      <c r="T689" s="66" t="n">
        <f aca="false">ROUND(S689-O689,4)</f>
        <v>0</v>
      </c>
    </row>
    <row r="690" customFormat="false" ht="15" hidden="false" customHeight="false" outlineLevel="0" collapsed="false">
      <c r="A690" s="18" t="s">
        <v>193</v>
      </c>
      <c r="B690" s="18" t="s">
        <v>194</v>
      </c>
      <c r="C690" s="18"/>
      <c r="D690" s="49" t="n">
        <v>46357</v>
      </c>
      <c r="E690" s="18" t="s">
        <v>116</v>
      </c>
      <c r="F690" s="18" t="s">
        <v>113</v>
      </c>
      <c r="G690" s="18" t="s">
        <v>110</v>
      </c>
      <c r="H690" s="18" t="s">
        <v>107</v>
      </c>
      <c r="I690" s="18" t="s">
        <v>102</v>
      </c>
      <c r="J690" s="18" t="s">
        <v>233</v>
      </c>
      <c r="K690" s="18" t="s">
        <v>195</v>
      </c>
      <c r="L690" s="64" t="n">
        <v>829.0276748</v>
      </c>
      <c r="M690" s="64" t="n">
        <v>7.8</v>
      </c>
      <c r="N690" s="18" t="s">
        <v>880</v>
      </c>
      <c r="O690" s="65" t="n">
        <v>6466.4159</v>
      </c>
      <c r="P690" s="65"/>
      <c r="Q690" s="65"/>
      <c r="R690" s="65" t="s">
        <v>232</v>
      </c>
      <c r="S690" s="66" t="n">
        <f aca="false">Model_Calc!AG119</f>
        <v>6466.41586344</v>
      </c>
      <c r="T690" s="66" t="n">
        <f aca="false">ROUND(S690-O690,4)</f>
        <v>0</v>
      </c>
    </row>
    <row r="691" customFormat="false" ht="15" hidden="false" customHeight="false" outlineLevel="0" collapsed="false">
      <c r="A691" s="18" t="s">
        <v>193</v>
      </c>
      <c r="B691" s="18" t="s">
        <v>194</v>
      </c>
      <c r="C691" s="18"/>
      <c r="D691" s="49" t="n">
        <v>46357</v>
      </c>
      <c r="E691" s="18" t="s">
        <v>116</v>
      </c>
      <c r="F691" s="18" t="s">
        <v>113</v>
      </c>
      <c r="G691" s="18" t="s">
        <v>110</v>
      </c>
      <c r="H691" s="18" t="s">
        <v>107</v>
      </c>
      <c r="I691" s="18" t="s">
        <v>102</v>
      </c>
      <c r="J691" s="18" t="s">
        <v>235</v>
      </c>
      <c r="K691" s="18" t="s">
        <v>195</v>
      </c>
      <c r="L691" s="64" t="n">
        <v>5146.05</v>
      </c>
      <c r="M691" s="64" t="n">
        <v>7.8</v>
      </c>
      <c r="N691" s="18" t="s">
        <v>881</v>
      </c>
      <c r="O691" s="65" t="n">
        <v>40139.19</v>
      </c>
      <c r="P691" s="65"/>
      <c r="Q691" s="65"/>
      <c r="R691" s="65" t="s">
        <v>232</v>
      </c>
      <c r="S691" s="66" t="n">
        <f aca="false">Model_Calc!AL119</f>
        <v>40139.19</v>
      </c>
      <c r="T691" s="66" t="n">
        <f aca="false">ROUND(S691-O691,4)</f>
        <v>0</v>
      </c>
    </row>
    <row r="692" customFormat="false" ht="15" hidden="false" customHeight="false" outlineLevel="0" collapsed="false">
      <c r="A692" s="18" t="s">
        <v>193</v>
      </c>
      <c r="B692" s="18" t="s">
        <v>194</v>
      </c>
      <c r="C692" s="18"/>
      <c r="D692" s="49" t="n">
        <v>46357</v>
      </c>
      <c r="E692" s="18" t="s">
        <v>116</v>
      </c>
      <c r="F692" s="18" t="s">
        <v>113</v>
      </c>
      <c r="G692" s="18" t="s">
        <v>110</v>
      </c>
      <c r="H692" s="18" t="s">
        <v>107</v>
      </c>
      <c r="I692" s="18" t="s">
        <v>102</v>
      </c>
      <c r="J692" s="18" t="s">
        <v>237</v>
      </c>
      <c r="K692" s="18" t="s">
        <v>195</v>
      </c>
      <c r="L692" s="64" t="n">
        <v>1974.1228</v>
      </c>
      <c r="M692" s="64" t="n">
        <v>7.8</v>
      </c>
      <c r="N692" s="18" t="s">
        <v>882</v>
      </c>
      <c r="O692" s="65" t="n">
        <v>15398.1578</v>
      </c>
      <c r="P692" s="65"/>
      <c r="Q692" s="65"/>
      <c r="R692" s="65" t="s">
        <v>232</v>
      </c>
      <c r="S692" s="66" t="n">
        <f aca="false">Model_Calc!AQ119</f>
        <v>15398.15784</v>
      </c>
      <c r="T692" s="66" t="n">
        <f aca="false">ROUND(S692-O692,4)</f>
        <v>0</v>
      </c>
    </row>
    <row r="693" customFormat="false" ht="15" hidden="false" customHeight="false" outlineLevel="0" collapsed="false">
      <c r="A693" s="18" t="s">
        <v>193</v>
      </c>
      <c r="B693" s="18" t="s">
        <v>194</v>
      </c>
      <c r="C693" s="18"/>
      <c r="D693" s="49" t="n">
        <v>46357</v>
      </c>
      <c r="E693" s="18" t="s">
        <v>116</v>
      </c>
      <c r="F693" s="18" t="s">
        <v>113</v>
      </c>
      <c r="G693" s="18" t="s">
        <v>110</v>
      </c>
      <c r="H693" s="18" t="s">
        <v>107</v>
      </c>
      <c r="I693" s="18" t="s">
        <v>102</v>
      </c>
      <c r="J693" s="18" t="s">
        <v>239</v>
      </c>
      <c r="K693" s="18" t="s">
        <v>195</v>
      </c>
      <c r="L693" s="64" t="n">
        <v>882.18</v>
      </c>
      <c r="M693" s="64" t="n">
        <v>7.8</v>
      </c>
      <c r="N693" s="18" t="s">
        <v>883</v>
      </c>
      <c r="O693" s="65" t="n">
        <v>6881.004</v>
      </c>
      <c r="P693" s="65"/>
      <c r="Q693" s="65"/>
      <c r="R693" s="65" t="s">
        <v>232</v>
      </c>
      <c r="S693" s="66" t="n">
        <f aca="false">Model_Calc!AV119</f>
        <v>6881.004</v>
      </c>
      <c r="T693" s="66" t="n">
        <f aca="false">ROUND(S693-O693,4)</f>
        <v>0</v>
      </c>
    </row>
    <row r="694" customFormat="false" ht="15" hidden="false" customHeight="false" outlineLevel="0" collapsed="false">
      <c r="A694" s="18" t="s">
        <v>193</v>
      </c>
      <c r="B694" s="18" t="s">
        <v>194</v>
      </c>
      <c r="C694" s="18"/>
      <c r="D694" s="49" t="n">
        <v>46357</v>
      </c>
      <c r="E694" s="18" t="s">
        <v>116</v>
      </c>
      <c r="F694" s="18" t="s">
        <v>113</v>
      </c>
      <c r="G694" s="18" t="s">
        <v>110</v>
      </c>
      <c r="H694" s="18" t="s">
        <v>107</v>
      </c>
      <c r="I694" s="18" t="s">
        <v>102</v>
      </c>
      <c r="J694" s="18" t="s">
        <v>241</v>
      </c>
      <c r="K694" s="18" t="s">
        <v>195</v>
      </c>
      <c r="L694" s="64" t="n">
        <v>167.280932</v>
      </c>
      <c r="M694" s="64" t="n">
        <v>7.8</v>
      </c>
      <c r="N694" s="18" t="s">
        <v>884</v>
      </c>
      <c r="O694" s="65" t="n">
        <v>1304.7913</v>
      </c>
      <c r="P694" s="65"/>
      <c r="Q694" s="65"/>
      <c r="R694" s="65" t="s">
        <v>232</v>
      </c>
      <c r="S694" s="66" t="n">
        <f aca="false">Model_Calc!BA119</f>
        <v>1304.7912696</v>
      </c>
      <c r="T694" s="66" t="n">
        <f aca="false">ROUND(S694-O694,4)</f>
        <v>0</v>
      </c>
    </row>
    <row r="695" customFormat="false" ht="15" hidden="false" customHeight="false" outlineLevel="0" collapsed="false">
      <c r="A695" s="18" t="s">
        <v>193</v>
      </c>
      <c r="B695" s="18" t="s">
        <v>194</v>
      </c>
      <c r="C695" s="18"/>
      <c r="D695" s="49" t="n">
        <v>46357</v>
      </c>
      <c r="E695" s="18" t="s">
        <v>118</v>
      </c>
      <c r="F695" s="18" t="s">
        <v>119</v>
      </c>
      <c r="G695" s="18" t="s">
        <v>100</v>
      </c>
      <c r="H695" s="18" t="s">
        <v>101</v>
      </c>
      <c r="I695" s="18" t="s">
        <v>102</v>
      </c>
      <c r="J695" s="18" t="s">
        <v>230</v>
      </c>
      <c r="K695" s="18" t="s">
        <v>199</v>
      </c>
      <c r="L695" s="64" t="n">
        <v>27705.06805248</v>
      </c>
      <c r="M695" s="64" t="n">
        <v>9</v>
      </c>
      <c r="N695" s="18" t="s">
        <v>885</v>
      </c>
      <c r="O695" s="65" t="n">
        <v>249345.6125</v>
      </c>
      <c r="P695" s="65"/>
      <c r="Q695" s="65"/>
      <c r="R695" s="65" t="s">
        <v>232</v>
      </c>
      <c r="S695" s="66" t="n">
        <f aca="false">Model_Calc!AF120</f>
        <v>249345.61247232</v>
      </c>
      <c r="T695" s="66" t="n">
        <f aca="false">ROUND(S695-O695,4)</f>
        <v>0</v>
      </c>
    </row>
    <row r="696" customFormat="false" ht="15" hidden="false" customHeight="false" outlineLevel="0" collapsed="false">
      <c r="A696" s="18" t="s">
        <v>193</v>
      </c>
      <c r="B696" s="18" t="s">
        <v>194</v>
      </c>
      <c r="C696" s="18"/>
      <c r="D696" s="49" t="n">
        <v>46357</v>
      </c>
      <c r="E696" s="18" t="s">
        <v>118</v>
      </c>
      <c r="F696" s="18" t="s">
        <v>119</v>
      </c>
      <c r="G696" s="18" t="s">
        <v>100</v>
      </c>
      <c r="H696" s="18" t="s">
        <v>101</v>
      </c>
      <c r="I696" s="18" t="s">
        <v>102</v>
      </c>
      <c r="J696" s="18" t="s">
        <v>233</v>
      </c>
      <c r="K696" s="18" t="s">
        <v>199</v>
      </c>
      <c r="L696" s="64" t="n">
        <v>2770.506805248</v>
      </c>
      <c r="M696" s="64" t="n">
        <v>9</v>
      </c>
      <c r="N696" s="18" t="s">
        <v>886</v>
      </c>
      <c r="O696" s="65" t="n">
        <v>24934.5612</v>
      </c>
      <c r="P696" s="65"/>
      <c r="Q696" s="65"/>
      <c r="R696" s="65" t="s">
        <v>232</v>
      </c>
      <c r="S696" s="66" t="n">
        <f aca="false">Model_Calc!AG120</f>
        <v>24934.561247232</v>
      </c>
      <c r="T696" s="66" t="n">
        <f aca="false">ROUND(S696-O696,4)</f>
        <v>0</v>
      </c>
    </row>
    <row r="697" customFormat="false" ht="15" hidden="false" customHeight="false" outlineLevel="0" collapsed="false">
      <c r="A697" s="18" t="s">
        <v>193</v>
      </c>
      <c r="B697" s="18" t="s">
        <v>194</v>
      </c>
      <c r="C697" s="18"/>
      <c r="D697" s="49" t="n">
        <v>46357</v>
      </c>
      <c r="E697" s="18" t="s">
        <v>118</v>
      </c>
      <c r="F697" s="18" t="s">
        <v>119</v>
      </c>
      <c r="G697" s="18" t="s">
        <v>100</v>
      </c>
      <c r="H697" s="18" t="s">
        <v>101</v>
      </c>
      <c r="I697" s="18" t="s">
        <v>102</v>
      </c>
      <c r="J697" s="18" t="s">
        <v>235</v>
      </c>
      <c r="K697" s="18" t="s">
        <v>195</v>
      </c>
      <c r="L697" s="64" t="n">
        <v>7083.3984</v>
      </c>
      <c r="M697" s="64" t="n">
        <v>7.8</v>
      </c>
      <c r="N697" s="18" t="s">
        <v>887</v>
      </c>
      <c r="O697" s="65" t="n">
        <v>55250.5075</v>
      </c>
      <c r="P697" s="65"/>
      <c r="Q697" s="65"/>
      <c r="R697" s="65" t="s">
        <v>232</v>
      </c>
      <c r="S697" s="66" t="n">
        <f aca="false">Model_Calc!AL120</f>
        <v>55250.50752</v>
      </c>
      <c r="T697" s="66" t="n">
        <f aca="false">ROUND(S697-O697,4)</f>
        <v>0</v>
      </c>
    </row>
    <row r="698" customFormat="false" ht="15" hidden="false" customHeight="false" outlineLevel="0" collapsed="false">
      <c r="A698" s="18" t="s">
        <v>193</v>
      </c>
      <c r="B698" s="18" t="s">
        <v>194</v>
      </c>
      <c r="C698" s="18"/>
      <c r="D698" s="49" t="n">
        <v>46357</v>
      </c>
      <c r="E698" s="18" t="s">
        <v>118</v>
      </c>
      <c r="F698" s="18" t="s">
        <v>119</v>
      </c>
      <c r="G698" s="18" t="s">
        <v>100</v>
      </c>
      <c r="H698" s="18" t="s">
        <v>101</v>
      </c>
      <c r="I698" s="18" t="s">
        <v>102</v>
      </c>
      <c r="J698" s="18" t="s">
        <v>237</v>
      </c>
      <c r="K698" s="18" t="s">
        <v>195</v>
      </c>
      <c r="L698" s="64" t="n">
        <v>2823.754752</v>
      </c>
      <c r="M698" s="64" t="n">
        <v>7.8</v>
      </c>
      <c r="N698" s="18" t="s">
        <v>888</v>
      </c>
      <c r="O698" s="65" t="n">
        <v>22025.2871</v>
      </c>
      <c r="P698" s="65"/>
      <c r="Q698" s="65"/>
      <c r="R698" s="65" t="s">
        <v>232</v>
      </c>
      <c r="S698" s="66" t="n">
        <f aca="false">Model_Calc!AQ120</f>
        <v>22025.2870656</v>
      </c>
      <c r="T698" s="66" t="n">
        <f aca="false">ROUND(S698-O698,4)</f>
        <v>0</v>
      </c>
    </row>
    <row r="699" customFormat="false" ht="15" hidden="false" customHeight="false" outlineLevel="0" collapsed="false">
      <c r="A699" s="18" t="s">
        <v>193</v>
      </c>
      <c r="B699" s="18" t="s">
        <v>194</v>
      </c>
      <c r="C699" s="18"/>
      <c r="D699" s="49" t="n">
        <v>46357</v>
      </c>
      <c r="E699" s="18" t="s">
        <v>118</v>
      </c>
      <c r="F699" s="18" t="s">
        <v>119</v>
      </c>
      <c r="G699" s="18" t="s">
        <v>100</v>
      </c>
      <c r="H699" s="18" t="s">
        <v>101</v>
      </c>
      <c r="I699" s="18" t="s">
        <v>102</v>
      </c>
      <c r="J699" s="18" t="s">
        <v>239</v>
      </c>
      <c r="K699" s="18" t="s">
        <v>199</v>
      </c>
      <c r="L699" s="64" t="n">
        <v>2305.10592</v>
      </c>
      <c r="M699" s="64" t="n">
        <v>9</v>
      </c>
      <c r="N699" s="18" t="s">
        <v>889</v>
      </c>
      <c r="O699" s="65" t="n">
        <v>20745.9533</v>
      </c>
      <c r="P699" s="65"/>
      <c r="Q699" s="65"/>
      <c r="R699" s="65" t="s">
        <v>232</v>
      </c>
      <c r="S699" s="66" t="n">
        <f aca="false">Model_Calc!AV120</f>
        <v>20745.95328</v>
      </c>
      <c r="T699" s="66" t="n">
        <f aca="false">ROUND(S699-O699,4)</f>
        <v>0</v>
      </c>
    </row>
    <row r="700" customFormat="false" ht="15" hidden="false" customHeight="false" outlineLevel="0" collapsed="false">
      <c r="A700" s="18" t="s">
        <v>193</v>
      </c>
      <c r="B700" s="18" t="s">
        <v>194</v>
      </c>
      <c r="C700" s="18"/>
      <c r="D700" s="49" t="n">
        <v>46357</v>
      </c>
      <c r="E700" s="18" t="s">
        <v>118</v>
      </c>
      <c r="F700" s="18" t="s">
        <v>119</v>
      </c>
      <c r="G700" s="18" t="s">
        <v>100</v>
      </c>
      <c r="H700" s="18" t="s">
        <v>101</v>
      </c>
      <c r="I700" s="18" t="s">
        <v>102</v>
      </c>
      <c r="J700" s="18" t="s">
        <v>241</v>
      </c>
      <c r="K700" s="18" t="s">
        <v>199</v>
      </c>
      <c r="L700" s="64" t="n">
        <v>340.19521536</v>
      </c>
      <c r="M700" s="64" t="n">
        <v>9</v>
      </c>
      <c r="N700" s="18" t="s">
        <v>890</v>
      </c>
      <c r="O700" s="65" t="n">
        <v>3061.7569</v>
      </c>
      <c r="P700" s="65"/>
      <c r="Q700" s="65"/>
      <c r="R700" s="65" t="s">
        <v>232</v>
      </c>
      <c r="S700" s="66" t="n">
        <f aca="false">Model_Calc!BA120</f>
        <v>3061.75693824</v>
      </c>
      <c r="T700" s="66" t="n">
        <f aca="false">ROUND(S700-O700,4)</f>
        <v>0</v>
      </c>
    </row>
    <row r="701" customFormat="false" ht="15" hidden="false" customHeight="false" outlineLevel="0" collapsed="false">
      <c r="A701" s="18" t="s">
        <v>193</v>
      </c>
      <c r="B701" s="18" t="s">
        <v>194</v>
      </c>
      <c r="C701" s="18"/>
      <c r="D701" s="49" t="n">
        <v>46357</v>
      </c>
      <c r="E701" s="18" t="s">
        <v>122</v>
      </c>
      <c r="F701" s="18" t="s">
        <v>119</v>
      </c>
      <c r="G701" s="18" t="s">
        <v>100</v>
      </c>
      <c r="H701" s="18" t="s">
        <v>107</v>
      </c>
      <c r="I701" s="18" t="s">
        <v>102</v>
      </c>
      <c r="J701" s="18" t="s">
        <v>230</v>
      </c>
      <c r="K701" s="18" t="s">
        <v>199</v>
      </c>
      <c r="L701" s="64" t="n">
        <v>12275.058432</v>
      </c>
      <c r="M701" s="64" t="n">
        <v>9</v>
      </c>
      <c r="N701" s="18" t="s">
        <v>891</v>
      </c>
      <c r="O701" s="65" t="n">
        <v>110475.5259</v>
      </c>
      <c r="P701" s="65"/>
      <c r="Q701" s="65"/>
      <c r="R701" s="65" t="s">
        <v>232</v>
      </c>
      <c r="S701" s="66" t="n">
        <f aca="false">Model_Calc!AF121</f>
        <v>110475.525888</v>
      </c>
      <c r="T701" s="66" t="n">
        <f aca="false">ROUND(S701-O701,4)</f>
        <v>0</v>
      </c>
    </row>
    <row r="702" customFormat="false" ht="15" hidden="false" customHeight="false" outlineLevel="0" collapsed="false">
      <c r="A702" s="18" t="s">
        <v>193</v>
      </c>
      <c r="B702" s="18" t="s">
        <v>194</v>
      </c>
      <c r="C702" s="18"/>
      <c r="D702" s="49" t="n">
        <v>46357</v>
      </c>
      <c r="E702" s="18" t="s">
        <v>122</v>
      </c>
      <c r="F702" s="18" t="s">
        <v>119</v>
      </c>
      <c r="G702" s="18" t="s">
        <v>100</v>
      </c>
      <c r="H702" s="18" t="s">
        <v>107</v>
      </c>
      <c r="I702" s="18" t="s">
        <v>102</v>
      </c>
      <c r="J702" s="18" t="s">
        <v>233</v>
      </c>
      <c r="K702" s="18" t="s">
        <v>199</v>
      </c>
      <c r="L702" s="64" t="n">
        <v>861.8658048</v>
      </c>
      <c r="M702" s="64" t="n">
        <v>9</v>
      </c>
      <c r="N702" s="18" t="s">
        <v>892</v>
      </c>
      <c r="O702" s="65" t="n">
        <v>7756.7922</v>
      </c>
      <c r="P702" s="65"/>
      <c r="Q702" s="65"/>
      <c r="R702" s="65" t="s">
        <v>232</v>
      </c>
      <c r="S702" s="66" t="n">
        <f aca="false">Model_Calc!AG121</f>
        <v>7756.7922432</v>
      </c>
      <c r="T702" s="66" t="n">
        <f aca="false">ROUND(S702-O702,4)</f>
        <v>0</v>
      </c>
    </row>
    <row r="703" customFormat="false" ht="15" hidden="false" customHeight="false" outlineLevel="0" collapsed="false">
      <c r="A703" s="18" t="s">
        <v>193</v>
      </c>
      <c r="B703" s="18" t="s">
        <v>194</v>
      </c>
      <c r="C703" s="18"/>
      <c r="D703" s="49" t="n">
        <v>46357</v>
      </c>
      <c r="E703" s="18" t="s">
        <v>122</v>
      </c>
      <c r="F703" s="18" t="s">
        <v>119</v>
      </c>
      <c r="G703" s="18" t="s">
        <v>100</v>
      </c>
      <c r="H703" s="18" t="s">
        <v>107</v>
      </c>
      <c r="I703" s="18" t="s">
        <v>102</v>
      </c>
      <c r="J703" s="18" t="s">
        <v>235</v>
      </c>
      <c r="K703" s="18" t="s">
        <v>195</v>
      </c>
      <c r="L703" s="64" t="n">
        <v>2724.384</v>
      </c>
      <c r="M703" s="64" t="n">
        <v>7.8</v>
      </c>
      <c r="N703" s="18" t="s">
        <v>893</v>
      </c>
      <c r="O703" s="65" t="n">
        <v>21250.1952</v>
      </c>
      <c r="P703" s="65"/>
      <c r="Q703" s="65"/>
      <c r="R703" s="65" t="s">
        <v>232</v>
      </c>
      <c r="S703" s="66" t="n">
        <f aca="false">Model_Calc!AL121</f>
        <v>21250.1952</v>
      </c>
      <c r="T703" s="66" t="n">
        <f aca="false">ROUND(S703-O703,4)</f>
        <v>0</v>
      </c>
    </row>
    <row r="704" customFormat="false" ht="15" hidden="false" customHeight="false" outlineLevel="0" collapsed="false">
      <c r="A704" s="18" t="s">
        <v>193</v>
      </c>
      <c r="B704" s="18" t="s">
        <v>194</v>
      </c>
      <c r="C704" s="18"/>
      <c r="D704" s="49" t="n">
        <v>46357</v>
      </c>
      <c r="E704" s="18" t="s">
        <v>122</v>
      </c>
      <c r="F704" s="18" t="s">
        <v>119</v>
      </c>
      <c r="G704" s="18" t="s">
        <v>100</v>
      </c>
      <c r="H704" s="18" t="s">
        <v>107</v>
      </c>
      <c r="I704" s="18" t="s">
        <v>102</v>
      </c>
      <c r="J704" s="18" t="s">
        <v>237</v>
      </c>
      <c r="K704" s="18" t="s">
        <v>195</v>
      </c>
      <c r="L704" s="64" t="n">
        <v>1086.05952</v>
      </c>
      <c r="M704" s="64" t="n">
        <v>7.8</v>
      </c>
      <c r="N704" s="18" t="s">
        <v>894</v>
      </c>
      <c r="O704" s="65" t="n">
        <v>8471.2643</v>
      </c>
      <c r="P704" s="65"/>
      <c r="Q704" s="65"/>
      <c r="R704" s="65" t="s">
        <v>232</v>
      </c>
      <c r="S704" s="66" t="n">
        <f aca="false">Model_Calc!AQ121</f>
        <v>8471.264256</v>
      </c>
      <c r="T704" s="66" t="n">
        <f aca="false">ROUND(S704-O704,4)</f>
        <v>0</v>
      </c>
    </row>
    <row r="705" customFormat="false" ht="15" hidden="false" customHeight="false" outlineLevel="0" collapsed="false">
      <c r="A705" s="18" t="s">
        <v>193</v>
      </c>
      <c r="B705" s="18" t="s">
        <v>194</v>
      </c>
      <c r="C705" s="18"/>
      <c r="D705" s="49" t="n">
        <v>46357</v>
      </c>
      <c r="E705" s="18" t="s">
        <v>122</v>
      </c>
      <c r="F705" s="18" t="s">
        <v>119</v>
      </c>
      <c r="G705" s="18" t="s">
        <v>100</v>
      </c>
      <c r="H705" s="18" t="s">
        <v>107</v>
      </c>
      <c r="I705" s="18" t="s">
        <v>102</v>
      </c>
      <c r="J705" s="18" t="s">
        <v>239</v>
      </c>
      <c r="K705" s="18" t="s">
        <v>199</v>
      </c>
      <c r="L705" s="64" t="n">
        <v>886.5792</v>
      </c>
      <c r="M705" s="64" t="n">
        <v>9</v>
      </c>
      <c r="N705" s="18" t="s">
        <v>895</v>
      </c>
      <c r="O705" s="65" t="n">
        <v>7979.2128</v>
      </c>
      <c r="P705" s="65"/>
      <c r="Q705" s="65"/>
      <c r="R705" s="65" t="s">
        <v>232</v>
      </c>
      <c r="S705" s="66" t="n">
        <f aca="false">Model_Calc!AV121</f>
        <v>7979.2128</v>
      </c>
      <c r="T705" s="66" t="n">
        <f aca="false">ROUND(S705-O705,4)</f>
        <v>0</v>
      </c>
    </row>
    <row r="706" customFormat="false" ht="15" hidden="false" customHeight="false" outlineLevel="0" collapsed="false">
      <c r="A706" s="18" t="s">
        <v>193</v>
      </c>
      <c r="B706" s="18" t="s">
        <v>194</v>
      </c>
      <c r="C706" s="18"/>
      <c r="D706" s="49" t="n">
        <v>46357</v>
      </c>
      <c r="E706" s="18" t="s">
        <v>122</v>
      </c>
      <c r="F706" s="18" t="s">
        <v>119</v>
      </c>
      <c r="G706" s="18" t="s">
        <v>100</v>
      </c>
      <c r="H706" s="18" t="s">
        <v>107</v>
      </c>
      <c r="I706" s="18" t="s">
        <v>102</v>
      </c>
      <c r="J706" s="18" t="s">
        <v>241</v>
      </c>
      <c r="K706" s="18" t="s">
        <v>199</v>
      </c>
      <c r="L706" s="64" t="n">
        <v>101.1069696</v>
      </c>
      <c r="M706" s="64" t="n">
        <v>9</v>
      </c>
      <c r="N706" s="18" t="s">
        <v>896</v>
      </c>
      <c r="O706" s="65" t="n">
        <v>909.9627</v>
      </c>
      <c r="P706" s="65"/>
      <c r="Q706" s="65"/>
      <c r="R706" s="65" t="s">
        <v>232</v>
      </c>
      <c r="S706" s="66" t="n">
        <f aca="false">Model_Calc!BA121</f>
        <v>909.9627264</v>
      </c>
      <c r="T706" s="66" t="n">
        <f aca="false">ROUND(S706-O706,4)</f>
        <v>0</v>
      </c>
    </row>
    <row r="707" customFormat="false" ht="15" hidden="false" customHeight="false" outlineLevel="0" collapsed="false">
      <c r="A707" s="18" t="s">
        <v>193</v>
      </c>
      <c r="B707" s="18" t="s">
        <v>194</v>
      </c>
      <c r="C707" s="18"/>
      <c r="D707" s="49" t="n">
        <v>46357</v>
      </c>
      <c r="E707" s="18" t="s">
        <v>124</v>
      </c>
      <c r="F707" s="18" t="s">
        <v>119</v>
      </c>
      <c r="G707" s="18" t="s">
        <v>100</v>
      </c>
      <c r="H707" s="18" t="s">
        <v>107</v>
      </c>
      <c r="I707" s="18" t="s">
        <v>125</v>
      </c>
      <c r="J707" s="18" t="s">
        <v>230</v>
      </c>
      <c r="K707" s="18" t="s">
        <v>199</v>
      </c>
      <c r="L707" s="64" t="n">
        <v>4261.9002875904</v>
      </c>
      <c r="M707" s="64" t="n">
        <v>9</v>
      </c>
      <c r="N707" s="18" t="s">
        <v>897</v>
      </c>
      <c r="O707" s="65" t="n">
        <v>38357.1026</v>
      </c>
      <c r="P707" s="65"/>
      <c r="Q707" s="65"/>
      <c r="R707" s="65" t="s">
        <v>232</v>
      </c>
      <c r="S707" s="66" t="n">
        <f aca="false">Model_Calc!AF122</f>
        <v>38357.1025883136</v>
      </c>
      <c r="T707" s="66" t="n">
        <f aca="false">ROUND(S707-O707,4)</f>
        <v>0</v>
      </c>
    </row>
    <row r="708" customFormat="false" ht="15" hidden="false" customHeight="false" outlineLevel="0" collapsed="false">
      <c r="A708" s="18" t="s">
        <v>193</v>
      </c>
      <c r="B708" s="18" t="s">
        <v>194</v>
      </c>
      <c r="C708" s="18"/>
      <c r="D708" s="49" t="n">
        <v>46357</v>
      </c>
      <c r="E708" s="18" t="s">
        <v>124</v>
      </c>
      <c r="F708" s="18" t="s">
        <v>119</v>
      </c>
      <c r="G708" s="18" t="s">
        <v>100</v>
      </c>
      <c r="H708" s="18" t="s">
        <v>107</v>
      </c>
      <c r="I708" s="18" t="s">
        <v>125</v>
      </c>
      <c r="J708" s="18" t="s">
        <v>233</v>
      </c>
      <c r="K708" s="18" t="s">
        <v>199</v>
      </c>
      <c r="L708" s="64" t="n">
        <v>490.118533072896</v>
      </c>
      <c r="M708" s="64" t="n">
        <v>9</v>
      </c>
      <c r="N708" s="18" t="s">
        <v>898</v>
      </c>
      <c r="O708" s="65" t="n">
        <v>4411.0668</v>
      </c>
      <c r="P708" s="65"/>
      <c r="Q708" s="65"/>
      <c r="R708" s="65" t="s">
        <v>232</v>
      </c>
      <c r="S708" s="66" t="n">
        <f aca="false">Model_Calc!AG122</f>
        <v>4411.06679765607</v>
      </c>
      <c r="T708" s="66" t="n">
        <f aca="false">ROUND(S708-O708,4)</f>
        <v>0</v>
      </c>
    </row>
    <row r="709" customFormat="false" ht="15" hidden="false" customHeight="false" outlineLevel="0" collapsed="false">
      <c r="A709" s="18" t="s">
        <v>193</v>
      </c>
      <c r="B709" s="18" t="s">
        <v>194</v>
      </c>
      <c r="C709" s="18"/>
      <c r="D709" s="49" t="n">
        <v>46357</v>
      </c>
      <c r="E709" s="18" t="s">
        <v>124</v>
      </c>
      <c r="F709" s="18" t="s">
        <v>119</v>
      </c>
      <c r="G709" s="18" t="s">
        <v>100</v>
      </c>
      <c r="H709" s="18" t="s">
        <v>107</v>
      </c>
      <c r="I709" s="18" t="s">
        <v>125</v>
      </c>
      <c r="J709" s="18" t="s">
        <v>235</v>
      </c>
      <c r="K709" s="18" t="s">
        <v>195</v>
      </c>
      <c r="L709" s="64" t="n">
        <v>762.82752</v>
      </c>
      <c r="M709" s="64" t="n">
        <v>7.8</v>
      </c>
      <c r="N709" s="18" t="s">
        <v>899</v>
      </c>
      <c r="O709" s="65" t="n">
        <v>5950.0547</v>
      </c>
      <c r="P709" s="65"/>
      <c r="Q709" s="65"/>
      <c r="R709" s="65" t="s">
        <v>232</v>
      </c>
      <c r="S709" s="66" t="n">
        <f aca="false">Model_Calc!AL122</f>
        <v>5950.054656</v>
      </c>
      <c r="T709" s="66" t="n">
        <f aca="false">ROUND(S709-O709,4)</f>
        <v>0</v>
      </c>
    </row>
    <row r="710" customFormat="false" ht="15" hidden="false" customHeight="false" outlineLevel="0" collapsed="false">
      <c r="A710" s="18" t="s">
        <v>193</v>
      </c>
      <c r="B710" s="18" t="s">
        <v>194</v>
      </c>
      <c r="C710" s="18"/>
      <c r="D710" s="49" t="n">
        <v>46357</v>
      </c>
      <c r="E710" s="18" t="s">
        <v>124</v>
      </c>
      <c r="F710" s="18" t="s">
        <v>119</v>
      </c>
      <c r="G710" s="18" t="s">
        <v>100</v>
      </c>
      <c r="H710" s="18" t="s">
        <v>107</v>
      </c>
      <c r="I710" s="18" t="s">
        <v>125</v>
      </c>
      <c r="J710" s="18" t="s">
        <v>237</v>
      </c>
      <c r="K710" s="18" t="s">
        <v>195</v>
      </c>
      <c r="L710" s="64" t="n">
        <v>304.0966656</v>
      </c>
      <c r="M710" s="64" t="n">
        <v>7.8</v>
      </c>
      <c r="N710" s="18" t="s">
        <v>900</v>
      </c>
      <c r="O710" s="65" t="n">
        <v>2371.954</v>
      </c>
      <c r="P710" s="65"/>
      <c r="Q710" s="65"/>
      <c r="R710" s="65" t="s">
        <v>232</v>
      </c>
      <c r="S710" s="66" t="n">
        <f aca="false">Model_Calc!AQ122</f>
        <v>2371.95399168</v>
      </c>
      <c r="T710" s="66" t="n">
        <f aca="false">ROUND(S710-O710,4)</f>
        <v>0</v>
      </c>
    </row>
    <row r="711" customFormat="false" ht="15" hidden="false" customHeight="false" outlineLevel="0" collapsed="false">
      <c r="A711" s="18" t="s">
        <v>193</v>
      </c>
      <c r="B711" s="18" t="s">
        <v>194</v>
      </c>
      <c r="C711" s="18"/>
      <c r="D711" s="49" t="n">
        <v>46357</v>
      </c>
      <c r="E711" s="18" t="s">
        <v>124</v>
      </c>
      <c r="F711" s="18" t="s">
        <v>119</v>
      </c>
      <c r="G711" s="18" t="s">
        <v>100</v>
      </c>
      <c r="H711" s="18" t="s">
        <v>107</v>
      </c>
      <c r="I711" s="18" t="s">
        <v>125</v>
      </c>
      <c r="J711" s="18" t="s">
        <v>239</v>
      </c>
      <c r="K711" s="18" t="s">
        <v>199</v>
      </c>
      <c r="L711" s="64" t="n">
        <v>248.242176</v>
      </c>
      <c r="M711" s="64" t="n">
        <v>9</v>
      </c>
      <c r="N711" s="18" t="s">
        <v>901</v>
      </c>
      <c r="O711" s="65" t="n">
        <v>2234.1796</v>
      </c>
      <c r="P711" s="65"/>
      <c r="Q711" s="65"/>
      <c r="R711" s="65" t="s">
        <v>232</v>
      </c>
      <c r="S711" s="66" t="n">
        <f aca="false">Model_Calc!AV122</f>
        <v>2234.179584</v>
      </c>
      <c r="T711" s="66" t="n">
        <f aca="false">ROUND(S711-O711,4)</f>
        <v>0</v>
      </c>
    </row>
    <row r="712" customFormat="false" ht="15" hidden="false" customHeight="false" outlineLevel="0" collapsed="false">
      <c r="A712" s="18" t="s">
        <v>193</v>
      </c>
      <c r="B712" s="18" t="s">
        <v>194</v>
      </c>
      <c r="C712" s="18"/>
      <c r="D712" s="49" t="n">
        <v>46357</v>
      </c>
      <c r="E712" s="18" t="s">
        <v>124</v>
      </c>
      <c r="F712" s="18" t="s">
        <v>119</v>
      </c>
      <c r="G712" s="18" t="s">
        <v>100</v>
      </c>
      <c r="H712" s="18" t="s">
        <v>107</v>
      </c>
      <c r="I712" s="18" t="s">
        <v>125</v>
      </c>
      <c r="J712" s="18" t="s">
        <v>241</v>
      </c>
      <c r="K712" s="18" t="s">
        <v>199</v>
      </c>
      <c r="L712" s="64" t="n">
        <v>26.355044352</v>
      </c>
      <c r="M712" s="64" t="n">
        <v>9</v>
      </c>
      <c r="N712" s="18" t="s">
        <v>902</v>
      </c>
      <c r="O712" s="65" t="n">
        <v>237.1954</v>
      </c>
      <c r="P712" s="65"/>
      <c r="Q712" s="65"/>
      <c r="R712" s="65" t="s">
        <v>232</v>
      </c>
      <c r="S712" s="66" t="n">
        <f aca="false">Model_Calc!BA122</f>
        <v>237.195399168</v>
      </c>
      <c r="T712" s="66" t="n">
        <f aca="false">ROUND(S712-O712,4)</f>
        <v>0</v>
      </c>
    </row>
    <row r="713" customFormat="false" ht="15" hidden="false" customHeight="false" outlineLevel="0" collapsed="false">
      <c r="A713" s="18" t="s">
        <v>193</v>
      </c>
      <c r="B713" s="18" t="s">
        <v>194</v>
      </c>
      <c r="C713" s="18"/>
      <c r="D713" s="49" t="n">
        <v>46357</v>
      </c>
      <c r="E713" s="18" t="s">
        <v>127</v>
      </c>
      <c r="F713" s="18" t="s">
        <v>119</v>
      </c>
      <c r="G713" s="18" t="s">
        <v>100</v>
      </c>
      <c r="H713" s="18" t="s">
        <v>128</v>
      </c>
      <c r="I713" s="18" t="s">
        <v>125</v>
      </c>
      <c r="J713" s="18" t="s">
        <v>230</v>
      </c>
      <c r="K713" s="18" t="s">
        <v>199</v>
      </c>
      <c r="L713" s="64" t="n">
        <v>2162.49965568</v>
      </c>
      <c r="M713" s="64" t="n">
        <v>9</v>
      </c>
      <c r="N713" s="18" t="s">
        <v>903</v>
      </c>
      <c r="O713" s="65" t="n">
        <v>19462.4969</v>
      </c>
      <c r="P713" s="65"/>
      <c r="Q713" s="65"/>
      <c r="R713" s="65" t="s">
        <v>232</v>
      </c>
      <c r="S713" s="66" t="n">
        <f aca="false">Model_Calc!AF123</f>
        <v>19462.49690112</v>
      </c>
      <c r="T713" s="66" t="n">
        <f aca="false">ROUND(S713-O713,4)</f>
        <v>0</v>
      </c>
    </row>
    <row r="714" customFormat="false" ht="15" hidden="false" customHeight="false" outlineLevel="0" collapsed="false">
      <c r="A714" s="18" t="s">
        <v>193</v>
      </c>
      <c r="B714" s="18" t="s">
        <v>194</v>
      </c>
      <c r="C714" s="18"/>
      <c r="D714" s="49" t="n">
        <v>46357</v>
      </c>
      <c r="E714" s="18" t="s">
        <v>127</v>
      </c>
      <c r="F714" s="18" t="s">
        <v>119</v>
      </c>
      <c r="G714" s="18" t="s">
        <v>100</v>
      </c>
      <c r="H714" s="18" t="s">
        <v>128</v>
      </c>
      <c r="I714" s="18" t="s">
        <v>125</v>
      </c>
      <c r="J714" s="18" t="s">
        <v>233</v>
      </c>
      <c r="K714" s="18" t="s">
        <v>199</v>
      </c>
      <c r="L714" s="64" t="n">
        <v>167.23330670592</v>
      </c>
      <c r="M714" s="64" t="n">
        <v>9</v>
      </c>
      <c r="N714" s="18" t="s">
        <v>904</v>
      </c>
      <c r="O714" s="65" t="n">
        <v>1505.0998</v>
      </c>
      <c r="P714" s="65"/>
      <c r="Q714" s="65"/>
      <c r="R714" s="65" t="s">
        <v>232</v>
      </c>
      <c r="S714" s="66" t="n">
        <f aca="false">Model_Calc!AG123</f>
        <v>1505.09976035328</v>
      </c>
      <c r="T714" s="66" t="n">
        <f aca="false">ROUND(S714-O714,4)</f>
        <v>0</v>
      </c>
    </row>
    <row r="715" customFormat="false" ht="15" hidden="false" customHeight="false" outlineLevel="0" collapsed="false">
      <c r="A715" s="18" t="s">
        <v>193</v>
      </c>
      <c r="B715" s="18" t="s">
        <v>194</v>
      </c>
      <c r="C715" s="18"/>
      <c r="D715" s="49" t="n">
        <v>46357</v>
      </c>
      <c r="E715" s="18" t="s">
        <v>127</v>
      </c>
      <c r="F715" s="18" t="s">
        <v>119</v>
      </c>
      <c r="G715" s="18" t="s">
        <v>100</v>
      </c>
      <c r="H715" s="18" t="s">
        <v>128</v>
      </c>
      <c r="I715" s="18" t="s">
        <v>125</v>
      </c>
      <c r="J715" s="18" t="s">
        <v>235</v>
      </c>
      <c r="K715" s="18" t="s">
        <v>195</v>
      </c>
      <c r="L715" s="64" t="n">
        <v>326.92608</v>
      </c>
      <c r="M715" s="64" t="n">
        <v>7.8</v>
      </c>
      <c r="N715" s="18" t="s">
        <v>905</v>
      </c>
      <c r="O715" s="65" t="n">
        <v>2550.0234</v>
      </c>
      <c r="P715" s="65"/>
      <c r="Q715" s="65"/>
      <c r="R715" s="65" t="s">
        <v>232</v>
      </c>
      <c r="S715" s="66" t="n">
        <f aca="false">Model_Calc!AL123</f>
        <v>2550.023424</v>
      </c>
      <c r="T715" s="66" t="n">
        <f aca="false">ROUND(S715-O715,4)</f>
        <v>0</v>
      </c>
    </row>
    <row r="716" customFormat="false" ht="15" hidden="false" customHeight="false" outlineLevel="0" collapsed="false">
      <c r="A716" s="18" t="s">
        <v>193</v>
      </c>
      <c r="B716" s="18" t="s">
        <v>194</v>
      </c>
      <c r="C716" s="18"/>
      <c r="D716" s="49" t="n">
        <v>46357</v>
      </c>
      <c r="E716" s="18" t="s">
        <v>127</v>
      </c>
      <c r="F716" s="18" t="s">
        <v>119</v>
      </c>
      <c r="G716" s="18" t="s">
        <v>100</v>
      </c>
      <c r="H716" s="18" t="s">
        <v>128</v>
      </c>
      <c r="I716" s="18" t="s">
        <v>125</v>
      </c>
      <c r="J716" s="18" t="s">
        <v>237</v>
      </c>
      <c r="K716" s="18" t="s">
        <v>195</v>
      </c>
      <c r="L716" s="64" t="n">
        <v>130.3271424</v>
      </c>
      <c r="M716" s="64" t="n">
        <v>7.8</v>
      </c>
      <c r="N716" s="18" t="s">
        <v>906</v>
      </c>
      <c r="O716" s="65" t="n">
        <v>1016.5517</v>
      </c>
      <c r="P716" s="65"/>
      <c r="Q716" s="65"/>
      <c r="R716" s="65" t="s">
        <v>232</v>
      </c>
      <c r="S716" s="66" t="n">
        <f aca="false">Model_Calc!AQ123</f>
        <v>1016.55171072</v>
      </c>
      <c r="T716" s="66" t="n">
        <f aca="false">ROUND(S716-O716,4)</f>
        <v>0</v>
      </c>
    </row>
    <row r="717" customFormat="false" ht="15" hidden="false" customHeight="false" outlineLevel="0" collapsed="false">
      <c r="A717" s="18" t="s">
        <v>193</v>
      </c>
      <c r="B717" s="18" t="s">
        <v>194</v>
      </c>
      <c r="C717" s="18"/>
      <c r="D717" s="49" t="n">
        <v>46357</v>
      </c>
      <c r="E717" s="18" t="s">
        <v>127</v>
      </c>
      <c r="F717" s="18" t="s">
        <v>119</v>
      </c>
      <c r="G717" s="18" t="s">
        <v>100</v>
      </c>
      <c r="H717" s="18" t="s">
        <v>128</v>
      </c>
      <c r="I717" s="18" t="s">
        <v>125</v>
      </c>
      <c r="J717" s="18" t="s">
        <v>239</v>
      </c>
      <c r="K717" s="18" t="s">
        <v>199</v>
      </c>
      <c r="L717" s="64" t="n">
        <v>106.389504</v>
      </c>
      <c r="M717" s="64" t="n">
        <v>9</v>
      </c>
      <c r="N717" s="18" t="s">
        <v>907</v>
      </c>
      <c r="O717" s="65" t="n">
        <v>957.5055</v>
      </c>
      <c r="P717" s="65"/>
      <c r="Q717" s="65"/>
      <c r="R717" s="65" t="s">
        <v>232</v>
      </c>
      <c r="S717" s="66" t="n">
        <f aca="false">Model_Calc!AV123</f>
        <v>957.505536</v>
      </c>
      <c r="T717" s="66" t="n">
        <f aca="false">ROUND(S717-O717,4)</f>
        <v>0</v>
      </c>
    </row>
    <row r="718" customFormat="false" ht="15" hidden="false" customHeight="false" outlineLevel="0" collapsed="false">
      <c r="A718" s="18" t="s">
        <v>193</v>
      </c>
      <c r="B718" s="18" t="s">
        <v>194</v>
      </c>
      <c r="C718" s="18"/>
      <c r="D718" s="49" t="n">
        <v>46357</v>
      </c>
      <c r="E718" s="18" t="s">
        <v>127</v>
      </c>
      <c r="F718" s="18" t="s">
        <v>119</v>
      </c>
      <c r="G718" s="18" t="s">
        <v>100</v>
      </c>
      <c r="H718" s="18" t="s">
        <v>128</v>
      </c>
      <c r="I718" s="18" t="s">
        <v>125</v>
      </c>
      <c r="J718" s="18" t="s">
        <v>241</v>
      </c>
      <c r="K718" s="18" t="s">
        <v>199</v>
      </c>
      <c r="L718" s="64" t="n">
        <v>10.053808128</v>
      </c>
      <c r="M718" s="64" t="n">
        <v>9</v>
      </c>
      <c r="N718" s="18" t="s">
        <v>908</v>
      </c>
      <c r="O718" s="65" t="n">
        <v>90.4843</v>
      </c>
      <c r="P718" s="65"/>
      <c r="Q718" s="65"/>
      <c r="R718" s="65" t="s">
        <v>232</v>
      </c>
      <c r="S718" s="66" t="n">
        <f aca="false">Model_Calc!BA123</f>
        <v>90.484273152</v>
      </c>
      <c r="T718" s="66" t="n">
        <f aca="false">ROUND(S718-O718,4)</f>
        <v>0</v>
      </c>
    </row>
    <row r="719" customFormat="false" ht="15" hidden="false" customHeight="false" outlineLevel="0" collapsed="false">
      <c r="A719" s="18" t="s">
        <v>193</v>
      </c>
      <c r="B719" s="18" t="s">
        <v>194</v>
      </c>
      <c r="C719" s="18"/>
      <c r="D719" s="49" t="n">
        <v>46357</v>
      </c>
      <c r="E719" s="18" t="s">
        <v>130</v>
      </c>
      <c r="F719" s="18" t="s">
        <v>119</v>
      </c>
      <c r="G719" s="18" t="s">
        <v>110</v>
      </c>
      <c r="H719" s="18" t="s">
        <v>107</v>
      </c>
      <c r="I719" s="18" t="s">
        <v>125</v>
      </c>
      <c r="J719" s="18" t="s">
        <v>230</v>
      </c>
      <c r="K719" s="18" t="s">
        <v>195</v>
      </c>
      <c r="L719" s="64" t="n">
        <v>2695.079556</v>
      </c>
      <c r="M719" s="64" t="n">
        <v>7.8</v>
      </c>
      <c r="N719" s="18" t="s">
        <v>909</v>
      </c>
      <c r="O719" s="65" t="n">
        <v>21021.6205</v>
      </c>
      <c r="P719" s="65"/>
      <c r="Q719" s="65"/>
      <c r="R719" s="65" t="s">
        <v>232</v>
      </c>
      <c r="S719" s="66" t="n">
        <f aca="false">Model_Calc!AF124</f>
        <v>21021.6205368</v>
      </c>
      <c r="T719" s="66" t="n">
        <f aca="false">ROUND(S719-O719,4)</f>
        <v>0</v>
      </c>
    </row>
    <row r="720" customFormat="false" ht="15" hidden="false" customHeight="false" outlineLevel="0" collapsed="false">
      <c r="A720" s="18" t="s">
        <v>193</v>
      </c>
      <c r="B720" s="18" t="s">
        <v>194</v>
      </c>
      <c r="C720" s="18"/>
      <c r="D720" s="49" t="n">
        <v>46357</v>
      </c>
      <c r="E720" s="18" t="s">
        <v>130</v>
      </c>
      <c r="F720" s="18" t="s">
        <v>119</v>
      </c>
      <c r="G720" s="18" t="s">
        <v>110</v>
      </c>
      <c r="H720" s="18" t="s">
        <v>107</v>
      </c>
      <c r="I720" s="18" t="s">
        <v>125</v>
      </c>
      <c r="J720" s="18" t="s">
        <v>233</v>
      </c>
      <c r="K720" s="18" t="s">
        <v>195</v>
      </c>
      <c r="L720" s="64" t="n">
        <v>282.98335338</v>
      </c>
      <c r="M720" s="64" t="n">
        <v>7.8</v>
      </c>
      <c r="N720" s="18" t="s">
        <v>910</v>
      </c>
      <c r="O720" s="65" t="n">
        <v>2207.2702</v>
      </c>
      <c r="P720" s="65"/>
      <c r="Q720" s="65"/>
      <c r="R720" s="65" t="s">
        <v>232</v>
      </c>
      <c r="S720" s="66" t="n">
        <f aca="false">Model_Calc!AG124</f>
        <v>2207.270156364</v>
      </c>
      <c r="T720" s="66" t="n">
        <f aca="false">ROUND(S720-O720,4)</f>
        <v>0</v>
      </c>
    </row>
    <row r="721" customFormat="false" ht="15" hidden="false" customHeight="false" outlineLevel="0" collapsed="false">
      <c r="A721" s="18" t="s">
        <v>193</v>
      </c>
      <c r="B721" s="18" t="s">
        <v>194</v>
      </c>
      <c r="C721" s="18"/>
      <c r="D721" s="49" t="n">
        <v>46357</v>
      </c>
      <c r="E721" s="18" t="s">
        <v>130</v>
      </c>
      <c r="F721" s="18" t="s">
        <v>119</v>
      </c>
      <c r="G721" s="18" t="s">
        <v>110</v>
      </c>
      <c r="H721" s="18" t="s">
        <v>107</v>
      </c>
      <c r="I721" s="18" t="s">
        <v>125</v>
      </c>
      <c r="J721" s="18" t="s">
        <v>235</v>
      </c>
      <c r="K721" s="18" t="s">
        <v>195</v>
      </c>
      <c r="L721" s="64" t="n">
        <v>404.04</v>
      </c>
      <c r="M721" s="64" t="n">
        <v>7.8</v>
      </c>
      <c r="N721" s="18" t="s">
        <v>911</v>
      </c>
      <c r="O721" s="65" t="n">
        <v>3151.512</v>
      </c>
      <c r="P721" s="65"/>
      <c r="Q721" s="65"/>
      <c r="R721" s="65" t="s">
        <v>232</v>
      </c>
      <c r="S721" s="66" t="n">
        <f aca="false">Model_Calc!AL124</f>
        <v>3151.512</v>
      </c>
      <c r="T721" s="66" t="n">
        <f aca="false">ROUND(S721-O721,4)</f>
        <v>0</v>
      </c>
    </row>
    <row r="722" customFormat="false" ht="15" hidden="false" customHeight="false" outlineLevel="0" collapsed="false">
      <c r="A722" s="18" t="s">
        <v>193</v>
      </c>
      <c r="B722" s="18" t="s">
        <v>194</v>
      </c>
      <c r="C722" s="18"/>
      <c r="D722" s="49" t="n">
        <v>46357</v>
      </c>
      <c r="E722" s="18" t="s">
        <v>130</v>
      </c>
      <c r="F722" s="18" t="s">
        <v>119</v>
      </c>
      <c r="G722" s="18" t="s">
        <v>110</v>
      </c>
      <c r="H722" s="18" t="s">
        <v>107</v>
      </c>
      <c r="I722" s="18" t="s">
        <v>125</v>
      </c>
      <c r="J722" s="18" t="s">
        <v>237</v>
      </c>
      <c r="K722" s="18" t="s">
        <v>195</v>
      </c>
      <c r="L722" s="64" t="n">
        <v>168.1576</v>
      </c>
      <c r="M722" s="64" t="n">
        <v>7.8</v>
      </c>
      <c r="N722" s="18" t="s">
        <v>912</v>
      </c>
      <c r="O722" s="65" t="n">
        <v>1311.6293</v>
      </c>
      <c r="P722" s="65"/>
      <c r="Q722" s="65"/>
      <c r="R722" s="65" t="s">
        <v>232</v>
      </c>
      <c r="S722" s="66" t="n">
        <f aca="false">Model_Calc!AQ124</f>
        <v>1311.62928</v>
      </c>
      <c r="T722" s="66" t="n">
        <f aca="false">ROUND(S722-O722,4)</f>
        <v>0</v>
      </c>
    </row>
    <row r="723" customFormat="false" ht="15" hidden="false" customHeight="false" outlineLevel="0" collapsed="false">
      <c r="A723" s="18" t="s">
        <v>193</v>
      </c>
      <c r="B723" s="18" t="s">
        <v>194</v>
      </c>
      <c r="C723" s="18"/>
      <c r="D723" s="49" t="n">
        <v>46357</v>
      </c>
      <c r="E723" s="18" t="s">
        <v>130</v>
      </c>
      <c r="F723" s="18" t="s">
        <v>119</v>
      </c>
      <c r="G723" s="18" t="s">
        <v>110</v>
      </c>
      <c r="H723" s="18" t="s">
        <v>107</v>
      </c>
      <c r="I723" s="18" t="s">
        <v>125</v>
      </c>
      <c r="J723" s="18" t="s">
        <v>239</v>
      </c>
      <c r="K723" s="18" t="s">
        <v>195</v>
      </c>
      <c r="L723" s="64" t="n">
        <v>160.0768</v>
      </c>
      <c r="M723" s="64" t="n">
        <v>7.8</v>
      </c>
      <c r="N723" s="18" t="s">
        <v>913</v>
      </c>
      <c r="O723" s="65" t="n">
        <v>1248.599</v>
      </c>
      <c r="P723" s="65"/>
      <c r="Q723" s="65"/>
      <c r="R723" s="65" t="s">
        <v>232</v>
      </c>
      <c r="S723" s="66" t="n">
        <f aca="false">Model_Calc!AV124</f>
        <v>1248.59904</v>
      </c>
      <c r="T723" s="66" t="n">
        <f aca="false">ROUND(S723-O723,4)</f>
        <v>0</v>
      </c>
    </row>
    <row r="724" customFormat="false" ht="15" hidden="false" customHeight="false" outlineLevel="0" collapsed="false">
      <c r="A724" s="18" t="s">
        <v>193</v>
      </c>
      <c r="B724" s="18" t="s">
        <v>194</v>
      </c>
      <c r="C724" s="18"/>
      <c r="D724" s="49" t="n">
        <v>46357</v>
      </c>
      <c r="E724" s="18" t="s">
        <v>130</v>
      </c>
      <c r="F724" s="18" t="s">
        <v>119</v>
      </c>
      <c r="G724" s="18" t="s">
        <v>110</v>
      </c>
      <c r="H724" s="18" t="s">
        <v>107</v>
      </c>
      <c r="I724" s="18" t="s">
        <v>125</v>
      </c>
      <c r="J724" s="18" t="s">
        <v>241</v>
      </c>
      <c r="K724" s="18" t="s">
        <v>195</v>
      </c>
      <c r="L724" s="64" t="n">
        <v>14.868672</v>
      </c>
      <c r="M724" s="64" t="n">
        <v>7.8</v>
      </c>
      <c r="N724" s="18" t="s">
        <v>914</v>
      </c>
      <c r="O724" s="65" t="n">
        <v>115.9756</v>
      </c>
      <c r="P724" s="65"/>
      <c r="Q724" s="65"/>
      <c r="R724" s="65" t="s">
        <v>232</v>
      </c>
      <c r="S724" s="66" t="n">
        <f aca="false">Model_Calc!BA124</f>
        <v>115.9756416</v>
      </c>
      <c r="T724" s="66" t="n">
        <f aca="false">ROUND(S724-O724,4)</f>
        <v>0</v>
      </c>
    </row>
    <row r="725" customFormat="false" ht="15" hidden="false" customHeight="false" outlineLevel="0" collapsed="false">
      <c r="A725" s="18" t="s">
        <v>200</v>
      </c>
      <c r="B725" s="18" t="s">
        <v>201</v>
      </c>
      <c r="C725" s="18"/>
      <c r="D725" s="49" t="n">
        <v>46023</v>
      </c>
      <c r="E725" s="18" t="s">
        <v>98</v>
      </c>
      <c r="F725" s="18" t="s">
        <v>99</v>
      </c>
      <c r="G725" s="18" t="s">
        <v>100</v>
      </c>
      <c r="H725" s="18" t="s">
        <v>101</v>
      </c>
      <c r="I725" s="18" t="s">
        <v>102</v>
      </c>
      <c r="J725" s="18" t="s">
        <v>230</v>
      </c>
      <c r="K725" s="18" t="s">
        <v>195</v>
      </c>
      <c r="L725" s="64" t="n">
        <v>6157.36955153781</v>
      </c>
      <c r="M725" s="64" t="n">
        <v>7.78</v>
      </c>
      <c r="N725" s="18" t="s">
        <v>915</v>
      </c>
      <c r="O725" s="65" t="n">
        <v>47904.3351</v>
      </c>
      <c r="P725" s="65" t="n">
        <v>47904.3351</v>
      </c>
      <c r="Q725" s="65" t="n">
        <v>0</v>
      </c>
      <c r="R725" s="65" t="s">
        <v>232</v>
      </c>
      <c r="S725" s="66" t="n">
        <f aca="false">Model_Calc!AF125</f>
        <v>47904.3351109641</v>
      </c>
      <c r="T725" s="66" t="n">
        <f aca="false">ROUND(S725-O725,4)</f>
        <v>0</v>
      </c>
    </row>
    <row r="726" customFormat="false" ht="15" hidden="false" customHeight="false" outlineLevel="0" collapsed="false">
      <c r="A726" s="18" t="s">
        <v>200</v>
      </c>
      <c r="B726" s="18" t="s">
        <v>201</v>
      </c>
      <c r="C726" s="18"/>
      <c r="D726" s="49" t="n">
        <v>46023</v>
      </c>
      <c r="E726" s="18" t="s">
        <v>98</v>
      </c>
      <c r="F726" s="18" t="s">
        <v>99</v>
      </c>
      <c r="G726" s="18" t="s">
        <v>100</v>
      </c>
      <c r="H726" s="18" t="s">
        <v>101</v>
      </c>
      <c r="I726" s="18" t="s">
        <v>102</v>
      </c>
      <c r="J726" s="18" t="s">
        <v>233</v>
      </c>
      <c r="K726" s="18" t="s">
        <v>195</v>
      </c>
      <c r="L726" s="64" t="n">
        <v>586.120007610884</v>
      </c>
      <c r="M726" s="64" t="n">
        <v>7.78</v>
      </c>
      <c r="N726" s="18" t="s">
        <v>916</v>
      </c>
      <c r="O726" s="65" t="n">
        <v>4560.0137</v>
      </c>
      <c r="P726" s="65" t="n">
        <v>4560.0137</v>
      </c>
      <c r="Q726" s="65" t="n">
        <v>0</v>
      </c>
      <c r="R726" s="65" t="s">
        <v>232</v>
      </c>
      <c r="S726" s="66" t="n">
        <f aca="false">Model_Calc!AG125</f>
        <v>4560.01365921268</v>
      </c>
      <c r="T726" s="66" t="n">
        <f aca="false">ROUND(S726-O726,4)</f>
        <v>0</v>
      </c>
    </row>
    <row r="727" customFormat="false" ht="15" hidden="false" customHeight="false" outlineLevel="0" collapsed="false">
      <c r="A727" s="18" t="s">
        <v>200</v>
      </c>
      <c r="B727" s="18" t="s">
        <v>201</v>
      </c>
      <c r="C727" s="18"/>
      <c r="D727" s="49" t="n">
        <v>46023</v>
      </c>
      <c r="E727" s="18" t="s">
        <v>98</v>
      </c>
      <c r="F727" s="18" t="s">
        <v>99</v>
      </c>
      <c r="G727" s="18" t="s">
        <v>100</v>
      </c>
      <c r="H727" s="18" t="s">
        <v>101</v>
      </c>
      <c r="I727" s="18" t="s">
        <v>102</v>
      </c>
      <c r="J727" s="18" t="s">
        <v>235</v>
      </c>
      <c r="K727" s="18" t="s">
        <v>195</v>
      </c>
      <c r="L727" s="64" t="n">
        <v>4012.403335092</v>
      </c>
      <c r="M727" s="64" t="n">
        <v>7.78</v>
      </c>
      <c r="N727" s="18" t="s">
        <v>917</v>
      </c>
      <c r="O727" s="65" t="n">
        <v>31216.4979</v>
      </c>
      <c r="P727" s="65" t="n">
        <v>31216.4979</v>
      </c>
      <c r="Q727" s="65" t="n">
        <v>0</v>
      </c>
      <c r="R727" s="65" t="s">
        <v>232</v>
      </c>
      <c r="S727" s="66" t="n">
        <f aca="false">Model_Calc!AL125</f>
        <v>31216.4979470158</v>
      </c>
      <c r="T727" s="66" t="n">
        <f aca="false">ROUND(S727-O727,4)</f>
        <v>0</v>
      </c>
    </row>
    <row r="728" customFormat="false" ht="15" hidden="false" customHeight="false" outlineLevel="0" collapsed="false">
      <c r="A728" s="18" t="s">
        <v>200</v>
      </c>
      <c r="B728" s="18" t="s">
        <v>201</v>
      </c>
      <c r="C728" s="18"/>
      <c r="D728" s="49" t="n">
        <v>46023</v>
      </c>
      <c r="E728" s="18" t="s">
        <v>98</v>
      </c>
      <c r="F728" s="18" t="s">
        <v>99</v>
      </c>
      <c r="G728" s="18" t="s">
        <v>100</v>
      </c>
      <c r="H728" s="18" t="s">
        <v>101</v>
      </c>
      <c r="I728" s="18" t="s">
        <v>102</v>
      </c>
      <c r="J728" s="18" t="s">
        <v>237</v>
      </c>
      <c r="K728" s="18" t="s">
        <v>195</v>
      </c>
      <c r="L728" s="64" t="n">
        <v>1499.5507379454</v>
      </c>
      <c r="M728" s="64" t="n">
        <v>7.78</v>
      </c>
      <c r="N728" s="18" t="s">
        <v>918</v>
      </c>
      <c r="O728" s="65" t="n">
        <v>11666.5047</v>
      </c>
      <c r="P728" s="65" t="n">
        <v>11666.5047</v>
      </c>
      <c r="Q728" s="65" t="n">
        <v>0</v>
      </c>
      <c r="R728" s="65" t="s">
        <v>232</v>
      </c>
      <c r="S728" s="66" t="n">
        <f aca="false">Model_Calc!AQ125</f>
        <v>11666.5047412152</v>
      </c>
      <c r="T728" s="66" t="n">
        <f aca="false">ROUND(S728-O728,4)</f>
        <v>0</v>
      </c>
    </row>
    <row r="729" customFormat="false" ht="15" hidden="false" customHeight="false" outlineLevel="0" collapsed="false">
      <c r="A729" s="18" t="s">
        <v>200</v>
      </c>
      <c r="B729" s="18" t="s">
        <v>201</v>
      </c>
      <c r="C729" s="18"/>
      <c r="D729" s="49" t="n">
        <v>46023</v>
      </c>
      <c r="E729" s="18" t="s">
        <v>98</v>
      </c>
      <c r="F729" s="18" t="s">
        <v>99</v>
      </c>
      <c r="G729" s="18" t="s">
        <v>100</v>
      </c>
      <c r="H729" s="18" t="s">
        <v>101</v>
      </c>
      <c r="I729" s="18" t="s">
        <v>102</v>
      </c>
      <c r="J729" s="18" t="s">
        <v>239</v>
      </c>
      <c r="K729" s="18" t="s">
        <v>195</v>
      </c>
      <c r="L729" s="64" t="n">
        <v>544.054689504</v>
      </c>
      <c r="M729" s="64" t="n">
        <v>7.78</v>
      </c>
      <c r="N729" s="18" t="s">
        <v>919</v>
      </c>
      <c r="O729" s="65" t="n">
        <v>4232.7455</v>
      </c>
      <c r="P729" s="65" t="n">
        <v>4232.7455</v>
      </c>
      <c r="Q729" s="65" t="n">
        <v>0</v>
      </c>
      <c r="R729" s="65" t="s">
        <v>232</v>
      </c>
      <c r="S729" s="66" t="n">
        <f aca="false">Model_Calc!AV125</f>
        <v>4232.74548434112</v>
      </c>
      <c r="T729" s="66" t="n">
        <f aca="false">ROUND(S729-O729,4)</f>
        <v>0</v>
      </c>
    </row>
    <row r="730" customFormat="false" ht="15" hidden="false" customHeight="false" outlineLevel="0" collapsed="false">
      <c r="A730" s="18" t="s">
        <v>200</v>
      </c>
      <c r="B730" s="18" t="s">
        <v>201</v>
      </c>
      <c r="C730" s="18"/>
      <c r="D730" s="49" t="n">
        <v>46023</v>
      </c>
      <c r="E730" s="18" t="s">
        <v>98</v>
      </c>
      <c r="F730" s="18" t="s">
        <v>99</v>
      </c>
      <c r="G730" s="18" t="s">
        <v>100</v>
      </c>
      <c r="H730" s="18" t="s">
        <v>101</v>
      </c>
      <c r="I730" s="18" t="s">
        <v>102</v>
      </c>
      <c r="J730" s="18" t="s">
        <v>241</v>
      </c>
      <c r="K730" s="18" t="s">
        <v>195</v>
      </c>
      <c r="L730" s="64" t="n">
        <v>134.01699166552</v>
      </c>
      <c r="M730" s="64" t="n">
        <v>7.78</v>
      </c>
      <c r="N730" s="18" t="s">
        <v>920</v>
      </c>
      <c r="O730" s="65" t="n">
        <v>1042.6522</v>
      </c>
      <c r="P730" s="65" t="n">
        <v>1042.6522</v>
      </c>
      <c r="Q730" s="65" t="n">
        <v>0</v>
      </c>
      <c r="R730" s="65" t="s">
        <v>232</v>
      </c>
      <c r="S730" s="66" t="n">
        <f aca="false">Model_Calc!BA125</f>
        <v>1042.65219515775</v>
      </c>
      <c r="T730" s="66" t="n">
        <f aca="false">ROUND(S730-O730,4)</f>
        <v>0</v>
      </c>
    </row>
    <row r="731" customFormat="false" ht="15" hidden="false" customHeight="false" outlineLevel="0" collapsed="false">
      <c r="A731" s="18" t="s">
        <v>200</v>
      </c>
      <c r="B731" s="18" t="s">
        <v>201</v>
      </c>
      <c r="C731" s="18"/>
      <c r="D731" s="49" t="n">
        <v>46023</v>
      </c>
      <c r="E731" s="18" t="s">
        <v>106</v>
      </c>
      <c r="F731" s="18" t="s">
        <v>99</v>
      </c>
      <c r="G731" s="18" t="s">
        <v>100</v>
      </c>
      <c r="H731" s="18" t="s">
        <v>107</v>
      </c>
      <c r="I731" s="18" t="s">
        <v>102</v>
      </c>
      <c r="J731" s="18" t="s">
        <v>230</v>
      </c>
      <c r="K731" s="18" t="s">
        <v>195</v>
      </c>
      <c r="L731" s="64" t="n">
        <v>5262.70901840838</v>
      </c>
      <c r="M731" s="64" t="n">
        <v>7.78</v>
      </c>
      <c r="N731" s="18" t="s">
        <v>921</v>
      </c>
      <c r="O731" s="65" t="n">
        <v>40943.8762</v>
      </c>
      <c r="P731" s="65" t="n">
        <v>40943.8762</v>
      </c>
      <c r="Q731" s="65" t="n">
        <v>0</v>
      </c>
      <c r="R731" s="65" t="s">
        <v>232</v>
      </c>
      <c r="S731" s="66" t="n">
        <f aca="false">Model_Calc!AF126</f>
        <v>40943.8761632172</v>
      </c>
      <c r="T731" s="66" t="n">
        <f aca="false">ROUND(S731-O731,4)</f>
        <v>0</v>
      </c>
    </row>
    <row r="732" customFormat="false" ht="15" hidden="false" customHeight="false" outlineLevel="0" collapsed="false">
      <c r="A732" s="18" t="s">
        <v>200</v>
      </c>
      <c r="B732" s="18" t="s">
        <v>201</v>
      </c>
      <c r="C732" s="18"/>
      <c r="D732" s="49" t="n">
        <v>46023</v>
      </c>
      <c r="E732" s="18" t="s">
        <v>106</v>
      </c>
      <c r="F732" s="18" t="s">
        <v>99</v>
      </c>
      <c r="G732" s="18" t="s">
        <v>100</v>
      </c>
      <c r="H732" s="18" t="s">
        <v>107</v>
      </c>
      <c r="I732" s="18" t="s">
        <v>102</v>
      </c>
      <c r="J732" s="18" t="s">
        <v>233</v>
      </c>
      <c r="K732" s="18" t="s">
        <v>195</v>
      </c>
      <c r="L732" s="64" t="n">
        <v>401.879597769367</v>
      </c>
      <c r="M732" s="64" t="n">
        <v>7.78</v>
      </c>
      <c r="N732" s="18" t="s">
        <v>922</v>
      </c>
      <c r="O732" s="65" t="n">
        <v>3126.6233</v>
      </c>
      <c r="P732" s="65" t="n">
        <v>3126.6233</v>
      </c>
      <c r="Q732" s="65" t="n">
        <v>0</v>
      </c>
      <c r="R732" s="65" t="s">
        <v>232</v>
      </c>
      <c r="S732" s="66" t="n">
        <f aca="false">Model_Calc!AG126</f>
        <v>3126.62327064568</v>
      </c>
      <c r="T732" s="66" t="n">
        <f aca="false">ROUND(S732-O732,4)</f>
        <v>0</v>
      </c>
    </row>
    <row r="733" customFormat="false" ht="15" hidden="false" customHeight="false" outlineLevel="0" collapsed="false">
      <c r="A733" s="18" t="s">
        <v>200</v>
      </c>
      <c r="B733" s="18" t="s">
        <v>201</v>
      </c>
      <c r="C733" s="18"/>
      <c r="D733" s="49" t="n">
        <v>46023</v>
      </c>
      <c r="E733" s="18" t="s">
        <v>106</v>
      </c>
      <c r="F733" s="18" t="s">
        <v>99</v>
      </c>
      <c r="G733" s="18" t="s">
        <v>100</v>
      </c>
      <c r="H733" s="18" t="s">
        <v>107</v>
      </c>
      <c r="I733" s="18" t="s">
        <v>102</v>
      </c>
      <c r="J733" s="18" t="s">
        <v>235</v>
      </c>
      <c r="K733" s="18" t="s">
        <v>195</v>
      </c>
      <c r="L733" s="64" t="n">
        <v>2674.935556728</v>
      </c>
      <c r="M733" s="64" t="n">
        <v>7.78</v>
      </c>
      <c r="N733" s="18" t="s">
        <v>923</v>
      </c>
      <c r="O733" s="65" t="n">
        <v>20810.9986</v>
      </c>
      <c r="P733" s="65" t="n">
        <v>20810.9986</v>
      </c>
      <c r="Q733" s="65" t="n">
        <v>0</v>
      </c>
      <c r="R733" s="65" t="s">
        <v>232</v>
      </c>
      <c r="S733" s="66" t="n">
        <f aca="false">Model_Calc!AL126</f>
        <v>20810.9986313438</v>
      </c>
      <c r="T733" s="66" t="n">
        <f aca="false">ROUND(S733-O733,4)</f>
        <v>0</v>
      </c>
    </row>
    <row r="734" customFormat="false" ht="15" hidden="false" customHeight="false" outlineLevel="0" collapsed="false">
      <c r="A734" s="18" t="s">
        <v>200</v>
      </c>
      <c r="B734" s="18" t="s">
        <v>201</v>
      </c>
      <c r="C734" s="18"/>
      <c r="D734" s="49" t="n">
        <v>46023</v>
      </c>
      <c r="E734" s="18" t="s">
        <v>106</v>
      </c>
      <c r="F734" s="18" t="s">
        <v>99</v>
      </c>
      <c r="G734" s="18" t="s">
        <v>100</v>
      </c>
      <c r="H734" s="18" t="s">
        <v>107</v>
      </c>
      <c r="I734" s="18" t="s">
        <v>102</v>
      </c>
      <c r="J734" s="18" t="s">
        <v>237</v>
      </c>
      <c r="K734" s="18" t="s">
        <v>195</v>
      </c>
      <c r="L734" s="64" t="n">
        <v>999.7004919636</v>
      </c>
      <c r="M734" s="64" t="n">
        <v>7.78</v>
      </c>
      <c r="N734" s="18" t="s">
        <v>924</v>
      </c>
      <c r="O734" s="65" t="n">
        <v>7777.6698</v>
      </c>
      <c r="P734" s="65" t="n">
        <v>7777.6698</v>
      </c>
      <c r="Q734" s="65" t="n">
        <v>0</v>
      </c>
      <c r="R734" s="65" t="s">
        <v>232</v>
      </c>
      <c r="S734" s="66" t="n">
        <f aca="false">Model_Calc!AQ126</f>
        <v>7777.66982747681</v>
      </c>
      <c r="T734" s="66" t="n">
        <f aca="false">ROUND(S734-O734,4)</f>
        <v>0</v>
      </c>
    </row>
    <row r="735" customFormat="false" ht="15" hidden="false" customHeight="false" outlineLevel="0" collapsed="false">
      <c r="A735" s="18" t="s">
        <v>200</v>
      </c>
      <c r="B735" s="18" t="s">
        <v>201</v>
      </c>
      <c r="C735" s="18"/>
      <c r="D735" s="49" t="n">
        <v>46023</v>
      </c>
      <c r="E735" s="18" t="s">
        <v>106</v>
      </c>
      <c r="F735" s="18" t="s">
        <v>99</v>
      </c>
      <c r="G735" s="18" t="s">
        <v>100</v>
      </c>
      <c r="H735" s="18" t="s">
        <v>107</v>
      </c>
      <c r="I735" s="18" t="s">
        <v>102</v>
      </c>
      <c r="J735" s="18" t="s">
        <v>239</v>
      </c>
      <c r="K735" s="18" t="s">
        <v>195</v>
      </c>
      <c r="L735" s="64" t="n">
        <v>362.703126336</v>
      </c>
      <c r="M735" s="64" t="n">
        <v>7.78</v>
      </c>
      <c r="N735" s="18" t="s">
        <v>925</v>
      </c>
      <c r="O735" s="65" t="n">
        <v>2821.8303</v>
      </c>
      <c r="P735" s="65" t="n">
        <v>2821.8303</v>
      </c>
      <c r="Q735" s="65" t="n">
        <v>0</v>
      </c>
      <c r="R735" s="65" t="s">
        <v>232</v>
      </c>
      <c r="S735" s="66" t="n">
        <f aca="false">Model_Calc!AV126</f>
        <v>2821.83032289408</v>
      </c>
      <c r="T735" s="66" t="n">
        <f aca="false">ROUND(S735-O735,4)</f>
        <v>0</v>
      </c>
    </row>
    <row r="736" customFormat="false" ht="15" hidden="false" customHeight="false" outlineLevel="0" collapsed="false">
      <c r="A736" s="18" t="s">
        <v>200</v>
      </c>
      <c r="B736" s="18" t="s">
        <v>201</v>
      </c>
      <c r="C736" s="18"/>
      <c r="D736" s="49" t="n">
        <v>46023</v>
      </c>
      <c r="E736" s="18" t="s">
        <v>106</v>
      </c>
      <c r="F736" s="18" t="s">
        <v>99</v>
      </c>
      <c r="G736" s="18" t="s">
        <v>100</v>
      </c>
      <c r="H736" s="18" t="s">
        <v>107</v>
      </c>
      <c r="I736" s="18" t="s">
        <v>102</v>
      </c>
      <c r="J736" s="18" t="s">
        <v>241</v>
      </c>
      <c r="K736" s="18" t="s">
        <v>195</v>
      </c>
      <c r="L736" s="64" t="n">
        <v>72.5925371521568</v>
      </c>
      <c r="M736" s="64" t="n">
        <v>7.78</v>
      </c>
      <c r="N736" s="18" t="s">
        <v>926</v>
      </c>
      <c r="O736" s="65" t="n">
        <v>564.7699</v>
      </c>
      <c r="P736" s="65" t="n">
        <v>564.7699</v>
      </c>
      <c r="Q736" s="65" t="n">
        <v>0</v>
      </c>
      <c r="R736" s="65" t="s">
        <v>232</v>
      </c>
      <c r="S736" s="66" t="n">
        <f aca="false">Model_Calc!BA126</f>
        <v>564.76993904378</v>
      </c>
      <c r="T736" s="66" t="n">
        <f aca="false">ROUND(S736-O736,4)</f>
        <v>0</v>
      </c>
    </row>
    <row r="737" customFormat="false" ht="15" hidden="false" customHeight="false" outlineLevel="0" collapsed="false">
      <c r="A737" s="18" t="s">
        <v>200</v>
      </c>
      <c r="B737" s="18" t="s">
        <v>201</v>
      </c>
      <c r="C737" s="18"/>
      <c r="D737" s="49" t="n">
        <v>46023</v>
      </c>
      <c r="E737" s="18" t="s">
        <v>109</v>
      </c>
      <c r="F737" s="18" t="s">
        <v>99</v>
      </c>
      <c r="G737" s="18" t="s">
        <v>110</v>
      </c>
      <c r="H737" s="18" t="s">
        <v>107</v>
      </c>
      <c r="I737" s="18" t="s">
        <v>102</v>
      </c>
      <c r="J737" s="18" t="s">
        <v>230</v>
      </c>
      <c r="K737" s="18" t="s">
        <v>195</v>
      </c>
      <c r="L737" s="64" t="n">
        <v>539.912091638185</v>
      </c>
      <c r="M737" s="64" t="n">
        <v>7.78</v>
      </c>
      <c r="N737" s="18" t="s">
        <v>927</v>
      </c>
      <c r="O737" s="65" t="n">
        <v>4200.5161</v>
      </c>
      <c r="P737" s="65" t="n">
        <v>4200.5161</v>
      </c>
      <c r="Q737" s="65" t="n">
        <v>0</v>
      </c>
      <c r="R737" s="65" t="s">
        <v>232</v>
      </c>
      <c r="S737" s="66" t="n">
        <f aca="false">Model_Calc!AF127</f>
        <v>4200.51607294508</v>
      </c>
      <c r="T737" s="66" t="n">
        <f aca="false">ROUND(S737-O737,4)</f>
        <v>0</v>
      </c>
    </row>
    <row r="738" customFormat="false" ht="15" hidden="false" customHeight="false" outlineLevel="0" collapsed="false">
      <c r="A738" s="18" t="s">
        <v>200</v>
      </c>
      <c r="B738" s="18" t="s">
        <v>201</v>
      </c>
      <c r="C738" s="18"/>
      <c r="D738" s="49" t="n">
        <v>46023</v>
      </c>
      <c r="E738" s="18" t="s">
        <v>109</v>
      </c>
      <c r="F738" s="18" t="s">
        <v>99</v>
      </c>
      <c r="G738" s="18" t="s">
        <v>110</v>
      </c>
      <c r="H738" s="18" t="s">
        <v>107</v>
      </c>
      <c r="I738" s="18" t="s">
        <v>102</v>
      </c>
      <c r="J738" s="18" t="s">
        <v>233</v>
      </c>
      <c r="K738" s="18" t="s">
        <v>195</v>
      </c>
      <c r="L738" s="64" t="n">
        <v>39.2663339373226</v>
      </c>
      <c r="M738" s="64" t="n">
        <v>7.78</v>
      </c>
      <c r="N738" s="18" t="s">
        <v>928</v>
      </c>
      <c r="O738" s="65" t="n">
        <v>305.4921</v>
      </c>
      <c r="P738" s="65" t="n">
        <v>305.4921</v>
      </c>
      <c r="Q738" s="65" t="n">
        <v>0</v>
      </c>
      <c r="R738" s="65" t="s">
        <v>232</v>
      </c>
      <c r="S738" s="66" t="n">
        <f aca="false">Model_Calc!AG127</f>
        <v>305.49207803237</v>
      </c>
      <c r="T738" s="66" t="n">
        <f aca="false">ROUND(S738-O738,4)</f>
        <v>0</v>
      </c>
    </row>
    <row r="739" customFormat="false" ht="15" hidden="false" customHeight="false" outlineLevel="0" collapsed="false">
      <c r="A739" s="18" t="s">
        <v>200</v>
      </c>
      <c r="B739" s="18" t="s">
        <v>201</v>
      </c>
      <c r="C739" s="18"/>
      <c r="D739" s="49" t="n">
        <v>46023</v>
      </c>
      <c r="E739" s="18" t="s">
        <v>109</v>
      </c>
      <c r="F739" s="18" t="s">
        <v>99</v>
      </c>
      <c r="G739" s="18" t="s">
        <v>110</v>
      </c>
      <c r="H739" s="18" t="s">
        <v>107</v>
      </c>
      <c r="I739" s="18" t="s">
        <v>102</v>
      </c>
      <c r="J739" s="18" t="s">
        <v>235</v>
      </c>
      <c r="K739" s="18" t="s">
        <v>195</v>
      </c>
      <c r="L739" s="64" t="n">
        <v>184.03911855</v>
      </c>
      <c r="M739" s="64" t="n">
        <v>7.78</v>
      </c>
      <c r="N739" s="18" t="s">
        <v>929</v>
      </c>
      <c r="O739" s="65" t="n">
        <v>1431.8243</v>
      </c>
      <c r="P739" s="65" t="n">
        <v>1431.8243</v>
      </c>
      <c r="Q739" s="65" t="n">
        <v>0</v>
      </c>
      <c r="R739" s="65" t="s">
        <v>232</v>
      </c>
      <c r="S739" s="66" t="n">
        <f aca="false">Model_Calc!AL127</f>
        <v>1431.824342319</v>
      </c>
      <c r="T739" s="66" t="n">
        <f aca="false">ROUND(S739-O739,4)</f>
        <v>0</v>
      </c>
    </row>
    <row r="740" customFormat="false" ht="15" hidden="false" customHeight="false" outlineLevel="0" collapsed="false">
      <c r="A740" s="18" t="s">
        <v>200</v>
      </c>
      <c r="B740" s="18" t="s">
        <v>201</v>
      </c>
      <c r="C740" s="18"/>
      <c r="D740" s="49" t="n">
        <v>46023</v>
      </c>
      <c r="E740" s="18" t="s">
        <v>109</v>
      </c>
      <c r="F740" s="18" t="s">
        <v>99</v>
      </c>
      <c r="G740" s="18" t="s">
        <v>110</v>
      </c>
      <c r="H740" s="18" t="s">
        <v>107</v>
      </c>
      <c r="I740" s="18" t="s">
        <v>102</v>
      </c>
      <c r="J740" s="18" t="s">
        <v>237</v>
      </c>
      <c r="K740" s="18" t="s">
        <v>195</v>
      </c>
      <c r="L740" s="64" t="n">
        <v>71.9330040504</v>
      </c>
      <c r="M740" s="64" t="n">
        <v>7.78</v>
      </c>
      <c r="N740" s="18" t="s">
        <v>930</v>
      </c>
      <c r="O740" s="65" t="n">
        <v>559.6388</v>
      </c>
      <c r="P740" s="65" t="n">
        <v>559.6388</v>
      </c>
      <c r="Q740" s="65" t="n">
        <v>0</v>
      </c>
      <c r="R740" s="65" t="s">
        <v>232</v>
      </c>
      <c r="S740" s="66" t="n">
        <f aca="false">Model_Calc!AQ127</f>
        <v>559.638771512112</v>
      </c>
      <c r="T740" s="66" t="n">
        <f aca="false">ROUND(S740-O740,4)</f>
        <v>0</v>
      </c>
    </row>
    <row r="741" customFormat="false" ht="15" hidden="false" customHeight="false" outlineLevel="0" collapsed="false">
      <c r="A741" s="18" t="s">
        <v>200</v>
      </c>
      <c r="B741" s="18" t="s">
        <v>201</v>
      </c>
      <c r="C741" s="18"/>
      <c r="D741" s="49" t="n">
        <v>46023</v>
      </c>
      <c r="E741" s="18" t="s">
        <v>109</v>
      </c>
      <c r="F741" s="18" t="s">
        <v>99</v>
      </c>
      <c r="G741" s="18" t="s">
        <v>110</v>
      </c>
      <c r="H741" s="18" t="s">
        <v>107</v>
      </c>
      <c r="I741" s="18" t="s">
        <v>102</v>
      </c>
      <c r="J741" s="18" t="s">
        <v>239</v>
      </c>
      <c r="K741" s="18" t="s">
        <v>195</v>
      </c>
      <c r="L741" s="64" t="n">
        <v>33.30231669</v>
      </c>
      <c r="M741" s="64" t="n">
        <v>7.78</v>
      </c>
      <c r="N741" s="18" t="s">
        <v>931</v>
      </c>
      <c r="O741" s="65" t="n">
        <v>259.092</v>
      </c>
      <c r="P741" s="65" t="n">
        <v>259.092</v>
      </c>
      <c r="Q741" s="65" t="n">
        <v>0</v>
      </c>
      <c r="R741" s="65" t="s">
        <v>232</v>
      </c>
      <c r="S741" s="66" t="n">
        <f aca="false">Model_Calc!AV127</f>
        <v>259.0920238482</v>
      </c>
      <c r="T741" s="66" t="n">
        <f aca="false">ROUND(S741-O741,4)</f>
        <v>0</v>
      </c>
    </row>
    <row r="742" customFormat="false" ht="15" hidden="false" customHeight="false" outlineLevel="0" collapsed="false">
      <c r="A742" s="18" t="s">
        <v>200</v>
      </c>
      <c r="B742" s="18" t="s">
        <v>201</v>
      </c>
      <c r="C742" s="18"/>
      <c r="D742" s="49" t="n">
        <v>46023</v>
      </c>
      <c r="E742" s="18" t="s">
        <v>109</v>
      </c>
      <c r="F742" s="18" t="s">
        <v>99</v>
      </c>
      <c r="G742" s="18" t="s">
        <v>110</v>
      </c>
      <c r="H742" s="18" t="s">
        <v>107</v>
      </c>
      <c r="I742" s="18" t="s">
        <v>102</v>
      </c>
      <c r="J742" s="18" t="s">
        <v>241</v>
      </c>
      <c r="K742" s="18" t="s">
        <v>195</v>
      </c>
      <c r="L742" s="64" t="n">
        <v>6.21728311850352</v>
      </c>
      <c r="M742" s="64" t="n">
        <v>7.78</v>
      </c>
      <c r="N742" s="18" t="s">
        <v>932</v>
      </c>
      <c r="O742" s="65" t="n">
        <v>48.3705</v>
      </c>
      <c r="P742" s="65" t="n">
        <v>48.3705</v>
      </c>
      <c r="Q742" s="65" t="n">
        <v>0</v>
      </c>
      <c r="R742" s="65" t="s">
        <v>232</v>
      </c>
      <c r="S742" s="66" t="n">
        <f aca="false">Model_Calc!BA127</f>
        <v>48.3704626619574</v>
      </c>
      <c r="T742" s="66" t="n">
        <f aca="false">ROUND(S742-O742,4)</f>
        <v>0</v>
      </c>
    </row>
    <row r="743" customFormat="false" ht="15" hidden="false" customHeight="false" outlineLevel="0" collapsed="false">
      <c r="A743" s="18" t="s">
        <v>200</v>
      </c>
      <c r="B743" s="18" t="s">
        <v>201</v>
      </c>
      <c r="C743" s="18"/>
      <c r="D743" s="49" t="n">
        <v>46023</v>
      </c>
      <c r="E743" s="18" t="s">
        <v>112</v>
      </c>
      <c r="F743" s="18" t="s">
        <v>113</v>
      </c>
      <c r="G743" s="18" t="s">
        <v>110</v>
      </c>
      <c r="H743" s="18" t="s">
        <v>101</v>
      </c>
      <c r="I743" s="18" t="s">
        <v>102</v>
      </c>
      <c r="J743" s="18" t="s">
        <v>230</v>
      </c>
      <c r="K743" s="18" t="s">
        <v>195</v>
      </c>
      <c r="L743" s="64" t="n">
        <v>2634.39586711085</v>
      </c>
      <c r="M743" s="64" t="n">
        <v>7.78</v>
      </c>
      <c r="N743" s="18" t="s">
        <v>933</v>
      </c>
      <c r="O743" s="65" t="n">
        <v>20495.5998</v>
      </c>
      <c r="P743" s="65" t="n">
        <v>20495.5998</v>
      </c>
      <c r="Q743" s="65" t="n">
        <v>0</v>
      </c>
      <c r="R743" s="65" t="s">
        <v>232</v>
      </c>
      <c r="S743" s="66" t="n">
        <f aca="false">Model_Calc!AF128</f>
        <v>20495.5998461224</v>
      </c>
      <c r="T743" s="66" t="n">
        <f aca="false">ROUND(S743-O743,4)</f>
        <v>0</v>
      </c>
    </row>
    <row r="744" customFormat="false" ht="15" hidden="false" customHeight="false" outlineLevel="0" collapsed="false">
      <c r="A744" s="18" t="s">
        <v>200</v>
      </c>
      <c r="B744" s="18" t="s">
        <v>201</v>
      </c>
      <c r="C744" s="18"/>
      <c r="D744" s="49" t="n">
        <v>46023</v>
      </c>
      <c r="E744" s="18" t="s">
        <v>112</v>
      </c>
      <c r="F744" s="18" t="s">
        <v>113</v>
      </c>
      <c r="G744" s="18" t="s">
        <v>110</v>
      </c>
      <c r="H744" s="18" t="s">
        <v>101</v>
      </c>
      <c r="I744" s="18" t="s">
        <v>102</v>
      </c>
      <c r="J744" s="18" t="s">
        <v>233</v>
      </c>
      <c r="K744" s="18" t="s">
        <v>195</v>
      </c>
      <c r="L744" s="64" t="n">
        <v>237.569819296057</v>
      </c>
      <c r="M744" s="64" t="n">
        <v>7.78</v>
      </c>
      <c r="N744" s="18" t="s">
        <v>934</v>
      </c>
      <c r="O744" s="65" t="n">
        <v>1848.2932</v>
      </c>
      <c r="P744" s="65" t="n">
        <v>1848.2932</v>
      </c>
      <c r="Q744" s="65" t="n">
        <v>0</v>
      </c>
      <c r="R744" s="65" t="s">
        <v>232</v>
      </c>
      <c r="S744" s="66" t="n">
        <f aca="false">Model_Calc!AG128</f>
        <v>1848.29319412332</v>
      </c>
      <c r="T744" s="66" t="n">
        <f aca="false">ROUND(S744-O744,4)</f>
        <v>0</v>
      </c>
    </row>
    <row r="745" customFormat="false" ht="15" hidden="false" customHeight="false" outlineLevel="0" collapsed="false">
      <c r="A745" s="18" t="s">
        <v>200</v>
      </c>
      <c r="B745" s="18" t="s">
        <v>201</v>
      </c>
      <c r="C745" s="18"/>
      <c r="D745" s="49" t="n">
        <v>46023</v>
      </c>
      <c r="E745" s="18" t="s">
        <v>112</v>
      </c>
      <c r="F745" s="18" t="s">
        <v>113</v>
      </c>
      <c r="G745" s="18" t="s">
        <v>110</v>
      </c>
      <c r="H745" s="18" t="s">
        <v>101</v>
      </c>
      <c r="I745" s="18" t="s">
        <v>102</v>
      </c>
      <c r="J745" s="18" t="s">
        <v>235</v>
      </c>
      <c r="K745" s="18" t="s">
        <v>195</v>
      </c>
      <c r="L745" s="64" t="n">
        <v>1626.91746525</v>
      </c>
      <c r="M745" s="64" t="n">
        <v>7.78</v>
      </c>
      <c r="N745" s="18" t="s">
        <v>935</v>
      </c>
      <c r="O745" s="65" t="n">
        <v>12657.4179</v>
      </c>
      <c r="P745" s="65" t="n">
        <v>12657.4179</v>
      </c>
      <c r="Q745" s="65" t="n">
        <v>0</v>
      </c>
      <c r="R745" s="65" t="s">
        <v>232</v>
      </c>
      <c r="S745" s="66" t="n">
        <f aca="false">Model_Calc!AL128</f>
        <v>12657.417879645</v>
      </c>
      <c r="T745" s="66" t="n">
        <f aca="false">ROUND(S745-O745,4)</f>
        <v>0</v>
      </c>
    </row>
    <row r="746" customFormat="false" ht="15" hidden="false" customHeight="false" outlineLevel="0" collapsed="false">
      <c r="A746" s="18" t="s">
        <v>200</v>
      </c>
      <c r="B746" s="18" t="s">
        <v>201</v>
      </c>
      <c r="C746" s="18"/>
      <c r="D746" s="49" t="n">
        <v>46023</v>
      </c>
      <c r="E746" s="18" t="s">
        <v>112</v>
      </c>
      <c r="F746" s="18" t="s">
        <v>113</v>
      </c>
      <c r="G746" s="18" t="s">
        <v>110</v>
      </c>
      <c r="H746" s="18" t="s">
        <v>101</v>
      </c>
      <c r="I746" s="18" t="s">
        <v>102</v>
      </c>
      <c r="J746" s="18" t="s">
        <v>237</v>
      </c>
      <c r="K746" s="18" t="s">
        <v>195</v>
      </c>
      <c r="L746" s="64" t="n">
        <v>624.116528574</v>
      </c>
      <c r="M746" s="64" t="n">
        <v>7.78</v>
      </c>
      <c r="N746" s="18" t="s">
        <v>936</v>
      </c>
      <c r="O746" s="65" t="n">
        <v>4855.6266</v>
      </c>
      <c r="P746" s="65" t="n">
        <v>4855.6266</v>
      </c>
      <c r="Q746" s="65" t="n">
        <v>0</v>
      </c>
      <c r="R746" s="65" t="s">
        <v>232</v>
      </c>
      <c r="S746" s="66" t="n">
        <f aca="false">Model_Calc!AQ128</f>
        <v>4855.62659230572</v>
      </c>
      <c r="T746" s="66" t="n">
        <f aca="false">ROUND(S746-O746,4)</f>
        <v>0</v>
      </c>
    </row>
    <row r="747" customFormat="false" ht="15" hidden="false" customHeight="false" outlineLevel="0" collapsed="false">
      <c r="A747" s="18" t="s">
        <v>200</v>
      </c>
      <c r="B747" s="18" t="s">
        <v>201</v>
      </c>
      <c r="C747" s="18"/>
      <c r="D747" s="49" t="n">
        <v>46023</v>
      </c>
      <c r="E747" s="18" t="s">
        <v>112</v>
      </c>
      <c r="F747" s="18" t="s">
        <v>113</v>
      </c>
      <c r="G747" s="18" t="s">
        <v>110</v>
      </c>
      <c r="H747" s="18" t="s">
        <v>101</v>
      </c>
      <c r="I747" s="18" t="s">
        <v>102</v>
      </c>
      <c r="J747" s="18" t="s">
        <v>239</v>
      </c>
      <c r="K747" s="18" t="s">
        <v>195</v>
      </c>
      <c r="L747" s="64" t="n">
        <v>278.9001369</v>
      </c>
      <c r="M747" s="64" t="n">
        <v>7.78</v>
      </c>
      <c r="N747" s="18" t="s">
        <v>937</v>
      </c>
      <c r="O747" s="65" t="n">
        <v>2169.8431</v>
      </c>
      <c r="P747" s="65" t="n">
        <v>2169.8431</v>
      </c>
      <c r="Q747" s="65" t="n">
        <v>0</v>
      </c>
      <c r="R747" s="65" t="s">
        <v>232</v>
      </c>
      <c r="S747" s="66" t="n">
        <f aca="false">Model_Calc!AV128</f>
        <v>2169.843065082</v>
      </c>
      <c r="T747" s="66" t="n">
        <f aca="false">ROUND(S747-O747,4)</f>
        <v>0</v>
      </c>
    </row>
    <row r="748" customFormat="false" ht="15" hidden="false" customHeight="false" outlineLevel="0" collapsed="false">
      <c r="A748" s="18" t="s">
        <v>200</v>
      </c>
      <c r="B748" s="18" t="s">
        <v>201</v>
      </c>
      <c r="C748" s="18"/>
      <c r="D748" s="49" t="n">
        <v>46023</v>
      </c>
      <c r="E748" s="18" t="s">
        <v>112</v>
      </c>
      <c r="F748" s="18" t="s">
        <v>113</v>
      </c>
      <c r="G748" s="18" t="s">
        <v>110</v>
      </c>
      <c r="H748" s="18" t="s">
        <v>101</v>
      </c>
      <c r="I748" s="18" t="s">
        <v>102</v>
      </c>
      <c r="J748" s="18" t="s">
        <v>241</v>
      </c>
      <c r="K748" s="18" t="s">
        <v>195</v>
      </c>
      <c r="L748" s="64" t="n">
        <v>65.5026720857586</v>
      </c>
      <c r="M748" s="64" t="n">
        <v>7.78</v>
      </c>
      <c r="N748" s="18" t="s">
        <v>938</v>
      </c>
      <c r="O748" s="65" t="n">
        <v>509.6108</v>
      </c>
      <c r="P748" s="65" t="n">
        <v>509.6108</v>
      </c>
      <c r="Q748" s="65" t="n">
        <v>0</v>
      </c>
      <c r="R748" s="65" t="s">
        <v>232</v>
      </c>
      <c r="S748" s="66" t="n">
        <f aca="false">Model_Calc!BA128</f>
        <v>509.610788827202</v>
      </c>
      <c r="T748" s="66" t="n">
        <f aca="false">ROUND(S748-O748,4)</f>
        <v>0</v>
      </c>
    </row>
    <row r="749" customFormat="false" ht="15" hidden="false" customHeight="false" outlineLevel="0" collapsed="false">
      <c r="A749" s="18" t="s">
        <v>200</v>
      </c>
      <c r="B749" s="18" t="s">
        <v>201</v>
      </c>
      <c r="C749" s="18"/>
      <c r="D749" s="49" t="n">
        <v>46023</v>
      </c>
      <c r="E749" s="18" t="s">
        <v>116</v>
      </c>
      <c r="F749" s="18" t="s">
        <v>113</v>
      </c>
      <c r="G749" s="18" t="s">
        <v>110</v>
      </c>
      <c r="H749" s="18" t="s">
        <v>107</v>
      </c>
      <c r="I749" s="18" t="s">
        <v>102</v>
      </c>
      <c r="J749" s="18" t="s">
        <v>230</v>
      </c>
      <c r="K749" s="18" t="s">
        <v>195</v>
      </c>
      <c r="L749" s="64" t="n">
        <v>6296.42306154619</v>
      </c>
      <c r="M749" s="64" t="n">
        <v>7.78</v>
      </c>
      <c r="N749" s="18" t="s">
        <v>939</v>
      </c>
      <c r="O749" s="65" t="n">
        <v>48986.1714</v>
      </c>
      <c r="P749" s="65" t="n">
        <v>48986.1714</v>
      </c>
      <c r="Q749" s="65" t="n">
        <v>0</v>
      </c>
      <c r="R749" s="65" t="s">
        <v>232</v>
      </c>
      <c r="S749" s="66" t="n">
        <f aca="false">Model_Calc!AF129</f>
        <v>48986.1714188294</v>
      </c>
      <c r="T749" s="66" t="n">
        <f aca="false">ROUND(S749-O749,4)</f>
        <v>0</v>
      </c>
    </row>
    <row r="750" customFormat="false" ht="15" hidden="false" customHeight="false" outlineLevel="0" collapsed="false">
      <c r="A750" s="18" t="s">
        <v>200</v>
      </c>
      <c r="B750" s="18" t="s">
        <v>201</v>
      </c>
      <c r="C750" s="18"/>
      <c r="D750" s="49" t="n">
        <v>46023</v>
      </c>
      <c r="E750" s="18" t="s">
        <v>116</v>
      </c>
      <c r="F750" s="18" t="s">
        <v>113</v>
      </c>
      <c r="G750" s="18" t="s">
        <v>110</v>
      </c>
      <c r="H750" s="18" t="s">
        <v>107</v>
      </c>
      <c r="I750" s="18" t="s">
        <v>102</v>
      </c>
      <c r="J750" s="18" t="s">
        <v>233</v>
      </c>
      <c r="K750" s="18" t="s">
        <v>195</v>
      </c>
      <c r="L750" s="64" t="n">
        <v>484.340235503553</v>
      </c>
      <c r="M750" s="64" t="n">
        <v>7.78</v>
      </c>
      <c r="N750" s="18" t="s">
        <v>940</v>
      </c>
      <c r="O750" s="65" t="n">
        <v>3768.167</v>
      </c>
      <c r="P750" s="65" t="n">
        <v>3768.167</v>
      </c>
      <c r="Q750" s="65" t="n">
        <v>0</v>
      </c>
      <c r="R750" s="65" t="s">
        <v>232</v>
      </c>
      <c r="S750" s="66" t="n">
        <f aca="false">Model_Calc!AG129</f>
        <v>3768.16703221764</v>
      </c>
      <c r="T750" s="66" t="n">
        <f aca="false">ROUND(S750-O750,4)</f>
        <v>0</v>
      </c>
    </row>
    <row r="751" customFormat="false" ht="15" hidden="false" customHeight="false" outlineLevel="0" collapsed="false">
      <c r="A751" s="18" t="s">
        <v>200</v>
      </c>
      <c r="B751" s="18" t="s">
        <v>201</v>
      </c>
      <c r="C751" s="18"/>
      <c r="D751" s="49" t="n">
        <v>46023</v>
      </c>
      <c r="E751" s="18" t="s">
        <v>116</v>
      </c>
      <c r="F751" s="18" t="s">
        <v>113</v>
      </c>
      <c r="G751" s="18" t="s">
        <v>110</v>
      </c>
      <c r="H751" s="18" t="s">
        <v>107</v>
      </c>
      <c r="I751" s="18" t="s">
        <v>102</v>
      </c>
      <c r="J751" s="18" t="s">
        <v>235</v>
      </c>
      <c r="K751" s="18" t="s">
        <v>195</v>
      </c>
      <c r="L751" s="64" t="n">
        <v>3021.41814975</v>
      </c>
      <c r="M751" s="64" t="n">
        <v>7.78</v>
      </c>
      <c r="N751" s="18" t="s">
        <v>941</v>
      </c>
      <c r="O751" s="65" t="n">
        <v>23506.6332</v>
      </c>
      <c r="P751" s="65" t="n">
        <v>23506.6332</v>
      </c>
      <c r="Q751" s="65" t="n">
        <v>0</v>
      </c>
      <c r="R751" s="65" t="s">
        <v>232</v>
      </c>
      <c r="S751" s="66" t="n">
        <f aca="false">Model_Calc!AL129</f>
        <v>23506.633205055</v>
      </c>
      <c r="T751" s="66" t="n">
        <f aca="false">ROUND(S751-O751,4)</f>
        <v>0</v>
      </c>
    </row>
    <row r="752" customFormat="false" ht="15" hidden="false" customHeight="false" outlineLevel="0" collapsed="false">
      <c r="A752" s="18" t="s">
        <v>200</v>
      </c>
      <c r="B752" s="18" t="s">
        <v>201</v>
      </c>
      <c r="C752" s="18"/>
      <c r="D752" s="49" t="n">
        <v>46023</v>
      </c>
      <c r="E752" s="18" t="s">
        <v>116</v>
      </c>
      <c r="F752" s="18" t="s">
        <v>113</v>
      </c>
      <c r="G752" s="18" t="s">
        <v>110</v>
      </c>
      <c r="H752" s="18" t="s">
        <v>107</v>
      </c>
      <c r="I752" s="18" t="s">
        <v>102</v>
      </c>
      <c r="J752" s="18" t="s">
        <v>237</v>
      </c>
      <c r="K752" s="18" t="s">
        <v>195</v>
      </c>
      <c r="L752" s="64" t="n">
        <v>1159.073553066</v>
      </c>
      <c r="M752" s="64" t="n">
        <v>7.78</v>
      </c>
      <c r="N752" s="18" t="s">
        <v>942</v>
      </c>
      <c r="O752" s="65" t="n">
        <v>9017.5922</v>
      </c>
      <c r="P752" s="65" t="n">
        <v>9017.5922</v>
      </c>
      <c r="Q752" s="65" t="n">
        <v>0</v>
      </c>
      <c r="R752" s="65" t="s">
        <v>232</v>
      </c>
      <c r="S752" s="66" t="n">
        <f aca="false">Model_Calc!AQ129</f>
        <v>9017.59224285348</v>
      </c>
      <c r="T752" s="66" t="n">
        <f aca="false">ROUND(S752-O752,4)</f>
        <v>0</v>
      </c>
    </row>
    <row r="753" customFormat="false" ht="15" hidden="false" customHeight="false" outlineLevel="0" collapsed="false">
      <c r="A753" s="18" t="s">
        <v>200</v>
      </c>
      <c r="B753" s="18" t="s">
        <v>201</v>
      </c>
      <c r="C753" s="18"/>
      <c r="D753" s="49" t="n">
        <v>46023</v>
      </c>
      <c r="E753" s="18" t="s">
        <v>116</v>
      </c>
      <c r="F753" s="18" t="s">
        <v>113</v>
      </c>
      <c r="G753" s="18" t="s">
        <v>110</v>
      </c>
      <c r="H753" s="18" t="s">
        <v>107</v>
      </c>
      <c r="I753" s="18" t="s">
        <v>102</v>
      </c>
      <c r="J753" s="18" t="s">
        <v>239</v>
      </c>
      <c r="K753" s="18" t="s">
        <v>195</v>
      </c>
      <c r="L753" s="64" t="n">
        <v>517.9573971</v>
      </c>
      <c r="M753" s="64" t="n">
        <v>7.78</v>
      </c>
      <c r="N753" s="18" t="s">
        <v>943</v>
      </c>
      <c r="O753" s="65" t="n">
        <v>4029.7085</v>
      </c>
      <c r="P753" s="65" t="n">
        <v>4029.7085</v>
      </c>
      <c r="Q753" s="65" t="n">
        <v>0</v>
      </c>
      <c r="R753" s="65" t="s">
        <v>232</v>
      </c>
      <c r="S753" s="66" t="n">
        <f aca="false">Model_Calc!AV129</f>
        <v>4029.708549438</v>
      </c>
      <c r="T753" s="66" t="n">
        <f aca="false">ROUND(S753-O753,4)</f>
        <v>0</v>
      </c>
    </row>
    <row r="754" customFormat="false" ht="15" hidden="false" customHeight="false" outlineLevel="0" collapsed="false">
      <c r="A754" s="18" t="s">
        <v>200</v>
      </c>
      <c r="B754" s="18" t="s">
        <v>201</v>
      </c>
      <c r="C754" s="18"/>
      <c r="D754" s="49" t="n">
        <v>46023</v>
      </c>
      <c r="E754" s="18" t="s">
        <v>116</v>
      </c>
      <c r="F754" s="18" t="s">
        <v>113</v>
      </c>
      <c r="G754" s="18" t="s">
        <v>110</v>
      </c>
      <c r="H754" s="18" t="s">
        <v>107</v>
      </c>
      <c r="I754" s="18" t="s">
        <v>102</v>
      </c>
      <c r="J754" s="18" t="s">
        <v>241</v>
      </c>
      <c r="K754" s="18" t="s">
        <v>195</v>
      </c>
      <c r="L754" s="64" t="n">
        <v>100.180557307631</v>
      </c>
      <c r="M754" s="64" t="n">
        <v>7.78</v>
      </c>
      <c r="N754" s="18" t="s">
        <v>944</v>
      </c>
      <c r="O754" s="65" t="n">
        <v>779.4047</v>
      </c>
      <c r="P754" s="65" t="n">
        <v>779.4047</v>
      </c>
      <c r="Q754" s="65" t="n">
        <v>0</v>
      </c>
      <c r="R754" s="65" t="s">
        <v>232</v>
      </c>
      <c r="S754" s="66" t="n">
        <f aca="false">Model_Calc!BA129</f>
        <v>779.404735853368</v>
      </c>
      <c r="T754" s="66" t="n">
        <f aca="false">ROUND(S754-O754,4)</f>
        <v>0</v>
      </c>
    </row>
    <row r="755" customFormat="false" ht="15" hidden="false" customHeight="false" outlineLevel="0" collapsed="false">
      <c r="A755" s="18" t="s">
        <v>200</v>
      </c>
      <c r="B755" s="18" t="s">
        <v>201</v>
      </c>
      <c r="C755" s="18"/>
      <c r="D755" s="49" t="n">
        <v>46023</v>
      </c>
      <c r="E755" s="18" t="s">
        <v>118</v>
      </c>
      <c r="F755" s="18" t="s">
        <v>119</v>
      </c>
      <c r="G755" s="18" t="s">
        <v>100</v>
      </c>
      <c r="H755" s="18" t="s">
        <v>101</v>
      </c>
      <c r="I755" s="18" t="s">
        <v>102</v>
      </c>
      <c r="J755" s="18" t="s">
        <v>230</v>
      </c>
      <c r="K755" s="18" t="s">
        <v>199</v>
      </c>
      <c r="L755" s="64" t="n">
        <v>9862.74973081682</v>
      </c>
      <c r="M755" s="64" t="n">
        <v>9.05</v>
      </c>
      <c r="N755" s="18" t="s">
        <v>945</v>
      </c>
      <c r="O755" s="65" t="n">
        <v>89257.8851</v>
      </c>
      <c r="P755" s="65" t="n">
        <v>89257.8851</v>
      </c>
      <c r="Q755" s="65" t="n">
        <v>0</v>
      </c>
      <c r="R755" s="65" t="s">
        <v>232</v>
      </c>
      <c r="S755" s="66" t="n">
        <f aca="false">Model_Calc!AF130</f>
        <v>89257.8850638922</v>
      </c>
      <c r="T755" s="66" t="n">
        <f aca="false">ROUND(S755-O755,4)</f>
        <v>0</v>
      </c>
    </row>
    <row r="756" customFormat="false" ht="15" hidden="false" customHeight="false" outlineLevel="0" collapsed="false">
      <c r="A756" s="18" t="s">
        <v>200</v>
      </c>
      <c r="B756" s="18" t="s">
        <v>201</v>
      </c>
      <c r="C756" s="18"/>
      <c r="D756" s="49" t="n">
        <v>46023</v>
      </c>
      <c r="E756" s="18" t="s">
        <v>118</v>
      </c>
      <c r="F756" s="18" t="s">
        <v>119</v>
      </c>
      <c r="G756" s="18" t="s">
        <v>100</v>
      </c>
      <c r="H756" s="18" t="s">
        <v>101</v>
      </c>
      <c r="I756" s="18" t="s">
        <v>102</v>
      </c>
      <c r="J756" s="18" t="s">
        <v>233</v>
      </c>
      <c r="K756" s="18" t="s">
        <v>199</v>
      </c>
      <c r="L756" s="64" t="n">
        <v>988.247523027845</v>
      </c>
      <c r="M756" s="64" t="n">
        <v>9.05</v>
      </c>
      <c r="N756" s="18" t="s">
        <v>946</v>
      </c>
      <c r="O756" s="65" t="n">
        <v>8943.6401</v>
      </c>
      <c r="P756" s="65" t="n">
        <v>8943.6401</v>
      </c>
      <c r="Q756" s="65" t="n">
        <v>0</v>
      </c>
      <c r="R756" s="65" t="s">
        <v>232</v>
      </c>
      <c r="S756" s="66" t="n">
        <f aca="false">Model_Calc!AG130</f>
        <v>8943.640083402</v>
      </c>
      <c r="T756" s="66" t="n">
        <f aca="false">ROUND(S756-O756,4)</f>
        <v>0</v>
      </c>
    </row>
    <row r="757" customFormat="false" ht="15" hidden="false" customHeight="false" outlineLevel="0" collapsed="false">
      <c r="A757" s="18" t="s">
        <v>200</v>
      </c>
      <c r="B757" s="18" t="s">
        <v>201</v>
      </c>
      <c r="C757" s="18"/>
      <c r="D757" s="49" t="n">
        <v>46023</v>
      </c>
      <c r="E757" s="18" t="s">
        <v>118</v>
      </c>
      <c r="F757" s="18" t="s">
        <v>119</v>
      </c>
      <c r="G757" s="18" t="s">
        <v>100</v>
      </c>
      <c r="H757" s="18" t="s">
        <v>101</v>
      </c>
      <c r="I757" s="18" t="s">
        <v>102</v>
      </c>
      <c r="J757" s="18" t="s">
        <v>235</v>
      </c>
      <c r="K757" s="18" t="s">
        <v>195</v>
      </c>
      <c r="L757" s="64" t="n">
        <v>2534.170159872</v>
      </c>
      <c r="M757" s="64" t="n">
        <v>7.78</v>
      </c>
      <c r="N757" s="18" t="s">
        <v>947</v>
      </c>
      <c r="O757" s="65" t="n">
        <v>19715.8438</v>
      </c>
      <c r="P757" s="65" t="n">
        <v>19715.8438</v>
      </c>
      <c r="Q757" s="65" t="n">
        <v>0</v>
      </c>
      <c r="R757" s="65" t="s">
        <v>232</v>
      </c>
      <c r="S757" s="66" t="n">
        <f aca="false">Model_Calc!AL130</f>
        <v>19715.8438438042</v>
      </c>
      <c r="T757" s="66" t="n">
        <f aca="false">ROUND(S757-O757,4)</f>
        <v>0</v>
      </c>
    </row>
    <row r="758" customFormat="false" ht="15" hidden="false" customHeight="false" outlineLevel="0" collapsed="false">
      <c r="A758" s="18" t="s">
        <v>200</v>
      </c>
      <c r="B758" s="18" t="s">
        <v>201</v>
      </c>
      <c r="C758" s="18"/>
      <c r="D758" s="49" t="n">
        <v>46023</v>
      </c>
      <c r="E758" s="18" t="s">
        <v>118</v>
      </c>
      <c r="F758" s="18" t="s">
        <v>119</v>
      </c>
      <c r="G758" s="18" t="s">
        <v>100</v>
      </c>
      <c r="H758" s="18" t="s">
        <v>101</v>
      </c>
      <c r="I758" s="18" t="s">
        <v>102</v>
      </c>
      <c r="J758" s="18" t="s">
        <v>237</v>
      </c>
      <c r="K758" s="18" t="s">
        <v>195</v>
      </c>
      <c r="L758" s="64" t="n">
        <v>1010.23190102016</v>
      </c>
      <c r="M758" s="64" t="n">
        <v>7.78</v>
      </c>
      <c r="N758" s="18" t="s">
        <v>948</v>
      </c>
      <c r="O758" s="65" t="n">
        <v>7859.6042</v>
      </c>
      <c r="P758" s="65" t="n">
        <v>7859.6042</v>
      </c>
      <c r="Q758" s="65" t="n">
        <v>0</v>
      </c>
      <c r="R758" s="65" t="s">
        <v>232</v>
      </c>
      <c r="S758" s="66" t="n">
        <f aca="false">Model_Calc!AQ130</f>
        <v>7859.60418993685</v>
      </c>
      <c r="T758" s="66" t="n">
        <f aca="false">ROUND(S758-O758,4)</f>
        <v>0</v>
      </c>
    </row>
    <row r="759" customFormat="false" ht="15" hidden="false" customHeight="false" outlineLevel="0" collapsed="false">
      <c r="A759" s="18" t="s">
        <v>200</v>
      </c>
      <c r="B759" s="18" t="s">
        <v>201</v>
      </c>
      <c r="C759" s="18"/>
      <c r="D759" s="49" t="n">
        <v>46023</v>
      </c>
      <c r="E759" s="18" t="s">
        <v>118</v>
      </c>
      <c r="F759" s="18" t="s">
        <v>119</v>
      </c>
      <c r="G759" s="18" t="s">
        <v>100</v>
      </c>
      <c r="H759" s="18" t="s">
        <v>101</v>
      </c>
      <c r="I759" s="18" t="s">
        <v>102</v>
      </c>
      <c r="J759" s="18" t="s">
        <v>239</v>
      </c>
      <c r="K759" s="18" t="s">
        <v>199</v>
      </c>
      <c r="L759" s="64" t="n">
        <v>824.6791028736</v>
      </c>
      <c r="M759" s="64" t="n">
        <v>9.05</v>
      </c>
      <c r="N759" s="18" t="s">
        <v>949</v>
      </c>
      <c r="O759" s="65" t="n">
        <v>7463.3459</v>
      </c>
      <c r="P759" s="65" t="n">
        <v>7463.3459</v>
      </c>
      <c r="Q759" s="65" t="n">
        <v>0</v>
      </c>
      <c r="R759" s="65" t="s">
        <v>232</v>
      </c>
      <c r="S759" s="66" t="n">
        <f aca="false">Model_Calc!AV130</f>
        <v>7463.34588100608</v>
      </c>
      <c r="T759" s="66" t="n">
        <f aca="false">ROUND(S759-O759,4)</f>
        <v>0</v>
      </c>
    </row>
    <row r="760" customFormat="false" ht="15" hidden="false" customHeight="false" outlineLevel="0" collapsed="false">
      <c r="A760" s="18" t="s">
        <v>200</v>
      </c>
      <c r="B760" s="18" t="s">
        <v>201</v>
      </c>
      <c r="C760" s="18"/>
      <c r="D760" s="49" t="n">
        <v>46023</v>
      </c>
      <c r="E760" s="18" t="s">
        <v>118</v>
      </c>
      <c r="F760" s="18" t="s">
        <v>119</v>
      </c>
      <c r="G760" s="18" t="s">
        <v>100</v>
      </c>
      <c r="H760" s="18" t="s">
        <v>101</v>
      </c>
      <c r="I760" s="18" t="s">
        <v>102</v>
      </c>
      <c r="J760" s="18" t="s">
        <v>241</v>
      </c>
      <c r="K760" s="18" t="s">
        <v>199</v>
      </c>
      <c r="L760" s="64" t="n">
        <v>124.143068751077</v>
      </c>
      <c r="M760" s="64" t="n">
        <v>9.05</v>
      </c>
      <c r="N760" s="18" t="s">
        <v>950</v>
      </c>
      <c r="O760" s="65" t="n">
        <v>1123.4948</v>
      </c>
      <c r="P760" s="65" t="n">
        <v>1123.4948</v>
      </c>
      <c r="Q760" s="65" t="n">
        <v>0</v>
      </c>
      <c r="R760" s="65" t="s">
        <v>232</v>
      </c>
      <c r="S760" s="66" t="n">
        <f aca="false">Model_Calc!BA130</f>
        <v>1123.49477219725</v>
      </c>
      <c r="T760" s="66" t="n">
        <f aca="false">ROUND(S760-O760,4)</f>
        <v>0</v>
      </c>
    </row>
    <row r="761" customFormat="false" ht="15" hidden="false" customHeight="false" outlineLevel="0" collapsed="false">
      <c r="A761" s="18" t="s">
        <v>200</v>
      </c>
      <c r="B761" s="18" t="s">
        <v>201</v>
      </c>
      <c r="C761" s="18"/>
      <c r="D761" s="49" t="n">
        <v>46023</v>
      </c>
      <c r="E761" s="18" t="s">
        <v>122</v>
      </c>
      <c r="F761" s="18" t="s">
        <v>119</v>
      </c>
      <c r="G761" s="18" t="s">
        <v>100</v>
      </c>
      <c r="H761" s="18" t="s">
        <v>107</v>
      </c>
      <c r="I761" s="18" t="s">
        <v>102</v>
      </c>
      <c r="J761" s="18" t="s">
        <v>230</v>
      </c>
      <c r="K761" s="18" t="s">
        <v>199</v>
      </c>
      <c r="L761" s="64" t="n">
        <v>4581.2503691136</v>
      </c>
      <c r="M761" s="64" t="n">
        <v>9.05</v>
      </c>
      <c r="N761" s="18" t="s">
        <v>951</v>
      </c>
      <c r="O761" s="65" t="n">
        <v>41460.3158</v>
      </c>
      <c r="P761" s="65" t="n">
        <v>41460.3158</v>
      </c>
      <c r="Q761" s="65" t="n">
        <v>0</v>
      </c>
      <c r="R761" s="65" t="s">
        <v>232</v>
      </c>
      <c r="S761" s="66" t="n">
        <f aca="false">Model_Calc!AF131</f>
        <v>41460.3158404781</v>
      </c>
      <c r="T761" s="66" t="n">
        <f aca="false">ROUND(S761-O761,4)</f>
        <v>0</v>
      </c>
    </row>
    <row r="762" customFormat="false" ht="15" hidden="false" customHeight="false" outlineLevel="0" collapsed="false">
      <c r="A762" s="18" t="s">
        <v>200</v>
      </c>
      <c r="B762" s="18" t="s">
        <v>201</v>
      </c>
      <c r="C762" s="18"/>
      <c r="D762" s="49" t="n">
        <v>46023</v>
      </c>
      <c r="E762" s="18" t="s">
        <v>122</v>
      </c>
      <c r="F762" s="18" t="s">
        <v>119</v>
      </c>
      <c r="G762" s="18" t="s">
        <v>100</v>
      </c>
      <c r="H762" s="18" t="s">
        <v>107</v>
      </c>
      <c r="I762" s="18" t="s">
        <v>102</v>
      </c>
      <c r="J762" s="18" t="s">
        <v>233</v>
      </c>
      <c r="K762" s="18" t="s">
        <v>199</v>
      </c>
      <c r="L762" s="64" t="n">
        <v>321.66225995904</v>
      </c>
      <c r="M762" s="64" t="n">
        <v>9.05</v>
      </c>
      <c r="N762" s="18" t="s">
        <v>952</v>
      </c>
      <c r="O762" s="65" t="n">
        <v>2911.0435</v>
      </c>
      <c r="P762" s="65" t="n">
        <v>2911.0435</v>
      </c>
      <c r="Q762" s="65" t="n">
        <v>0</v>
      </c>
      <c r="R762" s="65" t="s">
        <v>232</v>
      </c>
      <c r="S762" s="66" t="n">
        <f aca="false">Model_Calc!AG131</f>
        <v>2911.04345262931</v>
      </c>
      <c r="T762" s="66" t="n">
        <f aca="false">ROUND(S762-O762,4)</f>
        <v>0</v>
      </c>
    </row>
    <row r="763" customFormat="false" ht="15" hidden="false" customHeight="false" outlineLevel="0" collapsed="false">
      <c r="A763" s="18" t="s">
        <v>200</v>
      </c>
      <c r="B763" s="18" t="s">
        <v>201</v>
      </c>
      <c r="C763" s="18"/>
      <c r="D763" s="49" t="n">
        <v>46023</v>
      </c>
      <c r="E763" s="18" t="s">
        <v>122</v>
      </c>
      <c r="F763" s="18" t="s">
        <v>119</v>
      </c>
      <c r="G763" s="18" t="s">
        <v>100</v>
      </c>
      <c r="H763" s="18" t="s">
        <v>107</v>
      </c>
      <c r="I763" s="18" t="s">
        <v>102</v>
      </c>
      <c r="J763" s="18" t="s">
        <v>235</v>
      </c>
      <c r="K763" s="18" t="s">
        <v>195</v>
      </c>
      <c r="L763" s="64" t="n">
        <v>1021.8428064</v>
      </c>
      <c r="M763" s="64" t="n">
        <v>7.78</v>
      </c>
      <c r="N763" s="18" t="s">
        <v>953</v>
      </c>
      <c r="O763" s="65" t="n">
        <v>7949.937</v>
      </c>
      <c r="P763" s="65" t="n">
        <v>7949.937</v>
      </c>
      <c r="Q763" s="65" t="n">
        <v>0</v>
      </c>
      <c r="R763" s="65" t="s">
        <v>232</v>
      </c>
      <c r="S763" s="66" t="n">
        <f aca="false">Model_Calc!AL131</f>
        <v>7949.937033792</v>
      </c>
      <c r="T763" s="66" t="n">
        <f aca="false">ROUND(S763-O763,4)</f>
        <v>0</v>
      </c>
    </row>
    <row r="764" customFormat="false" ht="15" hidden="false" customHeight="false" outlineLevel="0" collapsed="false">
      <c r="A764" s="18" t="s">
        <v>200</v>
      </c>
      <c r="B764" s="18" t="s">
        <v>201</v>
      </c>
      <c r="C764" s="18"/>
      <c r="D764" s="49" t="n">
        <v>46023</v>
      </c>
      <c r="E764" s="18" t="s">
        <v>122</v>
      </c>
      <c r="F764" s="18" t="s">
        <v>119</v>
      </c>
      <c r="G764" s="18" t="s">
        <v>100</v>
      </c>
      <c r="H764" s="18" t="s">
        <v>107</v>
      </c>
      <c r="I764" s="18" t="s">
        <v>102</v>
      </c>
      <c r="J764" s="18" t="s">
        <v>237</v>
      </c>
      <c r="K764" s="18" t="s">
        <v>195</v>
      </c>
      <c r="L764" s="64" t="n">
        <v>407.351572992</v>
      </c>
      <c r="M764" s="64" t="n">
        <v>7.78</v>
      </c>
      <c r="N764" s="18" t="s">
        <v>954</v>
      </c>
      <c r="O764" s="65" t="n">
        <v>3169.1952</v>
      </c>
      <c r="P764" s="65" t="n">
        <v>3169.1952</v>
      </c>
      <c r="Q764" s="65" t="n">
        <v>0</v>
      </c>
      <c r="R764" s="65" t="s">
        <v>232</v>
      </c>
      <c r="S764" s="66" t="n">
        <f aca="false">Model_Calc!AQ131</f>
        <v>3169.19523787776</v>
      </c>
      <c r="T764" s="66" t="n">
        <f aca="false">ROUND(S764-O764,4)</f>
        <v>0</v>
      </c>
    </row>
    <row r="765" customFormat="false" ht="15" hidden="false" customHeight="false" outlineLevel="0" collapsed="false">
      <c r="A765" s="18" t="s">
        <v>200</v>
      </c>
      <c r="B765" s="18" t="s">
        <v>201</v>
      </c>
      <c r="C765" s="18"/>
      <c r="D765" s="49" t="n">
        <v>46023</v>
      </c>
      <c r="E765" s="18" t="s">
        <v>122</v>
      </c>
      <c r="F765" s="18" t="s">
        <v>119</v>
      </c>
      <c r="G765" s="18" t="s">
        <v>100</v>
      </c>
      <c r="H765" s="18" t="s">
        <v>107</v>
      </c>
      <c r="I765" s="18" t="s">
        <v>102</v>
      </c>
      <c r="J765" s="18" t="s">
        <v>239</v>
      </c>
      <c r="K765" s="18" t="s">
        <v>199</v>
      </c>
      <c r="L765" s="64" t="n">
        <v>332.53189632</v>
      </c>
      <c r="M765" s="64" t="n">
        <v>9.05</v>
      </c>
      <c r="N765" s="18" t="s">
        <v>955</v>
      </c>
      <c r="O765" s="65" t="n">
        <v>3009.4137</v>
      </c>
      <c r="P765" s="65" t="n">
        <v>3009.4137</v>
      </c>
      <c r="Q765" s="65" t="n">
        <v>0</v>
      </c>
      <c r="R765" s="65" t="s">
        <v>232</v>
      </c>
      <c r="S765" s="66" t="n">
        <f aca="false">Model_Calc!AV131</f>
        <v>3009.413661696</v>
      </c>
      <c r="T765" s="66" t="n">
        <f aca="false">ROUND(S765-O765,4)</f>
        <v>0</v>
      </c>
    </row>
    <row r="766" customFormat="false" ht="15" hidden="false" customHeight="false" outlineLevel="0" collapsed="false">
      <c r="A766" s="18" t="s">
        <v>200</v>
      </c>
      <c r="B766" s="18" t="s">
        <v>201</v>
      </c>
      <c r="C766" s="18"/>
      <c r="D766" s="49" t="n">
        <v>46023</v>
      </c>
      <c r="E766" s="18" t="s">
        <v>122</v>
      </c>
      <c r="F766" s="18" t="s">
        <v>119</v>
      </c>
      <c r="G766" s="18" t="s">
        <v>100</v>
      </c>
      <c r="H766" s="18" t="s">
        <v>107</v>
      </c>
      <c r="I766" s="18" t="s">
        <v>102</v>
      </c>
      <c r="J766" s="18" t="s">
        <v>241</v>
      </c>
      <c r="K766" s="18" t="s">
        <v>199</v>
      </c>
      <c r="L766" s="64" t="n">
        <v>38.6809415096832</v>
      </c>
      <c r="M766" s="64" t="n">
        <v>9.05</v>
      </c>
      <c r="N766" s="18" t="s">
        <v>956</v>
      </c>
      <c r="O766" s="65" t="n">
        <v>350.0625</v>
      </c>
      <c r="P766" s="65" t="n">
        <v>350.0625</v>
      </c>
      <c r="Q766" s="65" t="n">
        <v>0</v>
      </c>
      <c r="R766" s="65" t="s">
        <v>232</v>
      </c>
      <c r="S766" s="66" t="n">
        <f aca="false">Model_Calc!BA131</f>
        <v>350.062520662633</v>
      </c>
      <c r="T766" s="66" t="n">
        <f aca="false">ROUND(S766-O766,4)</f>
        <v>0</v>
      </c>
    </row>
    <row r="767" customFormat="false" ht="15" hidden="false" customHeight="false" outlineLevel="0" collapsed="false">
      <c r="A767" s="18" t="s">
        <v>200</v>
      </c>
      <c r="B767" s="18" t="s">
        <v>201</v>
      </c>
      <c r="C767" s="18"/>
      <c r="D767" s="49" t="n">
        <v>46023</v>
      </c>
      <c r="E767" s="18" t="s">
        <v>124</v>
      </c>
      <c r="F767" s="18" t="s">
        <v>119</v>
      </c>
      <c r="G767" s="18" t="s">
        <v>100</v>
      </c>
      <c r="H767" s="18" t="s">
        <v>107</v>
      </c>
      <c r="I767" s="18" t="s">
        <v>125</v>
      </c>
      <c r="J767" s="18" t="s">
        <v>230</v>
      </c>
      <c r="K767" s="18" t="s">
        <v>199</v>
      </c>
      <c r="L767" s="64" t="n">
        <v>2045.07016477231</v>
      </c>
      <c r="M767" s="64" t="n">
        <v>9.05</v>
      </c>
      <c r="N767" s="18" t="s">
        <v>957</v>
      </c>
      <c r="O767" s="65" t="n">
        <v>18507.885</v>
      </c>
      <c r="P767" s="65" t="n">
        <v>18507.885</v>
      </c>
      <c r="Q767" s="65" t="n">
        <v>0</v>
      </c>
      <c r="R767" s="65" t="s">
        <v>232</v>
      </c>
      <c r="S767" s="66" t="n">
        <f aca="false">Model_Calc!AF132</f>
        <v>18507.8849911894</v>
      </c>
      <c r="T767" s="66" t="n">
        <f aca="false">ROUND(S767-O767,4)</f>
        <v>0</v>
      </c>
    </row>
    <row r="768" customFormat="false" ht="15" hidden="false" customHeight="false" outlineLevel="0" collapsed="false">
      <c r="A768" s="18" t="s">
        <v>200</v>
      </c>
      <c r="B768" s="18" t="s">
        <v>201</v>
      </c>
      <c r="C768" s="18"/>
      <c r="D768" s="49" t="n">
        <v>46023</v>
      </c>
      <c r="E768" s="18" t="s">
        <v>124</v>
      </c>
      <c r="F768" s="18" t="s">
        <v>119</v>
      </c>
      <c r="G768" s="18" t="s">
        <v>100</v>
      </c>
      <c r="H768" s="18" t="s">
        <v>107</v>
      </c>
      <c r="I768" s="18" t="s">
        <v>125</v>
      </c>
      <c r="J768" s="18" t="s">
        <v>233</v>
      </c>
      <c r="K768" s="18" t="s">
        <v>199</v>
      </c>
      <c r="L768" s="64" t="n">
        <v>235.653435086713</v>
      </c>
      <c r="M768" s="64" t="n">
        <v>9.05</v>
      </c>
      <c r="N768" s="18" t="s">
        <v>958</v>
      </c>
      <c r="O768" s="65" t="n">
        <v>2132.6636</v>
      </c>
      <c r="P768" s="65" t="n">
        <v>2132.6636</v>
      </c>
      <c r="Q768" s="65" t="n">
        <v>0</v>
      </c>
      <c r="R768" s="65" t="s">
        <v>232</v>
      </c>
      <c r="S768" s="66" t="n">
        <f aca="false">Model_Calc!AG132</f>
        <v>2132.66358753476</v>
      </c>
      <c r="T768" s="66" t="n">
        <f aca="false">ROUND(S768-O768,4)</f>
        <v>0</v>
      </c>
    </row>
    <row r="769" customFormat="false" ht="15" hidden="false" customHeight="false" outlineLevel="0" collapsed="false">
      <c r="A769" s="18" t="s">
        <v>200</v>
      </c>
      <c r="B769" s="18" t="s">
        <v>201</v>
      </c>
      <c r="C769" s="18"/>
      <c r="D769" s="49" t="n">
        <v>46023</v>
      </c>
      <c r="E769" s="18" t="s">
        <v>124</v>
      </c>
      <c r="F769" s="18" t="s">
        <v>119</v>
      </c>
      <c r="G769" s="18" t="s">
        <v>100</v>
      </c>
      <c r="H769" s="18" t="s">
        <v>107</v>
      </c>
      <c r="I769" s="18" t="s">
        <v>125</v>
      </c>
      <c r="J769" s="18" t="s">
        <v>235</v>
      </c>
      <c r="K769" s="18" t="s">
        <v>195</v>
      </c>
      <c r="L769" s="64" t="n">
        <v>367.863410304</v>
      </c>
      <c r="M769" s="64" t="n">
        <v>7.78</v>
      </c>
      <c r="N769" s="18" t="s">
        <v>959</v>
      </c>
      <c r="O769" s="65" t="n">
        <v>2861.9773</v>
      </c>
      <c r="P769" s="65" t="n">
        <v>2861.9773</v>
      </c>
      <c r="Q769" s="65" t="n">
        <v>0</v>
      </c>
      <c r="R769" s="65" t="s">
        <v>232</v>
      </c>
      <c r="S769" s="66" t="n">
        <f aca="false">Model_Calc!AL132</f>
        <v>2861.97733216512</v>
      </c>
      <c r="T769" s="66" t="n">
        <f aca="false">ROUND(S769-O769,4)</f>
        <v>0</v>
      </c>
    </row>
    <row r="770" customFormat="false" ht="15" hidden="false" customHeight="false" outlineLevel="0" collapsed="false">
      <c r="A770" s="18" t="s">
        <v>200</v>
      </c>
      <c r="B770" s="18" t="s">
        <v>201</v>
      </c>
      <c r="C770" s="18"/>
      <c r="D770" s="49" t="n">
        <v>46023</v>
      </c>
      <c r="E770" s="18" t="s">
        <v>124</v>
      </c>
      <c r="F770" s="18" t="s">
        <v>119</v>
      </c>
      <c r="G770" s="18" t="s">
        <v>100</v>
      </c>
      <c r="H770" s="18" t="s">
        <v>107</v>
      </c>
      <c r="I770" s="18" t="s">
        <v>125</v>
      </c>
      <c r="J770" s="18" t="s">
        <v>237</v>
      </c>
      <c r="K770" s="18" t="s">
        <v>195</v>
      </c>
      <c r="L770" s="64" t="n">
        <v>146.64656627712</v>
      </c>
      <c r="M770" s="64" t="n">
        <v>7.78</v>
      </c>
      <c r="N770" s="18" t="s">
        <v>960</v>
      </c>
      <c r="O770" s="65" t="n">
        <v>1140.9103</v>
      </c>
      <c r="P770" s="65" t="n">
        <v>1140.9103</v>
      </c>
      <c r="Q770" s="65" t="n">
        <v>0</v>
      </c>
      <c r="R770" s="65" t="s">
        <v>232</v>
      </c>
      <c r="S770" s="66" t="n">
        <f aca="false">Model_Calc!AQ132</f>
        <v>1140.91028563599</v>
      </c>
      <c r="T770" s="66" t="n">
        <f aca="false">ROUND(S770-O770,4)</f>
        <v>0</v>
      </c>
    </row>
    <row r="771" customFormat="false" ht="15" hidden="false" customHeight="false" outlineLevel="0" collapsed="false">
      <c r="A771" s="18" t="s">
        <v>200</v>
      </c>
      <c r="B771" s="18" t="s">
        <v>201</v>
      </c>
      <c r="C771" s="18"/>
      <c r="D771" s="49" t="n">
        <v>46023</v>
      </c>
      <c r="E771" s="18" t="s">
        <v>124</v>
      </c>
      <c r="F771" s="18" t="s">
        <v>119</v>
      </c>
      <c r="G771" s="18" t="s">
        <v>100</v>
      </c>
      <c r="H771" s="18" t="s">
        <v>107</v>
      </c>
      <c r="I771" s="18" t="s">
        <v>125</v>
      </c>
      <c r="J771" s="18" t="s">
        <v>239</v>
      </c>
      <c r="K771" s="18" t="s">
        <v>199</v>
      </c>
      <c r="L771" s="64" t="n">
        <v>119.7114826752</v>
      </c>
      <c r="M771" s="64" t="n">
        <v>9.05</v>
      </c>
      <c r="N771" s="18" t="s">
        <v>961</v>
      </c>
      <c r="O771" s="65" t="n">
        <v>1083.3889</v>
      </c>
      <c r="P771" s="65" t="n">
        <v>1083.3889</v>
      </c>
      <c r="Q771" s="65" t="n">
        <v>0</v>
      </c>
      <c r="R771" s="65" t="s">
        <v>232</v>
      </c>
      <c r="S771" s="66" t="n">
        <f aca="false">Model_Calc!AV132</f>
        <v>1083.38891821056</v>
      </c>
      <c r="T771" s="66" t="n">
        <f aca="false">ROUND(S771-O771,4)</f>
        <v>0</v>
      </c>
    </row>
    <row r="772" customFormat="false" ht="15" hidden="false" customHeight="false" outlineLevel="0" collapsed="false">
      <c r="A772" s="18" t="s">
        <v>200</v>
      </c>
      <c r="B772" s="18" t="s">
        <v>201</v>
      </c>
      <c r="C772" s="18"/>
      <c r="D772" s="49" t="n">
        <v>46023</v>
      </c>
      <c r="E772" s="18" t="s">
        <v>124</v>
      </c>
      <c r="F772" s="18" t="s">
        <v>119</v>
      </c>
      <c r="G772" s="18" t="s">
        <v>100</v>
      </c>
      <c r="H772" s="18" t="s">
        <v>107</v>
      </c>
      <c r="I772" s="18" t="s">
        <v>125</v>
      </c>
      <c r="J772" s="18" t="s">
        <v>241</v>
      </c>
      <c r="K772" s="18" t="s">
        <v>199</v>
      </c>
      <c r="L772" s="64" t="n">
        <v>12.9635564588974</v>
      </c>
      <c r="M772" s="64" t="n">
        <v>9.05</v>
      </c>
      <c r="N772" s="18" t="s">
        <v>962</v>
      </c>
      <c r="O772" s="65" t="n">
        <v>117.3202</v>
      </c>
      <c r="P772" s="65" t="n">
        <v>117.3202</v>
      </c>
      <c r="Q772" s="65" t="n">
        <v>0</v>
      </c>
      <c r="R772" s="65" t="s">
        <v>232</v>
      </c>
      <c r="S772" s="66" t="n">
        <f aca="false">Model_Calc!BA132</f>
        <v>117.320185953022</v>
      </c>
      <c r="T772" s="66" t="n">
        <f aca="false">ROUND(S772-O772,4)</f>
        <v>0</v>
      </c>
    </row>
    <row r="773" customFormat="false" ht="15" hidden="false" customHeight="false" outlineLevel="0" collapsed="false">
      <c r="A773" s="18" t="s">
        <v>200</v>
      </c>
      <c r="B773" s="18" t="s">
        <v>201</v>
      </c>
      <c r="C773" s="18"/>
      <c r="D773" s="49" t="n">
        <v>46023</v>
      </c>
      <c r="E773" s="18" t="s">
        <v>127</v>
      </c>
      <c r="F773" s="18" t="s">
        <v>119</v>
      </c>
      <c r="G773" s="18" t="s">
        <v>100</v>
      </c>
      <c r="H773" s="18" t="s">
        <v>128</v>
      </c>
      <c r="I773" s="18" t="s">
        <v>125</v>
      </c>
      <c r="J773" s="18" t="s">
        <v>230</v>
      </c>
      <c r="K773" s="18" t="s">
        <v>199</v>
      </c>
      <c r="L773" s="64" t="n">
        <v>1076.10646968115</v>
      </c>
      <c r="M773" s="64" t="n">
        <v>9.05</v>
      </c>
      <c r="N773" s="18" t="s">
        <v>963</v>
      </c>
      <c r="O773" s="65" t="n">
        <v>9738.7636</v>
      </c>
      <c r="P773" s="65" t="n">
        <v>9738.7636</v>
      </c>
      <c r="Q773" s="65" t="n">
        <v>0</v>
      </c>
      <c r="R773" s="65" t="s">
        <v>232</v>
      </c>
      <c r="S773" s="66" t="n">
        <f aca="false">Model_Calc!AF133</f>
        <v>9738.76355061443</v>
      </c>
      <c r="T773" s="66" t="n">
        <f aca="false">ROUND(S773-O773,4)</f>
        <v>0</v>
      </c>
    </row>
    <row r="774" customFormat="false" ht="15" hidden="false" customHeight="false" outlineLevel="0" collapsed="false">
      <c r="A774" s="18" t="s">
        <v>200</v>
      </c>
      <c r="B774" s="18" t="s">
        <v>201</v>
      </c>
      <c r="C774" s="18"/>
      <c r="D774" s="49" t="n">
        <v>46023</v>
      </c>
      <c r="E774" s="18" t="s">
        <v>127</v>
      </c>
      <c r="F774" s="18" t="s">
        <v>119</v>
      </c>
      <c r="G774" s="18" t="s">
        <v>100</v>
      </c>
      <c r="H774" s="18" t="s">
        <v>128</v>
      </c>
      <c r="I774" s="18" t="s">
        <v>125</v>
      </c>
      <c r="J774" s="18" t="s">
        <v>233</v>
      </c>
      <c r="K774" s="18" t="s">
        <v>199</v>
      </c>
      <c r="L774" s="64" t="n">
        <v>83.2189003220091</v>
      </c>
      <c r="M774" s="64" t="n">
        <v>9.05</v>
      </c>
      <c r="N774" s="18" t="s">
        <v>964</v>
      </c>
      <c r="O774" s="65" t="n">
        <v>753.131</v>
      </c>
      <c r="P774" s="65" t="n">
        <v>753.131</v>
      </c>
      <c r="Q774" s="65" t="n">
        <v>0</v>
      </c>
      <c r="R774" s="65" t="s">
        <v>232</v>
      </c>
      <c r="S774" s="66" t="n">
        <f aca="false">Model_Calc!AG133</f>
        <v>753.131047914182</v>
      </c>
      <c r="T774" s="66" t="n">
        <f aca="false">ROUND(S774-O774,4)</f>
        <v>0</v>
      </c>
    </row>
    <row r="775" customFormat="false" ht="15" hidden="false" customHeight="false" outlineLevel="0" collapsed="false">
      <c r="A775" s="18" t="s">
        <v>200</v>
      </c>
      <c r="B775" s="18" t="s">
        <v>201</v>
      </c>
      <c r="C775" s="18"/>
      <c r="D775" s="49" t="n">
        <v>46023</v>
      </c>
      <c r="E775" s="18" t="s">
        <v>127</v>
      </c>
      <c r="F775" s="18" t="s">
        <v>119</v>
      </c>
      <c r="G775" s="18" t="s">
        <v>100</v>
      </c>
      <c r="H775" s="18" t="s">
        <v>128</v>
      </c>
      <c r="I775" s="18" t="s">
        <v>125</v>
      </c>
      <c r="J775" s="18" t="s">
        <v>235</v>
      </c>
      <c r="K775" s="18" t="s">
        <v>195</v>
      </c>
      <c r="L775" s="64" t="n">
        <v>163.494849024</v>
      </c>
      <c r="M775" s="64" t="n">
        <v>7.78</v>
      </c>
      <c r="N775" s="18" t="s">
        <v>965</v>
      </c>
      <c r="O775" s="65" t="n">
        <v>1271.9899</v>
      </c>
      <c r="P775" s="65" t="n">
        <v>1271.9899</v>
      </c>
      <c r="Q775" s="65" t="n">
        <v>0</v>
      </c>
      <c r="R775" s="65" t="s">
        <v>232</v>
      </c>
      <c r="S775" s="66" t="n">
        <f aca="false">Model_Calc!AL133</f>
        <v>1271.98992540672</v>
      </c>
      <c r="T775" s="66" t="n">
        <f aca="false">ROUND(S775-O775,4)</f>
        <v>0</v>
      </c>
    </row>
    <row r="776" customFormat="false" ht="15" hidden="false" customHeight="false" outlineLevel="0" collapsed="false">
      <c r="A776" s="18" t="s">
        <v>200</v>
      </c>
      <c r="B776" s="18" t="s">
        <v>201</v>
      </c>
      <c r="C776" s="18"/>
      <c r="D776" s="49" t="n">
        <v>46023</v>
      </c>
      <c r="E776" s="18" t="s">
        <v>127</v>
      </c>
      <c r="F776" s="18" t="s">
        <v>119</v>
      </c>
      <c r="G776" s="18" t="s">
        <v>100</v>
      </c>
      <c r="H776" s="18" t="s">
        <v>128</v>
      </c>
      <c r="I776" s="18" t="s">
        <v>125</v>
      </c>
      <c r="J776" s="18" t="s">
        <v>237</v>
      </c>
      <c r="K776" s="18" t="s">
        <v>195</v>
      </c>
      <c r="L776" s="64" t="n">
        <v>65.17625167872</v>
      </c>
      <c r="M776" s="64" t="n">
        <v>7.78</v>
      </c>
      <c r="N776" s="18" t="s">
        <v>966</v>
      </c>
      <c r="O776" s="65" t="n">
        <v>507.0712</v>
      </c>
      <c r="P776" s="65" t="n">
        <v>507.0712</v>
      </c>
      <c r="Q776" s="65" t="n">
        <v>0</v>
      </c>
      <c r="R776" s="65" t="s">
        <v>232</v>
      </c>
      <c r="S776" s="66" t="n">
        <f aca="false">Model_Calc!AQ133</f>
        <v>507.071238060442</v>
      </c>
      <c r="T776" s="66" t="n">
        <f aca="false">ROUND(S776-O776,4)</f>
        <v>0</v>
      </c>
    </row>
    <row r="777" customFormat="false" ht="15" hidden="false" customHeight="false" outlineLevel="0" collapsed="false">
      <c r="A777" s="18" t="s">
        <v>200</v>
      </c>
      <c r="B777" s="18" t="s">
        <v>201</v>
      </c>
      <c r="C777" s="18"/>
      <c r="D777" s="49" t="n">
        <v>46023</v>
      </c>
      <c r="E777" s="18" t="s">
        <v>127</v>
      </c>
      <c r="F777" s="18" t="s">
        <v>119</v>
      </c>
      <c r="G777" s="18" t="s">
        <v>100</v>
      </c>
      <c r="H777" s="18" t="s">
        <v>128</v>
      </c>
      <c r="I777" s="18" t="s">
        <v>125</v>
      </c>
      <c r="J777" s="18" t="s">
        <v>239</v>
      </c>
      <c r="K777" s="18" t="s">
        <v>199</v>
      </c>
      <c r="L777" s="64" t="n">
        <v>53.2051034112</v>
      </c>
      <c r="M777" s="64" t="n">
        <v>9.05</v>
      </c>
      <c r="N777" s="18" t="s">
        <v>967</v>
      </c>
      <c r="O777" s="65" t="n">
        <v>481.5062</v>
      </c>
      <c r="P777" s="65" t="n">
        <v>481.5062</v>
      </c>
      <c r="Q777" s="65" t="n">
        <v>0</v>
      </c>
      <c r="R777" s="65" t="s">
        <v>232</v>
      </c>
      <c r="S777" s="66" t="n">
        <f aca="false">Model_Calc!AV133</f>
        <v>481.50618587136</v>
      </c>
      <c r="T777" s="66" t="n">
        <f aca="false">ROUND(S777-O777,4)</f>
        <v>0</v>
      </c>
    </row>
    <row r="778" customFormat="false" ht="15" hidden="false" customHeight="false" outlineLevel="0" collapsed="false">
      <c r="A778" s="18" t="s">
        <v>200</v>
      </c>
      <c r="B778" s="18" t="s">
        <v>201</v>
      </c>
      <c r="C778" s="18"/>
      <c r="D778" s="49" t="n">
        <v>46023</v>
      </c>
      <c r="E778" s="18" t="s">
        <v>127</v>
      </c>
      <c r="F778" s="18" t="s">
        <v>119</v>
      </c>
      <c r="G778" s="18" t="s">
        <v>100</v>
      </c>
      <c r="H778" s="18" t="s">
        <v>128</v>
      </c>
      <c r="I778" s="18" t="s">
        <v>125</v>
      </c>
      <c r="J778" s="18" t="s">
        <v>241</v>
      </c>
      <c r="K778" s="18" t="s">
        <v>199</v>
      </c>
      <c r="L778" s="64" t="n">
        <v>5.12843991780557</v>
      </c>
      <c r="M778" s="64" t="n">
        <v>9.05</v>
      </c>
      <c r="N778" s="18" t="s">
        <v>968</v>
      </c>
      <c r="O778" s="65" t="n">
        <v>46.4124</v>
      </c>
      <c r="P778" s="65" t="n">
        <v>46.4124</v>
      </c>
      <c r="Q778" s="65" t="n">
        <v>0</v>
      </c>
      <c r="R778" s="65" t="s">
        <v>232</v>
      </c>
      <c r="S778" s="66" t="n">
        <f aca="false">Model_Calc!BA133</f>
        <v>46.4123812561404</v>
      </c>
      <c r="T778" s="66" t="n">
        <f aca="false">ROUND(S778-O778,4)</f>
        <v>0</v>
      </c>
    </row>
    <row r="779" customFormat="false" ht="15" hidden="false" customHeight="false" outlineLevel="0" collapsed="false">
      <c r="A779" s="18" t="s">
        <v>200</v>
      </c>
      <c r="B779" s="18" t="s">
        <v>201</v>
      </c>
      <c r="C779" s="18"/>
      <c r="D779" s="49" t="n">
        <v>46023</v>
      </c>
      <c r="E779" s="18" t="s">
        <v>130</v>
      </c>
      <c r="F779" s="18" t="s">
        <v>119</v>
      </c>
      <c r="G779" s="18" t="s">
        <v>110</v>
      </c>
      <c r="H779" s="18" t="s">
        <v>107</v>
      </c>
      <c r="I779" s="18" t="s">
        <v>125</v>
      </c>
      <c r="J779" s="18" t="s">
        <v>230</v>
      </c>
      <c r="K779" s="18" t="s">
        <v>195</v>
      </c>
      <c r="L779" s="64" t="n">
        <v>1005.8472861138</v>
      </c>
      <c r="M779" s="64" t="n">
        <v>7.78</v>
      </c>
      <c r="N779" s="18" t="s">
        <v>969</v>
      </c>
      <c r="O779" s="65" t="n">
        <v>7825.4919</v>
      </c>
      <c r="P779" s="65" t="n">
        <v>7825.4919</v>
      </c>
      <c r="Q779" s="65" t="n">
        <v>0</v>
      </c>
      <c r="R779" s="65" t="s">
        <v>232</v>
      </c>
      <c r="S779" s="66" t="n">
        <f aca="false">Model_Calc!AF134</f>
        <v>7825.49188596536</v>
      </c>
      <c r="T779" s="66" t="n">
        <f aca="false">ROUND(S779-O779,4)</f>
        <v>0</v>
      </c>
    </row>
    <row r="780" customFormat="false" ht="15" hidden="false" customHeight="false" outlineLevel="0" collapsed="false">
      <c r="A780" s="18" t="s">
        <v>200</v>
      </c>
      <c r="B780" s="18" t="s">
        <v>201</v>
      </c>
      <c r="C780" s="18"/>
      <c r="D780" s="49" t="n">
        <v>46023</v>
      </c>
      <c r="E780" s="18" t="s">
        <v>130</v>
      </c>
      <c r="F780" s="18" t="s">
        <v>119</v>
      </c>
      <c r="G780" s="18" t="s">
        <v>110</v>
      </c>
      <c r="H780" s="18" t="s">
        <v>107</v>
      </c>
      <c r="I780" s="18" t="s">
        <v>125</v>
      </c>
      <c r="J780" s="18" t="s">
        <v>233</v>
      </c>
      <c r="K780" s="18" t="s">
        <v>195</v>
      </c>
      <c r="L780" s="64" t="n">
        <v>105.825192972033</v>
      </c>
      <c r="M780" s="64" t="n">
        <v>7.78</v>
      </c>
      <c r="N780" s="18" t="s">
        <v>970</v>
      </c>
      <c r="O780" s="65" t="n">
        <v>823.32</v>
      </c>
      <c r="P780" s="65" t="n">
        <v>823.32</v>
      </c>
      <c r="Q780" s="65" t="n">
        <v>0</v>
      </c>
      <c r="R780" s="65" t="s">
        <v>232</v>
      </c>
      <c r="S780" s="66" t="n">
        <f aca="false">Model_Calc!AG134</f>
        <v>823.320001322416</v>
      </c>
      <c r="T780" s="66" t="n">
        <f aca="false">ROUND(S780-O780,4)</f>
        <v>0</v>
      </c>
    </row>
    <row r="781" customFormat="false" ht="15" hidden="false" customHeight="false" outlineLevel="0" collapsed="false">
      <c r="A781" s="18" t="s">
        <v>200</v>
      </c>
      <c r="B781" s="18" t="s">
        <v>201</v>
      </c>
      <c r="C781" s="18"/>
      <c r="D781" s="49" t="n">
        <v>46023</v>
      </c>
      <c r="E781" s="18" t="s">
        <v>130</v>
      </c>
      <c r="F781" s="18" t="s">
        <v>119</v>
      </c>
      <c r="G781" s="18" t="s">
        <v>110</v>
      </c>
      <c r="H781" s="18" t="s">
        <v>107</v>
      </c>
      <c r="I781" s="18" t="s">
        <v>125</v>
      </c>
      <c r="J781" s="18" t="s">
        <v>235</v>
      </c>
      <c r="K781" s="18" t="s">
        <v>195</v>
      </c>
      <c r="L781" s="64" t="n">
        <v>151.544484</v>
      </c>
      <c r="M781" s="64" t="n">
        <v>7.78</v>
      </c>
      <c r="N781" s="18" t="s">
        <v>971</v>
      </c>
      <c r="O781" s="65" t="n">
        <v>1179.0161</v>
      </c>
      <c r="P781" s="65" t="n">
        <v>1179.0161</v>
      </c>
      <c r="Q781" s="65" t="n">
        <v>0</v>
      </c>
      <c r="R781" s="65" t="s">
        <v>232</v>
      </c>
      <c r="S781" s="66" t="n">
        <f aca="false">Model_Calc!AL134</f>
        <v>1179.01608552</v>
      </c>
      <c r="T781" s="66" t="n">
        <f aca="false">ROUND(S781-O781,4)</f>
        <v>0</v>
      </c>
    </row>
    <row r="782" customFormat="false" ht="15" hidden="false" customHeight="false" outlineLevel="0" collapsed="false">
      <c r="A782" s="18" t="s">
        <v>200</v>
      </c>
      <c r="B782" s="18" t="s">
        <v>201</v>
      </c>
      <c r="C782" s="18"/>
      <c r="D782" s="49" t="n">
        <v>46023</v>
      </c>
      <c r="E782" s="18" t="s">
        <v>130</v>
      </c>
      <c r="F782" s="18" t="s">
        <v>119</v>
      </c>
      <c r="G782" s="18" t="s">
        <v>110</v>
      </c>
      <c r="H782" s="18" t="s">
        <v>107</v>
      </c>
      <c r="I782" s="18" t="s">
        <v>125</v>
      </c>
      <c r="J782" s="18" t="s">
        <v>237</v>
      </c>
      <c r="K782" s="18" t="s">
        <v>195</v>
      </c>
      <c r="L782" s="64" t="n">
        <v>63.07137096</v>
      </c>
      <c r="M782" s="64" t="n">
        <v>7.78</v>
      </c>
      <c r="N782" s="18" t="s">
        <v>972</v>
      </c>
      <c r="O782" s="65" t="n">
        <v>490.6953</v>
      </c>
      <c r="P782" s="65" t="n">
        <v>490.6953</v>
      </c>
      <c r="Q782" s="65" t="n">
        <v>0</v>
      </c>
      <c r="R782" s="65" t="s">
        <v>232</v>
      </c>
      <c r="S782" s="66" t="n">
        <f aca="false">Model_Calc!AQ134</f>
        <v>490.6952660688</v>
      </c>
      <c r="T782" s="66" t="n">
        <f aca="false">ROUND(S782-O782,4)</f>
        <v>0</v>
      </c>
    </row>
    <row r="783" customFormat="false" ht="15" hidden="false" customHeight="false" outlineLevel="0" collapsed="false">
      <c r="A783" s="18" t="s">
        <v>200</v>
      </c>
      <c r="B783" s="18" t="s">
        <v>201</v>
      </c>
      <c r="C783" s="18"/>
      <c r="D783" s="49" t="n">
        <v>46023</v>
      </c>
      <c r="E783" s="18" t="s">
        <v>130</v>
      </c>
      <c r="F783" s="18" t="s">
        <v>119</v>
      </c>
      <c r="G783" s="18" t="s">
        <v>110</v>
      </c>
      <c r="H783" s="18" t="s">
        <v>107</v>
      </c>
      <c r="I783" s="18" t="s">
        <v>125</v>
      </c>
      <c r="J783" s="18" t="s">
        <v>239</v>
      </c>
      <c r="K783" s="18" t="s">
        <v>195</v>
      </c>
      <c r="L783" s="64" t="n">
        <v>60.04048128</v>
      </c>
      <c r="M783" s="64" t="n">
        <v>7.78</v>
      </c>
      <c r="N783" s="18" t="s">
        <v>973</v>
      </c>
      <c r="O783" s="65" t="n">
        <v>467.1149</v>
      </c>
      <c r="P783" s="65" t="n">
        <v>467.1149</v>
      </c>
      <c r="Q783" s="65" t="n">
        <v>0</v>
      </c>
      <c r="R783" s="65" t="s">
        <v>232</v>
      </c>
      <c r="S783" s="66" t="n">
        <f aca="false">Model_Calc!AV134</f>
        <v>467.1149443584</v>
      </c>
      <c r="T783" s="66" t="n">
        <f aca="false">ROUND(S783-O783,4)</f>
        <v>0</v>
      </c>
    </row>
    <row r="784" customFormat="false" ht="15" hidden="false" customHeight="false" outlineLevel="0" collapsed="false">
      <c r="A784" s="18" t="s">
        <v>200</v>
      </c>
      <c r="B784" s="18" t="s">
        <v>201</v>
      </c>
      <c r="C784" s="18"/>
      <c r="D784" s="49" t="n">
        <v>46023</v>
      </c>
      <c r="E784" s="18" t="s">
        <v>130</v>
      </c>
      <c r="F784" s="18" t="s">
        <v>119</v>
      </c>
      <c r="G784" s="18" t="s">
        <v>110</v>
      </c>
      <c r="H784" s="18" t="s">
        <v>107</v>
      </c>
      <c r="I784" s="18" t="s">
        <v>125</v>
      </c>
      <c r="J784" s="18" t="s">
        <v>241</v>
      </c>
      <c r="K784" s="18" t="s">
        <v>195</v>
      </c>
      <c r="L784" s="64" t="n">
        <v>5.688373751424</v>
      </c>
      <c r="M784" s="64" t="n">
        <v>7.78</v>
      </c>
      <c r="N784" s="18" t="s">
        <v>974</v>
      </c>
      <c r="O784" s="65" t="n">
        <v>44.2555</v>
      </c>
      <c r="P784" s="65" t="n">
        <v>44.2555</v>
      </c>
      <c r="Q784" s="65" t="n">
        <v>0</v>
      </c>
      <c r="R784" s="65" t="s">
        <v>232</v>
      </c>
      <c r="S784" s="66" t="n">
        <f aca="false">Model_Calc!BA134</f>
        <v>44.2555477860787</v>
      </c>
      <c r="T784" s="66" t="n">
        <f aca="false">ROUND(S784-O784,4)</f>
        <v>0</v>
      </c>
    </row>
    <row r="785" customFormat="false" ht="15" hidden="false" customHeight="false" outlineLevel="0" collapsed="false">
      <c r="A785" s="18" t="s">
        <v>200</v>
      </c>
      <c r="B785" s="18" t="s">
        <v>201</v>
      </c>
      <c r="C785" s="18"/>
      <c r="D785" s="49" t="n">
        <v>46054</v>
      </c>
      <c r="E785" s="18" t="s">
        <v>98</v>
      </c>
      <c r="F785" s="18" t="s">
        <v>99</v>
      </c>
      <c r="G785" s="18" t="s">
        <v>100</v>
      </c>
      <c r="H785" s="18" t="s">
        <v>101</v>
      </c>
      <c r="I785" s="18" t="s">
        <v>102</v>
      </c>
      <c r="J785" s="18" t="s">
        <v>230</v>
      </c>
      <c r="K785" s="18" t="s">
        <v>195</v>
      </c>
      <c r="L785" s="64" t="n">
        <v>5998.59937295126</v>
      </c>
      <c r="M785" s="64" t="n">
        <v>7.76</v>
      </c>
      <c r="N785" s="18" t="s">
        <v>975</v>
      </c>
      <c r="O785" s="65" t="n">
        <v>46549.1311</v>
      </c>
      <c r="P785" s="65" t="n">
        <v>46549.1311</v>
      </c>
      <c r="Q785" s="65" t="n">
        <v>0</v>
      </c>
      <c r="R785" s="65" t="s">
        <v>232</v>
      </c>
      <c r="S785" s="66" t="n">
        <f aca="false">Model_Calc!AF135</f>
        <v>46549.1311341018</v>
      </c>
      <c r="T785" s="66" t="n">
        <f aca="false">ROUND(S785-O785,4)</f>
        <v>0</v>
      </c>
    </row>
    <row r="786" customFormat="false" ht="15" hidden="false" customHeight="false" outlineLevel="0" collapsed="false">
      <c r="A786" s="18" t="s">
        <v>200</v>
      </c>
      <c r="B786" s="18" t="s">
        <v>201</v>
      </c>
      <c r="C786" s="18"/>
      <c r="D786" s="49" t="n">
        <v>46054</v>
      </c>
      <c r="E786" s="18" t="s">
        <v>98</v>
      </c>
      <c r="F786" s="18" t="s">
        <v>99</v>
      </c>
      <c r="G786" s="18" t="s">
        <v>100</v>
      </c>
      <c r="H786" s="18" t="s">
        <v>101</v>
      </c>
      <c r="I786" s="18" t="s">
        <v>102</v>
      </c>
      <c r="J786" s="18" t="s">
        <v>233</v>
      </c>
      <c r="K786" s="18" t="s">
        <v>195</v>
      </c>
      <c r="L786" s="64" t="n">
        <v>572.146408192092</v>
      </c>
      <c r="M786" s="64" t="n">
        <v>7.76</v>
      </c>
      <c r="N786" s="18" t="s">
        <v>976</v>
      </c>
      <c r="O786" s="65" t="n">
        <v>4439.8561</v>
      </c>
      <c r="P786" s="65" t="n">
        <v>4439.8561</v>
      </c>
      <c r="Q786" s="65" t="n">
        <v>0</v>
      </c>
      <c r="R786" s="65" t="s">
        <v>232</v>
      </c>
      <c r="S786" s="66" t="n">
        <f aca="false">Model_Calc!AG135</f>
        <v>4439.85612757063</v>
      </c>
      <c r="T786" s="66" t="n">
        <f aca="false">ROUND(S786-O786,4)</f>
        <v>0</v>
      </c>
    </row>
    <row r="787" customFormat="false" ht="15" hidden="false" customHeight="false" outlineLevel="0" collapsed="false">
      <c r="A787" s="18" t="s">
        <v>200</v>
      </c>
      <c r="B787" s="18" t="s">
        <v>201</v>
      </c>
      <c r="C787" s="18"/>
      <c r="D787" s="49" t="n">
        <v>46054</v>
      </c>
      <c r="E787" s="18" t="s">
        <v>98</v>
      </c>
      <c r="F787" s="18" t="s">
        <v>99</v>
      </c>
      <c r="G787" s="18" t="s">
        <v>100</v>
      </c>
      <c r="H787" s="18" t="s">
        <v>101</v>
      </c>
      <c r="I787" s="18" t="s">
        <v>102</v>
      </c>
      <c r="J787" s="18" t="s">
        <v>235</v>
      </c>
      <c r="K787" s="18" t="s">
        <v>195</v>
      </c>
      <c r="L787" s="64" t="n">
        <v>3905.0369111808</v>
      </c>
      <c r="M787" s="64" t="n">
        <v>7.76</v>
      </c>
      <c r="N787" s="18" t="s">
        <v>977</v>
      </c>
      <c r="O787" s="65" t="n">
        <v>30303.0864</v>
      </c>
      <c r="P787" s="65" t="n">
        <v>30303.0864</v>
      </c>
      <c r="Q787" s="65" t="n">
        <v>0</v>
      </c>
      <c r="R787" s="65" t="s">
        <v>232</v>
      </c>
      <c r="S787" s="66" t="n">
        <f aca="false">Model_Calc!AL135</f>
        <v>30303.086430763</v>
      </c>
      <c r="T787" s="66" t="n">
        <f aca="false">ROUND(S787-O787,4)</f>
        <v>0</v>
      </c>
    </row>
    <row r="788" customFormat="false" ht="15" hidden="false" customHeight="false" outlineLevel="0" collapsed="false">
      <c r="A788" s="18" t="s">
        <v>200</v>
      </c>
      <c r="B788" s="18" t="s">
        <v>201</v>
      </c>
      <c r="C788" s="18"/>
      <c r="D788" s="49" t="n">
        <v>46054</v>
      </c>
      <c r="E788" s="18" t="s">
        <v>98</v>
      </c>
      <c r="F788" s="18" t="s">
        <v>99</v>
      </c>
      <c r="G788" s="18" t="s">
        <v>100</v>
      </c>
      <c r="H788" s="18" t="s">
        <v>101</v>
      </c>
      <c r="I788" s="18" t="s">
        <v>102</v>
      </c>
      <c r="J788" s="18" t="s">
        <v>237</v>
      </c>
      <c r="K788" s="18" t="s">
        <v>195</v>
      </c>
      <c r="L788" s="64" t="n">
        <v>1460.88423653268</v>
      </c>
      <c r="M788" s="64" t="n">
        <v>7.76</v>
      </c>
      <c r="N788" s="18" t="s">
        <v>978</v>
      </c>
      <c r="O788" s="65" t="n">
        <v>11336.4617</v>
      </c>
      <c r="P788" s="65" t="n">
        <v>11336.4617</v>
      </c>
      <c r="Q788" s="65" t="n">
        <v>0</v>
      </c>
      <c r="R788" s="65" t="s">
        <v>232</v>
      </c>
      <c r="S788" s="66" t="n">
        <f aca="false">Model_Calc!AQ135</f>
        <v>11336.4616754936</v>
      </c>
      <c r="T788" s="66" t="n">
        <f aca="false">ROUND(S788-O788,4)</f>
        <v>0</v>
      </c>
    </row>
    <row r="789" customFormat="false" ht="15" hidden="false" customHeight="false" outlineLevel="0" collapsed="false">
      <c r="A789" s="18" t="s">
        <v>200</v>
      </c>
      <c r="B789" s="18" t="s">
        <v>201</v>
      </c>
      <c r="C789" s="18"/>
      <c r="D789" s="49" t="n">
        <v>46054</v>
      </c>
      <c r="E789" s="18" t="s">
        <v>98</v>
      </c>
      <c r="F789" s="18" t="s">
        <v>99</v>
      </c>
      <c r="G789" s="18" t="s">
        <v>100</v>
      </c>
      <c r="H789" s="18" t="s">
        <v>101</v>
      </c>
      <c r="I789" s="18" t="s">
        <v>102</v>
      </c>
      <c r="J789" s="18" t="s">
        <v>239</v>
      </c>
      <c r="K789" s="18" t="s">
        <v>195</v>
      </c>
      <c r="L789" s="64" t="n">
        <v>529.4965303296</v>
      </c>
      <c r="M789" s="64" t="n">
        <v>7.76</v>
      </c>
      <c r="N789" s="18" t="s">
        <v>979</v>
      </c>
      <c r="O789" s="65" t="n">
        <v>4108.8931</v>
      </c>
      <c r="P789" s="65" t="n">
        <v>4108.8931</v>
      </c>
      <c r="Q789" s="65" t="n">
        <v>0</v>
      </c>
      <c r="R789" s="65" t="s">
        <v>232</v>
      </c>
      <c r="S789" s="66" t="n">
        <f aca="false">Model_Calc!AV135</f>
        <v>4108.8930753577</v>
      </c>
      <c r="T789" s="66" t="n">
        <f aca="false">ROUND(S789-O789,4)</f>
        <v>0</v>
      </c>
    </row>
    <row r="790" customFormat="false" ht="15" hidden="false" customHeight="false" outlineLevel="0" collapsed="false">
      <c r="A790" s="18" t="s">
        <v>200</v>
      </c>
      <c r="B790" s="18" t="s">
        <v>201</v>
      </c>
      <c r="C790" s="18"/>
      <c r="D790" s="49" t="n">
        <v>46054</v>
      </c>
      <c r="E790" s="18" t="s">
        <v>98</v>
      </c>
      <c r="F790" s="18" t="s">
        <v>99</v>
      </c>
      <c r="G790" s="18" t="s">
        <v>100</v>
      </c>
      <c r="H790" s="18" t="s">
        <v>101</v>
      </c>
      <c r="I790" s="18" t="s">
        <v>102</v>
      </c>
      <c r="J790" s="18" t="s">
        <v>241</v>
      </c>
      <c r="K790" s="18" t="s">
        <v>195</v>
      </c>
      <c r="L790" s="64" t="n">
        <v>130.561311196406</v>
      </c>
      <c r="M790" s="64" t="n">
        <v>7.76</v>
      </c>
      <c r="N790" s="18" t="s">
        <v>980</v>
      </c>
      <c r="O790" s="65" t="n">
        <v>1013.1558</v>
      </c>
      <c r="P790" s="65" t="n">
        <v>1013.1558</v>
      </c>
      <c r="Q790" s="65" t="n">
        <v>0</v>
      </c>
      <c r="R790" s="65" t="s">
        <v>232</v>
      </c>
      <c r="S790" s="66" t="n">
        <f aca="false">Model_Calc!BA135</f>
        <v>1013.15577488411</v>
      </c>
      <c r="T790" s="66" t="n">
        <f aca="false">ROUND(S790-O790,4)</f>
        <v>0</v>
      </c>
    </row>
    <row r="791" customFormat="false" ht="15" hidden="false" customHeight="false" outlineLevel="0" collapsed="false">
      <c r="A791" s="18" t="s">
        <v>200</v>
      </c>
      <c r="B791" s="18" t="s">
        <v>201</v>
      </c>
      <c r="C791" s="18"/>
      <c r="D791" s="49" t="n">
        <v>46054</v>
      </c>
      <c r="E791" s="18" t="s">
        <v>106</v>
      </c>
      <c r="F791" s="18" t="s">
        <v>99</v>
      </c>
      <c r="G791" s="18" t="s">
        <v>100</v>
      </c>
      <c r="H791" s="18" t="s">
        <v>107</v>
      </c>
      <c r="I791" s="18" t="s">
        <v>102</v>
      </c>
      <c r="J791" s="18" t="s">
        <v>230</v>
      </c>
      <c r="K791" s="18" t="s">
        <v>195</v>
      </c>
      <c r="L791" s="64" t="n">
        <v>5127.00801106946</v>
      </c>
      <c r="M791" s="64" t="n">
        <v>7.76</v>
      </c>
      <c r="N791" s="18" t="s">
        <v>981</v>
      </c>
      <c r="O791" s="65" t="n">
        <v>39785.5822</v>
      </c>
      <c r="P791" s="65" t="n">
        <v>39785.5822</v>
      </c>
      <c r="Q791" s="65" t="n">
        <v>0</v>
      </c>
      <c r="R791" s="65" t="s">
        <v>232</v>
      </c>
      <c r="S791" s="66" t="n">
        <f aca="false">Model_Calc!AF136</f>
        <v>39785.582165899</v>
      </c>
      <c r="T791" s="66" t="n">
        <f aca="false">ROUND(S791-O791,4)</f>
        <v>0</v>
      </c>
    </row>
    <row r="792" customFormat="false" ht="15" hidden="false" customHeight="false" outlineLevel="0" collapsed="false">
      <c r="A792" s="18" t="s">
        <v>200</v>
      </c>
      <c r="B792" s="18" t="s">
        <v>201</v>
      </c>
      <c r="C792" s="18"/>
      <c r="D792" s="49" t="n">
        <v>46054</v>
      </c>
      <c r="E792" s="18" t="s">
        <v>106</v>
      </c>
      <c r="F792" s="18" t="s">
        <v>99</v>
      </c>
      <c r="G792" s="18" t="s">
        <v>100</v>
      </c>
      <c r="H792" s="18" t="s">
        <v>107</v>
      </c>
      <c r="I792" s="18" t="s">
        <v>102</v>
      </c>
      <c r="J792" s="18" t="s">
        <v>233</v>
      </c>
      <c r="K792" s="18" t="s">
        <v>195</v>
      </c>
      <c r="L792" s="64" t="n">
        <v>391.516975390759</v>
      </c>
      <c r="M792" s="64" t="n">
        <v>7.76</v>
      </c>
      <c r="N792" s="18" t="s">
        <v>982</v>
      </c>
      <c r="O792" s="65" t="n">
        <v>3038.1717</v>
      </c>
      <c r="P792" s="65" t="n">
        <v>3038.1717</v>
      </c>
      <c r="Q792" s="65" t="n">
        <v>0</v>
      </c>
      <c r="R792" s="65" t="s">
        <v>232</v>
      </c>
      <c r="S792" s="66" t="n">
        <f aca="false">Model_Calc!AG136</f>
        <v>3038.17172903229</v>
      </c>
      <c r="T792" s="66" t="n">
        <f aca="false">ROUND(S792-O792,4)</f>
        <v>0</v>
      </c>
    </row>
    <row r="793" customFormat="false" ht="15" hidden="false" customHeight="false" outlineLevel="0" collapsed="false">
      <c r="A793" s="18" t="s">
        <v>200</v>
      </c>
      <c r="B793" s="18" t="s">
        <v>201</v>
      </c>
      <c r="C793" s="18"/>
      <c r="D793" s="49" t="n">
        <v>46054</v>
      </c>
      <c r="E793" s="18" t="s">
        <v>106</v>
      </c>
      <c r="F793" s="18" t="s">
        <v>99</v>
      </c>
      <c r="G793" s="18" t="s">
        <v>100</v>
      </c>
      <c r="H793" s="18" t="s">
        <v>107</v>
      </c>
      <c r="I793" s="18" t="s">
        <v>102</v>
      </c>
      <c r="J793" s="18" t="s">
        <v>235</v>
      </c>
      <c r="K793" s="18" t="s">
        <v>195</v>
      </c>
      <c r="L793" s="64" t="n">
        <v>2603.3579407872</v>
      </c>
      <c r="M793" s="64" t="n">
        <v>7.76</v>
      </c>
      <c r="N793" s="18" t="s">
        <v>983</v>
      </c>
      <c r="O793" s="65" t="n">
        <v>20202.0576</v>
      </c>
      <c r="P793" s="65" t="n">
        <v>20202.0576</v>
      </c>
      <c r="Q793" s="65" t="n">
        <v>0</v>
      </c>
      <c r="R793" s="65" t="s">
        <v>232</v>
      </c>
      <c r="S793" s="66" t="n">
        <f aca="false">Model_Calc!AL136</f>
        <v>20202.0576205087</v>
      </c>
      <c r="T793" s="66" t="n">
        <f aca="false">ROUND(S793-O793,4)</f>
        <v>0</v>
      </c>
    </row>
    <row r="794" customFormat="false" ht="15" hidden="false" customHeight="false" outlineLevel="0" collapsed="false">
      <c r="A794" s="18" t="s">
        <v>200</v>
      </c>
      <c r="B794" s="18" t="s">
        <v>201</v>
      </c>
      <c r="C794" s="18"/>
      <c r="D794" s="49" t="n">
        <v>46054</v>
      </c>
      <c r="E794" s="18" t="s">
        <v>106</v>
      </c>
      <c r="F794" s="18" t="s">
        <v>99</v>
      </c>
      <c r="G794" s="18" t="s">
        <v>100</v>
      </c>
      <c r="H794" s="18" t="s">
        <v>107</v>
      </c>
      <c r="I794" s="18" t="s">
        <v>102</v>
      </c>
      <c r="J794" s="18" t="s">
        <v>237</v>
      </c>
      <c r="K794" s="18" t="s">
        <v>195</v>
      </c>
      <c r="L794" s="64" t="n">
        <v>973.922824355121</v>
      </c>
      <c r="M794" s="64" t="n">
        <v>7.76</v>
      </c>
      <c r="N794" s="18" t="s">
        <v>984</v>
      </c>
      <c r="O794" s="65" t="n">
        <v>7557.6411</v>
      </c>
      <c r="P794" s="65" t="n">
        <v>7557.6411</v>
      </c>
      <c r="Q794" s="65" t="n">
        <v>0</v>
      </c>
      <c r="R794" s="65" t="s">
        <v>232</v>
      </c>
      <c r="S794" s="66" t="n">
        <f aca="false">Model_Calc!AQ136</f>
        <v>7557.64111699574</v>
      </c>
      <c r="T794" s="66" t="n">
        <f aca="false">ROUND(S794-O794,4)</f>
        <v>0</v>
      </c>
    </row>
    <row r="795" customFormat="false" ht="15" hidden="false" customHeight="false" outlineLevel="0" collapsed="false">
      <c r="A795" s="18" t="s">
        <v>200</v>
      </c>
      <c r="B795" s="18" t="s">
        <v>201</v>
      </c>
      <c r="C795" s="18"/>
      <c r="D795" s="49" t="n">
        <v>46054</v>
      </c>
      <c r="E795" s="18" t="s">
        <v>106</v>
      </c>
      <c r="F795" s="18" t="s">
        <v>99</v>
      </c>
      <c r="G795" s="18" t="s">
        <v>100</v>
      </c>
      <c r="H795" s="18" t="s">
        <v>107</v>
      </c>
      <c r="I795" s="18" t="s">
        <v>102</v>
      </c>
      <c r="J795" s="18" t="s">
        <v>239</v>
      </c>
      <c r="K795" s="18" t="s">
        <v>195</v>
      </c>
      <c r="L795" s="64" t="n">
        <v>352.9976868864</v>
      </c>
      <c r="M795" s="64" t="n">
        <v>7.76</v>
      </c>
      <c r="N795" s="18" t="s">
        <v>985</v>
      </c>
      <c r="O795" s="65" t="n">
        <v>2739.2621</v>
      </c>
      <c r="P795" s="65" t="n">
        <v>2739.2621</v>
      </c>
      <c r="Q795" s="65" t="n">
        <v>0</v>
      </c>
      <c r="R795" s="65" t="s">
        <v>232</v>
      </c>
      <c r="S795" s="66" t="n">
        <f aca="false">Model_Calc!AV136</f>
        <v>2739.26205023846</v>
      </c>
      <c r="T795" s="66" t="n">
        <f aca="false">ROUND(S795-O795,4)</f>
        <v>0</v>
      </c>
    </row>
    <row r="796" customFormat="false" ht="15" hidden="false" customHeight="false" outlineLevel="0" collapsed="false">
      <c r="A796" s="18" t="s">
        <v>200</v>
      </c>
      <c r="B796" s="18" t="s">
        <v>201</v>
      </c>
      <c r="C796" s="18"/>
      <c r="D796" s="49" t="n">
        <v>46054</v>
      </c>
      <c r="E796" s="18" t="s">
        <v>106</v>
      </c>
      <c r="F796" s="18" t="s">
        <v>99</v>
      </c>
      <c r="G796" s="18" t="s">
        <v>100</v>
      </c>
      <c r="H796" s="18" t="s">
        <v>107</v>
      </c>
      <c r="I796" s="18" t="s">
        <v>102</v>
      </c>
      <c r="J796" s="18" t="s">
        <v>241</v>
      </c>
      <c r="K796" s="18" t="s">
        <v>195</v>
      </c>
      <c r="L796" s="64" t="n">
        <v>70.7207102313868</v>
      </c>
      <c r="M796" s="64" t="n">
        <v>7.76</v>
      </c>
      <c r="N796" s="18" t="s">
        <v>986</v>
      </c>
      <c r="O796" s="65" t="n">
        <v>548.7927</v>
      </c>
      <c r="P796" s="65" t="n">
        <v>548.7927</v>
      </c>
      <c r="Q796" s="65" t="n">
        <v>0</v>
      </c>
      <c r="R796" s="65" t="s">
        <v>232</v>
      </c>
      <c r="S796" s="66" t="n">
        <f aca="false">Model_Calc!BA136</f>
        <v>548.792711395562</v>
      </c>
      <c r="T796" s="66" t="n">
        <f aca="false">ROUND(S796-O796,4)</f>
        <v>0</v>
      </c>
    </row>
    <row r="797" customFormat="false" ht="15" hidden="false" customHeight="false" outlineLevel="0" collapsed="false">
      <c r="A797" s="18" t="s">
        <v>200</v>
      </c>
      <c r="B797" s="18" t="s">
        <v>201</v>
      </c>
      <c r="C797" s="18"/>
      <c r="D797" s="49" t="n">
        <v>46054</v>
      </c>
      <c r="E797" s="18" t="s">
        <v>109</v>
      </c>
      <c r="F797" s="18" t="s">
        <v>99</v>
      </c>
      <c r="G797" s="18" t="s">
        <v>110</v>
      </c>
      <c r="H797" s="18" t="s">
        <v>107</v>
      </c>
      <c r="I797" s="18" t="s">
        <v>102</v>
      </c>
      <c r="J797" s="18" t="s">
        <v>230</v>
      </c>
      <c r="K797" s="18" t="s">
        <v>195</v>
      </c>
      <c r="L797" s="64" t="n">
        <v>525.990247497936</v>
      </c>
      <c r="M797" s="64" t="n">
        <v>7.76</v>
      </c>
      <c r="N797" s="18" t="s">
        <v>987</v>
      </c>
      <c r="O797" s="65" t="n">
        <v>4081.6843</v>
      </c>
      <c r="P797" s="65" t="n">
        <v>4081.6843</v>
      </c>
      <c r="Q797" s="65" t="n">
        <v>0</v>
      </c>
      <c r="R797" s="65" t="s">
        <v>232</v>
      </c>
      <c r="S797" s="66" t="n">
        <f aca="false">Model_Calc!AF137</f>
        <v>4081.68432058398</v>
      </c>
      <c r="T797" s="66" t="n">
        <f aca="false">ROUND(S797-O797,4)</f>
        <v>0</v>
      </c>
    </row>
    <row r="798" customFormat="false" ht="15" hidden="false" customHeight="false" outlineLevel="0" collapsed="false">
      <c r="A798" s="18" t="s">
        <v>200</v>
      </c>
      <c r="B798" s="18" t="s">
        <v>201</v>
      </c>
      <c r="C798" s="18"/>
      <c r="D798" s="49" t="n">
        <v>46054</v>
      </c>
      <c r="E798" s="18" t="s">
        <v>109</v>
      </c>
      <c r="F798" s="18" t="s">
        <v>99</v>
      </c>
      <c r="G798" s="18" t="s">
        <v>110</v>
      </c>
      <c r="H798" s="18" t="s">
        <v>107</v>
      </c>
      <c r="I798" s="18" t="s">
        <v>102</v>
      </c>
      <c r="J798" s="18" t="s">
        <v>233</v>
      </c>
      <c r="K798" s="18" t="s">
        <v>195</v>
      </c>
      <c r="L798" s="64" t="n">
        <v>38.2538361816681</v>
      </c>
      <c r="M798" s="64" t="n">
        <v>7.76</v>
      </c>
      <c r="N798" s="18" t="s">
        <v>988</v>
      </c>
      <c r="O798" s="65" t="n">
        <v>296.8498</v>
      </c>
      <c r="P798" s="65" t="n">
        <v>296.8498</v>
      </c>
      <c r="Q798" s="65" t="n">
        <v>0</v>
      </c>
      <c r="R798" s="65" t="s">
        <v>232</v>
      </c>
      <c r="S798" s="66" t="n">
        <f aca="false">Model_Calc!AG137</f>
        <v>296.849768769744</v>
      </c>
      <c r="T798" s="66" t="n">
        <f aca="false">ROUND(S798-O798,4)</f>
        <v>0</v>
      </c>
    </row>
    <row r="799" customFormat="false" ht="15" hidden="false" customHeight="false" outlineLevel="0" collapsed="false">
      <c r="A799" s="18" t="s">
        <v>200</v>
      </c>
      <c r="B799" s="18" t="s">
        <v>201</v>
      </c>
      <c r="C799" s="18"/>
      <c r="D799" s="49" t="n">
        <v>46054</v>
      </c>
      <c r="E799" s="18" t="s">
        <v>109</v>
      </c>
      <c r="F799" s="18" t="s">
        <v>99</v>
      </c>
      <c r="G799" s="18" t="s">
        <v>110</v>
      </c>
      <c r="H799" s="18" t="s">
        <v>107</v>
      </c>
      <c r="I799" s="18" t="s">
        <v>102</v>
      </c>
      <c r="J799" s="18" t="s">
        <v>235</v>
      </c>
      <c r="K799" s="18" t="s">
        <v>195</v>
      </c>
      <c r="L799" s="64" t="n">
        <v>179.11448352</v>
      </c>
      <c r="M799" s="64" t="n">
        <v>7.76</v>
      </c>
      <c r="N799" s="18" t="s">
        <v>989</v>
      </c>
      <c r="O799" s="65" t="n">
        <v>1389.9284</v>
      </c>
      <c r="P799" s="65" t="n">
        <v>1389.9284</v>
      </c>
      <c r="Q799" s="65" t="n">
        <v>0</v>
      </c>
      <c r="R799" s="65" t="s">
        <v>232</v>
      </c>
      <c r="S799" s="66" t="n">
        <f aca="false">Model_Calc!AL137</f>
        <v>1389.9283921152</v>
      </c>
      <c r="T799" s="66" t="n">
        <f aca="false">ROUND(S799-O799,4)</f>
        <v>0</v>
      </c>
    </row>
    <row r="800" customFormat="false" ht="15" hidden="false" customHeight="false" outlineLevel="0" collapsed="false">
      <c r="A800" s="18" t="s">
        <v>200</v>
      </c>
      <c r="B800" s="18" t="s">
        <v>201</v>
      </c>
      <c r="C800" s="18"/>
      <c r="D800" s="49" t="n">
        <v>46054</v>
      </c>
      <c r="E800" s="18" t="s">
        <v>109</v>
      </c>
      <c r="F800" s="18" t="s">
        <v>99</v>
      </c>
      <c r="G800" s="18" t="s">
        <v>110</v>
      </c>
      <c r="H800" s="18" t="s">
        <v>107</v>
      </c>
      <c r="I800" s="18" t="s">
        <v>102</v>
      </c>
      <c r="J800" s="18" t="s">
        <v>237</v>
      </c>
      <c r="K800" s="18" t="s">
        <v>195</v>
      </c>
      <c r="L800" s="64" t="n">
        <v>70.078183448233</v>
      </c>
      <c r="M800" s="64" t="n">
        <v>7.76</v>
      </c>
      <c r="N800" s="18" t="s">
        <v>990</v>
      </c>
      <c r="O800" s="65" t="n">
        <v>543.8067</v>
      </c>
      <c r="P800" s="65" t="n">
        <v>543.8067</v>
      </c>
      <c r="Q800" s="65" t="n">
        <v>0</v>
      </c>
      <c r="R800" s="65" t="s">
        <v>232</v>
      </c>
      <c r="S800" s="66" t="n">
        <f aca="false">Model_Calc!AQ137</f>
        <v>543.806703558288</v>
      </c>
      <c r="T800" s="66" t="n">
        <f aca="false">ROUND(S800-O800,4)</f>
        <v>0</v>
      </c>
    </row>
    <row r="801" customFormat="false" ht="15" hidden="false" customHeight="false" outlineLevel="0" collapsed="false">
      <c r="A801" s="18" t="s">
        <v>200</v>
      </c>
      <c r="B801" s="18" t="s">
        <v>201</v>
      </c>
      <c r="C801" s="18"/>
      <c r="D801" s="49" t="n">
        <v>46054</v>
      </c>
      <c r="E801" s="18" t="s">
        <v>109</v>
      </c>
      <c r="F801" s="18" t="s">
        <v>99</v>
      </c>
      <c r="G801" s="18" t="s">
        <v>110</v>
      </c>
      <c r="H801" s="18" t="s">
        <v>107</v>
      </c>
      <c r="I801" s="18" t="s">
        <v>102</v>
      </c>
      <c r="J801" s="18" t="s">
        <v>239</v>
      </c>
      <c r="K801" s="18" t="s">
        <v>195</v>
      </c>
      <c r="L801" s="64" t="n">
        <v>32.411192256</v>
      </c>
      <c r="M801" s="64" t="n">
        <v>7.76</v>
      </c>
      <c r="N801" s="18" t="s">
        <v>991</v>
      </c>
      <c r="O801" s="65" t="n">
        <v>251.5109</v>
      </c>
      <c r="P801" s="65" t="n">
        <v>251.5109</v>
      </c>
      <c r="Q801" s="65" t="n">
        <v>0</v>
      </c>
      <c r="R801" s="65" t="s">
        <v>232</v>
      </c>
      <c r="S801" s="66" t="n">
        <f aca="false">Model_Calc!AV137</f>
        <v>251.51085190656</v>
      </c>
      <c r="T801" s="66" t="n">
        <f aca="false">ROUND(S801-O801,4)</f>
        <v>0</v>
      </c>
    </row>
    <row r="802" customFormat="false" ht="15" hidden="false" customHeight="false" outlineLevel="0" collapsed="false">
      <c r="A802" s="18" t="s">
        <v>200</v>
      </c>
      <c r="B802" s="18" t="s">
        <v>201</v>
      </c>
      <c r="C802" s="18"/>
      <c r="D802" s="49" t="n">
        <v>46054</v>
      </c>
      <c r="E802" s="18" t="s">
        <v>109</v>
      </c>
      <c r="F802" s="18" t="s">
        <v>99</v>
      </c>
      <c r="G802" s="18" t="s">
        <v>110</v>
      </c>
      <c r="H802" s="18" t="s">
        <v>107</v>
      </c>
      <c r="I802" s="18" t="s">
        <v>102</v>
      </c>
      <c r="J802" s="18" t="s">
        <v>241</v>
      </c>
      <c r="K802" s="18" t="s">
        <v>195</v>
      </c>
      <c r="L802" s="64" t="n">
        <v>6.05696804519411</v>
      </c>
      <c r="M802" s="64" t="n">
        <v>7.76</v>
      </c>
      <c r="N802" s="18" t="s">
        <v>992</v>
      </c>
      <c r="O802" s="65" t="n">
        <v>47.0021</v>
      </c>
      <c r="P802" s="65" t="n">
        <v>47.0021</v>
      </c>
      <c r="Q802" s="65" t="n">
        <v>0</v>
      </c>
      <c r="R802" s="65" t="s">
        <v>232</v>
      </c>
      <c r="S802" s="66" t="n">
        <f aca="false">Model_Calc!BA137</f>
        <v>47.0020720307063</v>
      </c>
      <c r="T802" s="66" t="n">
        <f aca="false">ROUND(S802-O802,4)</f>
        <v>0</v>
      </c>
    </row>
    <row r="803" customFormat="false" ht="15" hidden="false" customHeight="false" outlineLevel="0" collapsed="false">
      <c r="A803" s="18" t="s">
        <v>200</v>
      </c>
      <c r="B803" s="18" t="s">
        <v>201</v>
      </c>
      <c r="C803" s="18"/>
      <c r="D803" s="49" t="n">
        <v>46054</v>
      </c>
      <c r="E803" s="18" t="s">
        <v>112</v>
      </c>
      <c r="F803" s="18" t="s">
        <v>113</v>
      </c>
      <c r="G803" s="18" t="s">
        <v>110</v>
      </c>
      <c r="H803" s="18" t="s">
        <v>101</v>
      </c>
      <c r="I803" s="18" t="s">
        <v>102</v>
      </c>
      <c r="J803" s="18" t="s">
        <v>230</v>
      </c>
      <c r="K803" s="18" t="s">
        <v>195</v>
      </c>
      <c r="L803" s="64" t="n">
        <v>2642.58684306517</v>
      </c>
      <c r="M803" s="64" t="n">
        <v>7.76</v>
      </c>
      <c r="N803" s="18" t="s">
        <v>993</v>
      </c>
      <c r="O803" s="65" t="n">
        <v>20506.4739</v>
      </c>
      <c r="P803" s="65" t="n">
        <v>20506.4739</v>
      </c>
      <c r="Q803" s="65" t="n">
        <v>0</v>
      </c>
      <c r="R803" s="65" t="s">
        <v>232</v>
      </c>
      <c r="S803" s="66" t="n">
        <f aca="false">Model_Calc!AF138</f>
        <v>20506.4739021857</v>
      </c>
      <c r="T803" s="66" t="n">
        <f aca="false">ROUND(S803-O803,4)</f>
        <v>0</v>
      </c>
    </row>
    <row r="804" customFormat="false" ht="15" hidden="false" customHeight="false" outlineLevel="0" collapsed="false">
      <c r="A804" s="18" t="s">
        <v>200</v>
      </c>
      <c r="B804" s="18" t="s">
        <v>201</v>
      </c>
      <c r="C804" s="18"/>
      <c r="D804" s="49" t="n">
        <v>46054</v>
      </c>
      <c r="E804" s="18" t="s">
        <v>112</v>
      </c>
      <c r="F804" s="18" t="s">
        <v>113</v>
      </c>
      <c r="G804" s="18" t="s">
        <v>110</v>
      </c>
      <c r="H804" s="18" t="s">
        <v>101</v>
      </c>
      <c r="I804" s="18" t="s">
        <v>102</v>
      </c>
      <c r="J804" s="18" t="s">
        <v>233</v>
      </c>
      <c r="K804" s="18" t="s">
        <v>195</v>
      </c>
      <c r="L804" s="64" t="n">
        <v>238.784147139369</v>
      </c>
      <c r="M804" s="64" t="n">
        <v>7.76</v>
      </c>
      <c r="N804" s="18" t="s">
        <v>994</v>
      </c>
      <c r="O804" s="65" t="n">
        <v>1852.965</v>
      </c>
      <c r="P804" s="65" t="n">
        <v>1852.965</v>
      </c>
      <c r="Q804" s="65" t="n">
        <v>0</v>
      </c>
      <c r="R804" s="65" t="s">
        <v>232</v>
      </c>
      <c r="S804" s="66" t="n">
        <f aca="false">Model_Calc!AG138</f>
        <v>1852.9649818015</v>
      </c>
      <c r="T804" s="66" t="n">
        <f aca="false">ROUND(S804-O804,4)</f>
        <v>0</v>
      </c>
    </row>
    <row r="805" customFormat="false" ht="15" hidden="false" customHeight="false" outlineLevel="0" collapsed="false">
      <c r="A805" s="18" t="s">
        <v>200</v>
      </c>
      <c r="B805" s="18" t="s">
        <v>201</v>
      </c>
      <c r="C805" s="18"/>
      <c r="D805" s="49" t="n">
        <v>46054</v>
      </c>
      <c r="E805" s="18" t="s">
        <v>112</v>
      </c>
      <c r="F805" s="18" t="s">
        <v>113</v>
      </c>
      <c r="G805" s="18" t="s">
        <v>110</v>
      </c>
      <c r="H805" s="18" t="s">
        <v>101</v>
      </c>
      <c r="I805" s="18" t="s">
        <v>102</v>
      </c>
      <c r="J805" s="18" t="s">
        <v>235</v>
      </c>
      <c r="K805" s="18" t="s">
        <v>195</v>
      </c>
      <c r="L805" s="64" t="n">
        <v>1630.3456008</v>
      </c>
      <c r="M805" s="64" t="n">
        <v>7.76</v>
      </c>
      <c r="N805" s="18" t="s">
        <v>995</v>
      </c>
      <c r="O805" s="65" t="n">
        <v>12651.4819</v>
      </c>
      <c r="P805" s="65" t="n">
        <v>12651.4819</v>
      </c>
      <c r="Q805" s="65" t="n">
        <v>0</v>
      </c>
      <c r="R805" s="65" t="s">
        <v>232</v>
      </c>
      <c r="S805" s="66" t="n">
        <f aca="false">Model_Calc!AL138</f>
        <v>12651.481862208</v>
      </c>
      <c r="T805" s="66" t="n">
        <f aca="false">ROUND(S805-O805,4)</f>
        <v>0</v>
      </c>
    </row>
    <row r="806" customFormat="false" ht="15" hidden="false" customHeight="false" outlineLevel="0" collapsed="false">
      <c r="A806" s="18" t="s">
        <v>200</v>
      </c>
      <c r="B806" s="18" t="s">
        <v>201</v>
      </c>
      <c r="C806" s="18"/>
      <c r="D806" s="49" t="n">
        <v>46054</v>
      </c>
      <c r="E806" s="18" t="s">
        <v>112</v>
      </c>
      <c r="F806" s="18" t="s">
        <v>113</v>
      </c>
      <c r="G806" s="18" t="s">
        <v>110</v>
      </c>
      <c r="H806" s="18" t="s">
        <v>101</v>
      </c>
      <c r="I806" s="18" t="s">
        <v>102</v>
      </c>
      <c r="J806" s="18" t="s">
        <v>237</v>
      </c>
      <c r="K806" s="18" t="s">
        <v>195</v>
      </c>
      <c r="L806" s="64" t="n">
        <v>626.057058295469</v>
      </c>
      <c r="M806" s="64" t="n">
        <v>7.76</v>
      </c>
      <c r="N806" s="18" t="s">
        <v>996</v>
      </c>
      <c r="O806" s="65" t="n">
        <v>4858.2028</v>
      </c>
      <c r="P806" s="65" t="n">
        <v>4858.2028</v>
      </c>
      <c r="Q806" s="65" t="n">
        <v>0</v>
      </c>
      <c r="R806" s="65" t="s">
        <v>232</v>
      </c>
      <c r="S806" s="66" t="n">
        <f aca="false">Model_Calc!AQ138</f>
        <v>4858.20277237284</v>
      </c>
      <c r="T806" s="66" t="n">
        <f aca="false">ROUND(S806-O806,4)</f>
        <v>0</v>
      </c>
    </row>
    <row r="807" customFormat="false" ht="15" hidden="false" customHeight="false" outlineLevel="0" collapsed="false">
      <c r="A807" s="18" t="s">
        <v>200</v>
      </c>
      <c r="B807" s="18" t="s">
        <v>201</v>
      </c>
      <c r="C807" s="18"/>
      <c r="D807" s="49" t="n">
        <v>46054</v>
      </c>
      <c r="E807" s="18" t="s">
        <v>112</v>
      </c>
      <c r="F807" s="18" t="s">
        <v>113</v>
      </c>
      <c r="G807" s="18" t="s">
        <v>110</v>
      </c>
      <c r="H807" s="18" t="s">
        <v>101</v>
      </c>
      <c r="I807" s="18" t="s">
        <v>102</v>
      </c>
      <c r="J807" s="18" t="s">
        <v>239</v>
      </c>
      <c r="K807" s="18" t="s">
        <v>195</v>
      </c>
      <c r="L807" s="64" t="n">
        <v>279.48781728</v>
      </c>
      <c r="M807" s="64" t="n">
        <v>7.76</v>
      </c>
      <c r="N807" s="18" t="s">
        <v>997</v>
      </c>
      <c r="O807" s="65" t="n">
        <v>2168.8255</v>
      </c>
      <c r="P807" s="65" t="n">
        <v>2168.8255</v>
      </c>
      <c r="Q807" s="65" t="n">
        <v>0</v>
      </c>
      <c r="R807" s="65" t="s">
        <v>232</v>
      </c>
      <c r="S807" s="66" t="n">
        <f aca="false">Model_Calc!AV138</f>
        <v>2168.8254620928</v>
      </c>
      <c r="T807" s="66" t="n">
        <f aca="false">ROUND(S807-O807,4)</f>
        <v>0</v>
      </c>
    </row>
    <row r="808" customFormat="false" ht="15" hidden="false" customHeight="false" outlineLevel="0" collapsed="false">
      <c r="A808" s="18" t="s">
        <v>200</v>
      </c>
      <c r="B808" s="18" t="s">
        <v>201</v>
      </c>
      <c r="C808" s="18"/>
      <c r="D808" s="49" t="n">
        <v>46054</v>
      </c>
      <c r="E808" s="18" t="s">
        <v>112</v>
      </c>
      <c r="F808" s="18" t="s">
        <v>113</v>
      </c>
      <c r="G808" s="18" t="s">
        <v>110</v>
      </c>
      <c r="H808" s="18" t="s">
        <v>101</v>
      </c>
      <c r="I808" s="18" t="s">
        <v>102</v>
      </c>
      <c r="J808" s="18" t="s">
        <v>241</v>
      </c>
      <c r="K808" s="18" t="s">
        <v>195</v>
      </c>
      <c r="L808" s="64" t="n">
        <v>65.7063357866839</v>
      </c>
      <c r="M808" s="64" t="n">
        <v>7.76</v>
      </c>
      <c r="N808" s="18" t="s">
        <v>998</v>
      </c>
      <c r="O808" s="65" t="n">
        <v>509.8812</v>
      </c>
      <c r="P808" s="65" t="n">
        <v>509.8812</v>
      </c>
      <c r="Q808" s="65" t="n">
        <v>0</v>
      </c>
      <c r="R808" s="65" t="s">
        <v>232</v>
      </c>
      <c r="S808" s="66" t="n">
        <f aca="false">Model_Calc!BA138</f>
        <v>509.881165704667</v>
      </c>
      <c r="T808" s="66" t="n">
        <f aca="false">ROUND(S808-O808,4)</f>
        <v>0</v>
      </c>
    </row>
    <row r="809" customFormat="false" ht="15" hidden="false" customHeight="false" outlineLevel="0" collapsed="false">
      <c r="A809" s="18" t="s">
        <v>200</v>
      </c>
      <c r="B809" s="18" t="s">
        <v>201</v>
      </c>
      <c r="C809" s="18"/>
      <c r="D809" s="49" t="n">
        <v>46054</v>
      </c>
      <c r="E809" s="18" t="s">
        <v>116</v>
      </c>
      <c r="F809" s="18" t="s">
        <v>113</v>
      </c>
      <c r="G809" s="18" t="s">
        <v>110</v>
      </c>
      <c r="H809" s="18" t="s">
        <v>107</v>
      </c>
      <c r="I809" s="18" t="s">
        <v>102</v>
      </c>
      <c r="J809" s="18" t="s">
        <v>230</v>
      </c>
      <c r="K809" s="18" t="s">
        <v>195</v>
      </c>
      <c r="L809" s="64" t="n">
        <v>6316.00016859347</v>
      </c>
      <c r="M809" s="64" t="n">
        <v>7.76</v>
      </c>
      <c r="N809" s="18" t="s">
        <v>999</v>
      </c>
      <c r="O809" s="65" t="n">
        <v>49012.1613</v>
      </c>
      <c r="P809" s="65" t="n">
        <v>49012.1613</v>
      </c>
      <c r="Q809" s="65" t="n">
        <v>0</v>
      </c>
      <c r="R809" s="65" t="s">
        <v>232</v>
      </c>
      <c r="S809" s="66" t="n">
        <f aca="false">Model_Calc!AF139</f>
        <v>49012.1613082853</v>
      </c>
      <c r="T809" s="66" t="n">
        <f aca="false">ROUND(S809-O809,4)</f>
        <v>0</v>
      </c>
    </row>
    <row r="810" customFormat="false" ht="15" hidden="false" customHeight="false" outlineLevel="0" collapsed="false">
      <c r="A810" s="18" t="s">
        <v>200</v>
      </c>
      <c r="B810" s="18" t="s">
        <v>201</v>
      </c>
      <c r="C810" s="18"/>
      <c r="D810" s="49" t="n">
        <v>46054</v>
      </c>
      <c r="E810" s="18" t="s">
        <v>116</v>
      </c>
      <c r="F810" s="18" t="s">
        <v>113</v>
      </c>
      <c r="G810" s="18" t="s">
        <v>110</v>
      </c>
      <c r="H810" s="18" t="s">
        <v>107</v>
      </c>
      <c r="I810" s="18" t="s">
        <v>102</v>
      </c>
      <c r="J810" s="18" t="s">
        <v>233</v>
      </c>
      <c r="K810" s="18" t="s">
        <v>195</v>
      </c>
      <c r="L810" s="64" t="n">
        <v>485.846166814882</v>
      </c>
      <c r="M810" s="64" t="n">
        <v>7.76</v>
      </c>
      <c r="N810" s="18" t="s">
        <v>1000</v>
      </c>
      <c r="O810" s="65" t="n">
        <v>3770.1663</v>
      </c>
      <c r="P810" s="65" t="n">
        <v>3770.1663</v>
      </c>
      <c r="Q810" s="65" t="n">
        <v>0</v>
      </c>
      <c r="R810" s="65" t="s">
        <v>232</v>
      </c>
      <c r="S810" s="66" t="n">
        <f aca="false">Model_Calc!AG139</f>
        <v>3770.16625448349</v>
      </c>
      <c r="T810" s="66" t="n">
        <f aca="false">ROUND(S810-O810,4)</f>
        <v>0</v>
      </c>
    </row>
    <row r="811" customFormat="false" ht="15" hidden="false" customHeight="false" outlineLevel="0" collapsed="false">
      <c r="A811" s="18" t="s">
        <v>200</v>
      </c>
      <c r="B811" s="18" t="s">
        <v>201</v>
      </c>
      <c r="C811" s="18"/>
      <c r="D811" s="49" t="n">
        <v>46054</v>
      </c>
      <c r="E811" s="18" t="s">
        <v>116</v>
      </c>
      <c r="F811" s="18" t="s">
        <v>113</v>
      </c>
      <c r="G811" s="18" t="s">
        <v>110</v>
      </c>
      <c r="H811" s="18" t="s">
        <v>107</v>
      </c>
      <c r="I811" s="18" t="s">
        <v>102</v>
      </c>
      <c r="J811" s="18" t="s">
        <v>235</v>
      </c>
      <c r="K811" s="18" t="s">
        <v>195</v>
      </c>
      <c r="L811" s="64" t="n">
        <v>3027.7846872</v>
      </c>
      <c r="M811" s="64" t="n">
        <v>7.76</v>
      </c>
      <c r="N811" s="18" t="s">
        <v>1001</v>
      </c>
      <c r="O811" s="65" t="n">
        <v>23495.6092</v>
      </c>
      <c r="P811" s="65" t="n">
        <v>23495.6092</v>
      </c>
      <c r="Q811" s="65" t="n">
        <v>0</v>
      </c>
      <c r="R811" s="65" t="s">
        <v>232</v>
      </c>
      <c r="S811" s="66" t="n">
        <f aca="false">Model_Calc!AL139</f>
        <v>23495.609172672</v>
      </c>
      <c r="T811" s="66" t="n">
        <f aca="false">ROUND(S811-O811,4)</f>
        <v>0</v>
      </c>
    </row>
    <row r="812" customFormat="false" ht="15" hidden="false" customHeight="false" outlineLevel="0" collapsed="false">
      <c r="A812" s="18" t="s">
        <v>200</v>
      </c>
      <c r="B812" s="18" t="s">
        <v>201</v>
      </c>
      <c r="C812" s="18"/>
      <c r="D812" s="49" t="n">
        <v>46054</v>
      </c>
      <c r="E812" s="18" t="s">
        <v>116</v>
      </c>
      <c r="F812" s="18" t="s">
        <v>113</v>
      </c>
      <c r="G812" s="18" t="s">
        <v>110</v>
      </c>
      <c r="H812" s="18" t="s">
        <v>107</v>
      </c>
      <c r="I812" s="18" t="s">
        <v>102</v>
      </c>
      <c r="J812" s="18" t="s">
        <v>237</v>
      </c>
      <c r="K812" s="18" t="s">
        <v>195</v>
      </c>
      <c r="L812" s="64" t="n">
        <v>1162.6773939773</v>
      </c>
      <c r="M812" s="64" t="n">
        <v>7.76</v>
      </c>
      <c r="N812" s="18" t="s">
        <v>1002</v>
      </c>
      <c r="O812" s="65" t="n">
        <v>9022.3766</v>
      </c>
      <c r="P812" s="65" t="n">
        <v>9022.3766</v>
      </c>
      <c r="Q812" s="65" t="n">
        <v>0</v>
      </c>
      <c r="R812" s="65" t="s">
        <v>232</v>
      </c>
      <c r="S812" s="66" t="n">
        <f aca="false">Model_Calc!AQ139</f>
        <v>9022.37657726384</v>
      </c>
      <c r="T812" s="66" t="n">
        <f aca="false">ROUND(S812-O812,4)</f>
        <v>0</v>
      </c>
    </row>
    <row r="813" customFormat="false" ht="15" hidden="false" customHeight="false" outlineLevel="0" collapsed="false">
      <c r="A813" s="18" t="s">
        <v>200</v>
      </c>
      <c r="B813" s="18" t="s">
        <v>201</v>
      </c>
      <c r="C813" s="18"/>
      <c r="D813" s="49" t="n">
        <v>46054</v>
      </c>
      <c r="E813" s="18" t="s">
        <v>116</v>
      </c>
      <c r="F813" s="18" t="s">
        <v>113</v>
      </c>
      <c r="G813" s="18" t="s">
        <v>110</v>
      </c>
      <c r="H813" s="18" t="s">
        <v>107</v>
      </c>
      <c r="I813" s="18" t="s">
        <v>102</v>
      </c>
      <c r="J813" s="18" t="s">
        <v>239</v>
      </c>
      <c r="K813" s="18" t="s">
        <v>195</v>
      </c>
      <c r="L813" s="64" t="n">
        <v>519.04880352</v>
      </c>
      <c r="M813" s="64" t="n">
        <v>7.76</v>
      </c>
      <c r="N813" s="18" t="s">
        <v>1003</v>
      </c>
      <c r="O813" s="65" t="n">
        <v>4027.8187</v>
      </c>
      <c r="P813" s="65" t="n">
        <v>4027.8187</v>
      </c>
      <c r="Q813" s="65" t="n">
        <v>0</v>
      </c>
      <c r="R813" s="65" t="s">
        <v>232</v>
      </c>
      <c r="S813" s="66" t="n">
        <f aca="false">Model_Calc!AV139</f>
        <v>4027.8187153152</v>
      </c>
      <c r="T813" s="66" t="n">
        <f aca="false">ROUND(S813-O813,4)</f>
        <v>0</v>
      </c>
    </row>
    <row r="814" customFormat="false" ht="15" hidden="false" customHeight="false" outlineLevel="0" collapsed="false">
      <c r="A814" s="18" t="s">
        <v>200</v>
      </c>
      <c r="B814" s="18" t="s">
        <v>201</v>
      </c>
      <c r="C814" s="18"/>
      <c r="D814" s="49" t="n">
        <v>46054</v>
      </c>
      <c r="E814" s="18" t="s">
        <v>116</v>
      </c>
      <c r="F814" s="18" t="s">
        <v>113</v>
      </c>
      <c r="G814" s="18" t="s">
        <v>110</v>
      </c>
      <c r="H814" s="18" t="s">
        <v>107</v>
      </c>
      <c r="I814" s="18" t="s">
        <v>102</v>
      </c>
      <c r="J814" s="18" t="s">
        <v>241</v>
      </c>
      <c r="K814" s="18" t="s">
        <v>195</v>
      </c>
      <c r="L814" s="64" t="n">
        <v>100.49204296787</v>
      </c>
      <c r="M814" s="64" t="n">
        <v>7.76</v>
      </c>
      <c r="N814" s="18" t="s">
        <v>1004</v>
      </c>
      <c r="O814" s="65" t="n">
        <v>779.8183</v>
      </c>
      <c r="P814" s="65" t="n">
        <v>779.8183</v>
      </c>
      <c r="Q814" s="65" t="n">
        <v>0</v>
      </c>
      <c r="R814" s="65" t="s">
        <v>232</v>
      </c>
      <c r="S814" s="66" t="n">
        <f aca="false">Model_Calc!BA139</f>
        <v>779.818253430667</v>
      </c>
      <c r="T814" s="66" t="n">
        <f aca="false">ROUND(S814-O814,4)</f>
        <v>0</v>
      </c>
    </row>
    <row r="815" customFormat="false" ht="15" hidden="false" customHeight="false" outlineLevel="0" collapsed="false">
      <c r="A815" s="18" t="s">
        <v>200</v>
      </c>
      <c r="B815" s="18" t="s">
        <v>201</v>
      </c>
      <c r="C815" s="18"/>
      <c r="D815" s="49" t="n">
        <v>46054</v>
      </c>
      <c r="E815" s="18" t="s">
        <v>118</v>
      </c>
      <c r="F815" s="18" t="s">
        <v>119</v>
      </c>
      <c r="G815" s="18" t="s">
        <v>100</v>
      </c>
      <c r="H815" s="18" t="s">
        <v>101</v>
      </c>
      <c r="I815" s="18" t="s">
        <v>102</v>
      </c>
      <c r="J815" s="18" t="s">
        <v>230</v>
      </c>
      <c r="K815" s="18" t="s">
        <v>199</v>
      </c>
      <c r="L815" s="64" t="n">
        <v>9883.63744805905</v>
      </c>
      <c r="M815" s="64" t="n">
        <v>9.02</v>
      </c>
      <c r="N815" s="18" t="s">
        <v>1005</v>
      </c>
      <c r="O815" s="65" t="n">
        <v>89150.4098</v>
      </c>
      <c r="P815" s="65" t="n">
        <v>89150.4098</v>
      </c>
      <c r="Q815" s="65" t="n">
        <v>0</v>
      </c>
      <c r="R815" s="65" t="s">
        <v>232</v>
      </c>
      <c r="S815" s="66" t="n">
        <f aca="false">Model_Calc!AF140</f>
        <v>89150.4097814926</v>
      </c>
      <c r="T815" s="66" t="n">
        <f aca="false">ROUND(S815-O815,4)</f>
        <v>0</v>
      </c>
    </row>
    <row r="816" customFormat="false" ht="15" hidden="false" customHeight="false" outlineLevel="0" collapsed="false">
      <c r="A816" s="18" t="s">
        <v>200</v>
      </c>
      <c r="B816" s="18" t="s">
        <v>201</v>
      </c>
      <c r="C816" s="18"/>
      <c r="D816" s="49" t="n">
        <v>46054</v>
      </c>
      <c r="E816" s="18" t="s">
        <v>118</v>
      </c>
      <c r="F816" s="18" t="s">
        <v>119</v>
      </c>
      <c r="G816" s="18" t="s">
        <v>100</v>
      </c>
      <c r="H816" s="18" t="s">
        <v>101</v>
      </c>
      <c r="I816" s="18" t="s">
        <v>102</v>
      </c>
      <c r="J816" s="18" t="s">
        <v>233</v>
      </c>
      <c r="K816" s="18" t="s">
        <v>199</v>
      </c>
      <c r="L816" s="64" t="n">
        <v>992.317199785129</v>
      </c>
      <c r="M816" s="64" t="n">
        <v>9.02</v>
      </c>
      <c r="N816" s="18" t="s">
        <v>1006</v>
      </c>
      <c r="O816" s="65" t="n">
        <v>8950.7011</v>
      </c>
      <c r="P816" s="65" t="n">
        <v>8950.7011</v>
      </c>
      <c r="Q816" s="65" t="n">
        <v>0</v>
      </c>
      <c r="R816" s="65" t="s">
        <v>232</v>
      </c>
      <c r="S816" s="66" t="n">
        <f aca="false">Model_Calc!AG140</f>
        <v>8950.70114206186</v>
      </c>
      <c r="T816" s="66" t="n">
        <f aca="false">ROUND(S816-O816,4)</f>
        <v>0</v>
      </c>
    </row>
    <row r="817" customFormat="false" ht="15" hidden="false" customHeight="false" outlineLevel="0" collapsed="false">
      <c r="A817" s="18" t="s">
        <v>200</v>
      </c>
      <c r="B817" s="18" t="s">
        <v>201</v>
      </c>
      <c r="C817" s="18"/>
      <c r="D817" s="49" t="n">
        <v>46054</v>
      </c>
      <c r="E817" s="18" t="s">
        <v>118</v>
      </c>
      <c r="F817" s="18" t="s">
        <v>119</v>
      </c>
      <c r="G817" s="18" t="s">
        <v>100</v>
      </c>
      <c r="H817" s="18" t="s">
        <v>101</v>
      </c>
      <c r="I817" s="18" t="s">
        <v>102</v>
      </c>
      <c r="J817" s="18" t="s">
        <v>235</v>
      </c>
      <c r="K817" s="18" t="s">
        <v>195</v>
      </c>
      <c r="L817" s="64" t="n">
        <v>2537.00012445696</v>
      </c>
      <c r="M817" s="64" t="n">
        <v>7.76</v>
      </c>
      <c r="N817" s="18" t="s">
        <v>1007</v>
      </c>
      <c r="O817" s="65" t="n">
        <v>19687.121</v>
      </c>
      <c r="P817" s="65" t="n">
        <v>19687.121</v>
      </c>
      <c r="Q817" s="65" t="n">
        <v>0</v>
      </c>
      <c r="R817" s="65" t="s">
        <v>232</v>
      </c>
      <c r="S817" s="66" t="n">
        <f aca="false">Model_Calc!AL140</f>
        <v>19687.120965786</v>
      </c>
      <c r="T817" s="66" t="n">
        <f aca="false">ROUND(S817-O817,4)</f>
        <v>0</v>
      </c>
    </row>
    <row r="818" customFormat="false" ht="15" hidden="false" customHeight="false" outlineLevel="0" collapsed="false">
      <c r="A818" s="18" t="s">
        <v>200</v>
      </c>
      <c r="B818" s="18" t="s">
        <v>201</v>
      </c>
      <c r="C818" s="18"/>
      <c r="D818" s="49" t="n">
        <v>46054</v>
      </c>
      <c r="E818" s="18" t="s">
        <v>118</v>
      </c>
      <c r="F818" s="18" t="s">
        <v>119</v>
      </c>
      <c r="G818" s="18" t="s">
        <v>100</v>
      </c>
      <c r="H818" s="18" t="s">
        <v>101</v>
      </c>
      <c r="I818" s="18" t="s">
        <v>102</v>
      </c>
      <c r="J818" s="18" t="s">
        <v>237</v>
      </c>
      <c r="K818" s="18" t="s">
        <v>195</v>
      </c>
      <c r="L818" s="64" t="n">
        <v>1012.37140966364</v>
      </c>
      <c r="M818" s="64" t="n">
        <v>7.76</v>
      </c>
      <c r="N818" s="18" t="s">
        <v>1008</v>
      </c>
      <c r="O818" s="65" t="n">
        <v>7856.0021</v>
      </c>
      <c r="P818" s="65" t="n">
        <v>7856.0021</v>
      </c>
      <c r="Q818" s="65" t="n">
        <v>0</v>
      </c>
      <c r="R818" s="65" t="s">
        <v>232</v>
      </c>
      <c r="S818" s="66" t="n">
        <f aca="false">Model_Calc!AQ140</f>
        <v>7856.00213898987</v>
      </c>
      <c r="T818" s="66" t="n">
        <f aca="false">ROUND(S818-O818,4)</f>
        <v>0</v>
      </c>
    </row>
    <row r="819" customFormat="false" ht="15" hidden="false" customHeight="false" outlineLevel="0" collapsed="false">
      <c r="A819" s="18" t="s">
        <v>200</v>
      </c>
      <c r="B819" s="18" t="s">
        <v>201</v>
      </c>
      <c r="C819" s="18"/>
      <c r="D819" s="49" t="n">
        <v>46054</v>
      </c>
      <c r="E819" s="18" t="s">
        <v>118</v>
      </c>
      <c r="F819" s="18" t="s">
        <v>119</v>
      </c>
      <c r="G819" s="18" t="s">
        <v>100</v>
      </c>
      <c r="H819" s="18" t="s">
        <v>101</v>
      </c>
      <c r="I819" s="18" t="s">
        <v>102</v>
      </c>
      <c r="J819" s="18" t="s">
        <v>239</v>
      </c>
      <c r="K819" s="18" t="s">
        <v>199</v>
      </c>
      <c r="L819" s="64" t="n">
        <v>825.600040501248</v>
      </c>
      <c r="M819" s="64" t="n">
        <v>9.02</v>
      </c>
      <c r="N819" s="18" t="s">
        <v>1009</v>
      </c>
      <c r="O819" s="65" t="n">
        <v>7446.9124</v>
      </c>
      <c r="P819" s="65" t="n">
        <v>7446.9124</v>
      </c>
      <c r="Q819" s="65" t="n">
        <v>0</v>
      </c>
      <c r="R819" s="65" t="s">
        <v>232</v>
      </c>
      <c r="S819" s="66" t="n">
        <f aca="false">Model_Calc!AV140</f>
        <v>7446.91236532126</v>
      </c>
      <c r="T819" s="66" t="n">
        <f aca="false">ROUND(S819-O819,4)</f>
        <v>0</v>
      </c>
    </row>
    <row r="820" customFormat="false" ht="15" hidden="false" customHeight="false" outlineLevel="0" collapsed="false">
      <c r="A820" s="18" t="s">
        <v>200</v>
      </c>
      <c r="B820" s="18" t="s">
        <v>201</v>
      </c>
      <c r="C820" s="18"/>
      <c r="D820" s="49" t="n">
        <v>46054</v>
      </c>
      <c r="E820" s="18" t="s">
        <v>118</v>
      </c>
      <c r="F820" s="18" t="s">
        <v>119</v>
      </c>
      <c r="G820" s="18" t="s">
        <v>100</v>
      </c>
      <c r="H820" s="18" t="s">
        <v>101</v>
      </c>
      <c r="I820" s="18" t="s">
        <v>102</v>
      </c>
      <c r="J820" s="18" t="s">
        <v>241</v>
      </c>
      <c r="K820" s="18" t="s">
        <v>199</v>
      </c>
      <c r="L820" s="64" t="n">
        <v>124.405983798952</v>
      </c>
      <c r="M820" s="64" t="n">
        <v>9.02</v>
      </c>
      <c r="N820" s="18" t="s">
        <v>1010</v>
      </c>
      <c r="O820" s="65" t="n">
        <v>1122.142</v>
      </c>
      <c r="P820" s="65" t="n">
        <v>1122.142</v>
      </c>
      <c r="Q820" s="65" t="n">
        <v>0</v>
      </c>
      <c r="R820" s="65" t="s">
        <v>232</v>
      </c>
      <c r="S820" s="66" t="n">
        <f aca="false">Model_Calc!BA140</f>
        <v>1122.14197386655</v>
      </c>
      <c r="T820" s="66" t="n">
        <f aca="false">ROUND(S820-O820,4)</f>
        <v>0</v>
      </c>
    </row>
    <row r="821" customFormat="false" ht="15" hidden="false" customHeight="false" outlineLevel="0" collapsed="false">
      <c r="A821" s="18" t="s">
        <v>200</v>
      </c>
      <c r="B821" s="18" t="s">
        <v>201</v>
      </c>
      <c r="C821" s="18"/>
      <c r="D821" s="49" t="n">
        <v>46054</v>
      </c>
      <c r="E821" s="18" t="s">
        <v>122</v>
      </c>
      <c r="F821" s="18" t="s">
        <v>119</v>
      </c>
      <c r="G821" s="18" t="s">
        <v>100</v>
      </c>
      <c r="H821" s="18" t="s">
        <v>107</v>
      </c>
      <c r="I821" s="18" t="s">
        <v>102</v>
      </c>
      <c r="J821" s="18" t="s">
        <v>230</v>
      </c>
      <c r="K821" s="18" t="s">
        <v>199</v>
      </c>
      <c r="L821" s="64" t="n">
        <v>4590.95272037847</v>
      </c>
      <c r="M821" s="64" t="n">
        <v>9.02</v>
      </c>
      <c r="N821" s="18" t="s">
        <v>1011</v>
      </c>
      <c r="O821" s="65" t="n">
        <v>41410.3935</v>
      </c>
      <c r="P821" s="65" t="n">
        <v>41410.3935</v>
      </c>
      <c r="Q821" s="65" t="n">
        <v>0</v>
      </c>
      <c r="R821" s="65" t="s">
        <v>232</v>
      </c>
      <c r="S821" s="66" t="n">
        <f aca="false">Model_Calc!AF141</f>
        <v>41410.3935378138</v>
      </c>
      <c r="T821" s="66" t="n">
        <f aca="false">ROUND(S821-O821,4)</f>
        <v>0</v>
      </c>
    </row>
    <row r="822" customFormat="false" ht="15" hidden="false" customHeight="false" outlineLevel="0" collapsed="false">
      <c r="A822" s="18" t="s">
        <v>200</v>
      </c>
      <c r="B822" s="18" t="s">
        <v>201</v>
      </c>
      <c r="C822" s="18"/>
      <c r="D822" s="49" t="n">
        <v>46054</v>
      </c>
      <c r="E822" s="18" t="s">
        <v>122</v>
      </c>
      <c r="F822" s="18" t="s">
        <v>119</v>
      </c>
      <c r="G822" s="18" t="s">
        <v>100</v>
      </c>
      <c r="H822" s="18" t="s">
        <v>107</v>
      </c>
      <c r="I822" s="18" t="s">
        <v>102</v>
      </c>
      <c r="J822" s="18" t="s">
        <v>233</v>
      </c>
      <c r="K822" s="18" t="s">
        <v>199</v>
      </c>
      <c r="L822" s="64" t="n">
        <v>322.343488877637</v>
      </c>
      <c r="M822" s="64" t="n">
        <v>9.02</v>
      </c>
      <c r="N822" s="18" t="s">
        <v>1012</v>
      </c>
      <c r="O822" s="65" t="n">
        <v>2907.5383</v>
      </c>
      <c r="P822" s="65" t="n">
        <v>2907.5383</v>
      </c>
      <c r="Q822" s="65" t="n">
        <v>0</v>
      </c>
      <c r="R822" s="65" t="s">
        <v>232</v>
      </c>
      <c r="S822" s="66" t="n">
        <f aca="false">Model_Calc!AG141</f>
        <v>2907.53826967629</v>
      </c>
      <c r="T822" s="66" t="n">
        <f aca="false">ROUND(S822-O822,4)</f>
        <v>0</v>
      </c>
    </row>
    <row r="823" customFormat="false" ht="15" hidden="false" customHeight="false" outlineLevel="0" collapsed="false">
      <c r="A823" s="18" t="s">
        <v>200</v>
      </c>
      <c r="B823" s="18" t="s">
        <v>201</v>
      </c>
      <c r="C823" s="18"/>
      <c r="D823" s="49" t="n">
        <v>46054</v>
      </c>
      <c r="E823" s="18" t="s">
        <v>122</v>
      </c>
      <c r="F823" s="18" t="s">
        <v>119</v>
      </c>
      <c r="G823" s="18" t="s">
        <v>100</v>
      </c>
      <c r="H823" s="18" t="s">
        <v>107</v>
      </c>
      <c r="I823" s="18" t="s">
        <v>102</v>
      </c>
      <c r="J823" s="18" t="s">
        <v>235</v>
      </c>
      <c r="K823" s="18" t="s">
        <v>195</v>
      </c>
      <c r="L823" s="64" t="n">
        <v>1022.983921152</v>
      </c>
      <c r="M823" s="64" t="n">
        <v>7.76</v>
      </c>
      <c r="N823" s="18" t="s">
        <v>1013</v>
      </c>
      <c r="O823" s="65" t="n">
        <v>7938.3552</v>
      </c>
      <c r="P823" s="65" t="n">
        <v>7938.3552</v>
      </c>
      <c r="Q823" s="65" t="n">
        <v>0</v>
      </c>
      <c r="R823" s="65" t="s">
        <v>232</v>
      </c>
      <c r="S823" s="66" t="n">
        <f aca="false">Model_Calc!AL141</f>
        <v>7938.35522813952</v>
      </c>
      <c r="T823" s="66" t="n">
        <f aca="false">ROUND(S823-O823,4)</f>
        <v>0</v>
      </c>
    </row>
    <row r="824" customFormat="false" ht="15" hidden="false" customHeight="false" outlineLevel="0" collapsed="false">
      <c r="A824" s="18" t="s">
        <v>200</v>
      </c>
      <c r="B824" s="18" t="s">
        <v>201</v>
      </c>
      <c r="C824" s="18"/>
      <c r="D824" s="49" t="n">
        <v>46054</v>
      </c>
      <c r="E824" s="18" t="s">
        <v>122</v>
      </c>
      <c r="F824" s="18" t="s">
        <v>119</v>
      </c>
      <c r="G824" s="18" t="s">
        <v>100</v>
      </c>
      <c r="H824" s="18" t="s">
        <v>107</v>
      </c>
      <c r="I824" s="18" t="s">
        <v>102</v>
      </c>
      <c r="J824" s="18" t="s">
        <v>237</v>
      </c>
      <c r="K824" s="18" t="s">
        <v>195</v>
      </c>
      <c r="L824" s="64" t="n">
        <v>408.214278090179</v>
      </c>
      <c r="M824" s="64" t="n">
        <v>7.76</v>
      </c>
      <c r="N824" s="18" t="s">
        <v>1014</v>
      </c>
      <c r="O824" s="65" t="n">
        <v>3167.7428</v>
      </c>
      <c r="P824" s="65" t="n">
        <v>3167.7428</v>
      </c>
      <c r="Q824" s="65" t="n">
        <v>0</v>
      </c>
      <c r="R824" s="65" t="s">
        <v>232</v>
      </c>
      <c r="S824" s="66" t="n">
        <f aca="false">Model_Calc!AQ141</f>
        <v>3167.74279797979</v>
      </c>
      <c r="T824" s="66" t="n">
        <f aca="false">ROUND(S824-O824,4)</f>
        <v>0</v>
      </c>
    </row>
    <row r="825" customFormat="false" ht="15" hidden="false" customHeight="false" outlineLevel="0" collapsed="false">
      <c r="A825" s="18" t="s">
        <v>200</v>
      </c>
      <c r="B825" s="18" t="s">
        <v>201</v>
      </c>
      <c r="C825" s="18"/>
      <c r="D825" s="49" t="n">
        <v>46054</v>
      </c>
      <c r="E825" s="18" t="s">
        <v>122</v>
      </c>
      <c r="F825" s="18" t="s">
        <v>119</v>
      </c>
      <c r="G825" s="18" t="s">
        <v>100</v>
      </c>
      <c r="H825" s="18" t="s">
        <v>107</v>
      </c>
      <c r="I825" s="18" t="s">
        <v>102</v>
      </c>
      <c r="J825" s="18" t="s">
        <v>239</v>
      </c>
      <c r="K825" s="18" t="s">
        <v>199</v>
      </c>
      <c r="L825" s="64" t="n">
        <v>332.9032421376</v>
      </c>
      <c r="M825" s="64" t="n">
        <v>9.02</v>
      </c>
      <c r="N825" s="18" t="s">
        <v>1015</v>
      </c>
      <c r="O825" s="65" t="n">
        <v>3002.7872</v>
      </c>
      <c r="P825" s="65" t="n">
        <v>3002.7872</v>
      </c>
      <c r="Q825" s="65" t="n">
        <v>0</v>
      </c>
      <c r="R825" s="65" t="s">
        <v>232</v>
      </c>
      <c r="S825" s="66" t="n">
        <f aca="false">Model_Calc!AV141</f>
        <v>3002.78724408115</v>
      </c>
      <c r="T825" s="66" t="n">
        <f aca="false">ROUND(S825-O825,4)</f>
        <v>0</v>
      </c>
    </row>
    <row r="826" customFormat="false" ht="15" hidden="false" customHeight="false" outlineLevel="0" collapsed="false">
      <c r="A826" s="18" t="s">
        <v>200</v>
      </c>
      <c r="B826" s="18" t="s">
        <v>201</v>
      </c>
      <c r="C826" s="18"/>
      <c r="D826" s="49" t="n">
        <v>46054</v>
      </c>
      <c r="E826" s="18" t="s">
        <v>122</v>
      </c>
      <c r="F826" s="18" t="s">
        <v>119</v>
      </c>
      <c r="G826" s="18" t="s">
        <v>100</v>
      </c>
      <c r="H826" s="18" t="s">
        <v>107</v>
      </c>
      <c r="I826" s="18" t="s">
        <v>102</v>
      </c>
      <c r="J826" s="18" t="s">
        <v>241</v>
      </c>
      <c r="K826" s="18" t="s">
        <v>199</v>
      </c>
      <c r="L826" s="64" t="n">
        <v>38.7628615209345</v>
      </c>
      <c r="M826" s="64" t="n">
        <v>9.02</v>
      </c>
      <c r="N826" s="18" t="s">
        <v>1016</v>
      </c>
      <c r="O826" s="65" t="n">
        <v>349.641</v>
      </c>
      <c r="P826" s="65" t="n">
        <v>349.641</v>
      </c>
      <c r="Q826" s="65" t="n">
        <v>0</v>
      </c>
      <c r="R826" s="65" t="s">
        <v>232</v>
      </c>
      <c r="S826" s="66" t="n">
        <f aca="false">Model_Calc!BA141</f>
        <v>349.641010918829</v>
      </c>
      <c r="T826" s="66" t="n">
        <f aca="false">ROUND(S826-O826,4)</f>
        <v>0</v>
      </c>
    </row>
    <row r="827" customFormat="false" ht="15" hidden="false" customHeight="false" outlineLevel="0" collapsed="false">
      <c r="A827" s="18" t="s">
        <v>200</v>
      </c>
      <c r="B827" s="18" t="s">
        <v>201</v>
      </c>
      <c r="C827" s="18"/>
      <c r="D827" s="49" t="n">
        <v>46054</v>
      </c>
      <c r="E827" s="18" t="s">
        <v>124</v>
      </c>
      <c r="F827" s="18" t="s">
        <v>119</v>
      </c>
      <c r="G827" s="18" t="s">
        <v>100</v>
      </c>
      <c r="H827" s="18" t="s">
        <v>107</v>
      </c>
      <c r="I827" s="18" t="s">
        <v>125</v>
      </c>
      <c r="J827" s="18" t="s">
        <v>230</v>
      </c>
      <c r="K827" s="18" t="s">
        <v>199</v>
      </c>
      <c r="L827" s="64" t="n">
        <v>2049.40129437695</v>
      </c>
      <c r="M827" s="64" t="n">
        <v>9.02</v>
      </c>
      <c r="N827" s="18" t="s">
        <v>1017</v>
      </c>
      <c r="O827" s="65" t="n">
        <v>18485.5997</v>
      </c>
      <c r="P827" s="65" t="n">
        <v>18485.5997</v>
      </c>
      <c r="Q827" s="65" t="n">
        <v>0</v>
      </c>
      <c r="R827" s="65" t="s">
        <v>232</v>
      </c>
      <c r="S827" s="66" t="n">
        <f aca="false">Model_Calc!AF142</f>
        <v>18485.5996752801</v>
      </c>
      <c r="T827" s="66" t="n">
        <f aca="false">ROUND(S827-O827,4)</f>
        <v>0</v>
      </c>
    </row>
    <row r="828" customFormat="false" ht="15" hidden="false" customHeight="false" outlineLevel="0" collapsed="false">
      <c r="A828" s="18" t="s">
        <v>200</v>
      </c>
      <c r="B828" s="18" t="s">
        <v>201</v>
      </c>
      <c r="C828" s="18"/>
      <c r="D828" s="49" t="n">
        <v>46054</v>
      </c>
      <c r="E828" s="18" t="s">
        <v>124</v>
      </c>
      <c r="F828" s="18" t="s">
        <v>119</v>
      </c>
      <c r="G828" s="18" t="s">
        <v>100</v>
      </c>
      <c r="H828" s="18" t="s">
        <v>107</v>
      </c>
      <c r="I828" s="18" t="s">
        <v>125</v>
      </c>
      <c r="J828" s="18" t="s">
        <v>233</v>
      </c>
      <c r="K828" s="18" t="s">
        <v>199</v>
      </c>
      <c r="L828" s="64" t="n">
        <v>236.623873448763</v>
      </c>
      <c r="M828" s="64" t="n">
        <v>9.02</v>
      </c>
      <c r="N828" s="18" t="s">
        <v>1018</v>
      </c>
      <c r="O828" s="65" t="n">
        <v>2134.3473</v>
      </c>
      <c r="P828" s="65" t="n">
        <v>2134.3473</v>
      </c>
      <c r="Q828" s="65" t="n">
        <v>0</v>
      </c>
      <c r="R828" s="65" t="s">
        <v>232</v>
      </c>
      <c r="S828" s="66" t="n">
        <f aca="false">Model_Calc!AG142</f>
        <v>2134.34733850784</v>
      </c>
      <c r="T828" s="66" t="n">
        <f aca="false">ROUND(S828-O828,4)</f>
        <v>0</v>
      </c>
    </row>
    <row r="829" customFormat="false" ht="15" hidden="false" customHeight="false" outlineLevel="0" collapsed="false">
      <c r="A829" s="18" t="s">
        <v>200</v>
      </c>
      <c r="B829" s="18" t="s">
        <v>201</v>
      </c>
      <c r="C829" s="18"/>
      <c r="D829" s="49" t="n">
        <v>46054</v>
      </c>
      <c r="E829" s="18" t="s">
        <v>124</v>
      </c>
      <c r="F829" s="18" t="s">
        <v>119</v>
      </c>
      <c r="G829" s="18" t="s">
        <v>100</v>
      </c>
      <c r="H829" s="18" t="s">
        <v>107</v>
      </c>
      <c r="I829" s="18" t="s">
        <v>125</v>
      </c>
      <c r="J829" s="18" t="s">
        <v>235</v>
      </c>
      <c r="K829" s="18" t="s">
        <v>195</v>
      </c>
      <c r="L829" s="64" t="n">
        <v>368.27421161472</v>
      </c>
      <c r="M829" s="64" t="n">
        <v>7.76</v>
      </c>
      <c r="N829" s="18" t="s">
        <v>1019</v>
      </c>
      <c r="O829" s="65" t="n">
        <v>2857.8079</v>
      </c>
      <c r="P829" s="65" t="n">
        <v>2857.8079</v>
      </c>
      <c r="Q829" s="65" t="n">
        <v>0</v>
      </c>
      <c r="R829" s="65" t="s">
        <v>232</v>
      </c>
      <c r="S829" s="66" t="n">
        <f aca="false">Model_Calc!AL142</f>
        <v>2857.80788213023</v>
      </c>
      <c r="T829" s="66" t="n">
        <f aca="false">ROUND(S829-O829,4)</f>
        <v>0</v>
      </c>
    </row>
    <row r="830" customFormat="false" ht="15" hidden="false" customHeight="false" outlineLevel="0" collapsed="false">
      <c r="A830" s="18" t="s">
        <v>200</v>
      </c>
      <c r="B830" s="18" t="s">
        <v>201</v>
      </c>
      <c r="C830" s="18"/>
      <c r="D830" s="49" t="n">
        <v>46054</v>
      </c>
      <c r="E830" s="18" t="s">
        <v>124</v>
      </c>
      <c r="F830" s="18" t="s">
        <v>119</v>
      </c>
      <c r="G830" s="18" t="s">
        <v>100</v>
      </c>
      <c r="H830" s="18" t="s">
        <v>107</v>
      </c>
      <c r="I830" s="18" t="s">
        <v>125</v>
      </c>
      <c r="J830" s="18" t="s">
        <v>237</v>
      </c>
      <c r="K830" s="18" t="s">
        <v>195</v>
      </c>
      <c r="L830" s="64" t="n">
        <v>146.957140112464</v>
      </c>
      <c r="M830" s="64" t="n">
        <v>7.76</v>
      </c>
      <c r="N830" s="18" t="s">
        <v>1020</v>
      </c>
      <c r="O830" s="65" t="n">
        <v>1140.3874</v>
      </c>
      <c r="P830" s="65" t="n">
        <v>1140.3874</v>
      </c>
      <c r="Q830" s="65" t="n">
        <v>0</v>
      </c>
      <c r="R830" s="65" t="s">
        <v>232</v>
      </c>
      <c r="S830" s="66" t="n">
        <f aca="false">Model_Calc!AQ142</f>
        <v>1140.38740727272</v>
      </c>
      <c r="T830" s="66" t="n">
        <f aca="false">ROUND(S830-O830,4)</f>
        <v>0</v>
      </c>
    </row>
    <row r="831" customFormat="false" ht="15" hidden="false" customHeight="false" outlineLevel="0" collapsed="false">
      <c r="A831" s="18" t="s">
        <v>200</v>
      </c>
      <c r="B831" s="18" t="s">
        <v>201</v>
      </c>
      <c r="C831" s="18"/>
      <c r="D831" s="49" t="n">
        <v>46054</v>
      </c>
      <c r="E831" s="18" t="s">
        <v>124</v>
      </c>
      <c r="F831" s="18" t="s">
        <v>119</v>
      </c>
      <c r="G831" s="18" t="s">
        <v>100</v>
      </c>
      <c r="H831" s="18" t="s">
        <v>107</v>
      </c>
      <c r="I831" s="18" t="s">
        <v>125</v>
      </c>
      <c r="J831" s="18" t="s">
        <v>239</v>
      </c>
      <c r="K831" s="18" t="s">
        <v>199</v>
      </c>
      <c r="L831" s="64" t="n">
        <v>119.845167169536</v>
      </c>
      <c r="M831" s="64" t="n">
        <v>9.02</v>
      </c>
      <c r="N831" s="18" t="s">
        <v>1021</v>
      </c>
      <c r="O831" s="65" t="n">
        <v>1081.0034</v>
      </c>
      <c r="P831" s="65" t="n">
        <v>1081.0034</v>
      </c>
      <c r="Q831" s="65" t="n">
        <v>0</v>
      </c>
      <c r="R831" s="65" t="s">
        <v>232</v>
      </c>
      <c r="S831" s="66" t="n">
        <f aca="false">Model_Calc!AV142</f>
        <v>1081.00340786921</v>
      </c>
      <c r="T831" s="66" t="n">
        <f aca="false">ROUND(S831-O831,4)</f>
        <v>0</v>
      </c>
    </row>
    <row r="832" customFormat="false" ht="15" hidden="false" customHeight="false" outlineLevel="0" collapsed="false">
      <c r="A832" s="18" t="s">
        <v>200</v>
      </c>
      <c r="B832" s="18" t="s">
        <v>201</v>
      </c>
      <c r="C832" s="18"/>
      <c r="D832" s="49" t="n">
        <v>46054</v>
      </c>
      <c r="E832" s="18" t="s">
        <v>124</v>
      </c>
      <c r="F832" s="18" t="s">
        <v>119</v>
      </c>
      <c r="G832" s="18" t="s">
        <v>100</v>
      </c>
      <c r="H832" s="18" t="s">
        <v>107</v>
      </c>
      <c r="I832" s="18" t="s">
        <v>125</v>
      </c>
      <c r="J832" s="18" t="s">
        <v>241</v>
      </c>
      <c r="K832" s="18" t="s">
        <v>199</v>
      </c>
      <c r="L832" s="64" t="n">
        <v>12.9910111859418</v>
      </c>
      <c r="M832" s="64" t="n">
        <v>9.02</v>
      </c>
      <c r="N832" s="18" t="s">
        <v>1022</v>
      </c>
      <c r="O832" s="65" t="n">
        <v>117.1789</v>
      </c>
      <c r="P832" s="65" t="n">
        <v>117.1789</v>
      </c>
      <c r="Q832" s="65" t="n">
        <v>0</v>
      </c>
      <c r="R832" s="65" t="s">
        <v>232</v>
      </c>
      <c r="S832" s="66" t="n">
        <f aca="false">Model_Calc!BA142</f>
        <v>117.178920897195</v>
      </c>
      <c r="T832" s="66" t="n">
        <f aca="false">ROUND(S832-O832,4)</f>
        <v>0</v>
      </c>
    </row>
    <row r="833" customFormat="false" ht="15" hidden="false" customHeight="false" outlineLevel="0" collapsed="false">
      <c r="A833" s="18" t="s">
        <v>200</v>
      </c>
      <c r="B833" s="18" t="s">
        <v>201</v>
      </c>
      <c r="C833" s="18"/>
      <c r="D833" s="49" t="n">
        <v>46054</v>
      </c>
      <c r="E833" s="18" t="s">
        <v>127</v>
      </c>
      <c r="F833" s="18" t="s">
        <v>119</v>
      </c>
      <c r="G833" s="18" t="s">
        <v>100</v>
      </c>
      <c r="H833" s="18" t="s">
        <v>128</v>
      </c>
      <c r="I833" s="18" t="s">
        <v>125</v>
      </c>
      <c r="J833" s="18" t="s">
        <v>230</v>
      </c>
      <c r="K833" s="18" t="s">
        <v>199</v>
      </c>
      <c r="L833" s="64" t="n">
        <v>1078.38549006337</v>
      </c>
      <c r="M833" s="64" t="n">
        <v>9.02</v>
      </c>
      <c r="N833" s="18" t="s">
        <v>1023</v>
      </c>
      <c r="O833" s="65" t="n">
        <v>9727.0371</v>
      </c>
      <c r="P833" s="65" t="n">
        <v>9727.0371</v>
      </c>
      <c r="Q833" s="65" t="n">
        <v>0</v>
      </c>
      <c r="R833" s="65" t="s">
        <v>232</v>
      </c>
      <c r="S833" s="66" t="n">
        <f aca="false">Model_Calc!AF143</f>
        <v>9727.03712037158</v>
      </c>
      <c r="T833" s="66" t="n">
        <f aca="false">ROUND(S833-O833,4)</f>
        <v>0</v>
      </c>
    </row>
    <row r="834" customFormat="false" ht="15" hidden="false" customHeight="false" outlineLevel="0" collapsed="false">
      <c r="A834" s="18" t="s">
        <v>200</v>
      </c>
      <c r="B834" s="18" t="s">
        <v>201</v>
      </c>
      <c r="C834" s="18"/>
      <c r="D834" s="49" t="n">
        <v>46054</v>
      </c>
      <c r="E834" s="18" t="s">
        <v>127</v>
      </c>
      <c r="F834" s="18" t="s">
        <v>119</v>
      </c>
      <c r="G834" s="18" t="s">
        <v>100</v>
      </c>
      <c r="H834" s="18" t="s">
        <v>128</v>
      </c>
      <c r="I834" s="18" t="s">
        <v>125</v>
      </c>
      <c r="J834" s="18" t="s">
        <v>233</v>
      </c>
      <c r="K834" s="18" t="s">
        <v>199</v>
      </c>
      <c r="L834" s="64" t="n">
        <v>83.3951445649005</v>
      </c>
      <c r="M834" s="64" t="n">
        <v>9.02</v>
      </c>
      <c r="N834" s="18" t="s">
        <v>1024</v>
      </c>
      <c r="O834" s="65" t="n">
        <v>752.2242</v>
      </c>
      <c r="P834" s="65" t="n">
        <v>752.2242</v>
      </c>
      <c r="Q834" s="65" t="n">
        <v>0</v>
      </c>
      <c r="R834" s="65" t="s">
        <v>232</v>
      </c>
      <c r="S834" s="66" t="n">
        <f aca="false">Model_Calc!AG143</f>
        <v>752.224203975402</v>
      </c>
      <c r="T834" s="66" t="n">
        <f aca="false">ROUND(S834-O834,4)</f>
        <v>0</v>
      </c>
    </row>
    <row r="835" customFormat="false" ht="15" hidden="false" customHeight="false" outlineLevel="0" collapsed="false">
      <c r="A835" s="18" t="s">
        <v>200</v>
      </c>
      <c r="B835" s="18" t="s">
        <v>201</v>
      </c>
      <c r="C835" s="18"/>
      <c r="D835" s="49" t="n">
        <v>46054</v>
      </c>
      <c r="E835" s="18" t="s">
        <v>127</v>
      </c>
      <c r="F835" s="18" t="s">
        <v>119</v>
      </c>
      <c r="G835" s="18" t="s">
        <v>100</v>
      </c>
      <c r="H835" s="18" t="s">
        <v>128</v>
      </c>
      <c r="I835" s="18" t="s">
        <v>125</v>
      </c>
      <c r="J835" s="18" t="s">
        <v>235</v>
      </c>
      <c r="K835" s="18" t="s">
        <v>195</v>
      </c>
      <c r="L835" s="64" t="n">
        <v>163.67742738432</v>
      </c>
      <c r="M835" s="64" t="n">
        <v>7.76</v>
      </c>
      <c r="N835" s="18" t="s">
        <v>1025</v>
      </c>
      <c r="O835" s="65" t="n">
        <v>1270.1368</v>
      </c>
      <c r="P835" s="65" t="n">
        <v>1270.1368</v>
      </c>
      <c r="Q835" s="65" t="n">
        <v>0</v>
      </c>
      <c r="R835" s="65" t="s">
        <v>232</v>
      </c>
      <c r="S835" s="66" t="n">
        <f aca="false">Model_Calc!AL143</f>
        <v>1270.13683650232</v>
      </c>
      <c r="T835" s="66" t="n">
        <f aca="false">ROUND(S835-O835,4)</f>
        <v>0</v>
      </c>
    </row>
    <row r="836" customFormat="false" ht="15" hidden="false" customHeight="false" outlineLevel="0" collapsed="false">
      <c r="A836" s="18" t="s">
        <v>200</v>
      </c>
      <c r="B836" s="18" t="s">
        <v>201</v>
      </c>
      <c r="C836" s="18"/>
      <c r="D836" s="49" t="n">
        <v>46054</v>
      </c>
      <c r="E836" s="18" t="s">
        <v>127</v>
      </c>
      <c r="F836" s="18" t="s">
        <v>119</v>
      </c>
      <c r="G836" s="18" t="s">
        <v>100</v>
      </c>
      <c r="H836" s="18" t="s">
        <v>128</v>
      </c>
      <c r="I836" s="18" t="s">
        <v>125</v>
      </c>
      <c r="J836" s="18" t="s">
        <v>237</v>
      </c>
      <c r="K836" s="18" t="s">
        <v>195</v>
      </c>
      <c r="L836" s="64" t="n">
        <v>65.3142844944286</v>
      </c>
      <c r="M836" s="64" t="n">
        <v>7.76</v>
      </c>
      <c r="N836" s="18" t="s">
        <v>1026</v>
      </c>
      <c r="O836" s="65" t="n">
        <v>506.8388</v>
      </c>
      <c r="P836" s="65" t="n">
        <v>506.8388</v>
      </c>
      <c r="Q836" s="65" t="n">
        <v>0</v>
      </c>
      <c r="R836" s="65" t="s">
        <v>232</v>
      </c>
      <c r="S836" s="66" t="n">
        <f aca="false">Model_Calc!AQ143</f>
        <v>506.838847676766</v>
      </c>
      <c r="T836" s="66" t="n">
        <f aca="false">ROUND(S836-O836,4)</f>
        <v>0</v>
      </c>
    </row>
    <row r="837" customFormat="false" ht="15" hidden="false" customHeight="false" outlineLevel="0" collapsed="false">
      <c r="A837" s="18" t="s">
        <v>200</v>
      </c>
      <c r="B837" s="18" t="s">
        <v>201</v>
      </c>
      <c r="C837" s="18"/>
      <c r="D837" s="49" t="n">
        <v>46054</v>
      </c>
      <c r="E837" s="18" t="s">
        <v>127</v>
      </c>
      <c r="F837" s="18" t="s">
        <v>119</v>
      </c>
      <c r="G837" s="18" t="s">
        <v>100</v>
      </c>
      <c r="H837" s="18" t="s">
        <v>128</v>
      </c>
      <c r="I837" s="18" t="s">
        <v>125</v>
      </c>
      <c r="J837" s="18" t="s">
        <v>239</v>
      </c>
      <c r="K837" s="18" t="s">
        <v>199</v>
      </c>
      <c r="L837" s="64" t="n">
        <v>53.264518742016</v>
      </c>
      <c r="M837" s="64" t="n">
        <v>9.02</v>
      </c>
      <c r="N837" s="18" t="s">
        <v>1027</v>
      </c>
      <c r="O837" s="65" t="n">
        <v>480.446</v>
      </c>
      <c r="P837" s="65" t="n">
        <v>480.446</v>
      </c>
      <c r="Q837" s="65" t="n">
        <v>0</v>
      </c>
      <c r="R837" s="65" t="s">
        <v>232</v>
      </c>
      <c r="S837" s="66" t="n">
        <f aca="false">Model_Calc!AV143</f>
        <v>480.445959052984</v>
      </c>
      <c r="T837" s="66" t="n">
        <f aca="false">ROUND(S837-O837,4)</f>
        <v>0</v>
      </c>
    </row>
    <row r="838" customFormat="false" ht="15" hidden="false" customHeight="false" outlineLevel="0" collapsed="false">
      <c r="A838" s="18" t="s">
        <v>200</v>
      </c>
      <c r="B838" s="18" t="s">
        <v>201</v>
      </c>
      <c r="C838" s="18"/>
      <c r="D838" s="49" t="n">
        <v>46054</v>
      </c>
      <c r="E838" s="18" t="s">
        <v>127</v>
      </c>
      <c r="F838" s="18" t="s">
        <v>119</v>
      </c>
      <c r="G838" s="18" t="s">
        <v>100</v>
      </c>
      <c r="H838" s="18" t="s">
        <v>128</v>
      </c>
      <c r="I838" s="18" t="s">
        <v>125</v>
      </c>
      <c r="J838" s="18" t="s">
        <v>241</v>
      </c>
      <c r="K838" s="18" t="s">
        <v>199</v>
      </c>
      <c r="L838" s="64" t="n">
        <v>5.13930112850447</v>
      </c>
      <c r="M838" s="64" t="n">
        <v>9.02</v>
      </c>
      <c r="N838" s="18" t="s">
        <v>1028</v>
      </c>
      <c r="O838" s="65" t="n">
        <v>46.3565</v>
      </c>
      <c r="P838" s="65" t="n">
        <v>46.3565</v>
      </c>
      <c r="Q838" s="65" t="n">
        <v>0</v>
      </c>
      <c r="R838" s="65" t="s">
        <v>232</v>
      </c>
      <c r="S838" s="66" t="n">
        <f aca="false">Model_Calc!BA143</f>
        <v>46.3564961791103</v>
      </c>
      <c r="T838" s="66" t="n">
        <f aca="false">ROUND(S838-O838,4)</f>
        <v>0</v>
      </c>
    </row>
    <row r="839" customFormat="false" ht="15" hidden="false" customHeight="false" outlineLevel="0" collapsed="false">
      <c r="A839" s="18" t="s">
        <v>200</v>
      </c>
      <c r="B839" s="18" t="s">
        <v>201</v>
      </c>
      <c r="C839" s="18"/>
      <c r="D839" s="49" t="n">
        <v>46054</v>
      </c>
      <c r="E839" s="18" t="s">
        <v>130</v>
      </c>
      <c r="F839" s="18" t="s">
        <v>119</v>
      </c>
      <c r="G839" s="18" t="s">
        <v>110</v>
      </c>
      <c r="H839" s="18" t="s">
        <v>107</v>
      </c>
      <c r="I839" s="18" t="s">
        <v>125</v>
      </c>
      <c r="J839" s="18" t="s">
        <v>230</v>
      </c>
      <c r="K839" s="18" t="s">
        <v>195</v>
      </c>
      <c r="L839" s="64" t="n">
        <v>1007.97750884829</v>
      </c>
      <c r="M839" s="64" t="n">
        <v>7.76</v>
      </c>
      <c r="N839" s="18" t="s">
        <v>1029</v>
      </c>
      <c r="O839" s="65" t="n">
        <v>7821.9055</v>
      </c>
      <c r="P839" s="65" t="n">
        <v>7821.9055</v>
      </c>
      <c r="Q839" s="65" t="n">
        <v>0</v>
      </c>
      <c r="R839" s="65" t="s">
        <v>232</v>
      </c>
      <c r="S839" s="66" t="n">
        <f aca="false">Model_Calc!AF144</f>
        <v>7821.90546866276</v>
      </c>
      <c r="T839" s="66" t="n">
        <f aca="false">ROUND(S839-O839,4)</f>
        <v>0</v>
      </c>
    </row>
    <row r="840" customFormat="false" ht="15" hidden="false" customHeight="false" outlineLevel="0" collapsed="false">
      <c r="A840" s="18" t="s">
        <v>200</v>
      </c>
      <c r="B840" s="18" t="s">
        <v>201</v>
      </c>
      <c r="C840" s="18"/>
      <c r="D840" s="49" t="n">
        <v>46054</v>
      </c>
      <c r="E840" s="18" t="s">
        <v>130</v>
      </c>
      <c r="F840" s="18" t="s">
        <v>119</v>
      </c>
      <c r="G840" s="18" t="s">
        <v>110</v>
      </c>
      <c r="H840" s="18" t="s">
        <v>107</v>
      </c>
      <c r="I840" s="18" t="s">
        <v>125</v>
      </c>
      <c r="J840" s="18" t="s">
        <v>233</v>
      </c>
      <c r="K840" s="18" t="s">
        <v>195</v>
      </c>
      <c r="L840" s="64" t="n">
        <v>106.260988982787</v>
      </c>
      <c r="M840" s="64" t="n">
        <v>7.76</v>
      </c>
      <c r="N840" s="18" t="s">
        <v>1030</v>
      </c>
      <c r="O840" s="65" t="n">
        <v>824.5853</v>
      </c>
      <c r="P840" s="65" t="n">
        <v>824.5853</v>
      </c>
      <c r="Q840" s="65" t="n">
        <v>0</v>
      </c>
      <c r="R840" s="65" t="s">
        <v>232</v>
      </c>
      <c r="S840" s="66" t="n">
        <f aca="false">Model_Calc!AG144</f>
        <v>824.585274506428</v>
      </c>
      <c r="T840" s="66" t="n">
        <f aca="false">ROUND(S840-O840,4)</f>
        <v>0</v>
      </c>
    </row>
    <row r="841" customFormat="false" ht="15" hidden="false" customHeight="false" outlineLevel="0" collapsed="false">
      <c r="A841" s="18" t="s">
        <v>200</v>
      </c>
      <c r="B841" s="18" t="s">
        <v>201</v>
      </c>
      <c r="C841" s="18"/>
      <c r="D841" s="49" t="n">
        <v>46054</v>
      </c>
      <c r="E841" s="18" t="s">
        <v>130</v>
      </c>
      <c r="F841" s="18" t="s">
        <v>119</v>
      </c>
      <c r="G841" s="18" t="s">
        <v>110</v>
      </c>
      <c r="H841" s="18" t="s">
        <v>107</v>
      </c>
      <c r="I841" s="18" t="s">
        <v>125</v>
      </c>
      <c r="J841" s="18" t="s">
        <v>235</v>
      </c>
      <c r="K841" s="18" t="s">
        <v>195</v>
      </c>
      <c r="L841" s="64" t="n">
        <v>151.71371712</v>
      </c>
      <c r="M841" s="64" t="n">
        <v>7.76</v>
      </c>
      <c r="N841" s="18" t="s">
        <v>1031</v>
      </c>
      <c r="O841" s="65" t="n">
        <v>1177.2984</v>
      </c>
      <c r="P841" s="65" t="n">
        <v>1177.2984</v>
      </c>
      <c r="Q841" s="65" t="n">
        <v>0</v>
      </c>
      <c r="R841" s="65" t="s">
        <v>232</v>
      </c>
      <c r="S841" s="66" t="n">
        <f aca="false">Model_Calc!AL144</f>
        <v>1177.2984448512</v>
      </c>
      <c r="T841" s="66" t="n">
        <f aca="false">ROUND(S841-O841,4)</f>
        <v>0</v>
      </c>
    </row>
    <row r="842" customFormat="false" ht="15" hidden="false" customHeight="false" outlineLevel="0" collapsed="false">
      <c r="A842" s="18" t="s">
        <v>200</v>
      </c>
      <c r="B842" s="18" t="s">
        <v>201</v>
      </c>
      <c r="C842" s="18"/>
      <c r="D842" s="49" t="n">
        <v>46054</v>
      </c>
      <c r="E842" s="18" t="s">
        <v>130</v>
      </c>
      <c r="F842" s="18" t="s">
        <v>119</v>
      </c>
      <c r="G842" s="18" t="s">
        <v>110</v>
      </c>
      <c r="H842" s="18" t="s">
        <v>107</v>
      </c>
      <c r="I842" s="18" t="s">
        <v>125</v>
      </c>
      <c r="J842" s="18" t="s">
        <v>237</v>
      </c>
      <c r="K842" s="18" t="s">
        <v>195</v>
      </c>
      <c r="L842" s="64" t="n">
        <v>63.2049459769728</v>
      </c>
      <c r="M842" s="64" t="n">
        <v>7.76</v>
      </c>
      <c r="N842" s="18" t="s">
        <v>1032</v>
      </c>
      <c r="O842" s="65" t="n">
        <v>490.4704</v>
      </c>
      <c r="P842" s="65" t="n">
        <v>490.4704</v>
      </c>
      <c r="Q842" s="65" t="n">
        <v>0</v>
      </c>
      <c r="R842" s="65" t="s">
        <v>232</v>
      </c>
      <c r="S842" s="66" t="n">
        <f aca="false">Model_Calc!AQ144</f>
        <v>490.470380781309</v>
      </c>
      <c r="T842" s="66" t="n">
        <f aca="false">ROUND(S842-O842,4)</f>
        <v>0</v>
      </c>
    </row>
    <row r="843" customFormat="false" ht="15" hidden="false" customHeight="false" outlineLevel="0" collapsed="false">
      <c r="A843" s="18" t="s">
        <v>200</v>
      </c>
      <c r="B843" s="18" t="s">
        <v>201</v>
      </c>
      <c r="C843" s="18"/>
      <c r="D843" s="49" t="n">
        <v>46054</v>
      </c>
      <c r="E843" s="18" t="s">
        <v>130</v>
      </c>
      <c r="F843" s="18" t="s">
        <v>119</v>
      </c>
      <c r="G843" s="18" t="s">
        <v>110</v>
      </c>
      <c r="H843" s="18" t="s">
        <v>107</v>
      </c>
      <c r="I843" s="18" t="s">
        <v>125</v>
      </c>
      <c r="J843" s="18" t="s">
        <v>239</v>
      </c>
      <c r="K843" s="18" t="s">
        <v>195</v>
      </c>
      <c r="L843" s="64" t="n">
        <v>60.1075298304</v>
      </c>
      <c r="M843" s="64" t="n">
        <v>7.76</v>
      </c>
      <c r="N843" s="18" t="s">
        <v>1033</v>
      </c>
      <c r="O843" s="65" t="n">
        <v>466.4344</v>
      </c>
      <c r="P843" s="65" t="n">
        <v>466.4344</v>
      </c>
      <c r="Q843" s="65" t="n">
        <v>0</v>
      </c>
      <c r="R843" s="65" t="s">
        <v>232</v>
      </c>
      <c r="S843" s="66" t="n">
        <f aca="false">Model_Calc!AV144</f>
        <v>466.434431483904</v>
      </c>
      <c r="T843" s="66" t="n">
        <f aca="false">ROUND(S843-O843,4)</f>
        <v>0</v>
      </c>
    </row>
    <row r="844" customFormat="false" ht="15" hidden="false" customHeight="false" outlineLevel="0" collapsed="false">
      <c r="A844" s="18" t="s">
        <v>200</v>
      </c>
      <c r="B844" s="18" t="s">
        <v>201</v>
      </c>
      <c r="C844" s="18"/>
      <c r="D844" s="49" t="n">
        <v>46054</v>
      </c>
      <c r="E844" s="18" t="s">
        <v>130</v>
      </c>
      <c r="F844" s="18" t="s">
        <v>119</v>
      </c>
      <c r="G844" s="18" t="s">
        <v>110</v>
      </c>
      <c r="H844" s="18" t="s">
        <v>107</v>
      </c>
      <c r="I844" s="18" t="s">
        <v>125</v>
      </c>
      <c r="J844" s="18" t="s">
        <v>241</v>
      </c>
      <c r="K844" s="18" t="s">
        <v>195</v>
      </c>
      <c r="L844" s="64" t="n">
        <v>5.70042081190214</v>
      </c>
      <c r="M844" s="64" t="n">
        <v>7.76</v>
      </c>
      <c r="N844" s="18" t="s">
        <v>1034</v>
      </c>
      <c r="O844" s="65" t="n">
        <v>44.2353</v>
      </c>
      <c r="P844" s="65" t="n">
        <v>44.2353</v>
      </c>
      <c r="Q844" s="65" t="n">
        <v>0</v>
      </c>
      <c r="R844" s="65" t="s">
        <v>232</v>
      </c>
      <c r="S844" s="66" t="n">
        <f aca="false">Model_Calc!BA144</f>
        <v>44.2352655003606</v>
      </c>
      <c r="T844" s="66" t="n">
        <f aca="false">ROUND(S844-O844,4)</f>
        <v>0</v>
      </c>
    </row>
    <row r="845" customFormat="false" ht="15" hidden="false" customHeight="false" outlineLevel="0" collapsed="false">
      <c r="A845" s="18" t="s">
        <v>200</v>
      </c>
      <c r="B845" s="18" t="s">
        <v>201</v>
      </c>
      <c r="C845" s="18"/>
      <c r="D845" s="49" t="n">
        <v>46082</v>
      </c>
      <c r="E845" s="18" t="s">
        <v>98</v>
      </c>
      <c r="F845" s="18" t="s">
        <v>99</v>
      </c>
      <c r="G845" s="18" t="s">
        <v>100</v>
      </c>
      <c r="H845" s="18" t="s">
        <v>101</v>
      </c>
      <c r="I845" s="18" t="s">
        <v>102</v>
      </c>
      <c r="J845" s="18" t="s">
        <v>230</v>
      </c>
      <c r="K845" s="18" t="s">
        <v>195</v>
      </c>
      <c r="L845" s="64" t="n">
        <v>6452.72666306864</v>
      </c>
      <c r="M845" s="64" t="n">
        <v>7.82</v>
      </c>
      <c r="N845" s="18" t="s">
        <v>1035</v>
      </c>
      <c r="O845" s="65" t="n">
        <v>50460.3225</v>
      </c>
      <c r="P845" s="65" t="n">
        <v>50460.3225</v>
      </c>
      <c r="Q845" s="65" t="n">
        <v>0</v>
      </c>
      <c r="R845" s="65" t="s">
        <v>232</v>
      </c>
      <c r="S845" s="66" t="n">
        <f aca="false">Model_Calc!AF145</f>
        <v>50460.3225051967</v>
      </c>
      <c r="T845" s="66" t="n">
        <f aca="false">ROUND(S845-O845,4)</f>
        <v>0</v>
      </c>
    </row>
    <row r="846" customFormat="false" ht="15" hidden="false" customHeight="false" outlineLevel="0" collapsed="false">
      <c r="A846" s="18" t="s">
        <v>200</v>
      </c>
      <c r="B846" s="18" t="s">
        <v>201</v>
      </c>
      <c r="C846" s="18"/>
      <c r="D846" s="49" t="n">
        <v>46082</v>
      </c>
      <c r="E846" s="18" t="s">
        <v>98</v>
      </c>
      <c r="F846" s="18" t="s">
        <v>99</v>
      </c>
      <c r="G846" s="18" t="s">
        <v>100</v>
      </c>
      <c r="H846" s="18" t="s">
        <v>101</v>
      </c>
      <c r="I846" s="18" t="s">
        <v>102</v>
      </c>
      <c r="J846" s="18" t="s">
        <v>233</v>
      </c>
      <c r="K846" s="18" t="s">
        <v>195</v>
      </c>
      <c r="L846" s="64" t="n">
        <v>616.68708718947</v>
      </c>
      <c r="M846" s="64" t="n">
        <v>7.82</v>
      </c>
      <c r="N846" s="18" t="s">
        <v>1036</v>
      </c>
      <c r="O846" s="65" t="n">
        <v>4822.493</v>
      </c>
      <c r="P846" s="65" t="n">
        <v>4822.493</v>
      </c>
      <c r="Q846" s="65" t="n">
        <v>0</v>
      </c>
      <c r="R846" s="65" t="s">
        <v>232</v>
      </c>
      <c r="S846" s="66" t="n">
        <f aca="false">Model_Calc!AG145</f>
        <v>4822.49302182165</v>
      </c>
      <c r="T846" s="66" t="n">
        <f aca="false">ROUND(S846-O846,4)</f>
        <v>0</v>
      </c>
    </row>
    <row r="847" customFormat="false" ht="15" hidden="false" customHeight="false" outlineLevel="0" collapsed="false">
      <c r="A847" s="18" t="s">
        <v>200</v>
      </c>
      <c r="B847" s="18" t="s">
        <v>201</v>
      </c>
      <c r="C847" s="18"/>
      <c r="D847" s="49" t="n">
        <v>46082</v>
      </c>
      <c r="E847" s="18" t="s">
        <v>98</v>
      </c>
      <c r="F847" s="18" t="s">
        <v>99</v>
      </c>
      <c r="G847" s="18" t="s">
        <v>100</v>
      </c>
      <c r="H847" s="18" t="s">
        <v>101</v>
      </c>
      <c r="I847" s="18" t="s">
        <v>102</v>
      </c>
      <c r="J847" s="18" t="s">
        <v>235</v>
      </c>
      <c r="K847" s="18" t="s">
        <v>195</v>
      </c>
      <c r="L847" s="64" t="n">
        <v>4196.477609496</v>
      </c>
      <c r="M847" s="64" t="n">
        <v>7.82</v>
      </c>
      <c r="N847" s="18" t="s">
        <v>1037</v>
      </c>
      <c r="O847" s="65" t="n">
        <v>32816.4549</v>
      </c>
      <c r="P847" s="65" t="n">
        <v>32816.4549</v>
      </c>
      <c r="Q847" s="65" t="n">
        <v>0</v>
      </c>
      <c r="R847" s="65" t="s">
        <v>232</v>
      </c>
      <c r="S847" s="66" t="n">
        <f aca="false">Model_Calc!AL145</f>
        <v>32816.4549062587</v>
      </c>
      <c r="T847" s="66" t="n">
        <f aca="false">ROUND(S847-O847,4)</f>
        <v>0</v>
      </c>
    </row>
    <row r="848" customFormat="false" ht="15" hidden="false" customHeight="false" outlineLevel="0" collapsed="false">
      <c r="A848" s="18" t="s">
        <v>200</v>
      </c>
      <c r="B848" s="18" t="s">
        <v>201</v>
      </c>
      <c r="C848" s="18"/>
      <c r="D848" s="49" t="n">
        <v>46082</v>
      </c>
      <c r="E848" s="18" t="s">
        <v>98</v>
      </c>
      <c r="F848" s="18" t="s">
        <v>99</v>
      </c>
      <c r="G848" s="18" t="s">
        <v>100</v>
      </c>
      <c r="H848" s="18" t="s">
        <v>101</v>
      </c>
      <c r="I848" s="18" t="s">
        <v>102</v>
      </c>
      <c r="J848" s="18" t="s">
        <v>237</v>
      </c>
      <c r="K848" s="18" t="s">
        <v>195</v>
      </c>
      <c r="L848" s="64" t="n">
        <v>1571.48128732145</v>
      </c>
      <c r="M848" s="64" t="n">
        <v>7.82</v>
      </c>
      <c r="N848" s="18" t="s">
        <v>1038</v>
      </c>
      <c r="O848" s="65" t="n">
        <v>12288.9837</v>
      </c>
      <c r="P848" s="65" t="n">
        <v>12288.9837</v>
      </c>
      <c r="Q848" s="65" t="n">
        <v>0</v>
      </c>
      <c r="R848" s="65" t="s">
        <v>232</v>
      </c>
      <c r="S848" s="66" t="n">
        <f aca="false">Model_Calc!AQ145</f>
        <v>12288.9836668537</v>
      </c>
      <c r="T848" s="66" t="n">
        <f aca="false">ROUND(S848-O848,4)</f>
        <v>0</v>
      </c>
    </row>
    <row r="849" customFormat="false" ht="15" hidden="false" customHeight="false" outlineLevel="0" collapsed="false">
      <c r="A849" s="18" t="s">
        <v>200</v>
      </c>
      <c r="B849" s="18" t="s">
        <v>201</v>
      </c>
      <c r="C849" s="18"/>
      <c r="D849" s="49" t="n">
        <v>46082</v>
      </c>
      <c r="E849" s="18" t="s">
        <v>98</v>
      </c>
      <c r="F849" s="18" t="s">
        <v>99</v>
      </c>
      <c r="G849" s="18" t="s">
        <v>100</v>
      </c>
      <c r="H849" s="18" t="s">
        <v>101</v>
      </c>
      <c r="I849" s="18" t="s">
        <v>102</v>
      </c>
      <c r="J849" s="18" t="s">
        <v>239</v>
      </c>
      <c r="K849" s="18" t="s">
        <v>195</v>
      </c>
      <c r="L849" s="64" t="n">
        <v>569.013913152</v>
      </c>
      <c r="M849" s="64" t="n">
        <v>7.82</v>
      </c>
      <c r="N849" s="18" t="s">
        <v>1039</v>
      </c>
      <c r="O849" s="65" t="n">
        <v>4449.6888</v>
      </c>
      <c r="P849" s="65" t="n">
        <v>4449.6888</v>
      </c>
      <c r="Q849" s="65" t="n">
        <v>0</v>
      </c>
      <c r="R849" s="65" t="s">
        <v>232</v>
      </c>
      <c r="S849" s="66" t="n">
        <f aca="false">Model_Calc!AV145</f>
        <v>4449.68880084864</v>
      </c>
      <c r="T849" s="66" t="n">
        <f aca="false">ROUND(S849-O849,4)</f>
        <v>0</v>
      </c>
    </row>
    <row r="850" customFormat="false" ht="15" hidden="false" customHeight="false" outlineLevel="0" collapsed="false">
      <c r="A850" s="18" t="s">
        <v>200</v>
      </c>
      <c r="B850" s="18" t="s">
        <v>201</v>
      </c>
      <c r="C850" s="18"/>
      <c r="D850" s="49" t="n">
        <v>46082</v>
      </c>
      <c r="E850" s="18" t="s">
        <v>98</v>
      </c>
      <c r="F850" s="18" t="s">
        <v>99</v>
      </c>
      <c r="G850" s="18" t="s">
        <v>100</v>
      </c>
      <c r="H850" s="18" t="s">
        <v>101</v>
      </c>
      <c r="I850" s="18" t="s">
        <v>102</v>
      </c>
      <c r="J850" s="18" t="s">
        <v>241</v>
      </c>
      <c r="K850" s="18" t="s">
        <v>195</v>
      </c>
      <c r="L850" s="64" t="n">
        <v>140.445527621186</v>
      </c>
      <c r="M850" s="64" t="n">
        <v>7.82</v>
      </c>
      <c r="N850" s="18" t="s">
        <v>1040</v>
      </c>
      <c r="O850" s="65" t="n">
        <v>1098.284</v>
      </c>
      <c r="P850" s="65" t="n">
        <v>1098.284</v>
      </c>
      <c r="Q850" s="65" t="n">
        <v>0</v>
      </c>
      <c r="R850" s="65" t="s">
        <v>232</v>
      </c>
      <c r="S850" s="66" t="n">
        <f aca="false">Model_Calc!BA145</f>
        <v>1098.28402599767</v>
      </c>
      <c r="T850" s="66" t="n">
        <f aca="false">ROUND(S850-O850,4)</f>
        <v>0</v>
      </c>
    </row>
    <row r="851" customFormat="false" ht="15" hidden="false" customHeight="false" outlineLevel="0" collapsed="false">
      <c r="A851" s="18" t="s">
        <v>200</v>
      </c>
      <c r="B851" s="18" t="s">
        <v>201</v>
      </c>
      <c r="C851" s="18"/>
      <c r="D851" s="49" t="n">
        <v>46082</v>
      </c>
      <c r="E851" s="18" t="s">
        <v>106</v>
      </c>
      <c r="F851" s="18" t="s">
        <v>99</v>
      </c>
      <c r="G851" s="18" t="s">
        <v>100</v>
      </c>
      <c r="H851" s="18" t="s">
        <v>107</v>
      </c>
      <c r="I851" s="18" t="s">
        <v>102</v>
      </c>
      <c r="J851" s="18" t="s">
        <v>230</v>
      </c>
      <c r="K851" s="18" t="s">
        <v>195</v>
      </c>
      <c r="L851" s="64" t="n">
        <v>5515.15099407576</v>
      </c>
      <c r="M851" s="64" t="n">
        <v>7.82</v>
      </c>
      <c r="N851" s="18" t="s">
        <v>1041</v>
      </c>
      <c r="O851" s="65" t="n">
        <v>43128.4808</v>
      </c>
      <c r="P851" s="65" t="n">
        <v>43128.4808</v>
      </c>
      <c r="Q851" s="65" t="n">
        <v>0</v>
      </c>
      <c r="R851" s="65" t="s">
        <v>232</v>
      </c>
      <c r="S851" s="66" t="n">
        <f aca="false">Model_Calc!AF146</f>
        <v>43128.4807736724</v>
      </c>
      <c r="T851" s="66" t="n">
        <f aca="false">ROUND(S851-O851,4)</f>
        <v>0</v>
      </c>
    </row>
    <row r="852" customFormat="false" ht="15" hidden="false" customHeight="false" outlineLevel="0" collapsed="false">
      <c r="A852" s="18" t="s">
        <v>200</v>
      </c>
      <c r="B852" s="18" t="s">
        <v>201</v>
      </c>
      <c r="C852" s="18"/>
      <c r="D852" s="49" t="n">
        <v>46082</v>
      </c>
      <c r="E852" s="18" t="s">
        <v>106</v>
      </c>
      <c r="F852" s="18" t="s">
        <v>99</v>
      </c>
      <c r="G852" s="18" t="s">
        <v>100</v>
      </c>
      <c r="H852" s="18" t="s">
        <v>107</v>
      </c>
      <c r="I852" s="18" t="s">
        <v>102</v>
      </c>
      <c r="J852" s="18" t="s">
        <v>233</v>
      </c>
      <c r="K852" s="18" t="s">
        <v>195</v>
      </c>
      <c r="L852" s="64" t="n">
        <v>421.156985002149</v>
      </c>
      <c r="M852" s="64" t="n">
        <v>7.82</v>
      </c>
      <c r="N852" s="18" t="s">
        <v>1042</v>
      </c>
      <c r="O852" s="65" t="n">
        <v>3293.4476</v>
      </c>
      <c r="P852" s="65" t="n">
        <v>3293.4476</v>
      </c>
      <c r="Q852" s="65" t="n">
        <v>0</v>
      </c>
      <c r="R852" s="65" t="s">
        <v>232</v>
      </c>
      <c r="S852" s="66" t="n">
        <f aca="false">Model_Calc!AG146</f>
        <v>3293.4476227168</v>
      </c>
      <c r="T852" s="66" t="n">
        <f aca="false">ROUND(S852-O852,4)</f>
        <v>0</v>
      </c>
    </row>
    <row r="853" customFormat="false" ht="15" hidden="false" customHeight="false" outlineLevel="0" collapsed="false">
      <c r="A853" s="18" t="s">
        <v>200</v>
      </c>
      <c r="B853" s="18" t="s">
        <v>201</v>
      </c>
      <c r="C853" s="18"/>
      <c r="D853" s="49" t="n">
        <v>46082</v>
      </c>
      <c r="E853" s="18" t="s">
        <v>106</v>
      </c>
      <c r="F853" s="18" t="s">
        <v>99</v>
      </c>
      <c r="G853" s="18" t="s">
        <v>100</v>
      </c>
      <c r="H853" s="18" t="s">
        <v>107</v>
      </c>
      <c r="I853" s="18" t="s">
        <v>102</v>
      </c>
      <c r="J853" s="18" t="s">
        <v>235</v>
      </c>
      <c r="K853" s="18" t="s">
        <v>195</v>
      </c>
      <c r="L853" s="64" t="n">
        <v>2797.651739664</v>
      </c>
      <c r="M853" s="64" t="n">
        <v>7.82</v>
      </c>
      <c r="N853" s="18" t="s">
        <v>1043</v>
      </c>
      <c r="O853" s="65" t="n">
        <v>21877.6366</v>
      </c>
      <c r="P853" s="65" t="n">
        <v>21877.6366</v>
      </c>
      <c r="Q853" s="65" t="n">
        <v>0</v>
      </c>
      <c r="R853" s="65" t="s">
        <v>232</v>
      </c>
      <c r="S853" s="66" t="n">
        <f aca="false">Model_Calc!AL146</f>
        <v>21877.6366041725</v>
      </c>
      <c r="T853" s="66" t="n">
        <f aca="false">ROUND(S853-O853,4)</f>
        <v>0</v>
      </c>
    </row>
    <row r="854" customFormat="false" ht="15" hidden="false" customHeight="false" outlineLevel="0" collapsed="false">
      <c r="A854" s="18" t="s">
        <v>200</v>
      </c>
      <c r="B854" s="18" t="s">
        <v>201</v>
      </c>
      <c r="C854" s="18"/>
      <c r="D854" s="49" t="n">
        <v>46082</v>
      </c>
      <c r="E854" s="18" t="s">
        <v>106</v>
      </c>
      <c r="F854" s="18" t="s">
        <v>99</v>
      </c>
      <c r="G854" s="18" t="s">
        <v>100</v>
      </c>
      <c r="H854" s="18" t="s">
        <v>107</v>
      </c>
      <c r="I854" s="18" t="s">
        <v>102</v>
      </c>
      <c r="J854" s="18" t="s">
        <v>237</v>
      </c>
      <c r="K854" s="18" t="s">
        <v>195</v>
      </c>
      <c r="L854" s="64" t="n">
        <v>1047.65419154763</v>
      </c>
      <c r="M854" s="64" t="n">
        <v>7.82</v>
      </c>
      <c r="N854" s="18" t="s">
        <v>1044</v>
      </c>
      <c r="O854" s="65" t="n">
        <v>8192.6558</v>
      </c>
      <c r="P854" s="65" t="n">
        <v>8192.6558</v>
      </c>
      <c r="Q854" s="65" t="n">
        <v>0</v>
      </c>
      <c r="R854" s="65" t="s">
        <v>232</v>
      </c>
      <c r="S854" s="66" t="n">
        <f aca="false">Model_Calc!AQ146</f>
        <v>8192.6557779025</v>
      </c>
      <c r="T854" s="66" t="n">
        <f aca="false">ROUND(S854-O854,4)</f>
        <v>0</v>
      </c>
    </row>
    <row r="855" customFormat="false" ht="15" hidden="false" customHeight="false" outlineLevel="0" collapsed="false">
      <c r="A855" s="18" t="s">
        <v>200</v>
      </c>
      <c r="B855" s="18" t="s">
        <v>201</v>
      </c>
      <c r="C855" s="18"/>
      <c r="D855" s="49" t="n">
        <v>46082</v>
      </c>
      <c r="E855" s="18" t="s">
        <v>106</v>
      </c>
      <c r="F855" s="18" t="s">
        <v>99</v>
      </c>
      <c r="G855" s="18" t="s">
        <v>100</v>
      </c>
      <c r="H855" s="18" t="s">
        <v>107</v>
      </c>
      <c r="I855" s="18" t="s">
        <v>102</v>
      </c>
      <c r="J855" s="18" t="s">
        <v>239</v>
      </c>
      <c r="K855" s="18" t="s">
        <v>195</v>
      </c>
      <c r="L855" s="64" t="n">
        <v>379.342608768</v>
      </c>
      <c r="M855" s="64" t="n">
        <v>7.82</v>
      </c>
      <c r="N855" s="18" t="s">
        <v>1045</v>
      </c>
      <c r="O855" s="65" t="n">
        <v>2966.4592</v>
      </c>
      <c r="P855" s="65" t="n">
        <v>2966.4592</v>
      </c>
      <c r="Q855" s="65" t="n">
        <v>0</v>
      </c>
      <c r="R855" s="65" t="s">
        <v>232</v>
      </c>
      <c r="S855" s="66" t="n">
        <f aca="false">Model_Calc!AV146</f>
        <v>2966.45920056576</v>
      </c>
      <c r="T855" s="66" t="n">
        <f aca="false">ROUND(S855-O855,4)</f>
        <v>0</v>
      </c>
    </row>
    <row r="856" customFormat="false" ht="15" hidden="false" customHeight="false" outlineLevel="0" collapsed="false">
      <c r="A856" s="18" t="s">
        <v>200</v>
      </c>
      <c r="B856" s="18" t="s">
        <v>201</v>
      </c>
      <c r="C856" s="18"/>
      <c r="D856" s="49" t="n">
        <v>46082</v>
      </c>
      <c r="E856" s="18" t="s">
        <v>106</v>
      </c>
      <c r="F856" s="18" t="s">
        <v>99</v>
      </c>
      <c r="G856" s="18" t="s">
        <v>100</v>
      </c>
      <c r="H856" s="18" t="s">
        <v>107</v>
      </c>
      <c r="I856" s="18" t="s">
        <v>102</v>
      </c>
      <c r="J856" s="18" t="s">
        <v>241</v>
      </c>
      <c r="K856" s="18" t="s">
        <v>195</v>
      </c>
      <c r="L856" s="64" t="n">
        <v>76.0746607948089</v>
      </c>
      <c r="M856" s="64" t="n">
        <v>7.82</v>
      </c>
      <c r="N856" s="18" t="s">
        <v>1046</v>
      </c>
      <c r="O856" s="65" t="n">
        <v>594.9038</v>
      </c>
      <c r="P856" s="65" t="n">
        <v>594.9038</v>
      </c>
      <c r="Q856" s="65" t="n">
        <v>0</v>
      </c>
      <c r="R856" s="65" t="s">
        <v>232</v>
      </c>
      <c r="S856" s="66" t="n">
        <f aca="false">Model_Calc!BA146</f>
        <v>594.903847415406</v>
      </c>
      <c r="T856" s="66" t="n">
        <f aca="false">ROUND(S856-O856,4)</f>
        <v>0</v>
      </c>
    </row>
    <row r="857" customFormat="false" ht="15" hidden="false" customHeight="false" outlineLevel="0" collapsed="false">
      <c r="A857" s="18" t="s">
        <v>200</v>
      </c>
      <c r="B857" s="18" t="s">
        <v>201</v>
      </c>
      <c r="C857" s="18"/>
      <c r="D857" s="49" t="n">
        <v>46082</v>
      </c>
      <c r="E857" s="18" t="s">
        <v>109</v>
      </c>
      <c r="F857" s="18" t="s">
        <v>99</v>
      </c>
      <c r="G857" s="18" t="s">
        <v>110</v>
      </c>
      <c r="H857" s="18" t="s">
        <v>107</v>
      </c>
      <c r="I857" s="18" t="s">
        <v>102</v>
      </c>
      <c r="J857" s="18" t="s">
        <v>230</v>
      </c>
      <c r="K857" s="18" t="s">
        <v>195</v>
      </c>
      <c r="L857" s="64" t="n">
        <v>565.810630702971</v>
      </c>
      <c r="M857" s="64" t="n">
        <v>7.82</v>
      </c>
      <c r="N857" s="18" t="s">
        <v>1047</v>
      </c>
      <c r="O857" s="65" t="n">
        <v>4424.6391</v>
      </c>
      <c r="P857" s="65" t="n">
        <v>4424.6391</v>
      </c>
      <c r="Q857" s="65" t="n">
        <v>0</v>
      </c>
      <c r="R857" s="65" t="s">
        <v>232</v>
      </c>
      <c r="S857" s="66" t="n">
        <f aca="false">Model_Calc!AF147</f>
        <v>4424.63913209723</v>
      </c>
      <c r="T857" s="66" t="n">
        <f aca="false">ROUND(S857-O857,4)</f>
        <v>0</v>
      </c>
    </row>
    <row r="858" customFormat="false" ht="15" hidden="false" customHeight="false" outlineLevel="0" collapsed="false">
      <c r="A858" s="18" t="s">
        <v>200</v>
      </c>
      <c r="B858" s="18" t="s">
        <v>201</v>
      </c>
      <c r="C858" s="18"/>
      <c r="D858" s="49" t="n">
        <v>46082</v>
      </c>
      <c r="E858" s="18" t="s">
        <v>109</v>
      </c>
      <c r="F858" s="18" t="s">
        <v>99</v>
      </c>
      <c r="G858" s="18" t="s">
        <v>110</v>
      </c>
      <c r="H858" s="18" t="s">
        <v>107</v>
      </c>
      <c r="I858" s="18" t="s">
        <v>102</v>
      </c>
      <c r="J858" s="18" t="s">
        <v>233</v>
      </c>
      <c r="K858" s="18" t="s">
        <v>195</v>
      </c>
      <c r="L858" s="64" t="n">
        <v>41.1498640511252</v>
      </c>
      <c r="M858" s="64" t="n">
        <v>7.82</v>
      </c>
      <c r="N858" s="18" t="s">
        <v>1048</v>
      </c>
      <c r="O858" s="65" t="n">
        <v>321.7919</v>
      </c>
      <c r="P858" s="65" t="n">
        <v>321.7919</v>
      </c>
      <c r="Q858" s="65" t="n">
        <v>0</v>
      </c>
      <c r="R858" s="65" t="s">
        <v>232</v>
      </c>
      <c r="S858" s="66" t="n">
        <f aca="false">Model_Calc!AG147</f>
        <v>321.791936879799</v>
      </c>
      <c r="T858" s="66" t="n">
        <f aca="false">ROUND(S858-O858,4)</f>
        <v>0</v>
      </c>
    </row>
    <row r="859" customFormat="false" ht="15" hidden="false" customHeight="false" outlineLevel="0" collapsed="false">
      <c r="A859" s="18" t="s">
        <v>200</v>
      </c>
      <c r="B859" s="18" t="s">
        <v>201</v>
      </c>
      <c r="C859" s="18"/>
      <c r="D859" s="49" t="n">
        <v>46082</v>
      </c>
      <c r="E859" s="18" t="s">
        <v>109</v>
      </c>
      <c r="F859" s="18" t="s">
        <v>99</v>
      </c>
      <c r="G859" s="18" t="s">
        <v>110</v>
      </c>
      <c r="H859" s="18" t="s">
        <v>107</v>
      </c>
      <c r="I859" s="18" t="s">
        <v>102</v>
      </c>
      <c r="J859" s="18" t="s">
        <v>235</v>
      </c>
      <c r="K859" s="18" t="s">
        <v>195</v>
      </c>
      <c r="L859" s="64" t="n">
        <v>192.4821549</v>
      </c>
      <c r="M859" s="64" t="n">
        <v>7.82</v>
      </c>
      <c r="N859" s="18" t="s">
        <v>1049</v>
      </c>
      <c r="O859" s="65" t="n">
        <v>1505.2105</v>
      </c>
      <c r="P859" s="65" t="n">
        <v>1505.2105</v>
      </c>
      <c r="Q859" s="65" t="n">
        <v>0</v>
      </c>
      <c r="R859" s="65" t="s">
        <v>232</v>
      </c>
      <c r="S859" s="66" t="n">
        <f aca="false">Model_Calc!AL147</f>
        <v>1505.210451318</v>
      </c>
      <c r="T859" s="66" t="n">
        <f aca="false">ROUND(S859-O859,4)</f>
        <v>0</v>
      </c>
    </row>
    <row r="860" customFormat="false" ht="15" hidden="false" customHeight="false" outlineLevel="0" collapsed="false">
      <c r="A860" s="18" t="s">
        <v>200</v>
      </c>
      <c r="B860" s="18" t="s">
        <v>201</v>
      </c>
      <c r="C860" s="18"/>
      <c r="D860" s="49" t="n">
        <v>46082</v>
      </c>
      <c r="E860" s="18" t="s">
        <v>109</v>
      </c>
      <c r="F860" s="18" t="s">
        <v>99</v>
      </c>
      <c r="G860" s="18" t="s">
        <v>110</v>
      </c>
      <c r="H860" s="18" t="s">
        <v>107</v>
      </c>
      <c r="I860" s="18" t="s">
        <v>102</v>
      </c>
      <c r="J860" s="18" t="s">
        <v>237</v>
      </c>
      <c r="K860" s="18" t="s">
        <v>195</v>
      </c>
      <c r="L860" s="64" t="n">
        <v>75.3834911654304</v>
      </c>
      <c r="M860" s="64" t="n">
        <v>7.82</v>
      </c>
      <c r="N860" s="18" t="s">
        <v>1050</v>
      </c>
      <c r="O860" s="65" t="n">
        <v>589.4989</v>
      </c>
      <c r="P860" s="65" t="n">
        <v>589.4989</v>
      </c>
      <c r="Q860" s="65" t="n">
        <v>0</v>
      </c>
      <c r="R860" s="65" t="s">
        <v>232</v>
      </c>
      <c r="S860" s="66" t="n">
        <f aca="false">Model_Calc!AQ147</f>
        <v>589.498900913666</v>
      </c>
      <c r="T860" s="66" t="n">
        <f aca="false">ROUND(S860-O860,4)</f>
        <v>0</v>
      </c>
    </row>
    <row r="861" customFormat="false" ht="15" hidden="false" customHeight="false" outlineLevel="0" collapsed="false">
      <c r="A861" s="18" t="s">
        <v>200</v>
      </c>
      <c r="B861" s="18" t="s">
        <v>201</v>
      </c>
      <c r="C861" s="18"/>
      <c r="D861" s="49" t="n">
        <v>46082</v>
      </c>
      <c r="E861" s="18" t="s">
        <v>109</v>
      </c>
      <c r="F861" s="18" t="s">
        <v>99</v>
      </c>
      <c r="G861" s="18" t="s">
        <v>110</v>
      </c>
      <c r="H861" s="18" t="s">
        <v>107</v>
      </c>
      <c r="I861" s="18" t="s">
        <v>102</v>
      </c>
      <c r="J861" s="18" t="s">
        <v>239</v>
      </c>
      <c r="K861" s="18" t="s">
        <v>195</v>
      </c>
      <c r="L861" s="64" t="n">
        <v>34.83010422</v>
      </c>
      <c r="M861" s="64" t="n">
        <v>7.82</v>
      </c>
      <c r="N861" s="18" t="s">
        <v>1051</v>
      </c>
      <c r="O861" s="65" t="n">
        <v>272.3714</v>
      </c>
      <c r="P861" s="65" t="n">
        <v>272.3714</v>
      </c>
      <c r="Q861" s="65" t="n">
        <v>0</v>
      </c>
      <c r="R861" s="65" t="s">
        <v>232</v>
      </c>
      <c r="S861" s="66" t="n">
        <f aca="false">Model_Calc!AV147</f>
        <v>272.3714150004</v>
      </c>
      <c r="T861" s="66" t="n">
        <f aca="false">ROUND(S861-O861,4)</f>
        <v>0</v>
      </c>
    </row>
    <row r="862" customFormat="false" ht="15" hidden="false" customHeight="false" outlineLevel="0" collapsed="false">
      <c r="A862" s="18" t="s">
        <v>200</v>
      </c>
      <c r="B862" s="18" t="s">
        <v>201</v>
      </c>
      <c r="C862" s="18"/>
      <c r="D862" s="49" t="n">
        <v>46082</v>
      </c>
      <c r="E862" s="18" t="s">
        <v>109</v>
      </c>
      <c r="F862" s="18" t="s">
        <v>99</v>
      </c>
      <c r="G862" s="18" t="s">
        <v>110</v>
      </c>
      <c r="H862" s="18" t="s">
        <v>107</v>
      </c>
      <c r="I862" s="18" t="s">
        <v>102</v>
      </c>
      <c r="J862" s="18" t="s">
        <v>241</v>
      </c>
      <c r="K862" s="18" t="s">
        <v>195</v>
      </c>
      <c r="L862" s="64" t="n">
        <v>6.51551416799315</v>
      </c>
      <c r="M862" s="64" t="n">
        <v>7.82</v>
      </c>
      <c r="N862" s="18" t="s">
        <v>1052</v>
      </c>
      <c r="O862" s="65" t="n">
        <v>50.9513</v>
      </c>
      <c r="P862" s="65" t="n">
        <v>50.9513</v>
      </c>
      <c r="Q862" s="65" t="n">
        <v>0</v>
      </c>
      <c r="R862" s="65" t="s">
        <v>232</v>
      </c>
      <c r="S862" s="66" t="n">
        <f aca="false">Model_Calc!BA147</f>
        <v>50.9513207937064</v>
      </c>
      <c r="T862" s="66" t="n">
        <f aca="false">ROUND(S862-O862,4)</f>
        <v>0</v>
      </c>
    </row>
    <row r="863" customFormat="false" ht="15" hidden="false" customHeight="false" outlineLevel="0" collapsed="false">
      <c r="A863" s="18" t="s">
        <v>200</v>
      </c>
      <c r="B863" s="18" t="s">
        <v>201</v>
      </c>
      <c r="C863" s="18"/>
      <c r="D863" s="49" t="n">
        <v>46082</v>
      </c>
      <c r="E863" s="18" t="s">
        <v>112</v>
      </c>
      <c r="F863" s="18" t="s">
        <v>113</v>
      </c>
      <c r="G863" s="18" t="s">
        <v>110</v>
      </c>
      <c r="H863" s="18" t="s">
        <v>101</v>
      </c>
      <c r="I863" s="18" t="s">
        <v>102</v>
      </c>
      <c r="J863" s="18" t="s">
        <v>230</v>
      </c>
      <c r="K863" s="18" t="s">
        <v>195</v>
      </c>
      <c r="L863" s="64" t="n">
        <v>2927.66023880122</v>
      </c>
      <c r="M863" s="64" t="n">
        <v>7.82</v>
      </c>
      <c r="N863" s="18" t="s">
        <v>1053</v>
      </c>
      <c r="O863" s="65" t="n">
        <v>22894.3031</v>
      </c>
      <c r="P863" s="65" t="n">
        <v>22894.3031</v>
      </c>
      <c r="Q863" s="65" t="n">
        <v>0</v>
      </c>
      <c r="R863" s="65" t="s">
        <v>232</v>
      </c>
      <c r="S863" s="66" t="n">
        <f aca="false">Model_Calc!AF148</f>
        <v>22894.3030674255</v>
      </c>
      <c r="T863" s="66" t="n">
        <f aca="false">ROUND(S863-O863,4)</f>
        <v>0</v>
      </c>
    </row>
    <row r="864" customFormat="false" ht="15" hidden="false" customHeight="false" outlineLevel="0" collapsed="false">
      <c r="A864" s="18" t="s">
        <v>200</v>
      </c>
      <c r="B864" s="18" t="s">
        <v>201</v>
      </c>
      <c r="C864" s="18"/>
      <c r="D864" s="49" t="n">
        <v>46082</v>
      </c>
      <c r="E864" s="18" t="s">
        <v>112</v>
      </c>
      <c r="F864" s="18" t="s">
        <v>113</v>
      </c>
      <c r="G864" s="18" t="s">
        <v>110</v>
      </c>
      <c r="H864" s="18" t="s">
        <v>101</v>
      </c>
      <c r="I864" s="18" t="s">
        <v>102</v>
      </c>
      <c r="J864" s="18" t="s">
        <v>233</v>
      </c>
      <c r="K864" s="18" t="s">
        <v>195</v>
      </c>
      <c r="L864" s="64" t="n">
        <v>265.070358021062</v>
      </c>
      <c r="M864" s="64" t="n">
        <v>7.82</v>
      </c>
      <c r="N864" s="18" t="s">
        <v>1054</v>
      </c>
      <c r="O864" s="65" t="n">
        <v>2072.8502</v>
      </c>
      <c r="P864" s="65" t="n">
        <v>2072.8502</v>
      </c>
      <c r="Q864" s="65" t="n">
        <v>0</v>
      </c>
      <c r="R864" s="65" t="s">
        <v>232</v>
      </c>
      <c r="S864" s="66" t="n">
        <f aca="false">Model_Calc!AG148</f>
        <v>2072.85019972471</v>
      </c>
      <c r="T864" s="66" t="n">
        <f aca="false">ROUND(S864-O864,4)</f>
        <v>0</v>
      </c>
    </row>
    <row r="865" customFormat="false" ht="15" hidden="false" customHeight="false" outlineLevel="0" collapsed="false">
      <c r="A865" s="18" t="s">
        <v>200</v>
      </c>
      <c r="B865" s="18" t="s">
        <v>201</v>
      </c>
      <c r="C865" s="18"/>
      <c r="D865" s="49" t="n">
        <v>46082</v>
      </c>
      <c r="E865" s="18" t="s">
        <v>112</v>
      </c>
      <c r="F865" s="18" t="s">
        <v>113</v>
      </c>
      <c r="G865" s="18" t="s">
        <v>110</v>
      </c>
      <c r="H865" s="18" t="s">
        <v>101</v>
      </c>
      <c r="I865" s="18" t="s">
        <v>102</v>
      </c>
      <c r="J865" s="18" t="s">
        <v>235</v>
      </c>
      <c r="K865" s="18" t="s">
        <v>195</v>
      </c>
      <c r="L865" s="64" t="n">
        <v>1804.4191935</v>
      </c>
      <c r="M865" s="64" t="n">
        <v>7.82</v>
      </c>
      <c r="N865" s="18" t="s">
        <v>1055</v>
      </c>
      <c r="O865" s="65" t="n">
        <v>14110.5581</v>
      </c>
      <c r="P865" s="65" t="n">
        <v>14110.5581</v>
      </c>
      <c r="Q865" s="65" t="n">
        <v>0</v>
      </c>
      <c r="R865" s="65" t="s">
        <v>232</v>
      </c>
      <c r="S865" s="66" t="n">
        <f aca="false">Model_Calc!AL148</f>
        <v>14110.55809317</v>
      </c>
      <c r="T865" s="66" t="n">
        <f aca="false">ROUND(S865-O865,4)</f>
        <v>0</v>
      </c>
    </row>
    <row r="866" customFormat="false" ht="15" hidden="false" customHeight="false" outlineLevel="0" collapsed="false">
      <c r="A866" s="18" t="s">
        <v>200</v>
      </c>
      <c r="B866" s="18" t="s">
        <v>201</v>
      </c>
      <c r="C866" s="18"/>
      <c r="D866" s="49" t="n">
        <v>46082</v>
      </c>
      <c r="E866" s="18" t="s">
        <v>112</v>
      </c>
      <c r="F866" s="18" t="s">
        <v>113</v>
      </c>
      <c r="G866" s="18" t="s">
        <v>110</v>
      </c>
      <c r="H866" s="18" t="s">
        <v>101</v>
      </c>
      <c r="I866" s="18" t="s">
        <v>102</v>
      </c>
      <c r="J866" s="18" t="s">
        <v>237</v>
      </c>
      <c r="K866" s="18" t="s">
        <v>195</v>
      </c>
      <c r="L866" s="64" t="n">
        <v>693.593991661032</v>
      </c>
      <c r="M866" s="64" t="n">
        <v>7.82</v>
      </c>
      <c r="N866" s="18" t="s">
        <v>1056</v>
      </c>
      <c r="O866" s="65" t="n">
        <v>5423.905</v>
      </c>
      <c r="P866" s="65" t="n">
        <v>5423.905</v>
      </c>
      <c r="Q866" s="65" t="n">
        <v>0</v>
      </c>
      <c r="R866" s="65" t="s">
        <v>232</v>
      </c>
      <c r="S866" s="66" t="n">
        <f aca="false">Model_Calc!AQ148</f>
        <v>5423.90501478927</v>
      </c>
      <c r="T866" s="66" t="n">
        <f aca="false">ROUND(S866-O866,4)</f>
        <v>0</v>
      </c>
    </row>
    <row r="867" customFormat="false" ht="15" hidden="false" customHeight="false" outlineLevel="0" collapsed="false">
      <c r="A867" s="18" t="s">
        <v>200</v>
      </c>
      <c r="B867" s="18" t="s">
        <v>201</v>
      </c>
      <c r="C867" s="18"/>
      <c r="D867" s="49" t="n">
        <v>46082</v>
      </c>
      <c r="E867" s="18" t="s">
        <v>112</v>
      </c>
      <c r="F867" s="18" t="s">
        <v>113</v>
      </c>
      <c r="G867" s="18" t="s">
        <v>110</v>
      </c>
      <c r="H867" s="18" t="s">
        <v>101</v>
      </c>
      <c r="I867" s="18" t="s">
        <v>102</v>
      </c>
      <c r="J867" s="18" t="s">
        <v>239</v>
      </c>
      <c r="K867" s="18" t="s">
        <v>195</v>
      </c>
      <c r="L867" s="64" t="n">
        <v>309.3290046</v>
      </c>
      <c r="M867" s="64" t="n">
        <v>7.82</v>
      </c>
      <c r="N867" s="18" t="s">
        <v>1057</v>
      </c>
      <c r="O867" s="65" t="n">
        <v>2418.9528</v>
      </c>
      <c r="P867" s="65" t="n">
        <v>2418.9528</v>
      </c>
      <c r="Q867" s="65" t="n">
        <v>0</v>
      </c>
      <c r="R867" s="65" t="s">
        <v>232</v>
      </c>
      <c r="S867" s="66" t="n">
        <f aca="false">Model_Calc!AV148</f>
        <v>2418.952815972</v>
      </c>
      <c r="T867" s="66" t="n">
        <f aca="false">ROUND(S867-O867,4)</f>
        <v>0</v>
      </c>
    </row>
    <row r="868" customFormat="false" ht="15" hidden="false" customHeight="false" outlineLevel="0" collapsed="false">
      <c r="A868" s="18" t="s">
        <v>200</v>
      </c>
      <c r="B868" s="18" t="s">
        <v>201</v>
      </c>
      <c r="C868" s="18"/>
      <c r="D868" s="49" t="n">
        <v>46082</v>
      </c>
      <c r="E868" s="18" t="s">
        <v>112</v>
      </c>
      <c r="F868" s="18" t="s">
        <v>113</v>
      </c>
      <c r="G868" s="18" t="s">
        <v>110</v>
      </c>
      <c r="H868" s="18" t="s">
        <v>101</v>
      </c>
      <c r="I868" s="18" t="s">
        <v>102</v>
      </c>
      <c r="J868" s="18" t="s">
        <v>241</v>
      </c>
      <c r="K868" s="18" t="s">
        <v>195</v>
      </c>
      <c r="L868" s="64" t="n">
        <v>72.7945146721718</v>
      </c>
      <c r="M868" s="64" t="n">
        <v>7.82</v>
      </c>
      <c r="N868" s="18" t="s">
        <v>1058</v>
      </c>
      <c r="O868" s="65" t="n">
        <v>569.2531</v>
      </c>
      <c r="P868" s="65" t="n">
        <v>569.2531</v>
      </c>
      <c r="Q868" s="65" t="n">
        <v>0</v>
      </c>
      <c r="R868" s="65" t="s">
        <v>232</v>
      </c>
      <c r="S868" s="66" t="n">
        <f aca="false">Model_Calc!BA148</f>
        <v>569.253104736383</v>
      </c>
      <c r="T868" s="66" t="n">
        <f aca="false">ROUND(S868-O868,4)</f>
        <v>0</v>
      </c>
    </row>
    <row r="869" customFormat="false" ht="15" hidden="false" customHeight="false" outlineLevel="0" collapsed="false">
      <c r="A869" s="18" t="s">
        <v>200</v>
      </c>
      <c r="B869" s="18" t="s">
        <v>201</v>
      </c>
      <c r="C869" s="18"/>
      <c r="D869" s="49" t="n">
        <v>46082</v>
      </c>
      <c r="E869" s="18" t="s">
        <v>116</v>
      </c>
      <c r="F869" s="18" t="s">
        <v>113</v>
      </c>
      <c r="G869" s="18" t="s">
        <v>110</v>
      </c>
      <c r="H869" s="18" t="s">
        <v>107</v>
      </c>
      <c r="I869" s="18" t="s">
        <v>102</v>
      </c>
      <c r="J869" s="18" t="s">
        <v>230</v>
      </c>
      <c r="K869" s="18" t="s">
        <v>195</v>
      </c>
      <c r="L869" s="64" t="n">
        <v>6997.34905983441</v>
      </c>
      <c r="M869" s="64" t="n">
        <v>7.82</v>
      </c>
      <c r="N869" s="18" t="s">
        <v>1059</v>
      </c>
      <c r="O869" s="65" t="n">
        <v>54719.2696</v>
      </c>
      <c r="P869" s="65" t="n">
        <v>54719.2696</v>
      </c>
      <c r="Q869" s="65" t="n">
        <v>0</v>
      </c>
      <c r="R869" s="65" t="s">
        <v>232</v>
      </c>
      <c r="S869" s="66" t="n">
        <f aca="false">Model_Calc!AF149</f>
        <v>54719.2696479051</v>
      </c>
      <c r="T869" s="66" t="n">
        <f aca="false">ROUND(S869-O869,4)</f>
        <v>0</v>
      </c>
    </row>
    <row r="870" customFormat="false" ht="15" hidden="false" customHeight="false" outlineLevel="0" collapsed="false">
      <c r="A870" s="18" t="s">
        <v>200</v>
      </c>
      <c r="B870" s="18" t="s">
        <v>201</v>
      </c>
      <c r="C870" s="18"/>
      <c r="D870" s="49" t="n">
        <v>46082</v>
      </c>
      <c r="E870" s="18" t="s">
        <v>116</v>
      </c>
      <c r="F870" s="18" t="s">
        <v>113</v>
      </c>
      <c r="G870" s="18" t="s">
        <v>110</v>
      </c>
      <c r="H870" s="18" t="s">
        <v>107</v>
      </c>
      <c r="I870" s="18" t="s">
        <v>102</v>
      </c>
      <c r="J870" s="18" t="s">
        <v>233</v>
      </c>
      <c r="K870" s="18" t="s">
        <v>195</v>
      </c>
      <c r="L870" s="64" t="n">
        <v>538.257619987263</v>
      </c>
      <c r="M870" s="64" t="n">
        <v>7.82</v>
      </c>
      <c r="N870" s="18" t="s">
        <v>1060</v>
      </c>
      <c r="O870" s="65" t="n">
        <v>4209.1746</v>
      </c>
      <c r="P870" s="65" t="n">
        <v>4209.1746</v>
      </c>
      <c r="Q870" s="65" t="n">
        <v>0</v>
      </c>
      <c r="R870" s="65" t="s">
        <v>232</v>
      </c>
      <c r="S870" s="66" t="n">
        <f aca="false">Model_Calc!AG149</f>
        <v>4209.17458830039</v>
      </c>
      <c r="T870" s="66" t="n">
        <f aca="false">ROUND(S870-O870,4)</f>
        <v>0</v>
      </c>
    </row>
    <row r="871" customFormat="false" ht="15" hidden="false" customHeight="false" outlineLevel="0" collapsed="false">
      <c r="A871" s="18" t="s">
        <v>200</v>
      </c>
      <c r="B871" s="18" t="s">
        <v>201</v>
      </c>
      <c r="C871" s="18"/>
      <c r="D871" s="49" t="n">
        <v>46082</v>
      </c>
      <c r="E871" s="18" t="s">
        <v>116</v>
      </c>
      <c r="F871" s="18" t="s">
        <v>113</v>
      </c>
      <c r="G871" s="18" t="s">
        <v>110</v>
      </c>
      <c r="H871" s="18" t="s">
        <v>107</v>
      </c>
      <c r="I871" s="18" t="s">
        <v>102</v>
      </c>
      <c r="J871" s="18" t="s">
        <v>235</v>
      </c>
      <c r="K871" s="18" t="s">
        <v>195</v>
      </c>
      <c r="L871" s="64" t="n">
        <v>3351.0642165</v>
      </c>
      <c r="M871" s="64" t="n">
        <v>7.82</v>
      </c>
      <c r="N871" s="18" t="s">
        <v>1061</v>
      </c>
      <c r="O871" s="65" t="n">
        <v>26205.3222</v>
      </c>
      <c r="P871" s="65" t="n">
        <v>26205.3222</v>
      </c>
      <c r="Q871" s="65" t="n">
        <v>0</v>
      </c>
      <c r="R871" s="65" t="s">
        <v>232</v>
      </c>
      <c r="S871" s="66" t="n">
        <f aca="false">Model_Calc!AL149</f>
        <v>26205.32217303</v>
      </c>
      <c r="T871" s="66" t="n">
        <f aca="false">ROUND(S871-O871,4)</f>
        <v>0</v>
      </c>
    </row>
    <row r="872" customFormat="false" ht="15" hidden="false" customHeight="false" outlineLevel="0" collapsed="false">
      <c r="A872" s="18" t="s">
        <v>200</v>
      </c>
      <c r="B872" s="18" t="s">
        <v>201</v>
      </c>
      <c r="C872" s="18"/>
      <c r="D872" s="49" t="n">
        <v>46082</v>
      </c>
      <c r="E872" s="18" t="s">
        <v>116</v>
      </c>
      <c r="F872" s="18" t="s">
        <v>113</v>
      </c>
      <c r="G872" s="18" t="s">
        <v>110</v>
      </c>
      <c r="H872" s="18" t="s">
        <v>107</v>
      </c>
      <c r="I872" s="18" t="s">
        <v>102</v>
      </c>
      <c r="J872" s="18" t="s">
        <v>237</v>
      </c>
      <c r="K872" s="18" t="s">
        <v>195</v>
      </c>
      <c r="L872" s="64" t="n">
        <v>1288.10312737049</v>
      </c>
      <c r="M872" s="64" t="n">
        <v>7.82</v>
      </c>
      <c r="N872" s="18" t="s">
        <v>1062</v>
      </c>
      <c r="O872" s="65" t="n">
        <v>10072.9665</v>
      </c>
      <c r="P872" s="65" t="n">
        <v>10072.9665</v>
      </c>
      <c r="Q872" s="65" t="n">
        <v>0</v>
      </c>
      <c r="R872" s="65" t="s">
        <v>232</v>
      </c>
      <c r="S872" s="66" t="n">
        <f aca="false">Model_Calc!AQ149</f>
        <v>10072.9664560372</v>
      </c>
      <c r="T872" s="66" t="n">
        <f aca="false">ROUND(S872-O872,4)</f>
        <v>0</v>
      </c>
    </row>
    <row r="873" customFormat="false" ht="15" hidden="false" customHeight="false" outlineLevel="0" collapsed="false">
      <c r="A873" s="18" t="s">
        <v>200</v>
      </c>
      <c r="B873" s="18" t="s">
        <v>201</v>
      </c>
      <c r="C873" s="18"/>
      <c r="D873" s="49" t="n">
        <v>46082</v>
      </c>
      <c r="E873" s="18" t="s">
        <v>116</v>
      </c>
      <c r="F873" s="18" t="s">
        <v>113</v>
      </c>
      <c r="G873" s="18" t="s">
        <v>110</v>
      </c>
      <c r="H873" s="18" t="s">
        <v>107</v>
      </c>
      <c r="I873" s="18" t="s">
        <v>102</v>
      </c>
      <c r="J873" s="18" t="s">
        <v>239</v>
      </c>
      <c r="K873" s="18" t="s">
        <v>195</v>
      </c>
      <c r="L873" s="64" t="n">
        <v>574.4681514</v>
      </c>
      <c r="M873" s="64" t="n">
        <v>7.82</v>
      </c>
      <c r="N873" s="18" t="s">
        <v>1063</v>
      </c>
      <c r="O873" s="65" t="n">
        <v>4492.3409</v>
      </c>
      <c r="P873" s="65" t="n">
        <v>4492.3409</v>
      </c>
      <c r="Q873" s="65" t="n">
        <v>0</v>
      </c>
      <c r="R873" s="65" t="s">
        <v>232</v>
      </c>
      <c r="S873" s="66" t="n">
        <f aca="false">Model_Calc!AV149</f>
        <v>4492.340943948</v>
      </c>
      <c r="T873" s="66" t="n">
        <f aca="false">ROUND(S873-O873,4)</f>
        <v>0</v>
      </c>
    </row>
    <row r="874" customFormat="false" ht="15" hidden="false" customHeight="false" outlineLevel="0" collapsed="false">
      <c r="A874" s="18" t="s">
        <v>200</v>
      </c>
      <c r="B874" s="18" t="s">
        <v>201</v>
      </c>
      <c r="C874" s="18"/>
      <c r="D874" s="49" t="n">
        <v>46082</v>
      </c>
      <c r="E874" s="18" t="s">
        <v>116</v>
      </c>
      <c r="F874" s="18" t="s">
        <v>113</v>
      </c>
      <c r="G874" s="18" t="s">
        <v>110</v>
      </c>
      <c r="H874" s="18" t="s">
        <v>107</v>
      </c>
      <c r="I874" s="18" t="s">
        <v>102</v>
      </c>
      <c r="J874" s="18" t="s">
        <v>241</v>
      </c>
      <c r="K874" s="18" t="s">
        <v>195</v>
      </c>
      <c r="L874" s="64" t="n">
        <v>111.332787145674</v>
      </c>
      <c r="M874" s="64" t="n">
        <v>7.82</v>
      </c>
      <c r="N874" s="18" t="s">
        <v>1064</v>
      </c>
      <c r="O874" s="65" t="n">
        <v>870.6224</v>
      </c>
      <c r="P874" s="65" t="n">
        <v>870.6224</v>
      </c>
      <c r="Q874" s="65" t="n">
        <v>0</v>
      </c>
      <c r="R874" s="65" t="s">
        <v>232</v>
      </c>
      <c r="S874" s="66" t="n">
        <f aca="false">Model_Calc!BA149</f>
        <v>870.622395479174</v>
      </c>
      <c r="T874" s="66" t="n">
        <f aca="false">ROUND(S874-O874,4)</f>
        <v>0</v>
      </c>
    </row>
    <row r="875" customFormat="false" ht="15" hidden="false" customHeight="false" outlineLevel="0" collapsed="false">
      <c r="A875" s="18" t="s">
        <v>200</v>
      </c>
      <c r="B875" s="18" t="s">
        <v>201</v>
      </c>
      <c r="C875" s="18"/>
      <c r="D875" s="49" t="n">
        <v>46082</v>
      </c>
      <c r="E875" s="18" t="s">
        <v>118</v>
      </c>
      <c r="F875" s="18" t="s">
        <v>119</v>
      </c>
      <c r="G875" s="18" t="s">
        <v>100</v>
      </c>
      <c r="H875" s="18" t="s">
        <v>101</v>
      </c>
      <c r="I875" s="18" t="s">
        <v>102</v>
      </c>
      <c r="J875" s="18" t="s">
        <v>230</v>
      </c>
      <c r="K875" s="18" t="s">
        <v>199</v>
      </c>
      <c r="L875" s="64" t="n">
        <v>11972.4392810684</v>
      </c>
      <c r="M875" s="64" t="n">
        <v>9.08</v>
      </c>
      <c r="N875" s="18" t="s">
        <v>1065</v>
      </c>
      <c r="O875" s="65" t="n">
        <v>108709.7487</v>
      </c>
      <c r="P875" s="65" t="n">
        <v>108709.7487</v>
      </c>
      <c r="Q875" s="65" t="n">
        <v>0</v>
      </c>
      <c r="R875" s="65" t="s">
        <v>232</v>
      </c>
      <c r="S875" s="66" t="n">
        <f aca="false">Model_Calc!AF150</f>
        <v>108709.748672101</v>
      </c>
      <c r="T875" s="66" t="n">
        <f aca="false">ROUND(S875-O875,4)</f>
        <v>0</v>
      </c>
    </row>
    <row r="876" customFormat="false" ht="15" hidden="false" customHeight="false" outlineLevel="0" collapsed="false">
      <c r="A876" s="18" t="s">
        <v>200</v>
      </c>
      <c r="B876" s="18" t="s">
        <v>201</v>
      </c>
      <c r="C876" s="18"/>
      <c r="D876" s="49" t="n">
        <v>46082</v>
      </c>
      <c r="E876" s="18" t="s">
        <v>118</v>
      </c>
      <c r="F876" s="18" t="s">
        <v>119</v>
      </c>
      <c r="G876" s="18" t="s">
        <v>100</v>
      </c>
      <c r="H876" s="18" t="s">
        <v>101</v>
      </c>
      <c r="I876" s="18" t="s">
        <v>102</v>
      </c>
      <c r="J876" s="18" t="s">
        <v>233</v>
      </c>
      <c r="K876" s="18" t="s">
        <v>199</v>
      </c>
      <c r="L876" s="64" t="n">
        <v>1204.42739167548</v>
      </c>
      <c r="M876" s="64" t="n">
        <v>9.08</v>
      </c>
      <c r="N876" s="18" t="s">
        <v>1066</v>
      </c>
      <c r="O876" s="65" t="n">
        <v>10936.2007</v>
      </c>
      <c r="P876" s="65" t="n">
        <v>10936.2007</v>
      </c>
      <c r="Q876" s="65" t="n">
        <v>0</v>
      </c>
      <c r="R876" s="65" t="s">
        <v>232</v>
      </c>
      <c r="S876" s="66" t="n">
        <f aca="false">Model_Calc!AG150</f>
        <v>10936.2007164134</v>
      </c>
      <c r="T876" s="66" t="n">
        <f aca="false">ROUND(S876-O876,4)</f>
        <v>0</v>
      </c>
    </row>
    <row r="877" customFormat="false" ht="15" hidden="false" customHeight="false" outlineLevel="0" collapsed="false">
      <c r="A877" s="18" t="s">
        <v>200</v>
      </c>
      <c r="B877" s="18" t="s">
        <v>201</v>
      </c>
      <c r="C877" s="18"/>
      <c r="D877" s="49" t="n">
        <v>46082</v>
      </c>
      <c r="E877" s="18" t="s">
        <v>118</v>
      </c>
      <c r="F877" s="18" t="s">
        <v>119</v>
      </c>
      <c r="G877" s="18" t="s">
        <v>100</v>
      </c>
      <c r="H877" s="18" t="s">
        <v>101</v>
      </c>
      <c r="I877" s="18" t="s">
        <v>102</v>
      </c>
      <c r="J877" s="18" t="s">
        <v>235</v>
      </c>
      <c r="K877" s="18" t="s">
        <v>195</v>
      </c>
      <c r="L877" s="64" t="n">
        <v>3070.1011295232</v>
      </c>
      <c r="M877" s="64" t="n">
        <v>7.82</v>
      </c>
      <c r="N877" s="18" t="s">
        <v>1067</v>
      </c>
      <c r="O877" s="65" t="n">
        <v>24008.1908</v>
      </c>
      <c r="P877" s="65" t="n">
        <v>24008.1908</v>
      </c>
      <c r="Q877" s="65" t="n">
        <v>0</v>
      </c>
      <c r="R877" s="65" t="s">
        <v>232</v>
      </c>
      <c r="S877" s="66" t="n">
        <f aca="false">Model_Calc!AL150</f>
        <v>24008.1908328714</v>
      </c>
      <c r="T877" s="66" t="n">
        <f aca="false">ROUND(S877-O877,4)</f>
        <v>0</v>
      </c>
    </row>
    <row r="878" customFormat="false" ht="15" hidden="false" customHeight="false" outlineLevel="0" collapsed="false">
      <c r="A878" s="18" t="s">
        <v>200</v>
      </c>
      <c r="B878" s="18" t="s">
        <v>201</v>
      </c>
      <c r="C878" s="18"/>
      <c r="D878" s="49" t="n">
        <v>46082</v>
      </c>
      <c r="E878" s="18" t="s">
        <v>118</v>
      </c>
      <c r="F878" s="18" t="s">
        <v>119</v>
      </c>
      <c r="G878" s="18" t="s">
        <v>100</v>
      </c>
      <c r="H878" s="18" t="s">
        <v>101</v>
      </c>
      <c r="I878" s="18" t="s">
        <v>102</v>
      </c>
      <c r="J878" s="18" t="s">
        <v>237</v>
      </c>
      <c r="K878" s="18" t="s">
        <v>195</v>
      </c>
      <c r="L878" s="64" t="n">
        <v>1226.32535802574</v>
      </c>
      <c r="M878" s="64" t="n">
        <v>7.82</v>
      </c>
      <c r="N878" s="18" t="s">
        <v>1068</v>
      </c>
      <c r="O878" s="65" t="n">
        <v>9589.8643</v>
      </c>
      <c r="P878" s="65" t="n">
        <v>9589.8643</v>
      </c>
      <c r="Q878" s="65" t="n">
        <v>0</v>
      </c>
      <c r="R878" s="65" t="s">
        <v>232</v>
      </c>
      <c r="S878" s="66" t="n">
        <f aca="false">Model_Calc!AQ150</f>
        <v>9589.86429976126</v>
      </c>
      <c r="T878" s="66" t="n">
        <f aca="false">ROUND(S878-O878,4)</f>
        <v>0</v>
      </c>
    </row>
    <row r="879" customFormat="false" ht="15" hidden="false" customHeight="false" outlineLevel="0" collapsed="false">
      <c r="A879" s="18" t="s">
        <v>200</v>
      </c>
      <c r="B879" s="18" t="s">
        <v>201</v>
      </c>
      <c r="C879" s="18"/>
      <c r="D879" s="49" t="n">
        <v>46082</v>
      </c>
      <c r="E879" s="18" t="s">
        <v>118</v>
      </c>
      <c r="F879" s="18" t="s">
        <v>119</v>
      </c>
      <c r="G879" s="18" t="s">
        <v>100</v>
      </c>
      <c r="H879" s="18" t="s">
        <v>101</v>
      </c>
      <c r="I879" s="18" t="s">
        <v>102</v>
      </c>
      <c r="J879" s="18" t="s">
        <v>239</v>
      </c>
      <c r="K879" s="18" t="s">
        <v>199</v>
      </c>
      <c r="L879" s="64" t="n">
        <v>999.08375740416</v>
      </c>
      <c r="M879" s="64" t="n">
        <v>9.08</v>
      </c>
      <c r="N879" s="18" t="s">
        <v>1069</v>
      </c>
      <c r="O879" s="65" t="n">
        <v>9071.6805</v>
      </c>
      <c r="P879" s="65" t="n">
        <v>9071.6805</v>
      </c>
      <c r="Q879" s="65" t="n">
        <v>0</v>
      </c>
      <c r="R879" s="65" t="s">
        <v>232</v>
      </c>
      <c r="S879" s="66" t="n">
        <f aca="false">Model_Calc!AV150</f>
        <v>9071.68051722977</v>
      </c>
      <c r="T879" s="66" t="n">
        <f aca="false">ROUND(S879-O879,4)</f>
        <v>0</v>
      </c>
    </row>
    <row r="880" customFormat="false" ht="15" hidden="false" customHeight="false" outlineLevel="0" collapsed="false">
      <c r="A880" s="18" t="s">
        <v>200</v>
      </c>
      <c r="B880" s="18" t="s">
        <v>201</v>
      </c>
      <c r="C880" s="18"/>
      <c r="D880" s="49" t="n">
        <v>46082</v>
      </c>
      <c r="E880" s="18" t="s">
        <v>118</v>
      </c>
      <c r="F880" s="18" t="s">
        <v>119</v>
      </c>
      <c r="G880" s="18" t="s">
        <v>100</v>
      </c>
      <c r="H880" s="18" t="s">
        <v>101</v>
      </c>
      <c r="I880" s="18" t="s">
        <v>102</v>
      </c>
      <c r="J880" s="18" t="s">
        <v>241</v>
      </c>
      <c r="K880" s="18" t="s">
        <v>199</v>
      </c>
      <c r="L880" s="64" t="n">
        <v>150.697867567677</v>
      </c>
      <c r="M880" s="64" t="n">
        <v>9.08</v>
      </c>
      <c r="N880" s="18" t="s">
        <v>1070</v>
      </c>
      <c r="O880" s="65" t="n">
        <v>1368.3366</v>
      </c>
      <c r="P880" s="65" t="n">
        <v>1368.3366</v>
      </c>
      <c r="Q880" s="65" t="n">
        <v>0</v>
      </c>
      <c r="R880" s="65" t="s">
        <v>232</v>
      </c>
      <c r="S880" s="66" t="n">
        <f aca="false">Model_Calc!BA150</f>
        <v>1368.33663751451</v>
      </c>
      <c r="T880" s="66" t="n">
        <f aca="false">ROUND(S880-O880,4)</f>
        <v>0</v>
      </c>
    </row>
    <row r="881" customFormat="false" ht="15" hidden="false" customHeight="false" outlineLevel="0" collapsed="false">
      <c r="A881" s="18" t="s">
        <v>200</v>
      </c>
      <c r="B881" s="18" t="s">
        <v>201</v>
      </c>
      <c r="C881" s="18"/>
      <c r="D881" s="49" t="n">
        <v>46082</v>
      </c>
      <c r="E881" s="18" t="s">
        <v>122</v>
      </c>
      <c r="F881" s="18" t="s">
        <v>119</v>
      </c>
      <c r="G881" s="18" t="s">
        <v>100</v>
      </c>
      <c r="H881" s="18" t="s">
        <v>107</v>
      </c>
      <c r="I881" s="18" t="s">
        <v>102</v>
      </c>
      <c r="J881" s="18" t="s">
        <v>230</v>
      </c>
      <c r="K881" s="18" t="s">
        <v>199</v>
      </c>
      <c r="L881" s="64" t="n">
        <v>5561.20183240646</v>
      </c>
      <c r="M881" s="64" t="n">
        <v>9.08</v>
      </c>
      <c r="N881" s="18" t="s">
        <v>1071</v>
      </c>
      <c r="O881" s="65" t="n">
        <v>50495.7126</v>
      </c>
      <c r="P881" s="65" t="n">
        <v>50495.7126</v>
      </c>
      <c r="Q881" s="65" t="n">
        <v>0</v>
      </c>
      <c r="R881" s="65" t="s">
        <v>232</v>
      </c>
      <c r="S881" s="66" t="n">
        <f aca="false">Model_Calc!AF151</f>
        <v>50495.7126382506</v>
      </c>
      <c r="T881" s="66" t="n">
        <f aca="false">ROUND(S881-O881,4)</f>
        <v>0</v>
      </c>
    </row>
    <row r="882" customFormat="false" ht="15" hidden="false" customHeight="false" outlineLevel="0" collapsed="false">
      <c r="A882" s="18" t="s">
        <v>200</v>
      </c>
      <c r="B882" s="18" t="s">
        <v>201</v>
      </c>
      <c r="C882" s="18"/>
      <c r="D882" s="49" t="n">
        <v>46082</v>
      </c>
      <c r="E882" s="18" t="s">
        <v>122</v>
      </c>
      <c r="F882" s="18" t="s">
        <v>119</v>
      </c>
      <c r="G882" s="18" t="s">
        <v>100</v>
      </c>
      <c r="H882" s="18" t="s">
        <v>107</v>
      </c>
      <c r="I882" s="18" t="s">
        <v>102</v>
      </c>
      <c r="J882" s="18" t="s">
        <v>233</v>
      </c>
      <c r="K882" s="18" t="s">
        <v>199</v>
      </c>
      <c r="L882" s="64" t="n">
        <v>390.467362700879</v>
      </c>
      <c r="M882" s="64" t="n">
        <v>9.08</v>
      </c>
      <c r="N882" s="18" t="s">
        <v>1072</v>
      </c>
      <c r="O882" s="65" t="n">
        <v>3545.4437</v>
      </c>
      <c r="P882" s="65" t="n">
        <v>3545.4437</v>
      </c>
      <c r="Q882" s="65" t="n">
        <v>0</v>
      </c>
      <c r="R882" s="65" t="s">
        <v>232</v>
      </c>
      <c r="S882" s="66" t="n">
        <f aca="false">Model_Calc!AG151</f>
        <v>3545.44365332398</v>
      </c>
      <c r="T882" s="66" t="n">
        <f aca="false">ROUND(S882-O882,4)</f>
        <v>0</v>
      </c>
    </row>
    <row r="883" customFormat="false" ht="15" hidden="false" customHeight="false" outlineLevel="0" collapsed="false">
      <c r="A883" s="18" t="s">
        <v>200</v>
      </c>
      <c r="B883" s="18" t="s">
        <v>201</v>
      </c>
      <c r="C883" s="18"/>
      <c r="D883" s="49" t="n">
        <v>46082</v>
      </c>
      <c r="E883" s="18" t="s">
        <v>122</v>
      </c>
      <c r="F883" s="18" t="s">
        <v>119</v>
      </c>
      <c r="G883" s="18" t="s">
        <v>100</v>
      </c>
      <c r="H883" s="18" t="s">
        <v>107</v>
      </c>
      <c r="I883" s="18" t="s">
        <v>102</v>
      </c>
      <c r="J883" s="18" t="s">
        <v>235</v>
      </c>
      <c r="K883" s="18" t="s">
        <v>195</v>
      </c>
      <c r="L883" s="64" t="n">
        <v>1237.94400384</v>
      </c>
      <c r="M883" s="64" t="n">
        <v>7.82</v>
      </c>
      <c r="N883" s="18" t="s">
        <v>1073</v>
      </c>
      <c r="O883" s="65" t="n">
        <v>9680.7221</v>
      </c>
      <c r="P883" s="65" t="n">
        <v>9680.7221</v>
      </c>
      <c r="Q883" s="65" t="n">
        <v>0</v>
      </c>
      <c r="R883" s="65" t="s">
        <v>232</v>
      </c>
      <c r="S883" s="66" t="n">
        <f aca="false">Model_Calc!AL151</f>
        <v>9680.7221100288</v>
      </c>
      <c r="T883" s="66" t="n">
        <f aca="false">ROUND(S883-O883,4)</f>
        <v>0</v>
      </c>
    </row>
    <row r="884" customFormat="false" ht="15" hidden="false" customHeight="false" outlineLevel="0" collapsed="false">
      <c r="A884" s="18" t="s">
        <v>200</v>
      </c>
      <c r="B884" s="18" t="s">
        <v>201</v>
      </c>
      <c r="C884" s="18"/>
      <c r="D884" s="49" t="n">
        <v>46082</v>
      </c>
      <c r="E884" s="18" t="s">
        <v>122</v>
      </c>
      <c r="F884" s="18" t="s">
        <v>119</v>
      </c>
      <c r="G884" s="18" t="s">
        <v>100</v>
      </c>
      <c r="H884" s="18" t="s">
        <v>107</v>
      </c>
      <c r="I884" s="18" t="s">
        <v>102</v>
      </c>
      <c r="J884" s="18" t="s">
        <v>237</v>
      </c>
      <c r="K884" s="18" t="s">
        <v>195</v>
      </c>
      <c r="L884" s="64" t="n">
        <v>494.48603146199</v>
      </c>
      <c r="M884" s="64" t="n">
        <v>7.82</v>
      </c>
      <c r="N884" s="18" t="s">
        <v>1074</v>
      </c>
      <c r="O884" s="65" t="n">
        <v>3866.8808</v>
      </c>
      <c r="P884" s="65" t="n">
        <v>3866.8808</v>
      </c>
      <c r="Q884" s="65" t="n">
        <v>0</v>
      </c>
      <c r="R884" s="65" t="s">
        <v>232</v>
      </c>
      <c r="S884" s="66" t="n">
        <f aca="false">Model_Calc!AQ151</f>
        <v>3866.88076603276</v>
      </c>
      <c r="T884" s="66" t="n">
        <f aca="false">ROUND(S884-O884,4)</f>
        <v>0</v>
      </c>
    </row>
    <row r="885" customFormat="false" ht="15" hidden="false" customHeight="false" outlineLevel="0" collapsed="false">
      <c r="A885" s="18" t="s">
        <v>200</v>
      </c>
      <c r="B885" s="18" t="s">
        <v>201</v>
      </c>
      <c r="C885" s="18"/>
      <c r="D885" s="49" t="n">
        <v>46082</v>
      </c>
      <c r="E885" s="18" t="s">
        <v>122</v>
      </c>
      <c r="F885" s="18" t="s">
        <v>119</v>
      </c>
      <c r="G885" s="18" t="s">
        <v>100</v>
      </c>
      <c r="H885" s="18" t="s">
        <v>107</v>
      </c>
      <c r="I885" s="18" t="s">
        <v>102</v>
      </c>
      <c r="J885" s="18" t="s">
        <v>239</v>
      </c>
      <c r="K885" s="18" t="s">
        <v>199</v>
      </c>
      <c r="L885" s="64" t="n">
        <v>402.856353792</v>
      </c>
      <c r="M885" s="64" t="n">
        <v>9.08</v>
      </c>
      <c r="N885" s="18" t="s">
        <v>1075</v>
      </c>
      <c r="O885" s="65" t="n">
        <v>3657.9357</v>
      </c>
      <c r="P885" s="65" t="n">
        <v>3657.9357</v>
      </c>
      <c r="Q885" s="65" t="n">
        <v>0</v>
      </c>
      <c r="R885" s="65" t="s">
        <v>232</v>
      </c>
      <c r="S885" s="66" t="n">
        <f aca="false">Model_Calc!AV151</f>
        <v>3657.93569243136</v>
      </c>
      <c r="T885" s="66" t="n">
        <f aca="false">ROUND(S885-O885,4)</f>
        <v>0</v>
      </c>
    </row>
    <row r="886" customFormat="false" ht="15" hidden="false" customHeight="false" outlineLevel="0" collapsed="false">
      <c r="A886" s="18" t="s">
        <v>200</v>
      </c>
      <c r="B886" s="18" t="s">
        <v>201</v>
      </c>
      <c r="C886" s="18"/>
      <c r="D886" s="49" t="n">
        <v>46082</v>
      </c>
      <c r="E886" s="18" t="s">
        <v>122</v>
      </c>
      <c r="F886" s="18" t="s">
        <v>119</v>
      </c>
      <c r="G886" s="18" t="s">
        <v>100</v>
      </c>
      <c r="H886" s="18" t="s">
        <v>107</v>
      </c>
      <c r="I886" s="18" t="s">
        <v>102</v>
      </c>
      <c r="J886" s="18" t="s">
        <v>241</v>
      </c>
      <c r="K886" s="18" t="s">
        <v>199</v>
      </c>
      <c r="L886" s="64" t="n">
        <v>46.9549807303979</v>
      </c>
      <c r="M886" s="64" t="n">
        <v>9.08</v>
      </c>
      <c r="N886" s="18" t="s">
        <v>1076</v>
      </c>
      <c r="O886" s="65" t="n">
        <v>426.3512</v>
      </c>
      <c r="P886" s="65" t="n">
        <v>426.3512</v>
      </c>
      <c r="Q886" s="65" t="n">
        <v>0</v>
      </c>
      <c r="R886" s="65" t="s">
        <v>232</v>
      </c>
      <c r="S886" s="66" t="n">
        <f aca="false">Model_Calc!BA151</f>
        <v>426.351225032013</v>
      </c>
      <c r="T886" s="66" t="n">
        <f aca="false">ROUND(S886-O886,4)</f>
        <v>0</v>
      </c>
    </row>
    <row r="887" customFormat="false" ht="15" hidden="false" customHeight="false" outlineLevel="0" collapsed="false">
      <c r="A887" s="18" t="s">
        <v>200</v>
      </c>
      <c r="B887" s="18" t="s">
        <v>201</v>
      </c>
      <c r="C887" s="18"/>
      <c r="D887" s="49" t="n">
        <v>46082</v>
      </c>
      <c r="E887" s="18" t="s">
        <v>124</v>
      </c>
      <c r="F887" s="18" t="s">
        <v>119</v>
      </c>
      <c r="G887" s="18" t="s">
        <v>100</v>
      </c>
      <c r="H887" s="18" t="s">
        <v>107</v>
      </c>
      <c r="I887" s="18" t="s">
        <v>125</v>
      </c>
      <c r="J887" s="18" t="s">
        <v>230</v>
      </c>
      <c r="K887" s="18" t="s">
        <v>199</v>
      </c>
      <c r="L887" s="64" t="n">
        <v>2482.52049798624</v>
      </c>
      <c r="M887" s="64" t="n">
        <v>9.08</v>
      </c>
      <c r="N887" s="18" t="s">
        <v>1077</v>
      </c>
      <c r="O887" s="65" t="n">
        <v>22541.2861</v>
      </c>
      <c r="P887" s="65" t="n">
        <v>22541.2861</v>
      </c>
      <c r="Q887" s="65" t="n">
        <v>0</v>
      </c>
      <c r="R887" s="65" t="s">
        <v>232</v>
      </c>
      <c r="S887" s="66" t="n">
        <f aca="false">Model_Calc!AF152</f>
        <v>22541.2861217151</v>
      </c>
      <c r="T887" s="66" t="n">
        <f aca="false">ROUND(S887-O887,4)</f>
        <v>0</v>
      </c>
    </row>
    <row r="888" customFormat="false" ht="15" hidden="false" customHeight="false" outlineLevel="0" collapsed="false">
      <c r="A888" s="18" t="s">
        <v>200</v>
      </c>
      <c r="B888" s="18" t="s">
        <v>201</v>
      </c>
      <c r="C888" s="18"/>
      <c r="D888" s="49" t="n">
        <v>46082</v>
      </c>
      <c r="E888" s="18" t="s">
        <v>124</v>
      </c>
      <c r="F888" s="18" t="s">
        <v>119</v>
      </c>
      <c r="G888" s="18" t="s">
        <v>100</v>
      </c>
      <c r="H888" s="18" t="s">
        <v>107</v>
      </c>
      <c r="I888" s="18" t="s">
        <v>125</v>
      </c>
      <c r="J888" s="18" t="s">
        <v>233</v>
      </c>
      <c r="K888" s="18" t="s">
        <v>199</v>
      </c>
      <c r="L888" s="64" t="n">
        <v>287.202796412028</v>
      </c>
      <c r="M888" s="64" t="n">
        <v>9.08</v>
      </c>
      <c r="N888" s="18" t="s">
        <v>1078</v>
      </c>
      <c r="O888" s="65" t="n">
        <v>2607.8014</v>
      </c>
      <c r="P888" s="65" t="n">
        <v>2607.8014</v>
      </c>
      <c r="Q888" s="65" t="n">
        <v>0</v>
      </c>
      <c r="R888" s="65" t="s">
        <v>232</v>
      </c>
      <c r="S888" s="66" t="n">
        <f aca="false">Model_Calc!AG152</f>
        <v>2607.80139142122</v>
      </c>
      <c r="T888" s="66" t="n">
        <f aca="false">ROUND(S888-O888,4)</f>
        <v>0</v>
      </c>
    </row>
    <row r="889" customFormat="false" ht="15" hidden="false" customHeight="false" outlineLevel="0" collapsed="false">
      <c r="A889" s="18" t="s">
        <v>200</v>
      </c>
      <c r="B889" s="18" t="s">
        <v>201</v>
      </c>
      <c r="C889" s="18"/>
      <c r="D889" s="49" t="n">
        <v>46082</v>
      </c>
      <c r="E889" s="18" t="s">
        <v>124</v>
      </c>
      <c r="F889" s="18" t="s">
        <v>119</v>
      </c>
      <c r="G889" s="18" t="s">
        <v>100</v>
      </c>
      <c r="H889" s="18" t="s">
        <v>107</v>
      </c>
      <c r="I889" s="18" t="s">
        <v>125</v>
      </c>
      <c r="J889" s="18" t="s">
        <v>235</v>
      </c>
      <c r="K889" s="18" t="s">
        <v>195</v>
      </c>
      <c r="L889" s="64" t="n">
        <v>445.6598413824</v>
      </c>
      <c r="M889" s="64" t="n">
        <v>7.82</v>
      </c>
      <c r="N889" s="18" t="s">
        <v>1079</v>
      </c>
      <c r="O889" s="65" t="n">
        <v>3485.06</v>
      </c>
      <c r="P889" s="65" t="n">
        <v>3485.06</v>
      </c>
      <c r="Q889" s="65" t="n">
        <v>0</v>
      </c>
      <c r="R889" s="65" t="s">
        <v>232</v>
      </c>
      <c r="S889" s="66" t="n">
        <f aca="false">Model_Calc!AL152</f>
        <v>3485.05995961037</v>
      </c>
      <c r="T889" s="66" t="n">
        <f aca="false">ROUND(S889-O889,4)</f>
        <v>0</v>
      </c>
    </row>
    <row r="890" customFormat="false" ht="15" hidden="false" customHeight="false" outlineLevel="0" collapsed="false">
      <c r="A890" s="18" t="s">
        <v>200</v>
      </c>
      <c r="B890" s="18" t="s">
        <v>201</v>
      </c>
      <c r="C890" s="18"/>
      <c r="D890" s="49" t="n">
        <v>46082</v>
      </c>
      <c r="E890" s="18" t="s">
        <v>124</v>
      </c>
      <c r="F890" s="18" t="s">
        <v>119</v>
      </c>
      <c r="G890" s="18" t="s">
        <v>100</v>
      </c>
      <c r="H890" s="18" t="s">
        <v>107</v>
      </c>
      <c r="I890" s="18" t="s">
        <v>125</v>
      </c>
      <c r="J890" s="18" t="s">
        <v>237</v>
      </c>
      <c r="K890" s="18" t="s">
        <v>195</v>
      </c>
      <c r="L890" s="64" t="n">
        <v>178.014971326317</v>
      </c>
      <c r="M890" s="64" t="n">
        <v>7.82</v>
      </c>
      <c r="N890" s="18" t="s">
        <v>1080</v>
      </c>
      <c r="O890" s="65" t="n">
        <v>1392.0771</v>
      </c>
      <c r="P890" s="65" t="n">
        <v>1392.0771</v>
      </c>
      <c r="Q890" s="65" t="n">
        <v>0</v>
      </c>
      <c r="R890" s="65" t="s">
        <v>232</v>
      </c>
      <c r="S890" s="66" t="n">
        <f aca="false">Model_Calc!AQ152</f>
        <v>1392.0770757718</v>
      </c>
      <c r="T890" s="66" t="n">
        <f aca="false">ROUND(S890-O890,4)</f>
        <v>0</v>
      </c>
    </row>
    <row r="891" customFormat="false" ht="15" hidden="false" customHeight="false" outlineLevel="0" collapsed="false">
      <c r="A891" s="18" t="s">
        <v>200</v>
      </c>
      <c r="B891" s="18" t="s">
        <v>201</v>
      </c>
      <c r="C891" s="18"/>
      <c r="D891" s="49" t="n">
        <v>46082</v>
      </c>
      <c r="E891" s="18" t="s">
        <v>124</v>
      </c>
      <c r="F891" s="18" t="s">
        <v>119</v>
      </c>
      <c r="G891" s="18" t="s">
        <v>100</v>
      </c>
      <c r="H891" s="18" t="s">
        <v>107</v>
      </c>
      <c r="I891" s="18" t="s">
        <v>125</v>
      </c>
      <c r="J891" s="18" t="s">
        <v>239</v>
      </c>
      <c r="K891" s="18" t="s">
        <v>199</v>
      </c>
      <c r="L891" s="64" t="n">
        <v>145.02828736512</v>
      </c>
      <c r="M891" s="64" t="n">
        <v>9.08</v>
      </c>
      <c r="N891" s="18" t="s">
        <v>1081</v>
      </c>
      <c r="O891" s="65" t="n">
        <v>1316.8568</v>
      </c>
      <c r="P891" s="65" t="n">
        <v>1316.8568</v>
      </c>
      <c r="Q891" s="65" t="n">
        <v>0</v>
      </c>
      <c r="R891" s="65" t="s">
        <v>232</v>
      </c>
      <c r="S891" s="66" t="n">
        <f aca="false">Model_Calc!AV152</f>
        <v>1316.85684927529</v>
      </c>
      <c r="T891" s="66" t="n">
        <f aca="false">ROUND(S891-O891,4)</f>
        <v>0</v>
      </c>
    </row>
    <row r="892" customFormat="false" ht="15" hidden="false" customHeight="false" outlineLevel="0" collapsed="false">
      <c r="A892" s="18" t="s">
        <v>200</v>
      </c>
      <c r="B892" s="18" t="s">
        <v>201</v>
      </c>
      <c r="C892" s="18"/>
      <c r="D892" s="49" t="n">
        <v>46082</v>
      </c>
      <c r="E892" s="18" t="s">
        <v>124</v>
      </c>
      <c r="F892" s="18" t="s">
        <v>119</v>
      </c>
      <c r="G892" s="18" t="s">
        <v>100</v>
      </c>
      <c r="H892" s="18" t="s">
        <v>107</v>
      </c>
      <c r="I892" s="18" t="s">
        <v>125</v>
      </c>
      <c r="J892" s="18" t="s">
        <v>241</v>
      </c>
      <c r="K892" s="18" t="s">
        <v>199</v>
      </c>
      <c r="L892" s="64" t="n">
        <v>15.7365234652464</v>
      </c>
      <c r="M892" s="64" t="n">
        <v>9.08</v>
      </c>
      <c r="N892" s="18" t="s">
        <v>1082</v>
      </c>
      <c r="O892" s="65" t="n">
        <v>142.8876</v>
      </c>
      <c r="P892" s="65" t="n">
        <v>142.8876</v>
      </c>
      <c r="Q892" s="65" t="n">
        <v>0</v>
      </c>
      <c r="R892" s="65" t="s">
        <v>232</v>
      </c>
      <c r="S892" s="66" t="n">
        <f aca="false">Model_Calc!BA152</f>
        <v>142.887633064437</v>
      </c>
      <c r="T892" s="66" t="n">
        <f aca="false">ROUND(S892-O892,4)</f>
        <v>0</v>
      </c>
    </row>
    <row r="893" customFormat="false" ht="15" hidden="false" customHeight="false" outlineLevel="0" collapsed="false">
      <c r="A893" s="18" t="s">
        <v>200</v>
      </c>
      <c r="B893" s="18" t="s">
        <v>201</v>
      </c>
      <c r="C893" s="18"/>
      <c r="D893" s="49" t="n">
        <v>46082</v>
      </c>
      <c r="E893" s="18" t="s">
        <v>127</v>
      </c>
      <c r="F893" s="18" t="s">
        <v>119</v>
      </c>
      <c r="G893" s="18" t="s">
        <v>100</v>
      </c>
      <c r="H893" s="18" t="s">
        <v>128</v>
      </c>
      <c r="I893" s="18" t="s">
        <v>125</v>
      </c>
      <c r="J893" s="18" t="s">
        <v>230</v>
      </c>
      <c r="K893" s="18" t="s">
        <v>199</v>
      </c>
      <c r="L893" s="64" t="n">
        <v>1306.2908133993</v>
      </c>
      <c r="M893" s="64" t="n">
        <v>9.08</v>
      </c>
      <c r="N893" s="18" t="s">
        <v>1083</v>
      </c>
      <c r="O893" s="65" t="n">
        <v>11861.1206</v>
      </c>
      <c r="P893" s="65" t="n">
        <v>11861.1206</v>
      </c>
      <c r="Q893" s="65" t="n">
        <v>0</v>
      </c>
      <c r="R893" s="65" t="s">
        <v>232</v>
      </c>
      <c r="S893" s="66" t="n">
        <f aca="false">Model_Calc!AF153</f>
        <v>11861.1205856657</v>
      </c>
      <c r="T893" s="66" t="n">
        <f aca="false">ROUND(S893-O893,4)</f>
        <v>0</v>
      </c>
    </row>
    <row r="894" customFormat="false" ht="15" hidden="false" customHeight="false" outlineLevel="0" collapsed="false">
      <c r="A894" s="18" t="s">
        <v>200</v>
      </c>
      <c r="B894" s="18" t="s">
        <v>201</v>
      </c>
      <c r="C894" s="18"/>
      <c r="D894" s="49" t="n">
        <v>46082</v>
      </c>
      <c r="E894" s="18" t="s">
        <v>127</v>
      </c>
      <c r="F894" s="18" t="s">
        <v>119</v>
      </c>
      <c r="G894" s="18" t="s">
        <v>100</v>
      </c>
      <c r="H894" s="18" t="s">
        <v>128</v>
      </c>
      <c r="I894" s="18" t="s">
        <v>125</v>
      </c>
      <c r="J894" s="18" t="s">
        <v>233</v>
      </c>
      <c r="K894" s="18" t="s">
        <v>199</v>
      </c>
      <c r="L894" s="64" t="n">
        <v>101.01982290288</v>
      </c>
      <c r="M894" s="64" t="n">
        <v>9.08</v>
      </c>
      <c r="N894" s="18" t="s">
        <v>1084</v>
      </c>
      <c r="O894" s="65" t="n">
        <v>917.26</v>
      </c>
      <c r="P894" s="65" t="n">
        <v>917.26</v>
      </c>
      <c r="Q894" s="65" t="n">
        <v>0</v>
      </c>
      <c r="R894" s="65" t="s">
        <v>232</v>
      </c>
      <c r="S894" s="66" t="n">
        <f aca="false">Model_Calc!AG153</f>
        <v>917.259991958146</v>
      </c>
      <c r="T894" s="66" t="n">
        <f aca="false">ROUND(S894-O894,4)</f>
        <v>0</v>
      </c>
    </row>
    <row r="895" customFormat="false" ht="15" hidden="false" customHeight="false" outlineLevel="0" collapsed="false">
      <c r="A895" s="18" t="s">
        <v>200</v>
      </c>
      <c r="B895" s="18" t="s">
        <v>201</v>
      </c>
      <c r="C895" s="18"/>
      <c r="D895" s="49" t="n">
        <v>46082</v>
      </c>
      <c r="E895" s="18" t="s">
        <v>127</v>
      </c>
      <c r="F895" s="18" t="s">
        <v>119</v>
      </c>
      <c r="G895" s="18" t="s">
        <v>100</v>
      </c>
      <c r="H895" s="18" t="s">
        <v>128</v>
      </c>
      <c r="I895" s="18" t="s">
        <v>125</v>
      </c>
      <c r="J895" s="18" t="s">
        <v>235</v>
      </c>
      <c r="K895" s="18" t="s">
        <v>195</v>
      </c>
      <c r="L895" s="64" t="n">
        <v>198.0710406144</v>
      </c>
      <c r="M895" s="64" t="n">
        <v>7.82</v>
      </c>
      <c r="N895" s="18" t="s">
        <v>1085</v>
      </c>
      <c r="O895" s="65" t="n">
        <v>1548.9155</v>
      </c>
      <c r="P895" s="65" t="n">
        <v>1548.9155</v>
      </c>
      <c r="Q895" s="65" t="n">
        <v>0</v>
      </c>
      <c r="R895" s="65" t="s">
        <v>232</v>
      </c>
      <c r="S895" s="66" t="n">
        <f aca="false">Model_Calc!AL153</f>
        <v>1548.91553760461</v>
      </c>
      <c r="T895" s="66" t="n">
        <f aca="false">ROUND(S895-O895,4)</f>
        <v>0</v>
      </c>
    </row>
    <row r="896" customFormat="false" ht="15" hidden="false" customHeight="false" outlineLevel="0" collapsed="false">
      <c r="A896" s="18" t="s">
        <v>200</v>
      </c>
      <c r="B896" s="18" t="s">
        <v>201</v>
      </c>
      <c r="C896" s="18"/>
      <c r="D896" s="49" t="n">
        <v>46082</v>
      </c>
      <c r="E896" s="18" t="s">
        <v>127</v>
      </c>
      <c r="F896" s="18" t="s">
        <v>119</v>
      </c>
      <c r="G896" s="18" t="s">
        <v>100</v>
      </c>
      <c r="H896" s="18" t="s">
        <v>128</v>
      </c>
      <c r="I896" s="18" t="s">
        <v>125</v>
      </c>
      <c r="J896" s="18" t="s">
        <v>237</v>
      </c>
      <c r="K896" s="18" t="s">
        <v>195</v>
      </c>
      <c r="L896" s="64" t="n">
        <v>79.1177650339185</v>
      </c>
      <c r="M896" s="64" t="n">
        <v>7.82</v>
      </c>
      <c r="N896" s="18" t="s">
        <v>1086</v>
      </c>
      <c r="O896" s="65" t="n">
        <v>618.7009</v>
      </c>
      <c r="P896" s="65" t="n">
        <v>618.7009</v>
      </c>
      <c r="Q896" s="65" t="n">
        <v>0</v>
      </c>
      <c r="R896" s="65" t="s">
        <v>232</v>
      </c>
      <c r="S896" s="66" t="n">
        <f aca="false">Model_Calc!AQ153</f>
        <v>618.700922565242</v>
      </c>
      <c r="T896" s="66" t="n">
        <f aca="false">ROUND(S896-O896,4)</f>
        <v>0</v>
      </c>
    </row>
    <row r="897" customFormat="false" ht="15" hidden="false" customHeight="false" outlineLevel="0" collapsed="false">
      <c r="A897" s="18" t="s">
        <v>200</v>
      </c>
      <c r="B897" s="18" t="s">
        <v>201</v>
      </c>
      <c r="C897" s="18"/>
      <c r="D897" s="49" t="n">
        <v>46082</v>
      </c>
      <c r="E897" s="18" t="s">
        <v>127</v>
      </c>
      <c r="F897" s="18" t="s">
        <v>119</v>
      </c>
      <c r="G897" s="18" t="s">
        <v>100</v>
      </c>
      <c r="H897" s="18" t="s">
        <v>128</v>
      </c>
      <c r="I897" s="18" t="s">
        <v>125</v>
      </c>
      <c r="J897" s="18" t="s">
        <v>239</v>
      </c>
      <c r="K897" s="18" t="s">
        <v>199</v>
      </c>
      <c r="L897" s="64" t="n">
        <v>64.45701660672</v>
      </c>
      <c r="M897" s="64" t="n">
        <v>9.08</v>
      </c>
      <c r="N897" s="18" t="s">
        <v>1087</v>
      </c>
      <c r="O897" s="65" t="n">
        <v>585.2697</v>
      </c>
      <c r="P897" s="65" t="n">
        <v>585.2697</v>
      </c>
      <c r="Q897" s="65" t="n">
        <v>0</v>
      </c>
      <c r="R897" s="65" t="s">
        <v>232</v>
      </c>
      <c r="S897" s="66" t="n">
        <f aca="false">Model_Calc!AV153</f>
        <v>585.269710789018</v>
      </c>
      <c r="T897" s="66" t="n">
        <f aca="false">ROUND(S897-O897,4)</f>
        <v>0</v>
      </c>
    </row>
    <row r="898" customFormat="false" ht="15" hidden="false" customHeight="false" outlineLevel="0" collapsed="false">
      <c r="A898" s="18" t="s">
        <v>200</v>
      </c>
      <c r="B898" s="18" t="s">
        <v>201</v>
      </c>
      <c r="C898" s="18"/>
      <c r="D898" s="49" t="n">
        <v>46082</v>
      </c>
      <c r="E898" s="18" t="s">
        <v>127</v>
      </c>
      <c r="F898" s="18" t="s">
        <v>119</v>
      </c>
      <c r="G898" s="18" t="s">
        <v>100</v>
      </c>
      <c r="H898" s="18" t="s">
        <v>128</v>
      </c>
      <c r="I898" s="18" t="s">
        <v>125</v>
      </c>
      <c r="J898" s="18" t="s">
        <v>241</v>
      </c>
      <c r="K898" s="18" t="s">
        <v>199</v>
      </c>
      <c r="L898" s="64" t="n">
        <v>6.22543785438318</v>
      </c>
      <c r="M898" s="64" t="n">
        <v>9.08</v>
      </c>
      <c r="N898" s="18" t="s">
        <v>1088</v>
      </c>
      <c r="O898" s="65" t="n">
        <v>56.527</v>
      </c>
      <c r="P898" s="65" t="n">
        <v>56.527</v>
      </c>
      <c r="Q898" s="65" t="n">
        <v>0</v>
      </c>
      <c r="R898" s="65" t="s">
        <v>232</v>
      </c>
      <c r="S898" s="66" t="n">
        <f aca="false">Model_Calc!BA153</f>
        <v>56.5269757177993</v>
      </c>
      <c r="T898" s="66" t="n">
        <f aca="false">ROUND(S898-O898,4)</f>
        <v>0</v>
      </c>
    </row>
    <row r="899" customFormat="false" ht="15" hidden="false" customHeight="false" outlineLevel="0" collapsed="false">
      <c r="A899" s="18" t="s">
        <v>200</v>
      </c>
      <c r="B899" s="18" t="s">
        <v>201</v>
      </c>
      <c r="C899" s="18"/>
      <c r="D899" s="49" t="n">
        <v>46082</v>
      </c>
      <c r="E899" s="18" t="s">
        <v>130</v>
      </c>
      <c r="F899" s="18" t="s">
        <v>119</v>
      </c>
      <c r="G899" s="18" t="s">
        <v>110</v>
      </c>
      <c r="H899" s="18" t="s">
        <v>107</v>
      </c>
      <c r="I899" s="18" t="s">
        <v>125</v>
      </c>
      <c r="J899" s="18" t="s">
        <v>230</v>
      </c>
      <c r="K899" s="18" t="s">
        <v>195</v>
      </c>
      <c r="L899" s="64" t="n">
        <v>1221.00285292625</v>
      </c>
      <c r="M899" s="64" t="n">
        <v>7.82</v>
      </c>
      <c r="N899" s="18" t="s">
        <v>1089</v>
      </c>
      <c r="O899" s="65" t="n">
        <v>9548.2423</v>
      </c>
      <c r="P899" s="65" t="n">
        <v>9548.2423</v>
      </c>
      <c r="Q899" s="65" t="n">
        <v>0</v>
      </c>
      <c r="R899" s="65" t="s">
        <v>232</v>
      </c>
      <c r="S899" s="66" t="n">
        <f aca="false">Model_Calc!AF154</f>
        <v>9548.24230988325</v>
      </c>
      <c r="T899" s="66" t="n">
        <f aca="false">ROUND(S899-O899,4)</f>
        <v>0</v>
      </c>
    </row>
    <row r="900" customFormat="false" ht="15" hidden="false" customHeight="false" outlineLevel="0" collapsed="false">
      <c r="A900" s="18" t="s">
        <v>200</v>
      </c>
      <c r="B900" s="18" t="s">
        <v>201</v>
      </c>
      <c r="C900" s="18"/>
      <c r="D900" s="49" t="n">
        <v>46082</v>
      </c>
      <c r="E900" s="18" t="s">
        <v>130</v>
      </c>
      <c r="F900" s="18" t="s">
        <v>119</v>
      </c>
      <c r="G900" s="18" t="s">
        <v>110</v>
      </c>
      <c r="H900" s="18" t="s">
        <v>107</v>
      </c>
      <c r="I900" s="18" t="s">
        <v>125</v>
      </c>
      <c r="J900" s="18" t="s">
        <v>233</v>
      </c>
      <c r="K900" s="18" t="s">
        <v>195</v>
      </c>
      <c r="L900" s="64" t="n">
        <v>128.974531354599</v>
      </c>
      <c r="M900" s="64" t="n">
        <v>7.82</v>
      </c>
      <c r="N900" s="18" t="s">
        <v>1090</v>
      </c>
      <c r="O900" s="65" t="n">
        <v>1008.5808</v>
      </c>
      <c r="P900" s="65" t="n">
        <v>1008.5808</v>
      </c>
      <c r="Q900" s="65" t="n">
        <v>0</v>
      </c>
      <c r="R900" s="65" t="s">
        <v>232</v>
      </c>
      <c r="S900" s="66" t="n">
        <f aca="false">Model_Calc!AG154</f>
        <v>1008.58083519297</v>
      </c>
      <c r="T900" s="66" t="n">
        <f aca="false">ROUND(S900-O900,4)</f>
        <v>0</v>
      </c>
    </row>
    <row r="901" customFormat="false" ht="15" hidden="false" customHeight="false" outlineLevel="0" collapsed="false">
      <c r="A901" s="18" t="s">
        <v>200</v>
      </c>
      <c r="B901" s="18" t="s">
        <v>201</v>
      </c>
      <c r="C901" s="18"/>
      <c r="D901" s="49" t="n">
        <v>46082</v>
      </c>
      <c r="E901" s="18" t="s">
        <v>130</v>
      </c>
      <c r="F901" s="18" t="s">
        <v>119</v>
      </c>
      <c r="G901" s="18" t="s">
        <v>110</v>
      </c>
      <c r="H901" s="18" t="s">
        <v>107</v>
      </c>
      <c r="I901" s="18" t="s">
        <v>125</v>
      </c>
      <c r="J901" s="18" t="s">
        <v>235</v>
      </c>
      <c r="K901" s="18" t="s">
        <v>195</v>
      </c>
      <c r="L901" s="64" t="n">
        <v>183.5933904</v>
      </c>
      <c r="M901" s="64" t="n">
        <v>7.82</v>
      </c>
      <c r="N901" s="18" t="s">
        <v>1091</v>
      </c>
      <c r="O901" s="65" t="n">
        <v>1435.7003</v>
      </c>
      <c r="P901" s="65" t="n">
        <v>1435.7003</v>
      </c>
      <c r="Q901" s="65" t="n">
        <v>0</v>
      </c>
      <c r="R901" s="65" t="s">
        <v>232</v>
      </c>
      <c r="S901" s="66" t="n">
        <f aca="false">Model_Calc!AL154</f>
        <v>1435.700312928</v>
      </c>
      <c r="T901" s="66" t="n">
        <f aca="false">ROUND(S901-O901,4)</f>
        <v>0</v>
      </c>
    </row>
    <row r="902" customFormat="false" ht="15" hidden="false" customHeight="false" outlineLevel="0" collapsed="false">
      <c r="A902" s="18" t="s">
        <v>200</v>
      </c>
      <c r="B902" s="18" t="s">
        <v>201</v>
      </c>
      <c r="C902" s="18"/>
      <c r="D902" s="49" t="n">
        <v>46082</v>
      </c>
      <c r="E902" s="18" t="s">
        <v>130</v>
      </c>
      <c r="F902" s="18" t="s">
        <v>119</v>
      </c>
      <c r="G902" s="18" t="s">
        <v>110</v>
      </c>
      <c r="H902" s="18" t="s">
        <v>107</v>
      </c>
      <c r="I902" s="18" t="s">
        <v>125</v>
      </c>
      <c r="J902" s="18" t="s">
        <v>237</v>
      </c>
      <c r="K902" s="18" t="s">
        <v>195</v>
      </c>
      <c r="L902" s="64" t="n">
        <v>76.562640217152</v>
      </c>
      <c r="M902" s="64" t="n">
        <v>7.82</v>
      </c>
      <c r="N902" s="18" t="s">
        <v>1092</v>
      </c>
      <c r="O902" s="65" t="n">
        <v>598.7198</v>
      </c>
      <c r="P902" s="65" t="n">
        <v>598.7198</v>
      </c>
      <c r="Q902" s="65" t="n">
        <v>0</v>
      </c>
      <c r="R902" s="65" t="s">
        <v>232</v>
      </c>
      <c r="S902" s="66" t="n">
        <f aca="false">Model_Calc!AQ154</f>
        <v>598.719846498129</v>
      </c>
      <c r="T902" s="66" t="n">
        <f aca="false">ROUND(S902-O902,4)</f>
        <v>0</v>
      </c>
    </row>
    <row r="903" customFormat="false" ht="15" hidden="false" customHeight="false" outlineLevel="0" collapsed="false">
      <c r="A903" s="18" t="s">
        <v>200</v>
      </c>
      <c r="B903" s="18" t="s">
        <v>201</v>
      </c>
      <c r="C903" s="18"/>
      <c r="D903" s="49" t="n">
        <v>46082</v>
      </c>
      <c r="E903" s="18" t="s">
        <v>130</v>
      </c>
      <c r="F903" s="18" t="s">
        <v>119</v>
      </c>
      <c r="G903" s="18" t="s">
        <v>110</v>
      </c>
      <c r="H903" s="18" t="s">
        <v>107</v>
      </c>
      <c r="I903" s="18" t="s">
        <v>125</v>
      </c>
      <c r="J903" s="18" t="s">
        <v>239</v>
      </c>
      <c r="K903" s="18" t="s">
        <v>195</v>
      </c>
      <c r="L903" s="64" t="n">
        <v>72.737952768</v>
      </c>
      <c r="M903" s="64" t="n">
        <v>7.82</v>
      </c>
      <c r="N903" s="18" t="s">
        <v>1093</v>
      </c>
      <c r="O903" s="65" t="n">
        <v>568.8108</v>
      </c>
      <c r="P903" s="65" t="n">
        <v>568.8108</v>
      </c>
      <c r="Q903" s="65" t="n">
        <v>0</v>
      </c>
      <c r="R903" s="65" t="s">
        <v>232</v>
      </c>
      <c r="S903" s="66" t="n">
        <f aca="false">Model_Calc!AV154</f>
        <v>568.81079064576</v>
      </c>
      <c r="T903" s="66" t="n">
        <f aca="false">ROUND(S903-O903,4)</f>
        <v>0</v>
      </c>
    </row>
    <row r="904" customFormat="false" ht="15" hidden="false" customHeight="false" outlineLevel="0" collapsed="false">
      <c r="A904" s="18" t="s">
        <v>200</v>
      </c>
      <c r="B904" s="18" t="s">
        <v>201</v>
      </c>
      <c r="C904" s="18"/>
      <c r="D904" s="49" t="n">
        <v>46082</v>
      </c>
      <c r="E904" s="18" t="s">
        <v>130</v>
      </c>
      <c r="F904" s="18" t="s">
        <v>119</v>
      </c>
      <c r="G904" s="18" t="s">
        <v>110</v>
      </c>
      <c r="H904" s="18" t="s">
        <v>107</v>
      </c>
      <c r="I904" s="18" t="s">
        <v>125</v>
      </c>
      <c r="J904" s="18" t="s">
        <v>241</v>
      </c>
      <c r="K904" s="18" t="s">
        <v>195</v>
      </c>
      <c r="L904" s="64" t="n">
        <v>6.90514422505851</v>
      </c>
      <c r="M904" s="64" t="n">
        <v>7.82</v>
      </c>
      <c r="N904" s="18" t="s">
        <v>1094</v>
      </c>
      <c r="O904" s="65" t="n">
        <v>53.9982</v>
      </c>
      <c r="P904" s="65" t="n">
        <v>53.9982</v>
      </c>
      <c r="Q904" s="65" t="n">
        <v>0</v>
      </c>
      <c r="R904" s="65" t="s">
        <v>232</v>
      </c>
      <c r="S904" s="66" t="n">
        <f aca="false">Model_Calc!BA154</f>
        <v>53.9982278399576</v>
      </c>
      <c r="T904" s="66" t="n">
        <f aca="false">ROUND(S904-O904,4)</f>
        <v>0</v>
      </c>
    </row>
    <row r="905" customFormat="false" ht="15" hidden="false" customHeight="false" outlineLevel="0" collapsed="false">
      <c r="A905" s="18" t="s">
        <v>200</v>
      </c>
      <c r="B905" s="18" t="s">
        <v>201</v>
      </c>
      <c r="C905" s="18"/>
      <c r="D905" s="49" t="n">
        <v>46113</v>
      </c>
      <c r="E905" s="18" t="s">
        <v>98</v>
      </c>
      <c r="F905" s="18" t="s">
        <v>99</v>
      </c>
      <c r="G905" s="18" t="s">
        <v>100</v>
      </c>
      <c r="H905" s="18" t="s">
        <v>101</v>
      </c>
      <c r="I905" s="18" t="s">
        <v>102</v>
      </c>
      <c r="J905" s="18" t="s">
        <v>230</v>
      </c>
      <c r="K905" s="18" t="s">
        <v>195</v>
      </c>
      <c r="L905" s="64" t="n">
        <v>6700.34635917317</v>
      </c>
      <c r="M905" s="64" t="n">
        <v>7.84</v>
      </c>
      <c r="N905" s="18" t="s">
        <v>1095</v>
      </c>
      <c r="O905" s="65" t="n">
        <v>52530.7155</v>
      </c>
      <c r="P905" s="65" t="n">
        <v>52530.7155</v>
      </c>
      <c r="Q905" s="65" t="n">
        <v>0</v>
      </c>
      <c r="R905" s="65" t="s">
        <v>232</v>
      </c>
      <c r="S905" s="66" t="n">
        <f aca="false">Model_Calc!AF155</f>
        <v>52530.7154559176</v>
      </c>
      <c r="T905" s="66" t="n">
        <f aca="false">ROUND(S905-O905,4)</f>
        <v>0</v>
      </c>
    </row>
    <row r="906" customFormat="false" ht="15" hidden="false" customHeight="false" outlineLevel="0" collapsed="false">
      <c r="A906" s="18" t="s">
        <v>200</v>
      </c>
      <c r="B906" s="18" t="s">
        <v>201</v>
      </c>
      <c r="C906" s="18"/>
      <c r="D906" s="49" t="n">
        <v>46113</v>
      </c>
      <c r="E906" s="18" t="s">
        <v>98</v>
      </c>
      <c r="F906" s="18" t="s">
        <v>99</v>
      </c>
      <c r="G906" s="18" t="s">
        <v>100</v>
      </c>
      <c r="H906" s="18" t="s">
        <v>101</v>
      </c>
      <c r="I906" s="18" t="s">
        <v>102</v>
      </c>
      <c r="J906" s="18" t="s">
        <v>233</v>
      </c>
      <c r="K906" s="18" t="s">
        <v>195</v>
      </c>
      <c r="L906" s="64" t="n">
        <v>641.625167354423</v>
      </c>
      <c r="M906" s="64" t="n">
        <v>7.84</v>
      </c>
      <c r="N906" s="18" t="s">
        <v>1096</v>
      </c>
      <c r="O906" s="65" t="n">
        <v>5030.3413</v>
      </c>
      <c r="P906" s="65" t="n">
        <v>5030.3413</v>
      </c>
      <c r="Q906" s="65" t="n">
        <v>0</v>
      </c>
      <c r="R906" s="65" t="s">
        <v>232</v>
      </c>
      <c r="S906" s="66" t="n">
        <f aca="false">Model_Calc!AG155</f>
        <v>5030.34131205867</v>
      </c>
      <c r="T906" s="66" t="n">
        <f aca="false">ROUND(S906-O906,4)</f>
        <v>0</v>
      </c>
    </row>
    <row r="907" customFormat="false" ht="15" hidden="false" customHeight="false" outlineLevel="0" collapsed="false">
      <c r="A907" s="18" t="s">
        <v>200</v>
      </c>
      <c r="B907" s="18" t="s">
        <v>201</v>
      </c>
      <c r="C907" s="18"/>
      <c r="D907" s="49" t="n">
        <v>46113</v>
      </c>
      <c r="E907" s="18" t="s">
        <v>98</v>
      </c>
      <c r="F907" s="18" t="s">
        <v>99</v>
      </c>
      <c r="G907" s="18" t="s">
        <v>100</v>
      </c>
      <c r="H907" s="18" t="s">
        <v>101</v>
      </c>
      <c r="I907" s="18" t="s">
        <v>102</v>
      </c>
      <c r="J907" s="18" t="s">
        <v>235</v>
      </c>
      <c r="K907" s="18" t="s">
        <v>195</v>
      </c>
      <c r="L907" s="64" t="n">
        <v>4353.170556672</v>
      </c>
      <c r="M907" s="64" t="n">
        <v>7.84</v>
      </c>
      <c r="N907" s="18" t="s">
        <v>1097</v>
      </c>
      <c r="O907" s="65" t="n">
        <v>34128.8572</v>
      </c>
      <c r="P907" s="65" t="n">
        <v>34128.8572</v>
      </c>
      <c r="Q907" s="65" t="n">
        <v>0</v>
      </c>
      <c r="R907" s="65" t="s">
        <v>232</v>
      </c>
      <c r="S907" s="66" t="n">
        <f aca="false">Model_Calc!AL155</f>
        <v>34128.8571643085</v>
      </c>
      <c r="T907" s="66" t="n">
        <f aca="false">ROUND(S907-O907,4)</f>
        <v>0</v>
      </c>
    </row>
    <row r="908" customFormat="false" ht="15" hidden="false" customHeight="false" outlineLevel="0" collapsed="false">
      <c r="A908" s="18" t="s">
        <v>200</v>
      </c>
      <c r="B908" s="18" t="s">
        <v>201</v>
      </c>
      <c r="C908" s="18"/>
      <c r="D908" s="49" t="n">
        <v>46113</v>
      </c>
      <c r="E908" s="18" t="s">
        <v>98</v>
      </c>
      <c r="F908" s="18" t="s">
        <v>99</v>
      </c>
      <c r="G908" s="18" t="s">
        <v>100</v>
      </c>
      <c r="H908" s="18" t="s">
        <v>101</v>
      </c>
      <c r="I908" s="18" t="s">
        <v>102</v>
      </c>
      <c r="J908" s="18" t="s">
        <v>237</v>
      </c>
      <c r="K908" s="18" t="s">
        <v>195</v>
      </c>
      <c r="L908" s="64" t="n">
        <v>1631.7859831685</v>
      </c>
      <c r="M908" s="64" t="n">
        <v>7.84</v>
      </c>
      <c r="N908" s="18" t="s">
        <v>1098</v>
      </c>
      <c r="O908" s="65" t="n">
        <v>12793.2021</v>
      </c>
      <c r="P908" s="65" t="n">
        <v>12793.2021</v>
      </c>
      <c r="Q908" s="65" t="n">
        <v>0</v>
      </c>
      <c r="R908" s="65" t="s">
        <v>232</v>
      </c>
      <c r="S908" s="66" t="n">
        <f aca="false">Model_Calc!AQ155</f>
        <v>12793.202108041</v>
      </c>
      <c r="T908" s="66" t="n">
        <f aca="false">ROUND(S908-O908,4)</f>
        <v>0</v>
      </c>
    </row>
    <row r="909" customFormat="false" ht="15" hidden="false" customHeight="false" outlineLevel="0" collapsed="false">
      <c r="A909" s="18" t="s">
        <v>200</v>
      </c>
      <c r="B909" s="18" t="s">
        <v>201</v>
      </c>
      <c r="C909" s="18"/>
      <c r="D909" s="49" t="n">
        <v>46113</v>
      </c>
      <c r="E909" s="18" t="s">
        <v>98</v>
      </c>
      <c r="F909" s="18" t="s">
        <v>99</v>
      </c>
      <c r="G909" s="18" t="s">
        <v>100</v>
      </c>
      <c r="H909" s="18" t="s">
        <v>101</v>
      </c>
      <c r="I909" s="18" t="s">
        <v>102</v>
      </c>
      <c r="J909" s="18" t="s">
        <v>239</v>
      </c>
      <c r="K909" s="18" t="s">
        <v>195</v>
      </c>
      <c r="L909" s="64" t="n">
        <v>590.260414464</v>
      </c>
      <c r="M909" s="64" t="n">
        <v>7.84</v>
      </c>
      <c r="N909" s="18" t="s">
        <v>1099</v>
      </c>
      <c r="O909" s="65" t="n">
        <v>4627.6416</v>
      </c>
      <c r="P909" s="65" t="n">
        <v>4627.6416</v>
      </c>
      <c r="Q909" s="65" t="n">
        <v>0</v>
      </c>
      <c r="R909" s="65" t="s">
        <v>1100</v>
      </c>
      <c r="S909" s="66" t="n">
        <f aca="false">Model_Calc!AV155</f>
        <v>4627.64164939776</v>
      </c>
      <c r="T909" s="66" t="n">
        <f aca="false">ROUND(S909-O909,4)</f>
        <v>0</v>
      </c>
    </row>
    <row r="910" customFormat="false" ht="15" hidden="false" customHeight="false" outlineLevel="0" collapsed="false">
      <c r="A910" s="18" t="s">
        <v>200</v>
      </c>
      <c r="B910" s="18" t="s">
        <v>201</v>
      </c>
      <c r="C910" s="18"/>
      <c r="D910" s="49" t="n">
        <v>46113</v>
      </c>
      <c r="E910" s="18" t="s">
        <v>98</v>
      </c>
      <c r="F910" s="18" t="s">
        <v>99</v>
      </c>
      <c r="G910" s="18" t="s">
        <v>100</v>
      </c>
      <c r="H910" s="18" t="s">
        <v>101</v>
      </c>
      <c r="I910" s="18" t="s">
        <v>102</v>
      </c>
      <c r="J910" s="18" t="s">
        <v>241</v>
      </c>
      <c r="K910" s="18" t="s">
        <v>195</v>
      </c>
      <c r="L910" s="64" t="n">
        <v>145.835044438602</v>
      </c>
      <c r="M910" s="64" t="n">
        <v>7.84</v>
      </c>
      <c r="N910" s="18" t="s">
        <v>1101</v>
      </c>
      <c r="O910" s="65" t="n">
        <v>1143.3467</v>
      </c>
      <c r="P910" s="65" t="n">
        <v>1143.3467</v>
      </c>
      <c r="Q910" s="65" t="n">
        <v>0</v>
      </c>
      <c r="R910" s="65" t="s">
        <v>1100</v>
      </c>
      <c r="S910" s="66" t="n">
        <f aca="false">Model_Calc!BA155</f>
        <v>1143.34674839864</v>
      </c>
      <c r="T910" s="66" t="n">
        <f aca="false">ROUND(S910-O910,4)</f>
        <v>0</v>
      </c>
    </row>
    <row r="911" customFormat="false" ht="15" hidden="false" customHeight="false" outlineLevel="0" collapsed="false">
      <c r="A911" s="18" t="s">
        <v>200</v>
      </c>
      <c r="B911" s="18" t="s">
        <v>201</v>
      </c>
      <c r="C911" s="18"/>
      <c r="D911" s="49" t="n">
        <v>46113</v>
      </c>
      <c r="E911" s="18" t="s">
        <v>106</v>
      </c>
      <c r="F911" s="18" t="s">
        <v>99</v>
      </c>
      <c r="G911" s="18" t="s">
        <v>100</v>
      </c>
      <c r="H911" s="18" t="s">
        <v>107</v>
      </c>
      <c r="I911" s="18" t="s">
        <v>102</v>
      </c>
      <c r="J911" s="18" t="s">
        <v>230</v>
      </c>
      <c r="K911" s="18" t="s">
        <v>195</v>
      </c>
      <c r="L911" s="64" t="n">
        <v>5726.79175997707</v>
      </c>
      <c r="M911" s="64" t="n">
        <v>7.84</v>
      </c>
      <c r="N911" s="18" t="s">
        <v>1102</v>
      </c>
      <c r="O911" s="65" t="n">
        <v>44898.0474</v>
      </c>
      <c r="P911" s="65" t="n">
        <v>44898.0474</v>
      </c>
      <c r="Q911" s="65" t="n">
        <v>0</v>
      </c>
      <c r="R911" s="65" t="s">
        <v>232</v>
      </c>
      <c r="S911" s="66" t="n">
        <f aca="false">Model_Calc!AF156</f>
        <v>44898.0473982202</v>
      </c>
      <c r="T911" s="66" t="n">
        <f aca="false">ROUND(S911-O911,4)</f>
        <v>0</v>
      </c>
    </row>
    <row r="912" customFormat="false" ht="15" hidden="false" customHeight="false" outlineLevel="0" collapsed="false">
      <c r="A912" s="18" t="s">
        <v>200</v>
      </c>
      <c r="B912" s="18" t="s">
        <v>201</v>
      </c>
      <c r="C912" s="18"/>
      <c r="D912" s="49" t="n">
        <v>46113</v>
      </c>
      <c r="E912" s="18" t="s">
        <v>106</v>
      </c>
      <c r="F912" s="18" t="s">
        <v>99</v>
      </c>
      <c r="G912" s="18" t="s">
        <v>100</v>
      </c>
      <c r="H912" s="18" t="s">
        <v>107</v>
      </c>
      <c r="I912" s="18" t="s">
        <v>102</v>
      </c>
      <c r="J912" s="18" t="s">
        <v>233</v>
      </c>
      <c r="K912" s="18" t="s">
        <v>195</v>
      </c>
      <c r="L912" s="64" t="n">
        <v>437.318643489158</v>
      </c>
      <c r="M912" s="64" t="n">
        <v>7.84</v>
      </c>
      <c r="N912" s="18" t="s">
        <v>1103</v>
      </c>
      <c r="O912" s="65" t="n">
        <v>3428.5782</v>
      </c>
      <c r="P912" s="65" t="n">
        <v>3428.5782</v>
      </c>
      <c r="Q912" s="65" t="n">
        <v>0</v>
      </c>
      <c r="R912" s="65" t="s">
        <v>232</v>
      </c>
      <c r="S912" s="66" t="n">
        <f aca="false">Model_Calc!AG156</f>
        <v>3428.578164955</v>
      </c>
      <c r="T912" s="66" t="n">
        <f aca="false">ROUND(S912-O912,4)</f>
        <v>0</v>
      </c>
    </row>
    <row r="913" customFormat="false" ht="15" hidden="false" customHeight="false" outlineLevel="0" collapsed="false">
      <c r="A913" s="18" t="s">
        <v>200</v>
      </c>
      <c r="B913" s="18" t="s">
        <v>201</v>
      </c>
      <c r="C913" s="18"/>
      <c r="D913" s="49" t="n">
        <v>46113</v>
      </c>
      <c r="E913" s="18" t="s">
        <v>106</v>
      </c>
      <c r="F913" s="18" t="s">
        <v>99</v>
      </c>
      <c r="G913" s="18" t="s">
        <v>100</v>
      </c>
      <c r="H913" s="18" t="s">
        <v>107</v>
      </c>
      <c r="I913" s="18" t="s">
        <v>102</v>
      </c>
      <c r="J913" s="18" t="s">
        <v>235</v>
      </c>
      <c r="K913" s="18" t="s">
        <v>195</v>
      </c>
      <c r="L913" s="64" t="n">
        <v>2902.113704448</v>
      </c>
      <c r="M913" s="64" t="n">
        <v>7.84</v>
      </c>
      <c r="N913" s="18" t="s">
        <v>1104</v>
      </c>
      <c r="O913" s="65" t="n">
        <v>22752.5714</v>
      </c>
      <c r="P913" s="65" t="n">
        <v>22752.5714</v>
      </c>
      <c r="Q913" s="65" t="n">
        <v>0</v>
      </c>
      <c r="R913" s="65" t="s">
        <v>232</v>
      </c>
      <c r="S913" s="66" t="n">
        <f aca="false">Model_Calc!AL156</f>
        <v>22752.5714428723</v>
      </c>
      <c r="T913" s="66" t="n">
        <f aca="false">ROUND(S913-O913,4)</f>
        <v>0</v>
      </c>
    </row>
    <row r="914" customFormat="false" ht="15" hidden="false" customHeight="false" outlineLevel="0" collapsed="false">
      <c r="A914" s="18" t="s">
        <v>200</v>
      </c>
      <c r="B914" s="18" t="s">
        <v>201</v>
      </c>
      <c r="C914" s="18"/>
      <c r="D914" s="49" t="n">
        <v>46113</v>
      </c>
      <c r="E914" s="18" t="s">
        <v>106</v>
      </c>
      <c r="F914" s="18" t="s">
        <v>99</v>
      </c>
      <c r="G914" s="18" t="s">
        <v>100</v>
      </c>
      <c r="H914" s="18" t="s">
        <v>107</v>
      </c>
      <c r="I914" s="18" t="s">
        <v>102</v>
      </c>
      <c r="J914" s="18" t="s">
        <v>237</v>
      </c>
      <c r="K914" s="18" t="s">
        <v>195</v>
      </c>
      <c r="L914" s="64" t="n">
        <v>1087.85732211233</v>
      </c>
      <c r="M914" s="64" t="n">
        <v>7.84</v>
      </c>
      <c r="N914" s="18" t="s">
        <v>1105</v>
      </c>
      <c r="O914" s="65" t="n">
        <v>8528.8014</v>
      </c>
      <c r="P914" s="65" t="n">
        <v>8528.8014</v>
      </c>
      <c r="Q914" s="65" t="n">
        <v>0</v>
      </c>
      <c r="R914" s="65" t="s">
        <v>232</v>
      </c>
      <c r="S914" s="66" t="n">
        <f aca="false">Model_Calc!AQ156</f>
        <v>8528.80140536069</v>
      </c>
      <c r="T914" s="66" t="n">
        <f aca="false">ROUND(S914-O914,4)</f>
        <v>0</v>
      </c>
    </row>
    <row r="915" customFormat="false" ht="15" hidden="false" customHeight="false" outlineLevel="0" collapsed="false">
      <c r="A915" s="18" t="s">
        <v>200</v>
      </c>
      <c r="B915" s="18" t="s">
        <v>201</v>
      </c>
      <c r="C915" s="18"/>
      <c r="D915" s="49" t="n">
        <v>46113</v>
      </c>
      <c r="E915" s="18" t="s">
        <v>106</v>
      </c>
      <c r="F915" s="18" t="s">
        <v>99</v>
      </c>
      <c r="G915" s="18" t="s">
        <v>100</v>
      </c>
      <c r="H915" s="18" t="s">
        <v>107</v>
      </c>
      <c r="I915" s="18" t="s">
        <v>102</v>
      </c>
      <c r="J915" s="18" t="s">
        <v>239</v>
      </c>
      <c r="K915" s="18" t="s">
        <v>195</v>
      </c>
      <c r="L915" s="64" t="n">
        <v>393.506942976</v>
      </c>
      <c r="M915" s="64" t="n">
        <v>7.84</v>
      </c>
      <c r="N915" s="18" t="s">
        <v>1106</v>
      </c>
      <c r="O915" s="65" t="n">
        <v>3085.0944</v>
      </c>
      <c r="P915" s="65" t="n">
        <v>3085.0944</v>
      </c>
      <c r="Q915" s="65" t="n">
        <v>0</v>
      </c>
      <c r="R915" s="65" t="s">
        <v>1100</v>
      </c>
      <c r="S915" s="66" t="n">
        <f aca="false">Model_Calc!AV156</f>
        <v>3085.09443293184</v>
      </c>
      <c r="T915" s="66" t="n">
        <f aca="false">ROUND(S915-O915,4)</f>
        <v>0</v>
      </c>
    </row>
    <row r="916" customFormat="false" ht="15" hidden="false" customHeight="false" outlineLevel="0" collapsed="false">
      <c r="A916" s="18" t="s">
        <v>200</v>
      </c>
      <c r="B916" s="18" t="s">
        <v>201</v>
      </c>
      <c r="C916" s="18"/>
      <c r="D916" s="49" t="n">
        <v>46113</v>
      </c>
      <c r="E916" s="18" t="s">
        <v>106</v>
      </c>
      <c r="F916" s="18" t="s">
        <v>99</v>
      </c>
      <c r="G916" s="18" t="s">
        <v>100</v>
      </c>
      <c r="H916" s="18" t="s">
        <v>107</v>
      </c>
      <c r="I916" s="18" t="s">
        <v>102</v>
      </c>
      <c r="J916" s="18" t="s">
        <v>241</v>
      </c>
      <c r="K916" s="18" t="s">
        <v>195</v>
      </c>
      <c r="L916" s="64" t="n">
        <v>78.9939824042427</v>
      </c>
      <c r="M916" s="64" t="n">
        <v>7.84</v>
      </c>
      <c r="N916" s="18" t="s">
        <v>1107</v>
      </c>
      <c r="O916" s="65" t="n">
        <v>619.3128</v>
      </c>
      <c r="P916" s="65" t="n">
        <v>619.3128</v>
      </c>
      <c r="Q916" s="65" t="n">
        <v>0</v>
      </c>
      <c r="R916" s="65" t="s">
        <v>1100</v>
      </c>
      <c r="S916" s="66" t="n">
        <f aca="false">Model_Calc!BA156</f>
        <v>619.312822049263</v>
      </c>
      <c r="T916" s="66" t="n">
        <f aca="false">ROUND(S916-O916,4)</f>
        <v>0</v>
      </c>
    </row>
    <row r="917" customFormat="false" ht="15" hidden="false" customHeight="false" outlineLevel="0" collapsed="false">
      <c r="A917" s="18" t="s">
        <v>200</v>
      </c>
      <c r="B917" s="18" t="s">
        <v>201</v>
      </c>
      <c r="C917" s="18"/>
      <c r="D917" s="49" t="n">
        <v>46113</v>
      </c>
      <c r="E917" s="18" t="s">
        <v>109</v>
      </c>
      <c r="F917" s="18" t="s">
        <v>99</v>
      </c>
      <c r="G917" s="18" t="s">
        <v>110</v>
      </c>
      <c r="H917" s="18" t="s">
        <v>107</v>
      </c>
      <c r="I917" s="18" t="s">
        <v>102</v>
      </c>
      <c r="J917" s="18" t="s">
        <v>230</v>
      </c>
      <c r="K917" s="18" t="s">
        <v>195</v>
      </c>
      <c r="L917" s="64" t="n">
        <v>587.523290132551</v>
      </c>
      <c r="M917" s="64" t="n">
        <v>7.84</v>
      </c>
      <c r="N917" s="18" t="s">
        <v>1108</v>
      </c>
      <c r="O917" s="65" t="n">
        <v>4606.1826</v>
      </c>
      <c r="P917" s="65" t="n">
        <v>4606.1826</v>
      </c>
      <c r="Q917" s="65" t="n">
        <v>0</v>
      </c>
      <c r="R917" s="65" t="s">
        <v>232</v>
      </c>
      <c r="S917" s="66" t="n">
        <f aca="false">Model_Calc!AF157</f>
        <v>4606.1825946392</v>
      </c>
      <c r="T917" s="66" t="n">
        <f aca="false">ROUND(S917-O917,4)</f>
        <v>0</v>
      </c>
    </row>
    <row r="918" customFormat="false" ht="15" hidden="false" customHeight="false" outlineLevel="0" collapsed="false">
      <c r="A918" s="18" t="s">
        <v>200</v>
      </c>
      <c r="B918" s="18" t="s">
        <v>201</v>
      </c>
      <c r="C918" s="18"/>
      <c r="D918" s="49" t="n">
        <v>46113</v>
      </c>
      <c r="E918" s="18" t="s">
        <v>109</v>
      </c>
      <c r="F918" s="18" t="s">
        <v>99</v>
      </c>
      <c r="G918" s="18" t="s">
        <v>110</v>
      </c>
      <c r="H918" s="18" t="s">
        <v>107</v>
      </c>
      <c r="I918" s="18" t="s">
        <v>102</v>
      </c>
      <c r="J918" s="18" t="s">
        <v>233</v>
      </c>
      <c r="K918" s="18" t="s">
        <v>195</v>
      </c>
      <c r="L918" s="64" t="n">
        <v>42.7289665550947</v>
      </c>
      <c r="M918" s="64" t="n">
        <v>7.84</v>
      </c>
      <c r="N918" s="18" t="s">
        <v>1109</v>
      </c>
      <c r="O918" s="65" t="n">
        <v>334.9951</v>
      </c>
      <c r="P918" s="65" t="n">
        <v>334.9951</v>
      </c>
      <c r="Q918" s="65" t="n">
        <v>0</v>
      </c>
      <c r="R918" s="65" t="s">
        <v>232</v>
      </c>
      <c r="S918" s="66" t="n">
        <f aca="false">Model_Calc!AG157</f>
        <v>334.995097791942</v>
      </c>
      <c r="T918" s="66" t="n">
        <f aca="false">ROUND(S918-O918,4)</f>
        <v>0</v>
      </c>
    </row>
    <row r="919" customFormat="false" ht="15" hidden="false" customHeight="false" outlineLevel="0" collapsed="false">
      <c r="A919" s="18" t="s">
        <v>200</v>
      </c>
      <c r="B919" s="18" t="s">
        <v>201</v>
      </c>
      <c r="C919" s="18"/>
      <c r="D919" s="49" t="n">
        <v>46113</v>
      </c>
      <c r="E919" s="18" t="s">
        <v>109</v>
      </c>
      <c r="F919" s="18" t="s">
        <v>99</v>
      </c>
      <c r="G919" s="18" t="s">
        <v>110</v>
      </c>
      <c r="H919" s="18" t="s">
        <v>107</v>
      </c>
      <c r="I919" s="18" t="s">
        <v>102</v>
      </c>
      <c r="J919" s="18" t="s">
        <v>235</v>
      </c>
      <c r="K919" s="18" t="s">
        <v>195</v>
      </c>
      <c r="L919" s="64" t="n">
        <v>199.6692768</v>
      </c>
      <c r="M919" s="64" t="n">
        <v>7.84</v>
      </c>
      <c r="N919" s="18" t="s">
        <v>1110</v>
      </c>
      <c r="O919" s="65" t="n">
        <v>1565.4071</v>
      </c>
      <c r="P919" s="65" t="n">
        <v>1565.4071</v>
      </c>
      <c r="Q919" s="65" t="n">
        <v>0</v>
      </c>
      <c r="R919" s="65" t="s">
        <v>232</v>
      </c>
      <c r="S919" s="66" t="n">
        <f aca="false">Model_Calc!AL157</f>
        <v>1565.407130112</v>
      </c>
      <c r="T919" s="66" t="n">
        <f aca="false">ROUND(S919-O919,4)</f>
        <v>0</v>
      </c>
    </row>
    <row r="920" customFormat="false" ht="15" hidden="false" customHeight="false" outlineLevel="0" collapsed="false">
      <c r="A920" s="18" t="s">
        <v>200</v>
      </c>
      <c r="B920" s="18" t="s">
        <v>201</v>
      </c>
      <c r="C920" s="18"/>
      <c r="D920" s="49" t="n">
        <v>46113</v>
      </c>
      <c r="E920" s="18" t="s">
        <v>109</v>
      </c>
      <c r="F920" s="18" t="s">
        <v>99</v>
      </c>
      <c r="G920" s="18" t="s">
        <v>110</v>
      </c>
      <c r="H920" s="18" t="s">
        <v>107</v>
      </c>
      <c r="I920" s="18" t="s">
        <v>102</v>
      </c>
      <c r="J920" s="18" t="s">
        <v>237</v>
      </c>
      <c r="K920" s="18" t="s">
        <v>195</v>
      </c>
      <c r="L920" s="64" t="n">
        <v>78.2762895355392</v>
      </c>
      <c r="M920" s="64" t="n">
        <v>7.84</v>
      </c>
      <c r="N920" s="18" t="s">
        <v>1111</v>
      </c>
      <c r="O920" s="65" t="n">
        <v>613.6861</v>
      </c>
      <c r="P920" s="65" t="n">
        <v>613.6861</v>
      </c>
      <c r="Q920" s="65" t="n">
        <v>0</v>
      </c>
      <c r="R920" s="65" t="s">
        <v>232</v>
      </c>
      <c r="S920" s="66" t="n">
        <f aca="false">Model_Calc!AQ157</f>
        <v>613.686109958627</v>
      </c>
      <c r="T920" s="66" t="n">
        <f aca="false">ROUND(S920-O920,4)</f>
        <v>0</v>
      </c>
    </row>
    <row r="921" customFormat="false" ht="15" hidden="false" customHeight="false" outlineLevel="0" collapsed="false">
      <c r="A921" s="18" t="s">
        <v>200</v>
      </c>
      <c r="B921" s="18" t="s">
        <v>201</v>
      </c>
      <c r="C921" s="18"/>
      <c r="D921" s="49" t="n">
        <v>46113</v>
      </c>
      <c r="E921" s="18" t="s">
        <v>109</v>
      </c>
      <c r="F921" s="18" t="s">
        <v>99</v>
      </c>
      <c r="G921" s="18" t="s">
        <v>110</v>
      </c>
      <c r="H921" s="18" t="s">
        <v>107</v>
      </c>
      <c r="I921" s="18" t="s">
        <v>102</v>
      </c>
      <c r="J921" s="18" t="s">
        <v>239</v>
      </c>
      <c r="K921" s="18" t="s">
        <v>195</v>
      </c>
      <c r="L921" s="64" t="n">
        <v>36.13063104</v>
      </c>
      <c r="M921" s="64" t="n">
        <v>7.84</v>
      </c>
      <c r="N921" s="18" t="s">
        <v>1112</v>
      </c>
      <c r="O921" s="65" t="n">
        <v>283.2641</v>
      </c>
      <c r="P921" s="65" t="n">
        <v>283.2641</v>
      </c>
      <c r="Q921" s="65" t="n">
        <v>0</v>
      </c>
      <c r="R921" s="65" t="s">
        <v>1100</v>
      </c>
      <c r="S921" s="66" t="n">
        <f aca="false">Model_Calc!AV157</f>
        <v>283.2641473536</v>
      </c>
      <c r="T921" s="66" t="n">
        <f aca="false">ROUND(S921-O921,4)</f>
        <v>0</v>
      </c>
    </row>
    <row r="922" customFormat="false" ht="15" hidden="false" customHeight="false" outlineLevel="0" collapsed="false">
      <c r="A922" s="18" t="s">
        <v>200</v>
      </c>
      <c r="B922" s="18" t="s">
        <v>201</v>
      </c>
      <c r="C922" s="18"/>
      <c r="D922" s="49" t="n">
        <v>46113</v>
      </c>
      <c r="E922" s="18" t="s">
        <v>109</v>
      </c>
      <c r="F922" s="18" t="s">
        <v>99</v>
      </c>
      <c r="G922" s="18" t="s">
        <v>110</v>
      </c>
      <c r="H922" s="18" t="s">
        <v>107</v>
      </c>
      <c r="I922" s="18" t="s">
        <v>102</v>
      </c>
      <c r="J922" s="18" t="s">
        <v>241</v>
      </c>
      <c r="K922" s="18" t="s">
        <v>195</v>
      </c>
      <c r="L922" s="64" t="n">
        <v>6.76554329869803</v>
      </c>
      <c r="M922" s="64" t="n">
        <v>7.84</v>
      </c>
      <c r="N922" s="18" t="s">
        <v>1113</v>
      </c>
      <c r="O922" s="65" t="n">
        <v>53.0419</v>
      </c>
      <c r="P922" s="65" t="n">
        <v>53.0419</v>
      </c>
      <c r="Q922" s="65" t="n">
        <v>0</v>
      </c>
      <c r="R922" s="65" t="s">
        <v>1100</v>
      </c>
      <c r="S922" s="66" t="n">
        <f aca="false">Model_Calc!BA157</f>
        <v>53.0418594617925</v>
      </c>
      <c r="T922" s="66" t="n">
        <f aca="false">ROUND(S922-O922,4)</f>
        <v>0</v>
      </c>
    </row>
    <row r="923" customFormat="false" ht="15" hidden="false" customHeight="false" outlineLevel="0" collapsed="false">
      <c r="A923" s="18" t="s">
        <v>200</v>
      </c>
      <c r="B923" s="18" t="s">
        <v>201</v>
      </c>
      <c r="C923" s="18"/>
      <c r="D923" s="49" t="n">
        <v>46113</v>
      </c>
      <c r="E923" s="18" t="s">
        <v>112</v>
      </c>
      <c r="F923" s="18" t="s">
        <v>113</v>
      </c>
      <c r="G923" s="18" t="s">
        <v>110</v>
      </c>
      <c r="H923" s="18" t="s">
        <v>101</v>
      </c>
      <c r="I923" s="18" t="s">
        <v>102</v>
      </c>
      <c r="J923" s="18" t="s">
        <v>230</v>
      </c>
      <c r="K923" s="18" t="s">
        <v>195</v>
      </c>
      <c r="L923" s="64" t="n">
        <v>3051.38103645245</v>
      </c>
      <c r="M923" s="64" t="n">
        <v>7.84</v>
      </c>
      <c r="N923" s="18" t="s">
        <v>1114</v>
      </c>
      <c r="O923" s="65" t="n">
        <v>23922.8273</v>
      </c>
      <c r="P923" s="65" t="n">
        <v>23922.8273</v>
      </c>
      <c r="Q923" s="65" t="n">
        <v>0</v>
      </c>
      <c r="R923" s="65" t="s">
        <v>232</v>
      </c>
      <c r="S923" s="66" t="n">
        <f aca="false">Model_Calc!AF158</f>
        <v>23922.8273257872</v>
      </c>
      <c r="T923" s="66" t="n">
        <f aca="false">ROUND(S923-O923,4)</f>
        <v>0</v>
      </c>
    </row>
    <row r="924" customFormat="false" ht="15" hidden="false" customHeight="false" outlineLevel="0" collapsed="false">
      <c r="A924" s="18" t="s">
        <v>200</v>
      </c>
      <c r="B924" s="18" t="s">
        <v>201</v>
      </c>
      <c r="C924" s="18"/>
      <c r="D924" s="49" t="n">
        <v>46113</v>
      </c>
      <c r="E924" s="18" t="s">
        <v>112</v>
      </c>
      <c r="F924" s="18" t="s">
        <v>113</v>
      </c>
      <c r="G924" s="18" t="s">
        <v>110</v>
      </c>
      <c r="H924" s="18" t="s">
        <v>101</v>
      </c>
      <c r="I924" s="18" t="s">
        <v>102</v>
      </c>
      <c r="J924" s="18" t="s">
        <v>233</v>
      </c>
      <c r="K924" s="18" t="s">
        <v>195</v>
      </c>
      <c r="L924" s="64" t="n">
        <v>276.821287626966</v>
      </c>
      <c r="M924" s="64" t="n">
        <v>7.84</v>
      </c>
      <c r="N924" s="18" t="s">
        <v>1115</v>
      </c>
      <c r="O924" s="65" t="n">
        <v>2170.2789</v>
      </c>
      <c r="P924" s="65" t="n">
        <v>2170.2789</v>
      </c>
      <c r="Q924" s="65" t="n">
        <v>0</v>
      </c>
      <c r="R924" s="65" t="s">
        <v>232</v>
      </c>
      <c r="S924" s="66" t="n">
        <f aca="false">Model_Calc!AG158</f>
        <v>2170.27889499541</v>
      </c>
      <c r="T924" s="66" t="n">
        <f aca="false">ROUND(S924-O924,4)</f>
        <v>0</v>
      </c>
    </row>
    <row r="925" customFormat="false" ht="15" hidden="false" customHeight="false" outlineLevel="0" collapsed="false">
      <c r="A925" s="18" t="s">
        <v>200</v>
      </c>
      <c r="B925" s="18" t="s">
        <v>201</v>
      </c>
      <c r="C925" s="18"/>
      <c r="D925" s="49" t="n">
        <v>46113</v>
      </c>
      <c r="E925" s="18" t="s">
        <v>112</v>
      </c>
      <c r="F925" s="18" t="s">
        <v>113</v>
      </c>
      <c r="G925" s="18" t="s">
        <v>110</v>
      </c>
      <c r="H925" s="18" t="s">
        <v>101</v>
      </c>
      <c r="I925" s="18" t="s">
        <v>102</v>
      </c>
      <c r="J925" s="18" t="s">
        <v>235</v>
      </c>
      <c r="K925" s="18" t="s">
        <v>195</v>
      </c>
      <c r="L925" s="64" t="n">
        <v>1878.797592</v>
      </c>
      <c r="M925" s="64" t="n">
        <v>7.84</v>
      </c>
      <c r="N925" s="18" t="s">
        <v>1116</v>
      </c>
      <c r="O925" s="65" t="n">
        <v>14729.7731</v>
      </c>
      <c r="P925" s="65" t="n">
        <v>14729.7731</v>
      </c>
      <c r="Q925" s="65" t="n">
        <v>0</v>
      </c>
      <c r="R925" s="65" t="s">
        <v>232</v>
      </c>
      <c r="S925" s="66" t="n">
        <f aca="false">Model_Calc!AL158</f>
        <v>14729.77312128</v>
      </c>
      <c r="T925" s="66" t="n">
        <f aca="false">ROUND(S925-O925,4)</f>
        <v>0</v>
      </c>
    </row>
    <row r="926" customFormat="false" ht="15" hidden="false" customHeight="false" outlineLevel="0" collapsed="false">
      <c r="A926" s="18" t="s">
        <v>200</v>
      </c>
      <c r="B926" s="18" t="s">
        <v>201</v>
      </c>
      <c r="C926" s="18"/>
      <c r="D926" s="49" t="n">
        <v>46113</v>
      </c>
      <c r="E926" s="18" t="s">
        <v>112</v>
      </c>
      <c r="F926" s="18" t="s">
        <v>113</v>
      </c>
      <c r="G926" s="18" t="s">
        <v>110</v>
      </c>
      <c r="H926" s="18" t="s">
        <v>101</v>
      </c>
      <c r="I926" s="18" t="s">
        <v>102</v>
      </c>
      <c r="J926" s="18" t="s">
        <v>237</v>
      </c>
      <c r="K926" s="18" t="s">
        <v>195</v>
      </c>
      <c r="L926" s="64" t="n">
        <v>722.904770540736</v>
      </c>
      <c r="M926" s="64" t="n">
        <v>7.84</v>
      </c>
      <c r="N926" s="18" t="s">
        <v>1117</v>
      </c>
      <c r="O926" s="65" t="n">
        <v>5667.5734</v>
      </c>
      <c r="P926" s="65" t="n">
        <v>5667.5734</v>
      </c>
      <c r="Q926" s="65" t="n">
        <v>0</v>
      </c>
      <c r="R926" s="65" t="s">
        <v>232</v>
      </c>
      <c r="S926" s="66" t="n">
        <f aca="false">Model_Calc!AQ158</f>
        <v>5667.57340103937</v>
      </c>
      <c r="T926" s="66" t="n">
        <f aca="false">ROUND(S926-O926,4)</f>
        <v>0</v>
      </c>
    </row>
    <row r="927" customFormat="false" ht="15" hidden="false" customHeight="false" outlineLevel="0" collapsed="false">
      <c r="A927" s="18" t="s">
        <v>200</v>
      </c>
      <c r="B927" s="18" t="s">
        <v>201</v>
      </c>
      <c r="C927" s="18"/>
      <c r="D927" s="49" t="n">
        <v>46113</v>
      </c>
      <c r="E927" s="18" t="s">
        <v>112</v>
      </c>
      <c r="F927" s="18" t="s">
        <v>113</v>
      </c>
      <c r="G927" s="18" t="s">
        <v>110</v>
      </c>
      <c r="H927" s="18" t="s">
        <v>101</v>
      </c>
      <c r="I927" s="18" t="s">
        <v>102</v>
      </c>
      <c r="J927" s="18" t="s">
        <v>239</v>
      </c>
      <c r="K927" s="18" t="s">
        <v>195</v>
      </c>
      <c r="L927" s="64" t="n">
        <v>322.0795872</v>
      </c>
      <c r="M927" s="64" t="n">
        <v>7.84</v>
      </c>
      <c r="N927" s="18" t="s">
        <v>1118</v>
      </c>
      <c r="O927" s="65" t="n">
        <v>2525.104</v>
      </c>
      <c r="P927" s="65" t="n">
        <v>2525.104</v>
      </c>
      <c r="Q927" s="65" t="n">
        <v>0</v>
      </c>
      <c r="R927" s="65" t="s">
        <v>1100</v>
      </c>
      <c r="S927" s="66" t="n">
        <f aca="false">Model_Calc!AV158</f>
        <v>2525.103963648</v>
      </c>
      <c r="T927" s="66" t="n">
        <f aca="false">ROUND(S927-O927,4)</f>
        <v>0</v>
      </c>
    </row>
    <row r="928" customFormat="false" ht="15" hidden="false" customHeight="false" outlineLevel="0" collapsed="false">
      <c r="A928" s="18" t="s">
        <v>200</v>
      </c>
      <c r="B928" s="18" t="s">
        <v>201</v>
      </c>
      <c r="C928" s="18"/>
      <c r="D928" s="49" t="n">
        <v>46113</v>
      </c>
      <c r="E928" s="18" t="s">
        <v>112</v>
      </c>
      <c r="F928" s="18" t="s">
        <v>113</v>
      </c>
      <c r="G928" s="18" t="s">
        <v>110</v>
      </c>
      <c r="H928" s="18" t="s">
        <v>101</v>
      </c>
      <c r="I928" s="18" t="s">
        <v>102</v>
      </c>
      <c r="J928" s="18" t="s">
        <v>241</v>
      </c>
      <c r="K928" s="18" t="s">
        <v>195</v>
      </c>
      <c r="L928" s="64" t="n">
        <v>75.8707580492253</v>
      </c>
      <c r="M928" s="64" t="n">
        <v>7.84</v>
      </c>
      <c r="N928" s="18" t="s">
        <v>1119</v>
      </c>
      <c r="O928" s="65" t="n">
        <v>594.8267</v>
      </c>
      <c r="P928" s="65" t="n">
        <v>594.8267</v>
      </c>
      <c r="Q928" s="65" t="n">
        <v>0</v>
      </c>
      <c r="R928" s="65" t="s">
        <v>1100</v>
      </c>
      <c r="S928" s="66" t="n">
        <f aca="false">Model_Calc!BA158</f>
        <v>594.826743105927</v>
      </c>
      <c r="T928" s="66" t="n">
        <f aca="false">ROUND(S928-O928,4)</f>
        <v>0</v>
      </c>
    </row>
    <row r="929" customFormat="false" ht="15" hidden="false" customHeight="false" outlineLevel="0" collapsed="false">
      <c r="A929" s="18" t="s">
        <v>200</v>
      </c>
      <c r="B929" s="18" t="s">
        <v>201</v>
      </c>
      <c r="C929" s="18"/>
      <c r="D929" s="49" t="n">
        <v>46113</v>
      </c>
      <c r="E929" s="18" t="s">
        <v>116</v>
      </c>
      <c r="F929" s="18" t="s">
        <v>113</v>
      </c>
      <c r="G929" s="18" t="s">
        <v>110</v>
      </c>
      <c r="H929" s="18" t="s">
        <v>107</v>
      </c>
      <c r="I929" s="18" t="s">
        <v>102</v>
      </c>
      <c r="J929" s="18" t="s">
        <v>230</v>
      </c>
      <c r="K929" s="18" t="s">
        <v>195</v>
      </c>
      <c r="L929" s="64" t="n">
        <v>7293.05195447129</v>
      </c>
      <c r="M929" s="64" t="n">
        <v>7.84</v>
      </c>
      <c r="N929" s="18" t="s">
        <v>1120</v>
      </c>
      <c r="O929" s="65" t="n">
        <v>57177.5273</v>
      </c>
      <c r="P929" s="65" t="n">
        <v>57177.5273</v>
      </c>
      <c r="Q929" s="65" t="n">
        <v>0</v>
      </c>
      <c r="R929" s="65" t="s">
        <v>232</v>
      </c>
      <c r="S929" s="66" t="n">
        <f aca="false">Model_Calc!AF159</f>
        <v>57177.5273230549</v>
      </c>
      <c r="T929" s="66" t="n">
        <f aca="false">ROUND(S929-O929,4)</f>
        <v>0</v>
      </c>
    </row>
    <row r="930" customFormat="false" ht="15" hidden="false" customHeight="false" outlineLevel="0" collapsed="false">
      <c r="A930" s="18" t="s">
        <v>200</v>
      </c>
      <c r="B930" s="18" t="s">
        <v>201</v>
      </c>
      <c r="C930" s="18"/>
      <c r="D930" s="49" t="n">
        <v>46113</v>
      </c>
      <c r="E930" s="18" t="s">
        <v>116</v>
      </c>
      <c r="F930" s="18" t="s">
        <v>113</v>
      </c>
      <c r="G930" s="18" t="s">
        <v>110</v>
      </c>
      <c r="H930" s="18" t="s">
        <v>107</v>
      </c>
      <c r="I930" s="18" t="s">
        <v>102</v>
      </c>
      <c r="J930" s="18" t="s">
        <v>233</v>
      </c>
      <c r="K930" s="18" t="s">
        <v>195</v>
      </c>
      <c r="L930" s="64" t="n">
        <v>561.003996497791</v>
      </c>
      <c r="M930" s="64" t="n">
        <v>7.84</v>
      </c>
      <c r="N930" s="18" t="s">
        <v>1121</v>
      </c>
      <c r="O930" s="65" t="n">
        <v>4398.2713</v>
      </c>
      <c r="P930" s="65" t="n">
        <v>4398.2713</v>
      </c>
      <c r="Q930" s="65" t="n">
        <v>0</v>
      </c>
      <c r="R930" s="65" t="s">
        <v>232</v>
      </c>
      <c r="S930" s="66" t="n">
        <f aca="false">Model_Calc!AG159</f>
        <v>4398.27133254268</v>
      </c>
      <c r="T930" s="66" t="n">
        <f aca="false">ROUND(S930-O930,4)</f>
        <v>0</v>
      </c>
    </row>
    <row r="931" customFormat="false" ht="15" hidden="false" customHeight="false" outlineLevel="0" collapsed="false">
      <c r="A931" s="18" t="s">
        <v>200</v>
      </c>
      <c r="B931" s="18" t="s">
        <v>201</v>
      </c>
      <c r="C931" s="18"/>
      <c r="D931" s="49" t="n">
        <v>46113</v>
      </c>
      <c r="E931" s="18" t="s">
        <v>116</v>
      </c>
      <c r="F931" s="18" t="s">
        <v>113</v>
      </c>
      <c r="G931" s="18" t="s">
        <v>110</v>
      </c>
      <c r="H931" s="18" t="s">
        <v>107</v>
      </c>
      <c r="I931" s="18" t="s">
        <v>102</v>
      </c>
      <c r="J931" s="18" t="s">
        <v>235</v>
      </c>
      <c r="K931" s="18" t="s">
        <v>195</v>
      </c>
      <c r="L931" s="64" t="n">
        <v>3489.195528</v>
      </c>
      <c r="M931" s="64" t="n">
        <v>7.84</v>
      </c>
      <c r="N931" s="18" t="s">
        <v>1122</v>
      </c>
      <c r="O931" s="65" t="n">
        <v>27355.2929</v>
      </c>
      <c r="P931" s="65" t="n">
        <v>27355.2929</v>
      </c>
      <c r="Q931" s="65" t="n">
        <v>0</v>
      </c>
      <c r="R931" s="65" t="s">
        <v>232</v>
      </c>
      <c r="S931" s="66" t="n">
        <f aca="false">Model_Calc!AL159</f>
        <v>27355.29293952</v>
      </c>
      <c r="T931" s="66" t="n">
        <f aca="false">ROUND(S931-O931,4)</f>
        <v>0</v>
      </c>
    </row>
    <row r="932" customFormat="false" ht="15" hidden="false" customHeight="false" outlineLevel="0" collapsed="false">
      <c r="A932" s="18" t="s">
        <v>200</v>
      </c>
      <c r="B932" s="18" t="s">
        <v>201</v>
      </c>
      <c r="C932" s="18"/>
      <c r="D932" s="49" t="n">
        <v>46113</v>
      </c>
      <c r="E932" s="18" t="s">
        <v>116</v>
      </c>
      <c r="F932" s="18" t="s">
        <v>113</v>
      </c>
      <c r="G932" s="18" t="s">
        <v>110</v>
      </c>
      <c r="H932" s="18" t="s">
        <v>107</v>
      </c>
      <c r="I932" s="18" t="s">
        <v>102</v>
      </c>
      <c r="J932" s="18" t="s">
        <v>237</v>
      </c>
      <c r="K932" s="18" t="s">
        <v>195</v>
      </c>
      <c r="L932" s="64" t="n">
        <v>1342.53743100422</v>
      </c>
      <c r="M932" s="64" t="n">
        <v>7.84</v>
      </c>
      <c r="N932" s="18" t="s">
        <v>1123</v>
      </c>
      <c r="O932" s="65" t="n">
        <v>10525.4935</v>
      </c>
      <c r="P932" s="65" t="n">
        <v>10525.4935</v>
      </c>
      <c r="Q932" s="65" t="n">
        <v>0</v>
      </c>
      <c r="R932" s="65" t="s">
        <v>232</v>
      </c>
      <c r="S932" s="66" t="n">
        <f aca="false">Model_Calc!AQ159</f>
        <v>10525.4934590731</v>
      </c>
      <c r="T932" s="66" t="n">
        <f aca="false">ROUND(S932-O932,4)</f>
        <v>0</v>
      </c>
    </row>
    <row r="933" customFormat="false" ht="15" hidden="false" customHeight="false" outlineLevel="0" collapsed="false">
      <c r="A933" s="18" t="s">
        <v>200</v>
      </c>
      <c r="B933" s="18" t="s">
        <v>201</v>
      </c>
      <c r="C933" s="18"/>
      <c r="D933" s="49" t="n">
        <v>46113</v>
      </c>
      <c r="E933" s="18" t="s">
        <v>116</v>
      </c>
      <c r="F933" s="18" t="s">
        <v>113</v>
      </c>
      <c r="G933" s="18" t="s">
        <v>110</v>
      </c>
      <c r="H933" s="18" t="s">
        <v>107</v>
      </c>
      <c r="I933" s="18" t="s">
        <v>102</v>
      </c>
      <c r="J933" s="18" t="s">
        <v>239</v>
      </c>
      <c r="K933" s="18" t="s">
        <v>195</v>
      </c>
      <c r="L933" s="64" t="n">
        <v>598.1478048</v>
      </c>
      <c r="M933" s="64" t="n">
        <v>7.84</v>
      </c>
      <c r="N933" s="18" t="s">
        <v>1124</v>
      </c>
      <c r="O933" s="65" t="n">
        <v>4689.4788</v>
      </c>
      <c r="P933" s="65" t="n">
        <v>4689.4788</v>
      </c>
      <c r="Q933" s="65" t="n">
        <v>0</v>
      </c>
      <c r="R933" s="65" t="s">
        <v>1100</v>
      </c>
      <c r="S933" s="66" t="n">
        <f aca="false">Model_Calc!AV159</f>
        <v>4689.478789632</v>
      </c>
      <c r="T933" s="66" t="n">
        <f aca="false">ROUND(S933-O933,4)</f>
        <v>0</v>
      </c>
    </row>
    <row r="934" customFormat="false" ht="15" hidden="false" customHeight="false" outlineLevel="0" collapsed="false">
      <c r="A934" s="18" t="s">
        <v>200</v>
      </c>
      <c r="B934" s="18" t="s">
        <v>201</v>
      </c>
      <c r="C934" s="18"/>
      <c r="D934" s="49" t="n">
        <v>46113</v>
      </c>
      <c r="E934" s="18" t="s">
        <v>116</v>
      </c>
      <c r="F934" s="18" t="s">
        <v>113</v>
      </c>
      <c r="G934" s="18" t="s">
        <v>110</v>
      </c>
      <c r="H934" s="18" t="s">
        <v>107</v>
      </c>
      <c r="I934" s="18" t="s">
        <v>102</v>
      </c>
      <c r="J934" s="18" t="s">
        <v>241</v>
      </c>
      <c r="K934" s="18" t="s">
        <v>195</v>
      </c>
      <c r="L934" s="64" t="n">
        <v>116.037629957639</v>
      </c>
      <c r="M934" s="64" t="n">
        <v>7.84</v>
      </c>
      <c r="N934" s="18" t="s">
        <v>1125</v>
      </c>
      <c r="O934" s="65" t="n">
        <v>909.735</v>
      </c>
      <c r="P934" s="65" t="n">
        <v>909.735</v>
      </c>
      <c r="Q934" s="65" t="n">
        <v>0</v>
      </c>
      <c r="R934" s="65" t="s">
        <v>1100</v>
      </c>
      <c r="S934" s="66" t="n">
        <f aca="false">Model_Calc!BA159</f>
        <v>909.735018867888</v>
      </c>
      <c r="T934" s="66" t="n">
        <f aca="false">ROUND(S934-O934,4)</f>
        <v>0</v>
      </c>
    </row>
    <row r="935" customFormat="false" ht="15" hidden="false" customHeight="false" outlineLevel="0" collapsed="false">
      <c r="A935" s="18" t="s">
        <v>200</v>
      </c>
      <c r="B935" s="18" t="s">
        <v>201</v>
      </c>
      <c r="C935" s="18"/>
      <c r="D935" s="49" t="n">
        <v>46113</v>
      </c>
      <c r="E935" s="18" t="s">
        <v>118</v>
      </c>
      <c r="F935" s="18" t="s">
        <v>119</v>
      </c>
      <c r="G935" s="18" t="s">
        <v>100</v>
      </c>
      <c r="H935" s="18" t="s">
        <v>101</v>
      </c>
      <c r="I935" s="18" t="s">
        <v>102</v>
      </c>
      <c r="J935" s="18" t="s">
        <v>230</v>
      </c>
      <c r="K935" s="18" t="s">
        <v>199</v>
      </c>
      <c r="L935" s="64" t="n">
        <v>12269.6462617543</v>
      </c>
      <c r="M935" s="64" t="n">
        <v>9.11</v>
      </c>
      <c r="N935" s="18" t="s">
        <v>1126</v>
      </c>
      <c r="O935" s="65" t="n">
        <v>111776.4774</v>
      </c>
      <c r="P935" s="65" t="n">
        <v>111776.4774</v>
      </c>
      <c r="Q935" s="65" t="n">
        <v>0</v>
      </c>
      <c r="R935" s="65" t="s">
        <v>232</v>
      </c>
      <c r="S935" s="66" t="n">
        <f aca="false">Model_Calc!AF160</f>
        <v>111776.477444581</v>
      </c>
      <c r="T935" s="66" t="n">
        <f aca="false">ROUND(S935-O935,4)</f>
        <v>0</v>
      </c>
    </row>
    <row r="936" customFormat="false" ht="15" hidden="false" customHeight="false" outlineLevel="0" collapsed="false">
      <c r="A936" s="18" t="s">
        <v>200</v>
      </c>
      <c r="B936" s="18" t="s">
        <v>201</v>
      </c>
      <c r="C936" s="18"/>
      <c r="D936" s="49" t="n">
        <v>46113</v>
      </c>
      <c r="E936" s="18" t="s">
        <v>118</v>
      </c>
      <c r="F936" s="18" t="s">
        <v>119</v>
      </c>
      <c r="G936" s="18" t="s">
        <v>100</v>
      </c>
      <c r="H936" s="18" t="s">
        <v>101</v>
      </c>
      <c r="I936" s="18" t="s">
        <v>102</v>
      </c>
      <c r="J936" s="18" t="s">
        <v>233</v>
      </c>
      <c r="K936" s="18" t="s">
        <v>199</v>
      </c>
      <c r="L936" s="64" t="n">
        <v>1236.78034318483</v>
      </c>
      <c r="M936" s="64" t="n">
        <v>9.11</v>
      </c>
      <c r="N936" s="18" t="s">
        <v>1127</v>
      </c>
      <c r="O936" s="65" t="n">
        <v>11267.0689</v>
      </c>
      <c r="P936" s="65" t="n">
        <v>11267.0689</v>
      </c>
      <c r="Q936" s="65" t="n">
        <v>0</v>
      </c>
      <c r="R936" s="65" t="s">
        <v>232</v>
      </c>
      <c r="S936" s="66" t="n">
        <f aca="false">Model_Calc!AG160</f>
        <v>11267.0689264138</v>
      </c>
      <c r="T936" s="66" t="n">
        <f aca="false">ROUND(S936-O936,4)</f>
        <v>0</v>
      </c>
    </row>
    <row r="937" customFormat="false" ht="15" hidden="false" customHeight="false" outlineLevel="0" collapsed="false">
      <c r="A937" s="18" t="s">
        <v>200</v>
      </c>
      <c r="B937" s="18" t="s">
        <v>201</v>
      </c>
      <c r="C937" s="18"/>
      <c r="D937" s="49" t="n">
        <v>46113</v>
      </c>
      <c r="E937" s="18" t="s">
        <v>118</v>
      </c>
      <c r="F937" s="18" t="s">
        <v>119</v>
      </c>
      <c r="G937" s="18" t="s">
        <v>100</v>
      </c>
      <c r="H937" s="18" t="s">
        <v>101</v>
      </c>
      <c r="I937" s="18" t="s">
        <v>102</v>
      </c>
      <c r="J937" s="18" t="s">
        <v>235</v>
      </c>
      <c r="K937" s="18" t="s">
        <v>195</v>
      </c>
      <c r="L937" s="64" t="n">
        <v>3143.1772237824</v>
      </c>
      <c r="M937" s="64" t="n">
        <v>7.84</v>
      </c>
      <c r="N937" s="18" t="s">
        <v>1128</v>
      </c>
      <c r="O937" s="65" t="n">
        <v>24642.5094</v>
      </c>
      <c r="P937" s="65" t="n">
        <v>24642.5094</v>
      </c>
      <c r="Q937" s="65" t="n">
        <v>0</v>
      </c>
      <c r="R937" s="65" t="s">
        <v>232</v>
      </c>
      <c r="S937" s="66" t="n">
        <f aca="false">Model_Calc!AL160</f>
        <v>24642.509434454</v>
      </c>
      <c r="T937" s="66" t="n">
        <f aca="false">ROUND(S937-O937,4)</f>
        <v>0</v>
      </c>
    </row>
    <row r="938" customFormat="false" ht="15" hidden="false" customHeight="false" outlineLevel="0" collapsed="false">
      <c r="A938" s="18" t="s">
        <v>200</v>
      </c>
      <c r="B938" s="18" t="s">
        <v>201</v>
      </c>
      <c r="C938" s="18"/>
      <c r="D938" s="49" t="n">
        <v>46113</v>
      </c>
      <c r="E938" s="18" t="s">
        <v>118</v>
      </c>
      <c r="F938" s="18" t="s">
        <v>119</v>
      </c>
      <c r="G938" s="18" t="s">
        <v>100</v>
      </c>
      <c r="H938" s="18" t="s">
        <v>101</v>
      </c>
      <c r="I938" s="18" t="s">
        <v>102</v>
      </c>
      <c r="J938" s="18" t="s">
        <v>237</v>
      </c>
      <c r="K938" s="18" t="s">
        <v>195</v>
      </c>
      <c r="L938" s="64" t="n">
        <v>1256.76798115715</v>
      </c>
      <c r="M938" s="64" t="n">
        <v>7.84</v>
      </c>
      <c r="N938" s="18" t="s">
        <v>1129</v>
      </c>
      <c r="O938" s="65" t="n">
        <v>9853.061</v>
      </c>
      <c r="P938" s="65" t="n">
        <v>9853.061</v>
      </c>
      <c r="Q938" s="65" t="n">
        <v>0</v>
      </c>
      <c r="R938" s="65" t="s">
        <v>232</v>
      </c>
      <c r="S938" s="66" t="n">
        <f aca="false">Model_Calc!AQ160</f>
        <v>9853.06097227209</v>
      </c>
      <c r="T938" s="66" t="n">
        <f aca="false">ROUND(S938-O938,4)</f>
        <v>0</v>
      </c>
    </row>
    <row r="939" customFormat="false" ht="15" hidden="false" customHeight="false" outlineLevel="0" collapsed="false">
      <c r="A939" s="18" t="s">
        <v>200</v>
      </c>
      <c r="B939" s="18" t="s">
        <v>201</v>
      </c>
      <c r="C939" s="18"/>
      <c r="D939" s="49" t="n">
        <v>46113</v>
      </c>
      <c r="E939" s="18" t="s">
        <v>118</v>
      </c>
      <c r="F939" s="18" t="s">
        <v>119</v>
      </c>
      <c r="G939" s="18" t="s">
        <v>100</v>
      </c>
      <c r="H939" s="18" t="s">
        <v>101</v>
      </c>
      <c r="I939" s="18" t="s">
        <v>102</v>
      </c>
      <c r="J939" s="18" t="s">
        <v>239</v>
      </c>
      <c r="K939" s="18" t="s">
        <v>199</v>
      </c>
      <c r="L939" s="64" t="n">
        <v>1022.86445248512</v>
      </c>
      <c r="M939" s="64" t="n">
        <v>9.11</v>
      </c>
      <c r="N939" s="18" t="s">
        <v>1130</v>
      </c>
      <c r="O939" s="65" t="n">
        <v>9318.2952</v>
      </c>
      <c r="P939" s="65" t="n">
        <v>9318.2952</v>
      </c>
      <c r="Q939" s="65" t="n">
        <v>0</v>
      </c>
      <c r="R939" s="65" t="s">
        <v>1100</v>
      </c>
      <c r="S939" s="66" t="n">
        <f aca="false">Model_Calc!AV160</f>
        <v>9318.29516213944</v>
      </c>
      <c r="T939" s="66" t="n">
        <f aca="false">ROUND(S939-O939,4)</f>
        <v>0</v>
      </c>
    </row>
    <row r="940" customFormat="false" ht="15" hidden="false" customHeight="false" outlineLevel="0" collapsed="false">
      <c r="A940" s="18" t="s">
        <v>200</v>
      </c>
      <c r="B940" s="18" t="s">
        <v>201</v>
      </c>
      <c r="C940" s="18"/>
      <c r="D940" s="49" t="n">
        <v>46113</v>
      </c>
      <c r="E940" s="18" t="s">
        <v>118</v>
      </c>
      <c r="F940" s="18" t="s">
        <v>119</v>
      </c>
      <c r="G940" s="18" t="s">
        <v>100</v>
      </c>
      <c r="H940" s="18" t="s">
        <v>101</v>
      </c>
      <c r="I940" s="18" t="s">
        <v>102</v>
      </c>
      <c r="J940" s="18" t="s">
        <v>241</v>
      </c>
      <c r="K940" s="18" t="s">
        <v>199</v>
      </c>
      <c r="L940" s="64" t="n">
        <v>154.438831055912</v>
      </c>
      <c r="M940" s="64" t="n">
        <v>9.11</v>
      </c>
      <c r="N940" s="18" t="s">
        <v>1131</v>
      </c>
      <c r="O940" s="65" t="n">
        <v>1406.9378</v>
      </c>
      <c r="P940" s="65" t="n">
        <v>1406.9378</v>
      </c>
      <c r="Q940" s="65" t="n">
        <v>0</v>
      </c>
      <c r="R940" s="65" t="s">
        <v>1100</v>
      </c>
      <c r="S940" s="66" t="n">
        <f aca="false">Model_Calc!BA160</f>
        <v>1406.93775091936</v>
      </c>
      <c r="T940" s="66" t="n">
        <f aca="false">ROUND(S940-O940,4)</f>
        <v>0</v>
      </c>
    </row>
    <row r="941" customFormat="false" ht="15" hidden="false" customHeight="false" outlineLevel="0" collapsed="false">
      <c r="A941" s="18" t="s">
        <v>200</v>
      </c>
      <c r="B941" s="18" t="s">
        <v>201</v>
      </c>
      <c r="C941" s="18"/>
      <c r="D941" s="49" t="n">
        <v>46113</v>
      </c>
      <c r="E941" s="18" t="s">
        <v>122</v>
      </c>
      <c r="F941" s="18" t="s">
        <v>119</v>
      </c>
      <c r="G941" s="18" t="s">
        <v>100</v>
      </c>
      <c r="H941" s="18" t="s">
        <v>107</v>
      </c>
      <c r="I941" s="18" t="s">
        <v>102</v>
      </c>
      <c r="J941" s="18" t="s">
        <v>230</v>
      </c>
      <c r="K941" s="18" t="s">
        <v>199</v>
      </c>
      <c r="L941" s="64" t="n">
        <v>5699.2545689284</v>
      </c>
      <c r="M941" s="64" t="n">
        <v>9.11</v>
      </c>
      <c r="N941" s="18" t="s">
        <v>1132</v>
      </c>
      <c r="O941" s="65" t="n">
        <v>51920.2091</v>
      </c>
      <c r="P941" s="65" t="n">
        <v>51920.2091</v>
      </c>
      <c r="Q941" s="65" t="n">
        <v>0</v>
      </c>
      <c r="R941" s="65" t="s">
        <v>232</v>
      </c>
      <c r="S941" s="66" t="n">
        <f aca="false">Model_Calc!AF161</f>
        <v>51920.2091229377</v>
      </c>
      <c r="T941" s="66" t="n">
        <f aca="false">ROUND(S941-O941,4)</f>
        <v>0</v>
      </c>
    </row>
    <row r="942" customFormat="false" ht="15" hidden="false" customHeight="false" outlineLevel="0" collapsed="false">
      <c r="A942" s="18" t="s">
        <v>200</v>
      </c>
      <c r="B942" s="18" t="s">
        <v>201</v>
      </c>
      <c r="C942" s="18"/>
      <c r="D942" s="49" t="n">
        <v>46113</v>
      </c>
      <c r="E942" s="18" t="s">
        <v>122</v>
      </c>
      <c r="F942" s="18" t="s">
        <v>119</v>
      </c>
      <c r="G942" s="18" t="s">
        <v>100</v>
      </c>
      <c r="H942" s="18" t="s">
        <v>107</v>
      </c>
      <c r="I942" s="18" t="s">
        <v>102</v>
      </c>
      <c r="J942" s="18" t="s">
        <v>233</v>
      </c>
      <c r="K942" s="18" t="s">
        <v>199</v>
      </c>
      <c r="L942" s="64" t="n">
        <v>400.160427180079</v>
      </c>
      <c r="M942" s="64" t="n">
        <v>9.11</v>
      </c>
      <c r="N942" s="18" t="s">
        <v>1133</v>
      </c>
      <c r="O942" s="65" t="n">
        <v>3645.4615</v>
      </c>
      <c r="P942" s="65" t="n">
        <v>3645.4615</v>
      </c>
      <c r="Q942" s="65" t="n">
        <v>0</v>
      </c>
      <c r="R942" s="65" t="s">
        <v>232</v>
      </c>
      <c r="S942" s="66" t="n">
        <f aca="false">Model_Calc!AG161</f>
        <v>3645.46149161052</v>
      </c>
      <c r="T942" s="66" t="n">
        <f aca="false">ROUND(S942-O942,4)</f>
        <v>0</v>
      </c>
    </row>
    <row r="943" customFormat="false" ht="15" hidden="false" customHeight="false" outlineLevel="0" collapsed="false">
      <c r="A943" s="18" t="s">
        <v>200</v>
      </c>
      <c r="B943" s="18" t="s">
        <v>201</v>
      </c>
      <c r="C943" s="18"/>
      <c r="D943" s="49" t="n">
        <v>46113</v>
      </c>
      <c r="E943" s="18" t="s">
        <v>122</v>
      </c>
      <c r="F943" s="18" t="s">
        <v>119</v>
      </c>
      <c r="G943" s="18" t="s">
        <v>100</v>
      </c>
      <c r="H943" s="18" t="s">
        <v>107</v>
      </c>
      <c r="I943" s="18" t="s">
        <v>102</v>
      </c>
      <c r="J943" s="18" t="s">
        <v>235</v>
      </c>
      <c r="K943" s="18" t="s">
        <v>195</v>
      </c>
      <c r="L943" s="64" t="n">
        <v>1267.41017088</v>
      </c>
      <c r="M943" s="64" t="n">
        <v>7.84</v>
      </c>
      <c r="N943" s="18" t="s">
        <v>1134</v>
      </c>
      <c r="O943" s="65" t="n">
        <v>9936.4957</v>
      </c>
      <c r="P943" s="65" t="n">
        <v>9936.4957</v>
      </c>
      <c r="Q943" s="65" t="n">
        <v>0</v>
      </c>
      <c r="R943" s="65" t="s">
        <v>232</v>
      </c>
      <c r="S943" s="66" t="n">
        <f aca="false">Model_Calc!AL161</f>
        <v>9936.4957396992</v>
      </c>
      <c r="T943" s="66" t="n">
        <f aca="false">ROUND(S943-O943,4)</f>
        <v>0</v>
      </c>
    </row>
    <row r="944" customFormat="false" ht="15" hidden="false" customHeight="false" outlineLevel="0" collapsed="false">
      <c r="A944" s="18" t="s">
        <v>200</v>
      </c>
      <c r="B944" s="18" t="s">
        <v>201</v>
      </c>
      <c r="C944" s="18"/>
      <c r="D944" s="49" t="n">
        <v>46113</v>
      </c>
      <c r="E944" s="18" t="s">
        <v>122</v>
      </c>
      <c r="F944" s="18" t="s">
        <v>119</v>
      </c>
      <c r="G944" s="18" t="s">
        <v>100</v>
      </c>
      <c r="H944" s="18" t="s">
        <v>107</v>
      </c>
      <c r="I944" s="18" t="s">
        <v>102</v>
      </c>
      <c r="J944" s="18" t="s">
        <v>237</v>
      </c>
      <c r="K944" s="18" t="s">
        <v>195</v>
      </c>
      <c r="L944" s="64" t="n">
        <v>506.761282724659</v>
      </c>
      <c r="M944" s="64" t="n">
        <v>7.84</v>
      </c>
      <c r="N944" s="18" t="s">
        <v>1135</v>
      </c>
      <c r="O944" s="65" t="n">
        <v>3973.0085</v>
      </c>
      <c r="P944" s="65" t="n">
        <v>3973.0085</v>
      </c>
      <c r="Q944" s="65" t="n">
        <v>0</v>
      </c>
      <c r="R944" s="65" t="s">
        <v>232</v>
      </c>
      <c r="S944" s="66" t="n">
        <f aca="false">Model_Calc!AQ161</f>
        <v>3973.00845656133</v>
      </c>
      <c r="T944" s="66" t="n">
        <f aca="false">ROUND(S944-O944,4)</f>
        <v>0</v>
      </c>
    </row>
    <row r="945" customFormat="false" ht="15" hidden="false" customHeight="false" outlineLevel="0" collapsed="false">
      <c r="A945" s="18" t="s">
        <v>200</v>
      </c>
      <c r="B945" s="18" t="s">
        <v>201</v>
      </c>
      <c r="C945" s="18"/>
      <c r="D945" s="49" t="n">
        <v>46113</v>
      </c>
      <c r="E945" s="18" t="s">
        <v>122</v>
      </c>
      <c r="F945" s="18" t="s">
        <v>119</v>
      </c>
      <c r="G945" s="18" t="s">
        <v>100</v>
      </c>
      <c r="H945" s="18" t="s">
        <v>107</v>
      </c>
      <c r="I945" s="18" t="s">
        <v>102</v>
      </c>
      <c r="J945" s="18" t="s">
        <v>239</v>
      </c>
      <c r="K945" s="18" t="s">
        <v>199</v>
      </c>
      <c r="L945" s="64" t="n">
        <v>412.445343744</v>
      </c>
      <c r="M945" s="64" t="n">
        <v>9.11</v>
      </c>
      <c r="N945" s="18" t="s">
        <v>1136</v>
      </c>
      <c r="O945" s="65" t="n">
        <v>3757.3771</v>
      </c>
      <c r="P945" s="65" t="n">
        <v>3757.3771</v>
      </c>
      <c r="Q945" s="65" t="n">
        <v>0</v>
      </c>
      <c r="R945" s="65" t="s">
        <v>1100</v>
      </c>
      <c r="S945" s="66" t="n">
        <f aca="false">Model_Calc!AV161</f>
        <v>3757.37708150784</v>
      </c>
      <c r="T945" s="66" t="n">
        <f aca="false">ROUND(S945-O945,4)</f>
        <v>0</v>
      </c>
    </row>
    <row r="946" customFormat="false" ht="15" hidden="false" customHeight="false" outlineLevel="0" collapsed="false">
      <c r="A946" s="18" t="s">
        <v>200</v>
      </c>
      <c r="B946" s="18" t="s">
        <v>201</v>
      </c>
      <c r="C946" s="18"/>
      <c r="D946" s="49" t="n">
        <v>46113</v>
      </c>
      <c r="E946" s="18" t="s">
        <v>122</v>
      </c>
      <c r="F946" s="18" t="s">
        <v>119</v>
      </c>
      <c r="G946" s="18" t="s">
        <v>100</v>
      </c>
      <c r="H946" s="18" t="s">
        <v>107</v>
      </c>
      <c r="I946" s="18" t="s">
        <v>102</v>
      </c>
      <c r="J946" s="18" t="s">
        <v>241</v>
      </c>
      <c r="K946" s="18" t="s">
        <v>199</v>
      </c>
      <c r="L946" s="64" t="n">
        <v>48.1206035181544</v>
      </c>
      <c r="M946" s="64" t="n">
        <v>9.11</v>
      </c>
      <c r="N946" s="18" t="s">
        <v>1137</v>
      </c>
      <c r="O946" s="65" t="n">
        <v>438.3787</v>
      </c>
      <c r="P946" s="65" t="n">
        <v>438.3787</v>
      </c>
      <c r="Q946" s="65" t="n">
        <v>0</v>
      </c>
      <c r="R946" s="65" t="s">
        <v>1100</v>
      </c>
      <c r="S946" s="66" t="n">
        <f aca="false">Model_Calc!BA161</f>
        <v>438.378698050387</v>
      </c>
      <c r="T946" s="66" t="n">
        <f aca="false">ROUND(S946-O946,4)</f>
        <v>0</v>
      </c>
    </row>
    <row r="947" customFormat="false" ht="15" hidden="false" customHeight="false" outlineLevel="0" collapsed="false">
      <c r="A947" s="18" t="s">
        <v>200</v>
      </c>
      <c r="B947" s="18" t="s">
        <v>201</v>
      </c>
      <c r="C947" s="18"/>
      <c r="D947" s="49" t="n">
        <v>46113</v>
      </c>
      <c r="E947" s="18" t="s">
        <v>124</v>
      </c>
      <c r="F947" s="18" t="s">
        <v>119</v>
      </c>
      <c r="G947" s="18" t="s">
        <v>100</v>
      </c>
      <c r="H947" s="18" t="s">
        <v>107</v>
      </c>
      <c r="I947" s="18" t="s">
        <v>125</v>
      </c>
      <c r="J947" s="18" t="s">
        <v>230</v>
      </c>
      <c r="K947" s="18" t="s">
        <v>199</v>
      </c>
      <c r="L947" s="64" t="n">
        <v>2544.14723956964</v>
      </c>
      <c r="M947" s="64" t="n">
        <v>9.11</v>
      </c>
      <c r="N947" s="18" t="s">
        <v>1138</v>
      </c>
      <c r="O947" s="65" t="n">
        <v>23177.1814</v>
      </c>
      <c r="P947" s="65" t="n">
        <v>23177.1814</v>
      </c>
      <c r="Q947" s="65" t="n">
        <v>0</v>
      </c>
      <c r="R947" s="65" t="s">
        <v>232</v>
      </c>
      <c r="S947" s="66" t="n">
        <f aca="false">Model_Calc!AF162</f>
        <v>23177.1813524794</v>
      </c>
      <c r="T947" s="66" t="n">
        <f aca="false">ROUND(S947-O947,4)</f>
        <v>0</v>
      </c>
    </row>
    <row r="948" customFormat="false" ht="15" hidden="false" customHeight="false" outlineLevel="0" collapsed="false">
      <c r="A948" s="18" t="s">
        <v>200</v>
      </c>
      <c r="B948" s="18" t="s">
        <v>201</v>
      </c>
      <c r="C948" s="18"/>
      <c r="D948" s="49" t="n">
        <v>46113</v>
      </c>
      <c r="E948" s="18" t="s">
        <v>124</v>
      </c>
      <c r="F948" s="18" t="s">
        <v>119</v>
      </c>
      <c r="G948" s="18" t="s">
        <v>100</v>
      </c>
      <c r="H948" s="18" t="s">
        <v>107</v>
      </c>
      <c r="I948" s="18" t="s">
        <v>125</v>
      </c>
      <c r="J948" s="18" t="s">
        <v>233</v>
      </c>
      <c r="K948" s="18" t="s">
        <v>199</v>
      </c>
      <c r="L948" s="64" t="n">
        <v>294.917548010912</v>
      </c>
      <c r="M948" s="64" t="n">
        <v>9.11</v>
      </c>
      <c r="N948" s="18" t="s">
        <v>1139</v>
      </c>
      <c r="O948" s="65" t="n">
        <v>2686.6989</v>
      </c>
      <c r="P948" s="65" t="n">
        <v>2686.6989</v>
      </c>
      <c r="Q948" s="65" t="n">
        <v>0</v>
      </c>
      <c r="R948" s="65" t="s">
        <v>232</v>
      </c>
      <c r="S948" s="66" t="n">
        <f aca="false">Model_Calc!AG162</f>
        <v>2686.69886237941</v>
      </c>
      <c r="T948" s="66" t="n">
        <f aca="false">ROUND(S948-O948,4)</f>
        <v>0</v>
      </c>
    </row>
    <row r="949" customFormat="false" ht="15" hidden="false" customHeight="false" outlineLevel="0" collapsed="false">
      <c r="A949" s="18" t="s">
        <v>200</v>
      </c>
      <c r="B949" s="18" t="s">
        <v>201</v>
      </c>
      <c r="C949" s="18"/>
      <c r="D949" s="49" t="n">
        <v>46113</v>
      </c>
      <c r="E949" s="18" t="s">
        <v>124</v>
      </c>
      <c r="F949" s="18" t="s">
        <v>119</v>
      </c>
      <c r="G949" s="18" t="s">
        <v>100</v>
      </c>
      <c r="H949" s="18" t="s">
        <v>107</v>
      </c>
      <c r="I949" s="18" t="s">
        <v>125</v>
      </c>
      <c r="J949" s="18" t="s">
        <v>235</v>
      </c>
      <c r="K949" s="18" t="s">
        <v>195</v>
      </c>
      <c r="L949" s="64" t="n">
        <v>456.2676615168</v>
      </c>
      <c r="M949" s="64" t="n">
        <v>7.84</v>
      </c>
      <c r="N949" s="18" t="s">
        <v>1140</v>
      </c>
      <c r="O949" s="65" t="n">
        <v>3577.1385</v>
      </c>
      <c r="P949" s="65" t="n">
        <v>3577.1385</v>
      </c>
      <c r="Q949" s="65" t="n">
        <v>0</v>
      </c>
      <c r="R949" s="65" t="s">
        <v>232</v>
      </c>
      <c r="S949" s="66" t="n">
        <f aca="false">Model_Calc!AL162</f>
        <v>3577.13846629171</v>
      </c>
      <c r="T949" s="66" t="n">
        <f aca="false">ROUND(S949-O949,4)</f>
        <v>0</v>
      </c>
    </row>
    <row r="950" customFormat="false" ht="15" hidden="false" customHeight="false" outlineLevel="0" collapsed="false">
      <c r="A950" s="18" t="s">
        <v>200</v>
      </c>
      <c r="B950" s="18" t="s">
        <v>201</v>
      </c>
      <c r="C950" s="18"/>
      <c r="D950" s="49" t="n">
        <v>46113</v>
      </c>
      <c r="E950" s="18" t="s">
        <v>124</v>
      </c>
      <c r="F950" s="18" t="s">
        <v>119</v>
      </c>
      <c r="G950" s="18" t="s">
        <v>100</v>
      </c>
      <c r="H950" s="18" t="s">
        <v>107</v>
      </c>
      <c r="I950" s="18" t="s">
        <v>125</v>
      </c>
      <c r="J950" s="18" t="s">
        <v>237</v>
      </c>
      <c r="K950" s="18" t="s">
        <v>195</v>
      </c>
      <c r="L950" s="64" t="n">
        <v>182.434061780877</v>
      </c>
      <c r="M950" s="64" t="n">
        <v>7.84</v>
      </c>
      <c r="N950" s="18" t="s">
        <v>1141</v>
      </c>
      <c r="O950" s="65" t="n">
        <v>1430.283</v>
      </c>
      <c r="P950" s="65" t="n">
        <v>1430.283</v>
      </c>
      <c r="Q950" s="65" t="n">
        <v>0</v>
      </c>
      <c r="R950" s="65" t="s">
        <v>232</v>
      </c>
      <c r="S950" s="66" t="n">
        <f aca="false">Model_Calc!AQ162</f>
        <v>1430.28304436208</v>
      </c>
      <c r="T950" s="66" t="n">
        <f aca="false">ROUND(S950-O950,4)</f>
        <v>0</v>
      </c>
    </row>
    <row r="951" customFormat="false" ht="15" hidden="false" customHeight="false" outlineLevel="0" collapsed="false">
      <c r="A951" s="18" t="s">
        <v>200</v>
      </c>
      <c r="B951" s="18" t="s">
        <v>201</v>
      </c>
      <c r="C951" s="18"/>
      <c r="D951" s="49" t="n">
        <v>46113</v>
      </c>
      <c r="E951" s="18" t="s">
        <v>124</v>
      </c>
      <c r="F951" s="18" t="s">
        <v>119</v>
      </c>
      <c r="G951" s="18" t="s">
        <v>100</v>
      </c>
      <c r="H951" s="18" t="s">
        <v>107</v>
      </c>
      <c r="I951" s="18" t="s">
        <v>125</v>
      </c>
      <c r="J951" s="18" t="s">
        <v>239</v>
      </c>
      <c r="K951" s="18" t="s">
        <v>199</v>
      </c>
      <c r="L951" s="64" t="n">
        <v>148.48032374784</v>
      </c>
      <c r="M951" s="64" t="n">
        <v>9.11</v>
      </c>
      <c r="N951" s="18" t="s">
        <v>1142</v>
      </c>
      <c r="O951" s="65" t="n">
        <v>1352.6557</v>
      </c>
      <c r="P951" s="65" t="n">
        <v>1352.6557</v>
      </c>
      <c r="Q951" s="65" t="n">
        <v>0</v>
      </c>
      <c r="R951" s="65" t="s">
        <v>1100</v>
      </c>
      <c r="S951" s="66" t="n">
        <f aca="false">Model_Calc!AV162</f>
        <v>1352.65574934282</v>
      </c>
      <c r="T951" s="66" t="n">
        <f aca="false">ROUND(S951-O951,4)</f>
        <v>0</v>
      </c>
    </row>
    <row r="952" customFormat="false" ht="15" hidden="false" customHeight="false" outlineLevel="0" collapsed="false">
      <c r="A952" s="18" t="s">
        <v>200</v>
      </c>
      <c r="B952" s="18" t="s">
        <v>201</v>
      </c>
      <c r="C952" s="18"/>
      <c r="D952" s="49" t="n">
        <v>46113</v>
      </c>
      <c r="E952" s="18" t="s">
        <v>124</v>
      </c>
      <c r="F952" s="18" t="s">
        <v>119</v>
      </c>
      <c r="G952" s="18" t="s">
        <v>100</v>
      </c>
      <c r="H952" s="18" t="s">
        <v>107</v>
      </c>
      <c r="I952" s="18" t="s">
        <v>125</v>
      </c>
      <c r="J952" s="18" t="s">
        <v>241</v>
      </c>
      <c r="K952" s="18" t="s">
        <v>199</v>
      </c>
      <c r="L952" s="64" t="n">
        <v>16.1271710614296</v>
      </c>
      <c r="M952" s="64" t="n">
        <v>9.11</v>
      </c>
      <c r="N952" s="18" t="s">
        <v>1143</v>
      </c>
      <c r="O952" s="65" t="n">
        <v>146.9185</v>
      </c>
      <c r="P952" s="65" t="n">
        <v>146.9185</v>
      </c>
      <c r="Q952" s="65" t="n">
        <v>0</v>
      </c>
      <c r="R952" s="65" t="s">
        <v>1100</v>
      </c>
      <c r="S952" s="66" t="n">
        <f aca="false">Model_Calc!BA162</f>
        <v>146.918528369623</v>
      </c>
      <c r="T952" s="66" t="n">
        <f aca="false">ROUND(S952-O952,4)</f>
        <v>0</v>
      </c>
    </row>
    <row r="953" customFormat="false" ht="15" hidden="false" customHeight="false" outlineLevel="0" collapsed="false">
      <c r="A953" s="18" t="s">
        <v>200</v>
      </c>
      <c r="B953" s="18" t="s">
        <v>201</v>
      </c>
      <c r="C953" s="18"/>
      <c r="D953" s="49" t="n">
        <v>46113</v>
      </c>
      <c r="E953" s="18" t="s">
        <v>127</v>
      </c>
      <c r="F953" s="18" t="s">
        <v>119</v>
      </c>
      <c r="G953" s="18" t="s">
        <v>100</v>
      </c>
      <c r="H953" s="18" t="s">
        <v>128</v>
      </c>
      <c r="I953" s="18" t="s">
        <v>125</v>
      </c>
      <c r="J953" s="18" t="s">
        <v>230</v>
      </c>
      <c r="K953" s="18" t="s">
        <v>199</v>
      </c>
      <c r="L953" s="64" t="n">
        <v>1338.71852002063</v>
      </c>
      <c r="M953" s="64" t="n">
        <v>9.11</v>
      </c>
      <c r="N953" s="18" t="s">
        <v>1144</v>
      </c>
      <c r="O953" s="65" t="n">
        <v>12195.7257</v>
      </c>
      <c r="P953" s="65" t="n">
        <v>12195.7257</v>
      </c>
      <c r="Q953" s="65" t="n">
        <v>0</v>
      </c>
      <c r="R953" s="65" t="s">
        <v>232</v>
      </c>
      <c r="S953" s="66" t="n">
        <f aca="false">Model_Calc!AF163</f>
        <v>12195.7257173879</v>
      </c>
      <c r="T953" s="66" t="n">
        <f aca="false">ROUND(S953-O953,4)</f>
        <v>0</v>
      </c>
    </row>
    <row r="954" customFormat="false" ht="15" hidden="false" customHeight="false" outlineLevel="0" collapsed="false">
      <c r="A954" s="18" t="s">
        <v>200</v>
      </c>
      <c r="B954" s="18" t="s">
        <v>201</v>
      </c>
      <c r="C954" s="18"/>
      <c r="D954" s="49" t="n">
        <v>46113</v>
      </c>
      <c r="E954" s="18" t="s">
        <v>127</v>
      </c>
      <c r="F954" s="18" t="s">
        <v>119</v>
      </c>
      <c r="G954" s="18" t="s">
        <v>100</v>
      </c>
      <c r="H954" s="18" t="s">
        <v>128</v>
      </c>
      <c r="I954" s="18" t="s">
        <v>125</v>
      </c>
      <c r="J954" s="18" t="s">
        <v>233</v>
      </c>
      <c r="K954" s="18" t="s">
        <v>199</v>
      </c>
      <c r="L954" s="64" t="n">
        <v>103.527565548262</v>
      </c>
      <c r="M954" s="64" t="n">
        <v>9.11</v>
      </c>
      <c r="N954" s="18" t="s">
        <v>1145</v>
      </c>
      <c r="O954" s="65" t="n">
        <v>943.1361</v>
      </c>
      <c r="P954" s="65" t="n">
        <v>943.1361</v>
      </c>
      <c r="Q954" s="65" t="n">
        <v>0</v>
      </c>
      <c r="R954" s="65" t="s">
        <v>232</v>
      </c>
      <c r="S954" s="66" t="n">
        <f aca="false">Model_Calc!AG163</f>
        <v>943.136122144666</v>
      </c>
      <c r="T954" s="66" t="n">
        <f aca="false">ROUND(S954-O954,4)</f>
        <v>0</v>
      </c>
    </row>
    <row r="955" customFormat="false" ht="15" hidden="false" customHeight="false" outlineLevel="0" collapsed="false">
      <c r="A955" s="18" t="s">
        <v>200</v>
      </c>
      <c r="B955" s="18" t="s">
        <v>201</v>
      </c>
      <c r="C955" s="18"/>
      <c r="D955" s="49" t="n">
        <v>46113</v>
      </c>
      <c r="E955" s="18" t="s">
        <v>127</v>
      </c>
      <c r="F955" s="18" t="s">
        <v>119</v>
      </c>
      <c r="G955" s="18" t="s">
        <v>100</v>
      </c>
      <c r="H955" s="18" t="s">
        <v>128</v>
      </c>
      <c r="I955" s="18" t="s">
        <v>125</v>
      </c>
      <c r="J955" s="18" t="s">
        <v>235</v>
      </c>
      <c r="K955" s="18" t="s">
        <v>195</v>
      </c>
      <c r="L955" s="64" t="n">
        <v>202.7856273408</v>
      </c>
      <c r="M955" s="64" t="n">
        <v>7.84</v>
      </c>
      <c r="N955" s="18" t="s">
        <v>1146</v>
      </c>
      <c r="O955" s="65" t="n">
        <v>1589.8393</v>
      </c>
      <c r="P955" s="65" t="n">
        <v>1589.8393</v>
      </c>
      <c r="Q955" s="65" t="n">
        <v>0</v>
      </c>
      <c r="R955" s="65" t="s">
        <v>232</v>
      </c>
      <c r="S955" s="66" t="n">
        <f aca="false">Model_Calc!AL163</f>
        <v>1589.83931835187</v>
      </c>
      <c r="T955" s="66" t="n">
        <f aca="false">ROUND(S955-O955,4)</f>
        <v>0</v>
      </c>
    </row>
    <row r="956" customFormat="false" ht="15" hidden="false" customHeight="false" outlineLevel="0" collapsed="false">
      <c r="A956" s="18" t="s">
        <v>200</v>
      </c>
      <c r="B956" s="18" t="s">
        <v>201</v>
      </c>
      <c r="C956" s="18"/>
      <c r="D956" s="49" t="n">
        <v>46113</v>
      </c>
      <c r="E956" s="18" t="s">
        <v>127</v>
      </c>
      <c r="F956" s="18" t="s">
        <v>119</v>
      </c>
      <c r="G956" s="18" t="s">
        <v>100</v>
      </c>
      <c r="H956" s="18" t="s">
        <v>128</v>
      </c>
      <c r="I956" s="18" t="s">
        <v>125</v>
      </c>
      <c r="J956" s="18" t="s">
        <v>237</v>
      </c>
      <c r="K956" s="18" t="s">
        <v>195</v>
      </c>
      <c r="L956" s="64" t="n">
        <v>81.0818052359455</v>
      </c>
      <c r="M956" s="64" t="n">
        <v>7.84</v>
      </c>
      <c r="N956" s="18" t="s">
        <v>1147</v>
      </c>
      <c r="O956" s="65" t="n">
        <v>635.6814</v>
      </c>
      <c r="P956" s="65" t="n">
        <v>635.6814</v>
      </c>
      <c r="Q956" s="65" t="n">
        <v>0</v>
      </c>
      <c r="R956" s="65" t="s">
        <v>232</v>
      </c>
      <c r="S956" s="66" t="n">
        <f aca="false">Model_Calc!AQ163</f>
        <v>635.681353049812</v>
      </c>
      <c r="T956" s="66" t="n">
        <f aca="false">ROUND(S956-O956,4)</f>
        <v>0</v>
      </c>
    </row>
    <row r="957" customFormat="false" ht="15" hidden="false" customHeight="false" outlineLevel="0" collapsed="false">
      <c r="A957" s="18" t="s">
        <v>200</v>
      </c>
      <c r="B957" s="18" t="s">
        <v>201</v>
      </c>
      <c r="C957" s="18"/>
      <c r="D957" s="49" t="n">
        <v>46113</v>
      </c>
      <c r="E957" s="18" t="s">
        <v>127</v>
      </c>
      <c r="F957" s="18" t="s">
        <v>119</v>
      </c>
      <c r="G957" s="18" t="s">
        <v>100</v>
      </c>
      <c r="H957" s="18" t="s">
        <v>128</v>
      </c>
      <c r="I957" s="18" t="s">
        <v>125</v>
      </c>
      <c r="J957" s="18" t="s">
        <v>239</v>
      </c>
      <c r="K957" s="18" t="s">
        <v>199</v>
      </c>
      <c r="L957" s="64" t="n">
        <v>65.99125499904</v>
      </c>
      <c r="M957" s="64" t="n">
        <v>9.11</v>
      </c>
      <c r="N957" s="18" t="s">
        <v>1148</v>
      </c>
      <c r="O957" s="65" t="n">
        <v>601.1803</v>
      </c>
      <c r="P957" s="65" t="n">
        <v>601.1803</v>
      </c>
      <c r="Q957" s="65" t="n">
        <v>0</v>
      </c>
      <c r="R957" s="65" t="s">
        <v>1100</v>
      </c>
      <c r="S957" s="66" t="n">
        <f aca="false">Model_Calc!AV163</f>
        <v>601.180333041254</v>
      </c>
      <c r="T957" s="66" t="n">
        <f aca="false">ROUND(S957-O957,4)</f>
        <v>0</v>
      </c>
    </row>
    <row r="958" customFormat="false" ht="15" hidden="false" customHeight="false" outlineLevel="0" collapsed="false">
      <c r="A958" s="18" t="s">
        <v>200</v>
      </c>
      <c r="B958" s="18" t="s">
        <v>201</v>
      </c>
      <c r="C958" s="18"/>
      <c r="D958" s="49" t="n">
        <v>46113</v>
      </c>
      <c r="E958" s="18" t="s">
        <v>127</v>
      </c>
      <c r="F958" s="18" t="s">
        <v>119</v>
      </c>
      <c r="G958" s="18" t="s">
        <v>100</v>
      </c>
      <c r="H958" s="18" t="s">
        <v>128</v>
      </c>
      <c r="I958" s="18" t="s">
        <v>125</v>
      </c>
      <c r="J958" s="18" t="s">
        <v>241</v>
      </c>
      <c r="K958" s="18" t="s">
        <v>199</v>
      </c>
      <c r="L958" s="64" t="n">
        <v>6.37997976056554</v>
      </c>
      <c r="M958" s="64" t="n">
        <v>9.11</v>
      </c>
      <c r="N958" s="18" t="s">
        <v>1149</v>
      </c>
      <c r="O958" s="65" t="n">
        <v>58.1216</v>
      </c>
      <c r="P958" s="65" t="n">
        <v>58.1216</v>
      </c>
      <c r="Q958" s="65" t="n">
        <v>0</v>
      </c>
      <c r="R958" s="65" t="s">
        <v>1100</v>
      </c>
      <c r="S958" s="66" t="n">
        <f aca="false">Model_Calc!BA163</f>
        <v>58.1216156187521</v>
      </c>
      <c r="T958" s="66" t="n">
        <f aca="false">ROUND(S958-O958,4)</f>
        <v>0</v>
      </c>
    </row>
    <row r="959" customFormat="false" ht="15" hidden="false" customHeight="false" outlineLevel="0" collapsed="false">
      <c r="A959" s="18" t="s">
        <v>200</v>
      </c>
      <c r="B959" s="18" t="s">
        <v>201</v>
      </c>
      <c r="C959" s="18"/>
      <c r="D959" s="49" t="n">
        <v>46113</v>
      </c>
      <c r="E959" s="18" t="s">
        <v>130</v>
      </c>
      <c r="F959" s="18" t="s">
        <v>119</v>
      </c>
      <c r="G959" s="18" t="s">
        <v>110</v>
      </c>
      <c r="H959" s="18" t="s">
        <v>107</v>
      </c>
      <c r="I959" s="18" t="s">
        <v>125</v>
      </c>
      <c r="J959" s="18" t="s">
        <v>230</v>
      </c>
      <c r="K959" s="18" t="s">
        <v>195</v>
      </c>
      <c r="L959" s="64" t="n">
        <v>1251.3133487916</v>
      </c>
      <c r="M959" s="64" t="n">
        <v>7.84</v>
      </c>
      <c r="N959" s="18" t="s">
        <v>1150</v>
      </c>
      <c r="O959" s="65" t="n">
        <v>9810.2967</v>
      </c>
      <c r="P959" s="65" t="n">
        <v>9810.2967</v>
      </c>
      <c r="Q959" s="65" t="n">
        <v>0</v>
      </c>
      <c r="R959" s="65" t="s">
        <v>232</v>
      </c>
      <c r="S959" s="66" t="n">
        <f aca="false">Model_Calc!AF164</f>
        <v>9810.29665452617</v>
      </c>
      <c r="T959" s="66" t="n">
        <f aca="false">ROUND(S959-O959,4)</f>
        <v>0</v>
      </c>
    </row>
    <row r="960" customFormat="false" ht="15" hidden="false" customHeight="false" outlineLevel="0" collapsed="false">
      <c r="A960" s="18" t="s">
        <v>200</v>
      </c>
      <c r="B960" s="18" t="s">
        <v>201</v>
      </c>
      <c r="C960" s="18"/>
      <c r="D960" s="49" t="n">
        <v>46113</v>
      </c>
      <c r="E960" s="18" t="s">
        <v>130</v>
      </c>
      <c r="F960" s="18" t="s">
        <v>119</v>
      </c>
      <c r="G960" s="18" t="s">
        <v>110</v>
      </c>
      <c r="H960" s="18" t="s">
        <v>107</v>
      </c>
      <c r="I960" s="18" t="s">
        <v>125</v>
      </c>
      <c r="J960" s="18" t="s">
        <v>233</v>
      </c>
      <c r="K960" s="18" t="s">
        <v>195</v>
      </c>
      <c r="L960" s="64" t="n">
        <v>132.439004836103</v>
      </c>
      <c r="M960" s="64" t="n">
        <v>7.84</v>
      </c>
      <c r="N960" s="18" t="s">
        <v>1151</v>
      </c>
      <c r="O960" s="65" t="n">
        <v>1038.3218</v>
      </c>
      <c r="P960" s="65" t="n">
        <v>1038.3218</v>
      </c>
      <c r="Q960" s="65" t="n">
        <v>0</v>
      </c>
      <c r="R960" s="65" t="s">
        <v>232</v>
      </c>
      <c r="S960" s="66" t="n">
        <f aca="false">Model_Calc!AG164</f>
        <v>1038.32179791505</v>
      </c>
      <c r="T960" s="66" t="n">
        <f aca="false">ROUND(S960-O960,4)</f>
        <v>0</v>
      </c>
    </row>
    <row r="961" customFormat="false" ht="15" hidden="false" customHeight="false" outlineLevel="0" collapsed="false">
      <c r="A961" s="18" t="s">
        <v>200</v>
      </c>
      <c r="B961" s="18" t="s">
        <v>201</v>
      </c>
      <c r="C961" s="18"/>
      <c r="D961" s="49" t="n">
        <v>46113</v>
      </c>
      <c r="E961" s="18" t="s">
        <v>130</v>
      </c>
      <c r="F961" s="18" t="s">
        <v>119</v>
      </c>
      <c r="G961" s="18" t="s">
        <v>110</v>
      </c>
      <c r="H961" s="18" t="s">
        <v>107</v>
      </c>
      <c r="I961" s="18" t="s">
        <v>125</v>
      </c>
      <c r="J961" s="18" t="s">
        <v>235</v>
      </c>
      <c r="K961" s="18" t="s">
        <v>195</v>
      </c>
      <c r="L961" s="64" t="n">
        <v>187.9633728</v>
      </c>
      <c r="M961" s="64" t="n">
        <v>7.84</v>
      </c>
      <c r="N961" s="18" t="s">
        <v>1152</v>
      </c>
      <c r="O961" s="65" t="n">
        <v>1473.6328</v>
      </c>
      <c r="P961" s="65" t="n">
        <v>1473.6328</v>
      </c>
      <c r="Q961" s="65" t="n">
        <v>0</v>
      </c>
      <c r="R961" s="65" t="s">
        <v>232</v>
      </c>
      <c r="S961" s="66" t="n">
        <f aca="false">Model_Calc!AL164</f>
        <v>1473.632842752</v>
      </c>
      <c r="T961" s="66" t="n">
        <f aca="false">ROUND(S961-O961,4)</f>
        <v>0</v>
      </c>
    </row>
    <row r="962" customFormat="false" ht="15" hidden="false" customHeight="false" outlineLevel="0" collapsed="false">
      <c r="A962" s="18" t="s">
        <v>200</v>
      </c>
      <c r="B962" s="18" t="s">
        <v>201</v>
      </c>
      <c r="C962" s="18"/>
      <c r="D962" s="49" t="n">
        <v>46113</v>
      </c>
      <c r="E962" s="18" t="s">
        <v>130</v>
      </c>
      <c r="F962" s="18" t="s">
        <v>119</v>
      </c>
      <c r="G962" s="18" t="s">
        <v>110</v>
      </c>
      <c r="H962" s="18" t="s">
        <v>107</v>
      </c>
      <c r="I962" s="18" t="s">
        <v>125</v>
      </c>
      <c r="J962" s="18" t="s">
        <v>237</v>
      </c>
      <c r="K962" s="18" t="s">
        <v>195</v>
      </c>
      <c r="L962" s="64" t="n">
        <v>78.463251328896</v>
      </c>
      <c r="M962" s="64" t="n">
        <v>7.84</v>
      </c>
      <c r="N962" s="18" t="s">
        <v>1153</v>
      </c>
      <c r="O962" s="65" t="n">
        <v>615.1519</v>
      </c>
      <c r="P962" s="65" t="n">
        <v>615.1519</v>
      </c>
      <c r="Q962" s="65" t="n">
        <v>0</v>
      </c>
      <c r="R962" s="65" t="s">
        <v>232</v>
      </c>
      <c r="S962" s="66" t="n">
        <f aca="false">Model_Calc!AQ164</f>
        <v>615.151890418545</v>
      </c>
      <c r="T962" s="66" t="n">
        <f aca="false">ROUND(S962-O962,4)</f>
        <v>0</v>
      </c>
    </row>
    <row r="963" customFormat="false" ht="15" hidden="false" customHeight="false" outlineLevel="0" collapsed="false">
      <c r="A963" s="18" t="s">
        <v>200</v>
      </c>
      <c r="B963" s="18" t="s">
        <v>201</v>
      </c>
      <c r="C963" s="18"/>
      <c r="D963" s="49" t="n">
        <v>46113</v>
      </c>
      <c r="E963" s="18" t="s">
        <v>130</v>
      </c>
      <c r="F963" s="18" t="s">
        <v>119</v>
      </c>
      <c r="G963" s="18" t="s">
        <v>110</v>
      </c>
      <c r="H963" s="18" t="s">
        <v>107</v>
      </c>
      <c r="I963" s="18" t="s">
        <v>125</v>
      </c>
      <c r="J963" s="18" t="s">
        <v>239</v>
      </c>
      <c r="K963" s="18" t="s">
        <v>195</v>
      </c>
      <c r="L963" s="64" t="n">
        <v>74.469298176</v>
      </c>
      <c r="M963" s="64" t="n">
        <v>7.84</v>
      </c>
      <c r="N963" s="18" t="s">
        <v>1154</v>
      </c>
      <c r="O963" s="65" t="n">
        <v>583.8393</v>
      </c>
      <c r="P963" s="65" t="n">
        <v>583.8393</v>
      </c>
      <c r="Q963" s="65" t="n">
        <v>0</v>
      </c>
      <c r="R963" s="65" t="s">
        <v>1100</v>
      </c>
      <c r="S963" s="66" t="n">
        <f aca="false">Model_Calc!AV164</f>
        <v>583.83929769984</v>
      </c>
      <c r="T963" s="66" t="n">
        <f aca="false">ROUND(S963-O963,4)</f>
        <v>0</v>
      </c>
    </row>
    <row r="964" customFormat="false" ht="15" hidden="false" customHeight="false" outlineLevel="0" collapsed="false">
      <c r="A964" s="18" t="s">
        <v>200</v>
      </c>
      <c r="B964" s="18" t="s">
        <v>201</v>
      </c>
      <c r="C964" s="18"/>
      <c r="D964" s="49" t="n">
        <v>46113</v>
      </c>
      <c r="E964" s="18" t="s">
        <v>130</v>
      </c>
      <c r="F964" s="18" t="s">
        <v>119</v>
      </c>
      <c r="G964" s="18" t="s">
        <v>110</v>
      </c>
      <c r="H964" s="18" t="s">
        <v>107</v>
      </c>
      <c r="I964" s="18" t="s">
        <v>125</v>
      </c>
      <c r="J964" s="18" t="s">
        <v>241</v>
      </c>
      <c r="K964" s="18" t="s">
        <v>195</v>
      </c>
      <c r="L964" s="64" t="n">
        <v>7.07655934090506</v>
      </c>
      <c r="M964" s="64" t="n">
        <v>7.84</v>
      </c>
      <c r="N964" s="18" t="s">
        <v>1155</v>
      </c>
      <c r="O964" s="65" t="n">
        <v>55.4802</v>
      </c>
      <c r="P964" s="65" t="n">
        <v>55.4802</v>
      </c>
      <c r="Q964" s="65" t="n">
        <v>0</v>
      </c>
      <c r="R964" s="65" t="s">
        <v>1100</v>
      </c>
      <c r="S964" s="66" t="n">
        <f aca="false">Model_Calc!BA164</f>
        <v>55.4802252326957</v>
      </c>
      <c r="T964" s="66" t="n">
        <f aca="false">ROUND(S964-O964,4)</f>
        <v>0</v>
      </c>
    </row>
    <row r="965" customFormat="false" ht="15" hidden="false" customHeight="false" outlineLevel="0" collapsed="false">
      <c r="A965" s="18" t="s">
        <v>200</v>
      </c>
      <c r="B965" s="18" t="s">
        <v>201</v>
      </c>
      <c r="C965" s="18"/>
      <c r="D965" s="49" t="n">
        <v>46143</v>
      </c>
      <c r="E965" s="18" t="s">
        <v>98</v>
      </c>
      <c r="F965" s="18" t="s">
        <v>99</v>
      </c>
      <c r="G965" s="18" t="s">
        <v>100</v>
      </c>
      <c r="H965" s="18" t="s">
        <v>101</v>
      </c>
      <c r="I965" s="18" t="s">
        <v>102</v>
      </c>
      <c r="J965" s="18" t="s">
        <v>230</v>
      </c>
      <c r="K965" s="18" t="s">
        <v>195</v>
      </c>
      <c r="L965" s="64" t="n">
        <v>6847.72180307611</v>
      </c>
      <c r="M965" s="64" t="n">
        <v>7.87</v>
      </c>
      <c r="N965" s="18" t="s">
        <v>1156</v>
      </c>
      <c r="O965" s="65" t="n">
        <v>53891.5706</v>
      </c>
      <c r="P965" s="65" t="n">
        <v>53891.5706</v>
      </c>
      <c r="Q965" s="65" t="n">
        <v>0</v>
      </c>
      <c r="R965" s="65" t="s">
        <v>232</v>
      </c>
      <c r="S965" s="66" t="n">
        <f aca="false">Model_Calc!AF165</f>
        <v>53891.570590209</v>
      </c>
      <c r="T965" s="66" t="n">
        <f aca="false">ROUND(S965-O965,4)</f>
        <v>0</v>
      </c>
    </row>
    <row r="966" customFormat="false" ht="15" hidden="false" customHeight="false" outlineLevel="0" collapsed="false">
      <c r="A966" s="18" t="s">
        <v>200</v>
      </c>
      <c r="B966" s="18" t="s">
        <v>201</v>
      </c>
      <c r="C966" s="18"/>
      <c r="D966" s="49" t="n">
        <v>46143</v>
      </c>
      <c r="E966" s="18" t="s">
        <v>98</v>
      </c>
      <c r="F966" s="18" t="s">
        <v>99</v>
      </c>
      <c r="G966" s="18" t="s">
        <v>100</v>
      </c>
      <c r="H966" s="18" t="s">
        <v>101</v>
      </c>
      <c r="I966" s="18" t="s">
        <v>102</v>
      </c>
      <c r="J966" s="18" t="s">
        <v>233</v>
      </c>
      <c r="K966" s="18" t="s">
        <v>195</v>
      </c>
      <c r="L966" s="64" t="n">
        <v>657.038907005152</v>
      </c>
      <c r="M966" s="64" t="n">
        <v>7.87</v>
      </c>
      <c r="N966" s="18" t="s">
        <v>1157</v>
      </c>
      <c r="O966" s="65" t="n">
        <v>5170.8962</v>
      </c>
      <c r="P966" s="65" t="n">
        <v>5170.8962</v>
      </c>
      <c r="Q966" s="65" t="n">
        <v>0</v>
      </c>
      <c r="R966" s="65" t="s">
        <v>232</v>
      </c>
      <c r="S966" s="66" t="n">
        <f aca="false">Model_Calc!AG165</f>
        <v>5170.89619813055</v>
      </c>
      <c r="T966" s="66" t="n">
        <f aca="false">ROUND(S966-O966,4)</f>
        <v>0</v>
      </c>
    </row>
    <row r="967" customFormat="false" ht="15" hidden="false" customHeight="false" outlineLevel="0" collapsed="false">
      <c r="A967" s="18" t="s">
        <v>200</v>
      </c>
      <c r="B967" s="18" t="s">
        <v>201</v>
      </c>
      <c r="C967" s="18"/>
      <c r="D967" s="49" t="n">
        <v>46143</v>
      </c>
      <c r="E967" s="18" t="s">
        <v>98</v>
      </c>
      <c r="F967" s="18" t="s">
        <v>99</v>
      </c>
      <c r="G967" s="18" t="s">
        <v>100</v>
      </c>
      <c r="H967" s="18" t="s">
        <v>101</v>
      </c>
      <c r="I967" s="18" t="s">
        <v>102</v>
      </c>
      <c r="J967" s="18" t="s">
        <v>235</v>
      </c>
      <c r="K967" s="18" t="s">
        <v>195</v>
      </c>
      <c r="L967" s="64" t="n">
        <v>4444.48820976</v>
      </c>
      <c r="M967" s="64" t="n">
        <v>7.87</v>
      </c>
      <c r="N967" s="18" t="s">
        <v>1158</v>
      </c>
      <c r="O967" s="65" t="n">
        <v>34978.1222</v>
      </c>
      <c r="P967" s="65" t="n">
        <v>34978.1222</v>
      </c>
      <c r="Q967" s="65" t="n">
        <v>0</v>
      </c>
      <c r="R967" s="65" t="s">
        <v>232</v>
      </c>
      <c r="S967" s="66" t="n">
        <f aca="false">Model_Calc!AL165</f>
        <v>34978.1222108112</v>
      </c>
      <c r="T967" s="66" t="n">
        <f aca="false">ROUND(S967-O967,4)</f>
        <v>0</v>
      </c>
    </row>
    <row r="968" customFormat="false" ht="15" hidden="false" customHeight="false" outlineLevel="0" collapsed="false">
      <c r="A968" s="18" t="s">
        <v>200</v>
      </c>
      <c r="B968" s="18" t="s">
        <v>201</v>
      </c>
      <c r="C968" s="18"/>
      <c r="D968" s="49" t="n">
        <v>46143</v>
      </c>
      <c r="E968" s="18" t="s">
        <v>98</v>
      </c>
      <c r="F968" s="18" t="s">
        <v>99</v>
      </c>
      <c r="G968" s="18" t="s">
        <v>100</v>
      </c>
      <c r="H968" s="18" t="s">
        <v>101</v>
      </c>
      <c r="I968" s="18" t="s">
        <v>102</v>
      </c>
      <c r="J968" s="18" t="s">
        <v>237</v>
      </c>
      <c r="K968" s="18" t="s">
        <v>195</v>
      </c>
      <c r="L968" s="64" t="n">
        <v>1667.67743873405</v>
      </c>
      <c r="M968" s="64" t="n">
        <v>7.87</v>
      </c>
      <c r="N968" s="18" t="s">
        <v>1159</v>
      </c>
      <c r="O968" s="65" t="n">
        <v>13124.6214</v>
      </c>
      <c r="P968" s="65" t="n">
        <v>13124.6214</v>
      </c>
      <c r="Q968" s="65" t="n">
        <v>0</v>
      </c>
      <c r="R968" s="65" t="s">
        <v>232</v>
      </c>
      <c r="S968" s="66" t="n">
        <f aca="false">Model_Calc!AQ165</f>
        <v>13124.621442837</v>
      </c>
      <c r="T968" s="66" t="n">
        <f aca="false">ROUND(S968-O968,4)</f>
        <v>0</v>
      </c>
    </row>
    <row r="969" customFormat="false" ht="15" hidden="false" customHeight="false" outlineLevel="0" collapsed="false">
      <c r="A969" s="18" t="s">
        <v>200</v>
      </c>
      <c r="B969" s="18" t="s">
        <v>201</v>
      </c>
      <c r="C969" s="18"/>
      <c r="D969" s="49" t="n">
        <v>46143</v>
      </c>
      <c r="E969" s="18" t="s">
        <v>98</v>
      </c>
      <c r="F969" s="18" t="s">
        <v>99</v>
      </c>
      <c r="G969" s="18" t="s">
        <v>100</v>
      </c>
      <c r="H969" s="18" t="s">
        <v>101</v>
      </c>
      <c r="I969" s="18" t="s">
        <v>102</v>
      </c>
      <c r="J969" s="18" t="s">
        <v>239</v>
      </c>
      <c r="K969" s="18" t="s">
        <v>195</v>
      </c>
      <c r="L969" s="64" t="n">
        <v>602.64246912</v>
      </c>
      <c r="M969" s="64" t="n">
        <v>7.87</v>
      </c>
      <c r="N969" s="18" t="s">
        <v>1160</v>
      </c>
      <c r="O969" s="65" t="n">
        <v>4742.7962</v>
      </c>
      <c r="P969" s="65" t="n">
        <v>4742.7962</v>
      </c>
      <c r="Q969" s="65" t="n">
        <v>0</v>
      </c>
      <c r="R969" s="65" t="s">
        <v>232</v>
      </c>
      <c r="S969" s="66" t="n">
        <f aca="false">Model_Calc!AV165</f>
        <v>4742.7962319744</v>
      </c>
      <c r="T969" s="66" t="n">
        <f aca="false">ROUND(S969-O969,4)</f>
        <v>0</v>
      </c>
    </row>
    <row r="970" customFormat="false" ht="15" hidden="false" customHeight="false" outlineLevel="0" collapsed="false">
      <c r="A970" s="18" t="s">
        <v>200</v>
      </c>
      <c r="B970" s="18" t="s">
        <v>201</v>
      </c>
      <c r="C970" s="18"/>
      <c r="D970" s="49" t="n">
        <v>46143</v>
      </c>
      <c r="E970" s="18" t="s">
        <v>98</v>
      </c>
      <c r="F970" s="18" t="s">
        <v>99</v>
      </c>
      <c r="G970" s="18" t="s">
        <v>100</v>
      </c>
      <c r="H970" s="18" t="s">
        <v>101</v>
      </c>
      <c r="I970" s="18" t="s">
        <v>102</v>
      </c>
      <c r="J970" s="18" t="s">
        <v>241</v>
      </c>
      <c r="K970" s="18" t="s">
        <v>195</v>
      </c>
      <c r="L970" s="64" t="n">
        <v>149.042715096003</v>
      </c>
      <c r="M970" s="64" t="n">
        <v>7.87</v>
      </c>
      <c r="N970" s="18" t="s">
        <v>1161</v>
      </c>
      <c r="O970" s="65" t="n">
        <v>1172.9662</v>
      </c>
      <c r="P970" s="65" t="n">
        <v>1172.9662</v>
      </c>
      <c r="Q970" s="65" t="n">
        <v>0</v>
      </c>
      <c r="R970" s="65" t="s">
        <v>232</v>
      </c>
      <c r="S970" s="66" t="n">
        <f aca="false">Model_Calc!BA165</f>
        <v>1172.96616780554</v>
      </c>
      <c r="T970" s="66" t="n">
        <f aca="false">ROUND(S970-O970,4)</f>
        <v>0</v>
      </c>
    </row>
    <row r="971" customFormat="false" ht="15" hidden="false" customHeight="false" outlineLevel="0" collapsed="false">
      <c r="A971" s="18" t="s">
        <v>200</v>
      </c>
      <c r="B971" s="18" t="s">
        <v>201</v>
      </c>
      <c r="C971" s="18"/>
      <c r="D971" s="49" t="n">
        <v>46143</v>
      </c>
      <c r="E971" s="18" t="s">
        <v>106</v>
      </c>
      <c r="F971" s="18" t="s">
        <v>99</v>
      </c>
      <c r="G971" s="18" t="s">
        <v>100</v>
      </c>
      <c r="H971" s="18" t="s">
        <v>107</v>
      </c>
      <c r="I971" s="18" t="s">
        <v>102</v>
      </c>
      <c r="J971" s="18" t="s">
        <v>230</v>
      </c>
      <c r="K971" s="18" t="s">
        <v>195</v>
      </c>
      <c r="L971" s="64" t="n">
        <v>5852.75367784283</v>
      </c>
      <c r="M971" s="64" t="n">
        <v>7.87</v>
      </c>
      <c r="N971" s="18" t="s">
        <v>1162</v>
      </c>
      <c r="O971" s="65" t="n">
        <v>46061.1714</v>
      </c>
      <c r="P971" s="65" t="n">
        <v>46061.1714</v>
      </c>
      <c r="Q971" s="65" t="n">
        <v>0</v>
      </c>
      <c r="R971" s="65" t="s">
        <v>232</v>
      </c>
      <c r="S971" s="66" t="n">
        <f aca="false">Model_Calc!AF166</f>
        <v>46061.1714446231</v>
      </c>
      <c r="T971" s="66" t="n">
        <f aca="false">ROUND(S971-O971,4)</f>
        <v>0</v>
      </c>
    </row>
    <row r="972" customFormat="false" ht="15" hidden="false" customHeight="false" outlineLevel="0" collapsed="false">
      <c r="A972" s="18" t="s">
        <v>200</v>
      </c>
      <c r="B972" s="18" t="s">
        <v>201</v>
      </c>
      <c r="C972" s="18"/>
      <c r="D972" s="49" t="n">
        <v>46143</v>
      </c>
      <c r="E972" s="18" t="s">
        <v>106</v>
      </c>
      <c r="F972" s="18" t="s">
        <v>99</v>
      </c>
      <c r="G972" s="18" t="s">
        <v>100</v>
      </c>
      <c r="H972" s="18" t="s">
        <v>107</v>
      </c>
      <c r="I972" s="18" t="s">
        <v>102</v>
      </c>
      <c r="J972" s="18" t="s">
        <v>233</v>
      </c>
      <c r="K972" s="18" t="s">
        <v>195</v>
      </c>
      <c r="L972" s="64" t="n">
        <v>446.937553580725</v>
      </c>
      <c r="M972" s="64" t="n">
        <v>7.87</v>
      </c>
      <c r="N972" s="18" t="s">
        <v>1163</v>
      </c>
      <c r="O972" s="65" t="n">
        <v>3517.3985</v>
      </c>
      <c r="P972" s="65" t="n">
        <v>3517.3985</v>
      </c>
      <c r="Q972" s="65" t="n">
        <v>0</v>
      </c>
      <c r="R972" s="65" t="s">
        <v>232</v>
      </c>
      <c r="S972" s="66" t="n">
        <f aca="false">Model_Calc!AG166</f>
        <v>3517.39854668031</v>
      </c>
      <c r="T972" s="66" t="n">
        <f aca="false">ROUND(S972-O972,4)</f>
        <v>0</v>
      </c>
    </row>
    <row r="973" customFormat="false" ht="15" hidden="false" customHeight="false" outlineLevel="0" collapsed="false">
      <c r="A973" s="18" t="s">
        <v>200</v>
      </c>
      <c r="B973" s="18" t="s">
        <v>201</v>
      </c>
      <c r="C973" s="18"/>
      <c r="D973" s="49" t="n">
        <v>46143</v>
      </c>
      <c r="E973" s="18" t="s">
        <v>106</v>
      </c>
      <c r="F973" s="18" t="s">
        <v>99</v>
      </c>
      <c r="G973" s="18" t="s">
        <v>100</v>
      </c>
      <c r="H973" s="18" t="s">
        <v>107</v>
      </c>
      <c r="I973" s="18" t="s">
        <v>102</v>
      </c>
      <c r="J973" s="18" t="s">
        <v>235</v>
      </c>
      <c r="K973" s="18" t="s">
        <v>195</v>
      </c>
      <c r="L973" s="64" t="n">
        <v>2962.99213984</v>
      </c>
      <c r="M973" s="64" t="n">
        <v>7.87</v>
      </c>
      <c r="N973" s="18" t="s">
        <v>1164</v>
      </c>
      <c r="O973" s="65" t="n">
        <v>23318.7481</v>
      </c>
      <c r="P973" s="65" t="n">
        <v>23318.7481</v>
      </c>
      <c r="Q973" s="65" t="n">
        <v>0</v>
      </c>
      <c r="R973" s="65" t="s">
        <v>232</v>
      </c>
      <c r="S973" s="66" t="n">
        <f aca="false">Model_Calc!AL166</f>
        <v>23318.7481405408</v>
      </c>
      <c r="T973" s="66" t="n">
        <f aca="false">ROUND(S973-O973,4)</f>
        <v>0</v>
      </c>
    </row>
    <row r="974" customFormat="false" ht="15" hidden="false" customHeight="false" outlineLevel="0" collapsed="false">
      <c r="A974" s="18" t="s">
        <v>200</v>
      </c>
      <c r="B974" s="18" t="s">
        <v>201</v>
      </c>
      <c r="C974" s="18"/>
      <c r="D974" s="49" t="n">
        <v>46143</v>
      </c>
      <c r="E974" s="18" t="s">
        <v>106</v>
      </c>
      <c r="F974" s="18" t="s">
        <v>99</v>
      </c>
      <c r="G974" s="18" t="s">
        <v>100</v>
      </c>
      <c r="H974" s="18" t="s">
        <v>107</v>
      </c>
      <c r="I974" s="18" t="s">
        <v>102</v>
      </c>
      <c r="J974" s="18" t="s">
        <v>237</v>
      </c>
      <c r="K974" s="18" t="s">
        <v>195</v>
      </c>
      <c r="L974" s="64" t="n">
        <v>1111.78495915603</v>
      </c>
      <c r="M974" s="64" t="n">
        <v>7.87</v>
      </c>
      <c r="N974" s="18" t="s">
        <v>1165</v>
      </c>
      <c r="O974" s="65" t="n">
        <v>8749.7476</v>
      </c>
      <c r="P974" s="65" t="n">
        <v>8749.7476</v>
      </c>
      <c r="Q974" s="65" t="n">
        <v>0</v>
      </c>
      <c r="R974" s="65" t="s">
        <v>232</v>
      </c>
      <c r="S974" s="66" t="n">
        <f aca="false">Model_Calc!AQ166</f>
        <v>8749.74762855797</v>
      </c>
      <c r="T974" s="66" t="n">
        <f aca="false">ROUND(S974-O974,4)</f>
        <v>0</v>
      </c>
    </row>
    <row r="975" customFormat="false" ht="15" hidden="false" customHeight="false" outlineLevel="0" collapsed="false">
      <c r="A975" s="18" t="s">
        <v>200</v>
      </c>
      <c r="B975" s="18" t="s">
        <v>201</v>
      </c>
      <c r="C975" s="18"/>
      <c r="D975" s="49" t="n">
        <v>46143</v>
      </c>
      <c r="E975" s="18" t="s">
        <v>106</v>
      </c>
      <c r="F975" s="18" t="s">
        <v>99</v>
      </c>
      <c r="G975" s="18" t="s">
        <v>100</v>
      </c>
      <c r="H975" s="18" t="s">
        <v>107</v>
      </c>
      <c r="I975" s="18" t="s">
        <v>102</v>
      </c>
      <c r="J975" s="18" t="s">
        <v>239</v>
      </c>
      <c r="K975" s="18" t="s">
        <v>195</v>
      </c>
      <c r="L975" s="64" t="n">
        <v>401.76164608</v>
      </c>
      <c r="M975" s="64" t="n">
        <v>7.87</v>
      </c>
      <c r="N975" s="18" t="s">
        <v>1166</v>
      </c>
      <c r="O975" s="65" t="n">
        <v>3161.8642</v>
      </c>
      <c r="P975" s="65" t="n">
        <v>3161.8642</v>
      </c>
      <c r="Q975" s="65" t="n">
        <v>0</v>
      </c>
      <c r="R975" s="65" t="s">
        <v>232</v>
      </c>
      <c r="S975" s="66" t="n">
        <f aca="false">Model_Calc!AV166</f>
        <v>3161.8641546496</v>
      </c>
      <c r="T975" s="66" t="n">
        <f aca="false">ROUND(S975-O975,4)</f>
        <v>0</v>
      </c>
    </row>
    <row r="976" customFormat="false" ht="15" hidden="false" customHeight="false" outlineLevel="0" collapsed="false">
      <c r="A976" s="18" t="s">
        <v>200</v>
      </c>
      <c r="B976" s="18" t="s">
        <v>201</v>
      </c>
      <c r="C976" s="18"/>
      <c r="D976" s="49" t="n">
        <v>46143</v>
      </c>
      <c r="E976" s="18" t="s">
        <v>106</v>
      </c>
      <c r="F976" s="18" t="s">
        <v>99</v>
      </c>
      <c r="G976" s="18" t="s">
        <v>100</v>
      </c>
      <c r="H976" s="18" t="s">
        <v>107</v>
      </c>
      <c r="I976" s="18" t="s">
        <v>102</v>
      </c>
      <c r="J976" s="18" t="s">
        <v>241</v>
      </c>
      <c r="K976" s="18" t="s">
        <v>195</v>
      </c>
      <c r="L976" s="64" t="n">
        <v>80.7314706770016</v>
      </c>
      <c r="M976" s="64" t="n">
        <v>7.87</v>
      </c>
      <c r="N976" s="18" t="s">
        <v>1167</v>
      </c>
      <c r="O976" s="65" t="n">
        <v>635.3567</v>
      </c>
      <c r="P976" s="65" t="n">
        <v>635.3567</v>
      </c>
      <c r="Q976" s="65" t="n">
        <v>0</v>
      </c>
      <c r="R976" s="65" t="s">
        <v>232</v>
      </c>
      <c r="S976" s="66" t="n">
        <f aca="false">Model_Calc!BA166</f>
        <v>635.356674228003</v>
      </c>
      <c r="T976" s="66" t="n">
        <f aca="false">ROUND(S976-O976,4)</f>
        <v>0</v>
      </c>
    </row>
    <row r="977" customFormat="false" ht="15" hidden="false" customHeight="false" outlineLevel="0" collapsed="false">
      <c r="A977" s="18" t="s">
        <v>200</v>
      </c>
      <c r="B977" s="18" t="s">
        <v>201</v>
      </c>
      <c r="C977" s="18"/>
      <c r="D977" s="49" t="n">
        <v>46143</v>
      </c>
      <c r="E977" s="18" t="s">
        <v>109</v>
      </c>
      <c r="F977" s="18" t="s">
        <v>99</v>
      </c>
      <c r="G977" s="18" t="s">
        <v>110</v>
      </c>
      <c r="H977" s="18" t="s">
        <v>107</v>
      </c>
      <c r="I977" s="18" t="s">
        <v>102</v>
      </c>
      <c r="J977" s="18" t="s">
        <v>230</v>
      </c>
      <c r="K977" s="18" t="s">
        <v>195</v>
      </c>
      <c r="L977" s="64" t="n">
        <v>600.445981146585</v>
      </c>
      <c r="M977" s="64" t="n">
        <v>7.87</v>
      </c>
      <c r="N977" s="18" t="s">
        <v>1168</v>
      </c>
      <c r="O977" s="65" t="n">
        <v>4725.5099</v>
      </c>
      <c r="P977" s="65" t="n">
        <v>4725.5099</v>
      </c>
      <c r="Q977" s="65" t="n">
        <v>0</v>
      </c>
      <c r="R977" s="65" t="s">
        <v>232</v>
      </c>
      <c r="S977" s="66" t="n">
        <f aca="false">Model_Calc!AF167</f>
        <v>4725.50987162362</v>
      </c>
      <c r="T977" s="66" t="n">
        <f aca="false">ROUND(S977-O977,4)</f>
        <v>0</v>
      </c>
    </row>
    <row r="978" customFormat="false" ht="15" hidden="false" customHeight="false" outlineLevel="0" collapsed="false">
      <c r="A978" s="18" t="s">
        <v>200</v>
      </c>
      <c r="B978" s="18" t="s">
        <v>201</v>
      </c>
      <c r="C978" s="18"/>
      <c r="D978" s="49" t="n">
        <v>46143</v>
      </c>
      <c r="E978" s="18" t="s">
        <v>109</v>
      </c>
      <c r="F978" s="18" t="s">
        <v>99</v>
      </c>
      <c r="G978" s="18" t="s">
        <v>110</v>
      </c>
      <c r="H978" s="18" t="s">
        <v>107</v>
      </c>
      <c r="I978" s="18" t="s">
        <v>102</v>
      </c>
      <c r="J978" s="18" t="s">
        <v>233</v>
      </c>
      <c r="K978" s="18" t="s">
        <v>195</v>
      </c>
      <c r="L978" s="64" t="n">
        <v>43.6687986288425</v>
      </c>
      <c r="M978" s="64" t="n">
        <v>7.87</v>
      </c>
      <c r="N978" s="18" t="s">
        <v>1169</v>
      </c>
      <c r="O978" s="65" t="n">
        <v>343.6734</v>
      </c>
      <c r="P978" s="65" t="n">
        <v>343.6734</v>
      </c>
      <c r="Q978" s="65" t="n">
        <v>0</v>
      </c>
      <c r="R978" s="65" t="s">
        <v>232</v>
      </c>
      <c r="S978" s="66" t="n">
        <f aca="false">Model_Calc!AG167</f>
        <v>343.673445208991</v>
      </c>
      <c r="T978" s="66" t="n">
        <f aca="false">ROUND(S978-O978,4)</f>
        <v>0</v>
      </c>
    </row>
    <row r="979" customFormat="false" ht="15" hidden="false" customHeight="false" outlineLevel="0" collapsed="false">
      <c r="A979" s="18" t="s">
        <v>200</v>
      </c>
      <c r="B979" s="18" t="s">
        <v>201</v>
      </c>
      <c r="C979" s="18"/>
      <c r="D979" s="49" t="n">
        <v>46143</v>
      </c>
      <c r="E979" s="18" t="s">
        <v>109</v>
      </c>
      <c r="F979" s="18" t="s">
        <v>99</v>
      </c>
      <c r="G979" s="18" t="s">
        <v>110</v>
      </c>
      <c r="H979" s="18" t="s">
        <v>107</v>
      </c>
      <c r="I979" s="18" t="s">
        <v>102</v>
      </c>
      <c r="J979" s="18" t="s">
        <v>235</v>
      </c>
      <c r="K979" s="18" t="s">
        <v>195</v>
      </c>
      <c r="L979" s="64" t="n">
        <v>203.857794</v>
      </c>
      <c r="M979" s="64" t="n">
        <v>7.87</v>
      </c>
      <c r="N979" s="18" t="s">
        <v>1170</v>
      </c>
      <c r="O979" s="65" t="n">
        <v>1604.3608</v>
      </c>
      <c r="P979" s="65" t="n">
        <v>1604.3608</v>
      </c>
      <c r="Q979" s="65" t="n">
        <v>0</v>
      </c>
      <c r="R979" s="65" t="s">
        <v>232</v>
      </c>
      <c r="S979" s="66" t="n">
        <f aca="false">Model_Calc!AL167</f>
        <v>1604.36083878</v>
      </c>
      <c r="T979" s="66" t="n">
        <f aca="false">ROUND(S979-O979,4)</f>
        <v>0</v>
      </c>
    </row>
    <row r="980" customFormat="false" ht="15" hidden="false" customHeight="false" outlineLevel="0" collapsed="false">
      <c r="A980" s="18" t="s">
        <v>200</v>
      </c>
      <c r="B980" s="18" t="s">
        <v>201</v>
      </c>
      <c r="C980" s="18"/>
      <c r="D980" s="49" t="n">
        <v>46143</v>
      </c>
      <c r="E980" s="18" t="s">
        <v>109</v>
      </c>
      <c r="F980" s="18" t="s">
        <v>99</v>
      </c>
      <c r="G980" s="18" t="s">
        <v>110</v>
      </c>
      <c r="H980" s="18" t="s">
        <v>107</v>
      </c>
      <c r="I980" s="18" t="s">
        <v>102</v>
      </c>
      <c r="J980" s="18" t="s">
        <v>237</v>
      </c>
      <c r="K980" s="18" t="s">
        <v>195</v>
      </c>
      <c r="L980" s="64" t="n">
        <v>79.997992011648</v>
      </c>
      <c r="M980" s="64" t="n">
        <v>7.87</v>
      </c>
      <c r="N980" s="18" t="s">
        <v>1171</v>
      </c>
      <c r="O980" s="65" t="n">
        <v>629.5842</v>
      </c>
      <c r="P980" s="65" t="n">
        <v>629.5842</v>
      </c>
      <c r="Q980" s="65" t="n">
        <v>0</v>
      </c>
      <c r="R980" s="65" t="s">
        <v>232</v>
      </c>
      <c r="S980" s="66" t="n">
        <f aca="false">Model_Calc!AQ167</f>
        <v>629.58419713167</v>
      </c>
      <c r="T980" s="66" t="n">
        <f aca="false">ROUND(S980-O980,4)</f>
        <v>0</v>
      </c>
    </row>
    <row r="981" customFormat="false" ht="15" hidden="false" customHeight="false" outlineLevel="0" collapsed="false">
      <c r="A981" s="18" t="s">
        <v>200</v>
      </c>
      <c r="B981" s="18" t="s">
        <v>201</v>
      </c>
      <c r="C981" s="18"/>
      <c r="D981" s="49" t="n">
        <v>46143</v>
      </c>
      <c r="E981" s="18" t="s">
        <v>109</v>
      </c>
      <c r="F981" s="18" t="s">
        <v>99</v>
      </c>
      <c r="G981" s="18" t="s">
        <v>110</v>
      </c>
      <c r="H981" s="18" t="s">
        <v>107</v>
      </c>
      <c r="I981" s="18" t="s">
        <v>102</v>
      </c>
      <c r="J981" s="18" t="s">
        <v>239</v>
      </c>
      <c r="K981" s="18" t="s">
        <v>195</v>
      </c>
      <c r="L981" s="64" t="n">
        <v>36.8885532</v>
      </c>
      <c r="M981" s="64" t="n">
        <v>7.87</v>
      </c>
      <c r="N981" s="18" t="s">
        <v>1172</v>
      </c>
      <c r="O981" s="65" t="n">
        <v>290.3129</v>
      </c>
      <c r="P981" s="65" t="n">
        <v>290.3129</v>
      </c>
      <c r="Q981" s="65" t="n">
        <v>0</v>
      </c>
      <c r="R981" s="65" t="s">
        <v>232</v>
      </c>
      <c r="S981" s="66" t="n">
        <f aca="false">Model_Calc!AV167</f>
        <v>290.312913684</v>
      </c>
      <c r="T981" s="66" t="n">
        <f aca="false">ROUND(S981-O981,4)</f>
        <v>0</v>
      </c>
    </row>
    <row r="982" customFormat="false" ht="15" hidden="false" customHeight="false" outlineLevel="0" collapsed="false">
      <c r="A982" s="18" t="s">
        <v>200</v>
      </c>
      <c r="B982" s="18" t="s">
        <v>201</v>
      </c>
      <c r="C982" s="18"/>
      <c r="D982" s="49" t="n">
        <v>46143</v>
      </c>
      <c r="E982" s="18" t="s">
        <v>109</v>
      </c>
      <c r="F982" s="18" t="s">
        <v>99</v>
      </c>
      <c r="G982" s="18" t="s">
        <v>110</v>
      </c>
      <c r="H982" s="18" t="s">
        <v>107</v>
      </c>
      <c r="I982" s="18" t="s">
        <v>102</v>
      </c>
      <c r="J982" s="18" t="s">
        <v>241</v>
      </c>
      <c r="K982" s="18" t="s">
        <v>195</v>
      </c>
      <c r="L982" s="64" t="n">
        <v>6.9143527621857</v>
      </c>
      <c r="M982" s="64" t="n">
        <v>7.87</v>
      </c>
      <c r="N982" s="18" t="s">
        <v>1173</v>
      </c>
      <c r="O982" s="65" t="n">
        <v>54.416</v>
      </c>
      <c r="P982" s="65" t="n">
        <v>54.416</v>
      </c>
      <c r="Q982" s="65" t="n">
        <v>0</v>
      </c>
      <c r="R982" s="65" t="s">
        <v>232</v>
      </c>
      <c r="S982" s="66" t="n">
        <f aca="false">Model_Calc!BA167</f>
        <v>54.4159562384015</v>
      </c>
      <c r="T982" s="66" t="n">
        <f aca="false">ROUND(S982-O982,4)</f>
        <v>0</v>
      </c>
    </row>
    <row r="983" customFormat="false" ht="15" hidden="false" customHeight="false" outlineLevel="0" collapsed="false">
      <c r="A983" s="18" t="s">
        <v>200</v>
      </c>
      <c r="B983" s="18" t="s">
        <v>201</v>
      </c>
      <c r="C983" s="18"/>
      <c r="D983" s="49" t="n">
        <v>46143</v>
      </c>
      <c r="E983" s="18" t="s">
        <v>112</v>
      </c>
      <c r="F983" s="18" t="s">
        <v>113</v>
      </c>
      <c r="G983" s="18" t="s">
        <v>110</v>
      </c>
      <c r="H983" s="18" t="s">
        <v>101</v>
      </c>
      <c r="I983" s="18" t="s">
        <v>102</v>
      </c>
      <c r="J983" s="18" t="s">
        <v>230</v>
      </c>
      <c r="K983" s="18" t="s">
        <v>195</v>
      </c>
      <c r="L983" s="64" t="n">
        <v>3195.41092777712</v>
      </c>
      <c r="M983" s="64" t="n">
        <v>7.87</v>
      </c>
      <c r="N983" s="18" t="s">
        <v>1174</v>
      </c>
      <c r="O983" s="65" t="n">
        <v>25147.884</v>
      </c>
      <c r="P983" s="65" t="n">
        <v>25147.884</v>
      </c>
      <c r="Q983" s="65" t="n">
        <v>0</v>
      </c>
      <c r="R983" s="65" t="s">
        <v>232</v>
      </c>
      <c r="S983" s="66" t="n">
        <f aca="false">Model_Calc!AF168</f>
        <v>25147.8840016059</v>
      </c>
      <c r="T983" s="66" t="n">
        <f aca="false">ROUND(S983-O983,4)</f>
        <v>0</v>
      </c>
    </row>
    <row r="984" customFormat="false" ht="15" hidden="false" customHeight="false" outlineLevel="0" collapsed="false">
      <c r="A984" s="18" t="s">
        <v>200</v>
      </c>
      <c r="B984" s="18" t="s">
        <v>201</v>
      </c>
      <c r="C984" s="18"/>
      <c r="D984" s="49" t="n">
        <v>46143</v>
      </c>
      <c r="E984" s="18" t="s">
        <v>112</v>
      </c>
      <c r="F984" s="18" t="s">
        <v>113</v>
      </c>
      <c r="G984" s="18" t="s">
        <v>110</v>
      </c>
      <c r="H984" s="18" t="s">
        <v>101</v>
      </c>
      <c r="I984" s="18" t="s">
        <v>102</v>
      </c>
      <c r="J984" s="18" t="s">
        <v>233</v>
      </c>
      <c r="K984" s="18" t="s">
        <v>195</v>
      </c>
      <c r="L984" s="64" t="n">
        <v>290.46285333494</v>
      </c>
      <c r="M984" s="64" t="n">
        <v>7.87</v>
      </c>
      <c r="N984" s="18" t="s">
        <v>1175</v>
      </c>
      <c r="O984" s="65" t="n">
        <v>2285.9427</v>
      </c>
      <c r="P984" s="65" t="n">
        <v>2285.9427</v>
      </c>
      <c r="Q984" s="65" t="n">
        <v>0</v>
      </c>
      <c r="R984" s="65" t="s">
        <v>232</v>
      </c>
      <c r="S984" s="66" t="n">
        <f aca="false">Model_Calc!AG168</f>
        <v>2285.94265574598</v>
      </c>
      <c r="T984" s="66" t="n">
        <f aca="false">ROUND(S984-O984,4)</f>
        <v>0</v>
      </c>
    </row>
    <row r="985" customFormat="false" ht="15" hidden="false" customHeight="false" outlineLevel="0" collapsed="false">
      <c r="A985" s="18" t="s">
        <v>200</v>
      </c>
      <c r="B985" s="18" t="s">
        <v>201</v>
      </c>
      <c r="C985" s="18"/>
      <c r="D985" s="49" t="n">
        <v>46143</v>
      </c>
      <c r="E985" s="18" t="s">
        <v>112</v>
      </c>
      <c r="F985" s="18" t="s">
        <v>113</v>
      </c>
      <c r="G985" s="18" t="s">
        <v>110</v>
      </c>
      <c r="H985" s="18" t="s">
        <v>101</v>
      </c>
      <c r="I985" s="18" t="s">
        <v>102</v>
      </c>
      <c r="J985" s="18" t="s">
        <v>235</v>
      </c>
      <c r="K985" s="18" t="s">
        <v>195</v>
      </c>
      <c r="L985" s="64" t="n">
        <v>1965.520095</v>
      </c>
      <c r="M985" s="64" t="n">
        <v>7.87</v>
      </c>
      <c r="N985" s="18" t="s">
        <v>1176</v>
      </c>
      <c r="O985" s="65" t="n">
        <v>15468.6431</v>
      </c>
      <c r="P985" s="65" t="n">
        <v>15468.6431</v>
      </c>
      <c r="Q985" s="65" t="n">
        <v>0</v>
      </c>
      <c r="R985" s="65" t="s">
        <v>232</v>
      </c>
      <c r="S985" s="66" t="n">
        <f aca="false">Model_Calc!AL168</f>
        <v>15468.64314765</v>
      </c>
      <c r="T985" s="66" t="n">
        <f aca="false">ROUND(S985-O985,4)</f>
        <v>0</v>
      </c>
    </row>
    <row r="986" customFormat="false" ht="15" hidden="false" customHeight="false" outlineLevel="0" collapsed="false">
      <c r="A986" s="18" t="s">
        <v>200</v>
      </c>
      <c r="B986" s="18" t="s">
        <v>201</v>
      </c>
      <c r="C986" s="18"/>
      <c r="D986" s="49" t="n">
        <v>46143</v>
      </c>
      <c r="E986" s="18" t="s">
        <v>112</v>
      </c>
      <c r="F986" s="18" t="s">
        <v>113</v>
      </c>
      <c r="G986" s="18" t="s">
        <v>110</v>
      </c>
      <c r="H986" s="18" t="s">
        <v>101</v>
      </c>
      <c r="I986" s="18" t="s">
        <v>102</v>
      </c>
      <c r="J986" s="18" t="s">
        <v>237</v>
      </c>
      <c r="K986" s="18" t="s">
        <v>195</v>
      </c>
      <c r="L986" s="64" t="n">
        <v>757.02699070768</v>
      </c>
      <c r="M986" s="64" t="n">
        <v>7.87</v>
      </c>
      <c r="N986" s="18" t="s">
        <v>1177</v>
      </c>
      <c r="O986" s="65" t="n">
        <v>5957.8024</v>
      </c>
      <c r="P986" s="65" t="n">
        <v>5957.8024</v>
      </c>
      <c r="Q986" s="65" t="n">
        <v>0</v>
      </c>
      <c r="R986" s="65" t="s">
        <v>232</v>
      </c>
      <c r="S986" s="66" t="n">
        <f aca="false">Model_Calc!AQ168</f>
        <v>5957.80241686944</v>
      </c>
      <c r="T986" s="66" t="n">
        <f aca="false">ROUND(S986-O986,4)</f>
        <v>0</v>
      </c>
    </row>
    <row r="987" customFormat="false" ht="15" hidden="false" customHeight="false" outlineLevel="0" collapsed="false">
      <c r="A987" s="18" t="s">
        <v>200</v>
      </c>
      <c r="B987" s="18" t="s">
        <v>201</v>
      </c>
      <c r="C987" s="18"/>
      <c r="D987" s="49" t="n">
        <v>46143</v>
      </c>
      <c r="E987" s="18" t="s">
        <v>112</v>
      </c>
      <c r="F987" s="18" t="s">
        <v>113</v>
      </c>
      <c r="G987" s="18" t="s">
        <v>110</v>
      </c>
      <c r="H987" s="18" t="s">
        <v>101</v>
      </c>
      <c r="I987" s="18" t="s">
        <v>102</v>
      </c>
      <c r="J987" s="18" t="s">
        <v>239</v>
      </c>
      <c r="K987" s="18" t="s">
        <v>195</v>
      </c>
      <c r="L987" s="64" t="n">
        <v>336.946302</v>
      </c>
      <c r="M987" s="64" t="n">
        <v>7.87</v>
      </c>
      <c r="N987" s="18" t="s">
        <v>1178</v>
      </c>
      <c r="O987" s="65" t="n">
        <v>2651.7674</v>
      </c>
      <c r="P987" s="65" t="n">
        <v>2651.7674</v>
      </c>
      <c r="Q987" s="65" t="n">
        <v>0</v>
      </c>
      <c r="R987" s="65" t="s">
        <v>232</v>
      </c>
      <c r="S987" s="66" t="n">
        <f aca="false">Model_Calc!AV168</f>
        <v>2651.76739674</v>
      </c>
      <c r="T987" s="66" t="n">
        <f aca="false">ROUND(S987-O987,4)</f>
        <v>0</v>
      </c>
    </row>
    <row r="988" customFormat="false" ht="15" hidden="false" customHeight="false" outlineLevel="0" collapsed="false">
      <c r="A988" s="18" t="s">
        <v>200</v>
      </c>
      <c r="B988" s="18" t="s">
        <v>201</v>
      </c>
      <c r="C988" s="18"/>
      <c r="D988" s="49" t="n">
        <v>46143</v>
      </c>
      <c r="E988" s="18" t="s">
        <v>112</v>
      </c>
      <c r="F988" s="18" t="s">
        <v>113</v>
      </c>
      <c r="G988" s="18" t="s">
        <v>110</v>
      </c>
      <c r="H988" s="18" t="s">
        <v>101</v>
      </c>
      <c r="I988" s="18" t="s">
        <v>102</v>
      </c>
      <c r="J988" s="18" t="s">
        <v>241</v>
      </c>
      <c r="K988" s="18" t="s">
        <v>195</v>
      </c>
      <c r="L988" s="64" t="n">
        <v>79.4519748510624</v>
      </c>
      <c r="M988" s="64" t="n">
        <v>7.87</v>
      </c>
      <c r="N988" s="18" t="s">
        <v>1179</v>
      </c>
      <c r="O988" s="65" t="n">
        <v>625.287</v>
      </c>
      <c r="P988" s="65" t="n">
        <v>625.287</v>
      </c>
      <c r="Q988" s="65" t="n">
        <v>0</v>
      </c>
      <c r="R988" s="65" t="s">
        <v>232</v>
      </c>
      <c r="S988" s="66" t="n">
        <f aca="false">Model_Calc!BA168</f>
        <v>625.287042077861</v>
      </c>
      <c r="T988" s="66" t="n">
        <f aca="false">ROUND(S988-O988,4)</f>
        <v>0</v>
      </c>
    </row>
    <row r="989" customFormat="false" ht="15" hidden="false" customHeight="false" outlineLevel="0" collapsed="false">
      <c r="A989" s="18" t="s">
        <v>200</v>
      </c>
      <c r="B989" s="18" t="s">
        <v>201</v>
      </c>
      <c r="C989" s="18"/>
      <c r="D989" s="49" t="n">
        <v>46143</v>
      </c>
      <c r="E989" s="18" t="s">
        <v>116</v>
      </c>
      <c r="F989" s="18" t="s">
        <v>113</v>
      </c>
      <c r="G989" s="18" t="s">
        <v>110</v>
      </c>
      <c r="H989" s="18" t="s">
        <v>107</v>
      </c>
      <c r="I989" s="18" t="s">
        <v>102</v>
      </c>
      <c r="J989" s="18" t="s">
        <v>230</v>
      </c>
      <c r="K989" s="18" t="s">
        <v>195</v>
      </c>
      <c r="L989" s="64" t="n">
        <v>7637.29525541574</v>
      </c>
      <c r="M989" s="64" t="n">
        <v>7.87</v>
      </c>
      <c r="N989" s="18" t="s">
        <v>1180</v>
      </c>
      <c r="O989" s="65" t="n">
        <v>60105.5137</v>
      </c>
      <c r="P989" s="65" t="n">
        <v>60105.5137</v>
      </c>
      <c r="Q989" s="65" t="n">
        <v>0</v>
      </c>
      <c r="R989" s="65" t="s">
        <v>232</v>
      </c>
      <c r="S989" s="66" t="n">
        <f aca="false">Model_Calc!AF169</f>
        <v>60105.5136601219</v>
      </c>
      <c r="T989" s="66" t="n">
        <f aca="false">ROUND(S989-O989,4)</f>
        <v>0</v>
      </c>
    </row>
    <row r="990" customFormat="false" ht="15" hidden="false" customHeight="false" outlineLevel="0" collapsed="false">
      <c r="A990" s="18" t="s">
        <v>200</v>
      </c>
      <c r="B990" s="18" t="s">
        <v>201</v>
      </c>
      <c r="C990" s="18"/>
      <c r="D990" s="49" t="n">
        <v>46143</v>
      </c>
      <c r="E990" s="18" t="s">
        <v>116</v>
      </c>
      <c r="F990" s="18" t="s">
        <v>113</v>
      </c>
      <c r="G990" s="18" t="s">
        <v>110</v>
      </c>
      <c r="H990" s="18" t="s">
        <v>107</v>
      </c>
      <c r="I990" s="18" t="s">
        <v>102</v>
      </c>
      <c r="J990" s="18" t="s">
        <v>233</v>
      </c>
      <c r="K990" s="18" t="s">
        <v>195</v>
      </c>
      <c r="L990" s="64" t="n">
        <v>587.484250416595</v>
      </c>
      <c r="M990" s="64" t="n">
        <v>7.87</v>
      </c>
      <c r="N990" s="18" t="s">
        <v>1181</v>
      </c>
      <c r="O990" s="65" t="n">
        <v>4623.5011</v>
      </c>
      <c r="P990" s="65" t="n">
        <v>4623.5011</v>
      </c>
      <c r="Q990" s="65" t="n">
        <v>0</v>
      </c>
      <c r="R990" s="65" t="s">
        <v>232</v>
      </c>
      <c r="S990" s="66" t="n">
        <f aca="false">Model_Calc!AG169</f>
        <v>4623.5010507786</v>
      </c>
      <c r="T990" s="66" t="n">
        <f aca="false">ROUND(S990-O990,4)</f>
        <v>0</v>
      </c>
    </row>
    <row r="991" customFormat="false" ht="15" hidden="false" customHeight="false" outlineLevel="0" collapsed="false">
      <c r="A991" s="18" t="s">
        <v>200</v>
      </c>
      <c r="B991" s="18" t="s">
        <v>201</v>
      </c>
      <c r="C991" s="18"/>
      <c r="D991" s="49" t="n">
        <v>46143</v>
      </c>
      <c r="E991" s="18" t="s">
        <v>116</v>
      </c>
      <c r="F991" s="18" t="s">
        <v>113</v>
      </c>
      <c r="G991" s="18" t="s">
        <v>110</v>
      </c>
      <c r="H991" s="18" t="s">
        <v>107</v>
      </c>
      <c r="I991" s="18" t="s">
        <v>102</v>
      </c>
      <c r="J991" s="18" t="s">
        <v>235</v>
      </c>
      <c r="K991" s="18" t="s">
        <v>195</v>
      </c>
      <c r="L991" s="64" t="n">
        <v>3650.251605</v>
      </c>
      <c r="M991" s="64" t="n">
        <v>7.87</v>
      </c>
      <c r="N991" s="18" t="s">
        <v>1182</v>
      </c>
      <c r="O991" s="65" t="n">
        <v>28727.4801</v>
      </c>
      <c r="P991" s="65" t="n">
        <v>28727.4801</v>
      </c>
      <c r="Q991" s="65" t="n">
        <v>0</v>
      </c>
      <c r="R991" s="65" t="s">
        <v>232</v>
      </c>
      <c r="S991" s="66" t="n">
        <f aca="false">Model_Calc!AL169</f>
        <v>28727.48013135</v>
      </c>
      <c r="T991" s="66" t="n">
        <f aca="false">ROUND(S991-O991,4)</f>
        <v>0</v>
      </c>
    </row>
    <row r="992" customFormat="false" ht="15" hidden="false" customHeight="false" outlineLevel="0" collapsed="false">
      <c r="A992" s="18" t="s">
        <v>200</v>
      </c>
      <c r="B992" s="18" t="s">
        <v>201</v>
      </c>
      <c r="C992" s="18"/>
      <c r="D992" s="49" t="n">
        <v>46143</v>
      </c>
      <c r="E992" s="18" t="s">
        <v>116</v>
      </c>
      <c r="F992" s="18" t="s">
        <v>113</v>
      </c>
      <c r="G992" s="18" t="s">
        <v>110</v>
      </c>
      <c r="H992" s="18" t="s">
        <v>107</v>
      </c>
      <c r="I992" s="18" t="s">
        <v>102</v>
      </c>
      <c r="J992" s="18" t="s">
        <v>237</v>
      </c>
      <c r="K992" s="18" t="s">
        <v>195</v>
      </c>
      <c r="L992" s="64" t="n">
        <v>1405.90726845712</v>
      </c>
      <c r="M992" s="64" t="n">
        <v>7.87</v>
      </c>
      <c r="N992" s="18" t="s">
        <v>1183</v>
      </c>
      <c r="O992" s="65" t="n">
        <v>11064.4902</v>
      </c>
      <c r="P992" s="65" t="n">
        <v>11064.4902</v>
      </c>
      <c r="Q992" s="65" t="n">
        <v>0</v>
      </c>
      <c r="R992" s="65" t="s">
        <v>232</v>
      </c>
      <c r="S992" s="66" t="n">
        <f aca="false">Model_Calc!AQ169</f>
        <v>11064.4902027575</v>
      </c>
      <c r="T992" s="66" t="n">
        <f aca="false">ROUND(S992-O992,4)</f>
        <v>0</v>
      </c>
    </row>
    <row r="993" customFormat="false" ht="15" hidden="false" customHeight="false" outlineLevel="0" collapsed="false">
      <c r="A993" s="18" t="s">
        <v>200</v>
      </c>
      <c r="B993" s="18" t="s">
        <v>201</v>
      </c>
      <c r="C993" s="18"/>
      <c r="D993" s="49" t="n">
        <v>46143</v>
      </c>
      <c r="E993" s="18" t="s">
        <v>116</v>
      </c>
      <c r="F993" s="18" t="s">
        <v>113</v>
      </c>
      <c r="G993" s="18" t="s">
        <v>110</v>
      </c>
      <c r="H993" s="18" t="s">
        <v>107</v>
      </c>
      <c r="I993" s="18" t="s">
        <v>102</v>
      </c>
      <c r="J993" s="18" t="s">
        <v>239</v>
      </c>
      <c r="K993" s="18" t="s">
        <v>195</v>
      </c>
      <c r="L993" s="64" t="n">
        <v>625.757418</v>
      </c>
      <c r="M993" s="64" t="n">
        <v>7.87</v>
      </c>
      <c r="N993" s="18" t="s">
        <v>1184</v>
      </c>
      <c r="O993" s="65" t="n">
        <v>4924.7109</v>
      </c>
      <c r="P993" s="65" t="n">
        <v>4924.7109</v>
      </c>
      <c r="Q993" s="65" t="n">
        <v>0</v>
      </c>
      <c r="R993" s="65" t="s">
        <v>232</v>
      </c>
      <c r="S993" s="66" t="n">
        <f aca="false">Model_Calc!AV169</f>
        <v>4924.71087966</v>
      </c>
      <c r="T993" s="66" t="n">
        <f aca="false">ROUND(S993-O993,4)</f>
        <v>0</v>
      </c>
    </row>
    <row r="994" customFormat="false" ht="15" hidden="false" customHeight="false" outlineLevel="0" collapsed="false">
      <c r="A994" s="18" t="s">
        <v>200</v>
      </c>
      <c r="B994" s="18" t="s">
        <v>201</v>
      </c>
      <c r="C994" s="18"/>
      <c r="D994" s="49" t="n">
        <v>46143</v>
      </c>
      <c r="E994" s="18" t="s">
        <v>116</v>
      </c>
      <c r="F994" s="18" t="s">
        <v>113</v>
      </c>
      <c r="G994" s="18" t="s">
        <v>110</v>
      </c>
      <c r="H994" s="18" t="s">
        <v>107</v>
      </c>
      <c r="I994" s="18" t="s">
        <v>102</v>
      </c>
      <c r="J994" s="18" t="s">
        <v>241</v>
      </c>
      <c r="K994" s="18" t="s">
        <v>195</v>
      </c>
      <c r="L994" s="64" t="n">
        <v>121.514785066331</v>
      </c>
      <c r="M994" s="64" t="n">
        <v>7.87</v>
      </c>
      <c r="N994" s="18" t="s">
        <v>1185</v>
      </c>
      <c r="O994" s="65" t="n">
        <v>956.3214</v>
      </c>
      <c r="P994" s="65" t="n">
        <v>956.3214</v>
      </c>
      <c r="Q994" s="65" t="n">
        <v>0</v>
      </c>
      <c r="R994" s="65" t="s">
        <v>232</v>
      </c>
      <c r="S994" s="66" t="n">
        <f aca="false">Model_Calc!BA169</f>
        <v>956.321358472022</v>
      </c>
      <c r="T994" s="66" t="n">
        <f aca="false">ROUND(S994-O994,4)</f>
        <v>0</v>
      </c>
    </row>
    <row r="995" customFormat="false" ht="15" hidden="false" customHeight="false" outlineLevel="0" collapsed="false">
      <c r="A995" s="18" t="s">
        <v>200</v>
      </c>
      <c r="B995" s="18" t="s">
        <v>201</v>
      </c>
      <c r="C995" s="18"/>
      <c r="D995" s="49" t="n">
        <v>46143</v>
      </c>
      <c r="E995" s="18" t="s">
        <v>118</v>
      </c>
      <c r="F995" s="18" t="s">
        <v>119</v>
      </c>
      <c r="G995" s="18" t="s">
        <v>100</v>
      </c>
      <c r="H995" s="18" t="s">
        <v>101</v>
      </c>
      <c r="I995" s="18" t="s">
        <v>102</v>
      </c>
      <c r="J995" s="18" t="s">
        <v>230</v>
      </c>
      <c r="K995" s="18" t="s">
        <v>199</v>
      </c>
      <c r="L995" s="64" t="n">
        <v>13573.5160457404</v>
      </c>
      <c r="M995" s="64" t="n">
        <v>9.13</v>
      </c>
      <c r="N995" s="18" t="s">
        <v>1186</v>
      </c>
      <c r="O995" s="65" t="n">
        <v>123926.2015</v>
      </c>
      <c r="P995" s="65" t="n">
        <v>123926.2015</v>
      </c>
      <c r="Q995" s="65" t="n">
        <v>0</v>
      </c>
      <c r="R995" s="65" t="s">
        <v>232</v>
      </c>
      <c r="S995" s="66" t="n">
        <f aca="false">Model_Calc!AF170</f>
        <v>123926.20149761</v>
      </c>
      <c r="T995" s="66" t="n">
        <f aca="false">ROUND(S995-O995,4)</f>
        <v>0</v>
      </c>
    </row>
    <row r="996" customFormat="false" ht="15" hidden="false" customHeight="false" outlineLevel="0" collapsed="false">
      <c r="A996" s="18" t="s">
        <v>200</v>
      </c>
      <c r="B996" s="18" t="s">
        <v>201</v>
      </c>
      <c r="C996" s="18"/>
      <c r="D996" s="49" t="n">
        <v>46143</v>
      </c>
      <c r="E996" s="18" t="s">
        <v>118</v>
      </c>
      <c r="F996" s="18" t="s">
        <v>119</v>
      </c>
      <c r="G996" s="18" t="s">
        <v>100</v>
      </c>
      <c r="H996" s="18" t="s">
        <v>101</v>
      </c>
      <c r="I996" s="18" t="s">
        <v>102</v>
      </c>
      <c r="J996" s="18" t="s">
        <v>233</v>
      </c>
      <c r="K996" s="18" t="s">
        <v>199</v>
      </c>
      <c r="L996" s="64" t="n">
        <v>1370.92512061978</v>
      </c>
      <c r="M996" s="64" t="n">
        <v>9.13</v>
      </c>
      <c r="N996" s="18" t="s">
        <v>1187</v>
      </c>
      <c r="O996" s="65" t="n">
        <v>12516.5464</v>
      </c>
      <c r="P996" s="65" t="n">
        <v>12516.5464</v>
      </c>
      <c r="Q996" s="65" t="n">
        <v>0</v>
      </c>
      <c r="R996" s="65" t="s">
        <v>232</v>
      </c>
      <c r="S996" s="66" t="n">
        <f aca="false">Model_Calc!AG170</f>
        <v>12516.5463512586</v>
      </c>
      <c r="T996" s="66" t="n">
        <f aca="false">ROUND(S996-O996,4)</f>
        <v>0</v>
      </c>
    </row>
    <row r="997" customFormat="false" ht="15" hidden="false" customHeight="false" outlineLevel="0" collapsed="false">
      <c r="A997" s="18" t="s">
        <v>200</v>
      </c>
      <c r="B997" s="18" t="s">
        <v>201</v>
      </c>
      <c r="C997" s="18"/>
      <c r="D997" s="49" t="n">
        <v>46143</v>
      </c>
      <c r="E997" s="18" t="s">
        <v>118</v>
      </c>
      <c r="F997" s="18" t="s">
        <v>119</v>
      </c>
      <c r="G997" s="18" t="s">
        <v>100</v>
      </c>
      <c r="H997" s="18" t="s">
        <v>101</v>
      </c>
      <c r="I997" s="18" t="s">
        <v>102</v>
      </c>
      <c r="J997" s="18" t="s">
        <v>235</v>
      </c>
      <c r="K997" s="18" t="s">
        <v>195</v>
      </c>
      <c r="L997" s="64" t="n">
        <v>3473.73278592</v>
      </c>
      <c r="M997" s="64" t="n">
        <v>7.87</v>
      </c>
      <c r="N997" s="18" t="s">
        <v>1188</v>
      </c>
      <c r="O997" s="65" t="n">
        <v>27338.277</v>
      </c>
      <c r="P997" s="65" t="n">
        <v>27338.277</v>
      </c>
      <c r="Q997" s="65" t="n">
        <v>0</v>
      </c>
      <c r="R997" s="65" t="s">
        <v>232</v>
      </c>
      <c r="S997" s="66" t="n">
        <f aca="false">Model_Calc!AL170</f>
        <v>27338.2770251904</v>
      </c>
      <c r="T997" s="66" t="n">
        <f aca="false">ROUND(S997-O997,4)</f>
        <v>0</v>
      </c>
    </row>
    <row r="998" customFormat="false" ht="15" hidden="false" customHeight="false" outlineLevel="0" collapsed="false">
      <c r="A998" s="18" t="s">
        <v>200</v>
      </c>
      <c r="B998" s="18" t="s">
        <v>201</v>
      </c>
      <c r="C998" s="18"/>
      <c r="D998" s="49" t="n">
        <v>46143</v>
      </c>
      <c r="E998" s="18" t="s">
        <v>118</v>
      </c>
      <c r="F998" s="18" t="s">
        <v>119</v>
      </c>
      <c r="G998" s="18" t="s">
        <v>100</v>
      </c>
      <c r="H998" s="18" t="s">
        <v>101</v>
      </c>
      <c r="I998" s="18" t="s">
        <v>102</v>
      </c>
      <c r="J998" s="18" t="s">
        <v>237</v>
      </c>
      <c r="K998" s="18" t="s">
        <v>195</v>
      </c>
      <c r="L998" s="64" t="n">
        <v>1390.32210009047</v>
      </c>
      <c r="M998" s="64" t="n">
        <v>7.87</v>
      </c>
      <c r="N998" s="18" t="s">
        <v>1189</v>
      </c>
      <c r="O998" s="65" t="n">
        <v>10941.8349</v>
      </c>
      <c r="P998" s="65" t="n">
        <v>10941.8349</v>
      </c>
      <c r="Q998" s="65" t="n">
        <v>0</v>
      </c>
      <c r="R998" s="65" t="s">
        <v>232</v>
      </c>
      <c r="S998" s="66" t="n">
        <f aca="false">Model_Calc!AQ170</f>
        <v>10941.834927712</v>
      </c>
      <c r="T998" s="66" t="n">
        <f aca="false">ROUND(S998-O998,4)</f>
        <v>0</v>
      </c>
    </row>
    <row r="999" customFormat="false" ht="15" hidden="false" customHeight="false" outlineLevel="0" collapsed="false">
      <c r="A999" s="18" t="s">
        <v>200</v>
      </c>
      <c r="B999" s="18" t="s">
        <v>201</v>
      </c>
      <c r="C999" s="18"/>
      <c r="D999" s="49" t="n">
        <v>46143</v>
      </c>
      <c r="E999" s="18" t="s">
        <v>118</v>
      </c>
      <c r="F999" s="18" t="s">
        <v>119</v>
      </c>
      <c r="G999" s="18" t="s">
        <v>100</v>
      </c>
      <c r="H999" s="18" t="s">
        <v>101</v>
      </c>
      <c r="I999" s="18" t="s">
        <v>102</v>
      </c>
      <c r="J999" s="18" t="s">
        <v>239</v>
      </c>
      <c r="K999" s="18" t="s">
        <v>199</v>
      </c>
      <c r="L999" s="64" t="n">
        <v>1130.435076096</v>
      </c>
      <c r="M999" s="64" t="n">
        <v>9.13</v>
      </c>
      <c r="N999" s="18" t="s">
        <v>1190</v>
      </c>
      <c r="O999" s="65" t="n">
        <v>10320.8722</v>
      </c>
      <c r="P999" s="65" t="n">
        <v>10320.8722</v>
      </c>
      <c r="Q999" s="65" t="n">
        <v>0</v>
      </c>
      <c r="R999" s="65" t="s">
        <v>232</v>
      </c>
      <c r="S999" s="66" t="n">
        <f aca="false">Model_Calc!AV170</f>
        <v>10320.8722447565</v>
      </c>
      <c r="T999" s="66" t="n">
        <f aca="false">ROUND(S999-O999,4)</f>
        <v>0</v>
      </c>
    </row>
    <row r="1000" customFormat="false" ht="15" hidden="false" customHeight="false" outlineLevel="0" collapsed="false">
      <c r="A1000" s="18" t="s">
        <v>200</v>
      </c>
      <c r="B1000" s="18" t="s">
        <v>201</v>
      </c>
      <c r="C1000" s="18"/>
      <c r="D1000" s="49" t="n">
        <v>46143</v>
      </c>
      <c r="E1000" s="18" t="s">
        <v>118</v>
      </c>
      <c r="F1000" s="18" t="s">
        <v>119</v>
      </c>
      <c r="G1000" s="18" t="s">
        <v>100</v>
      </c>
      <c r="H1000" s="18" t="s">
        <v>101</v>
      </c>
      <c r="I1000" s="18" t="s">
        <v>102</v>
      </c>
      <c r="J1000" s="18" t="s">
        <v>241</v>
      </c>
      <c r="K1000" s="18" t="s">
        <v>199</v>
      </c>
      <c r="L1000" s="64" t="n">
        <v>170.850724356832</v>
      </c>
      <c r="M1000" s="64" t="n">
        <v>9.13</v>
      </c>
      <c r="N1000" s="18" t="s">
        <v>1191</v>
      </c>
      <c r="O1000" s="65" t="n">
        <v>1559.8671</v>
      </c>
      <c r="P1000" s="65" t="n">
        <v>1559.8671</v>
      </c>
      <c r="Q1000" s="65" t="n">
        <v>0</v>
      </c>
      <c r="R1000" s="65" t="s">
        <v>232</v>
      </c>
      <c r="S1000" s="66" t="n">
        <f aca="false">Model_Calc!BA170</f>
        <v>1559.86711337787</v>
      </c>
      <c r="T1000" s="66" t="n">
        <f aca="false">ROUND(S1000-O1000,4)</f>
        <v>0</v>
      </c>
    </row>
    <row r="1001" customFormat="false" ht="15" hidden="false" customHeight="false" outlineLevel="0" collapsed="false">
      <c r="A1001" s="18" t="s">
        <v>200</v>
      </c>
      <c r="B1001" s="18" t="s">
        <v>201</v>
      </c>
      <c r="C1001" s="18"/>
      <c r="D1001" s="49" t="n">
        <v>46143</v>
      </c>
      <c r="E1001" s="18" t="s">
        <v>122</v>
      </c>
      <c r="F1001" s="18" t="s">
        <v>119</v>
      </c>
      <c r="G1001" s="18" t="s">
        <v>100</v>
      </c>
      <c r="H1001" s="18" t="s">
        <v>107</v>
      </c>
      <c r="I1001" s="18" t="s">
        <v>102</v>
      </c>
      <c r="J1001" s="18" t="s">
        <v>230</v>
      </c>
      <c r="K1001" s="18" t="s">
        <v>199</v>
      </c>
      <c r="L1001" s="64" t="n">
        <v>6304.90249594598</v>
      </c>
      <c r="M1001" s="64" t="n">
        <v>9.13</v>
      </c>
      <c r="N1001" s="18" t="s">
        <v>1192</v>
      </c>
      <c r="O1001" s="65" t="n">
        <v>57563.7598</v>
      </c>
      <c r="P1001" s="65" t="n">
        <v>57563.7598</v>
      </c>
      <c r="Q1001" s="65" t="n">
        <v>0</v>
      </c>
      <c r="R1001" s="65" t="s">
        <v>232</v>
      </c>
      <c r="S1001" s="66" t="n">
        <f aca="false">Model_Calc!AF171</f>
        <v>57563.7597879868</v>
      </c>
      <c r="T1001" s="66" t="n">
        <f aca="false">ROUND(S1001-O1001,4)</f>
        <v>0</v>
      </c>
    </row>
    <row r="1002" customFormat="false" ht="15" hidden="false" customHeight="false" outlineLevel="0" collapsed="false">
      <c r="A1002" s="18" t="s">
        <v>200</v>
      </c>
      <c r="B1002" s="18" t="s">
        <v>201</v>
      </c>
      <c r="C1002" s="18"/>
      <c r="D1002" s="49" t="n">
        <v>46143</v>
      </c>
      <c r="E1002" s="18" t="s">
        <v>122</v>
      </c>
      <c r="F1002" s="18" t="s">
        <v>119</v>
      </c>
      <c r="G1002" s="18" t="s">
        <v>100</v>
      </c>
      <c r="H1002" s="18" t="s">
        <v>107</v>
      </c>
      <c r="I1002" s="18" t="s">
        <v>102</v>
      </c>
      <c r="J1002" s="18" t="s">
        <v>233</v>
      </c>
      <c r="K1002" s="18" t="s">
        <v>199</v>
      </c>
      <c r="L1002" s="64" t="n">
        <v>442.684643332378</v>
      </c>
      <c r="M1002" s="64" t="n">
        <v>9.13</v>
      </c>
      <c r="N1002" s="18" t="s">
        <v>1193</v>
      </c>
      <c r="O1002" s="65" t="n">
        <v>4041.7108</v>
      </c>
      <c r="P1002" s="65" t="n">
        <v>4041.7108</v>
      </c>
      <c r="Q1002" s="65" t="n">
        <v>0</v>
      </c>
      <c r="R1002" s="65" t="s">
        <v>232</v>
      </c>
      <c r="S1002" s="66" t="n">
        <f aca="false">Model_Calc!AG171</f>
        <v>4041.71079362461</v>
      </c>
      <c r="T1002" s="66" t="n">
        <f aca="false">ROUND(S1002-O1002,4)</f>
        <v>0</v>
      </c>
    </row>
    <row r="1003" customFormat="false" ht="15" hidden="false" customHeight="false" outlineLevel="0" collapsed="false">
      <c r="A1003" s="18" t="s">
        <v>200</v>
      </c>
      <c r="B1003" s="18" t="s">
        <v>201</v>
      </c>
      <c r="C1003" s="18"/>
      <c r="D1003" s="49" t="n">
        <v>46143</v>
      </c>
      <c r="E1003" s="18" t="s">
        <v>122</v>
      </c>
      <c r="F1003" s="18" t="s">
        <v>119</v>
      </c>
      <c r="G1003" s="18" t="s">
        <v>100</v>
      </c>
      <c r="H1003" s="18" t="s">
        <v>107</v>
      </c>
      <c r="I1003" s="18" t="s">
        <v>102</v>
      </c>
      <c r="J1003" s="18" t="s">
        <v>235</v>
      </c>
      <c r="K1003" s="18" t="s">
        <v>195</v>
      </c>
      <c r="L1003" s="64" t="n">
        <v>1400.698704</v>
      </c>
      <c r="M1003" s="64" t="n">
        <v>7.87</v>
      </c>
      <c r="N1003" s="18" t="s">
        <v>1194</v>
      </c>
      <c r="O1003" s="65" t="n">
        <v>11023.4988</v>
      </c>
      <c r="P1003" s="65" t="n">
        <v>11023.4988</v>
      </c>
      <c r="Q1003" s="65" t="n">
        <v>0</v>
      </c>
      <c r="R1003" s="65" t="s">
        <v>232</v>
      </c>
      <c r="S1003" s="66" t="n">
        <f aca="false">Model_Calc!AL171</f>
        <v>11023.49880048</v>
      </c>
      <c r="T1003" s="66" t="n">
        <f aca="false">ROUND(S1003-O1003,4)</f>
        <v>0</v>
      </c>
    </row>
    <row r="1004" customFormat="false" ht="15" hidden="false" customHeight="false" outlineLevel="0" collapsed="false">
      <c r="A1004" s="18" t="s">
        <v>200</v>
      </c>
      <c r="B1004" s="18" t="s">
        <v>201</v>
      </c>
      <c r="C1004" s="18"/>
      <c r="D1004" s="49" t="n">
        <v>46143</v>
      </c>
      <c r="E1004" s="18" t="s">
        <v>122</v>
      </c>
      <c r="F1004" s="18" t="s">
        <v>119</v>
      </c>
      <c r="G1004" s="18" t="s">
        <v>100</v>
      </c>
      <c r="H1004" s="18" t="s">
        <v>107</v>
      </c>
      <c r="I1004" s="18" t="s">
        <v>102</v>
      </c>
      <c r="J1004" s="18" t="s">
        <v>237</v>
      </c>
      <c r="K1004" s="18" t="s">
        <v>195</v>
      </c>
      <c r="L1004" s="64" t="n">
        <v>560.61375003648</v>
      </c>
      <c r="M1004" s="64" t="n">
        <v>7.87</v>
      </c>
      <c r="N1004" s="18" t="s">
        <v>1195</v>
      </c>
      <c r="O1004" s="65" t="n">
        <v>4412.0302</v>
      </c>
      <c r="P1004" s="65" t="n">
        <v>4412.0302</v>
      </c>
      <c r="Q1004" s="65" t="n">
        <v>0</v>
      </c>
      <c r="R1004" s="65" t="s">
        <v>232</v>
      </c>
      <c r="S1004" s="66" t="n">
        <f aca="false">Model_Calc!AQ171</f>
        <v>4412.0302127871</v>
      </c>
      <c r="T1004" s="66" t="n">
        <f aca="false">ROUND(S1004-O1004,4)</f>
        <v>0</v>
      </c>
    </row>
    <row r="1005" customFormat="false" ht="15" hidden="false" customHeight="false" outlineLevel="0" collapsed="false">
      <c r="A1005" s="18" t="s">
        <v>200</v>
      </c>
      <c r="B1005" s="18" t="s">
        <v>201</v>
      </c>
      <c r="C1005" s="18"/>
      <c r="D1005" s="49" t="n">
        <v>46143</v>
      </c>
      <c r="E1005" s="18" t="s">
        <v>122</v>
      </c>
      <c r="F1005" s="18" t="s">
        <v>119</v>
      </c>
      <c r="G1005" s="18" t="s">
        <v>100</v>
      </c>
      <c r="H1005" s="18" t="s">
        <v>107</v>
      </c>
      <c r="I1005" s="18" t="s">
        <v>102</v>
      </c>
      <c r="J1005" s="18" t="s">
        <v>239</v>
      </c>
      <c r="K1005" s="18" t="s">
        <v>199</v>
      </c>
      <c r="L1005" s="64" t="n">
        <v>455.8205952</v>
      </c>
      <c r="M1005" s="64" t="n">
        <v>9.13</v>
      </c>
      <c r="N1005" s="18" t="s">
        <v>1196</v>
      </c>
      <c r="O1005" s="65" t="n">
        <v>4161.642</v>
      </c>
      <c r="P1005" s="65" t="n">
        <v>4161.642</v>
      </c>
      <c r="Q1005" s="65" t="n">
        <v>0</v>
      </c>
      <c r="R1005" s="65" t="s">
        <v>232</v>
      </c>
      <c r="S1005" s="66" t="n">
        <f aca="false">Model_Calc!AV171</f>
        <v>4161.642034176</v>
      </c>
      <c r="T1005" s="66" t="n">
        <f aca="false">ROUND(S1005-O1005,4)</f>
        <v>0</v>
      </c>
    </row>
    <row r="1006" customFormat="false" ht="15" hidden="false" customHeight="false" outlineLevel="0" collapsed="false">
      <c r="A1006" s="18" t="s">
        <v>200</v>
      </c>
      <c r="B1006" s="18" t="s">
        <v>201</v>
      </c>
      <c r="C1006" s="18"/>
      <c r="D1006" s="49" t="n">
        <v>46143</v>
      </c>
      <c r="E1006" s="18" t="s">
        <v>122</v>
      </c>
      <c r="F1006" s="18" t="s">
        <v>119</v>
      </c>
      <c r="G1006" s="18" t="s">
        <v>100</v>
      </c>
      <c r="H1006" s="18" t="s">
        <v>107</v>
      </c>
      <c r="I1006" s="18" t="s">
        <v>102</v>
      </c>
      <c r="J1006" s="18" t="s">
        <v>241</v>
      </c>
      <c r="K1006" s="18" t="s">
        <v>199</v>
      </c>
      <c r="L1006" s="64" t="n">
        <v>53.2342799498926</v>
      </c>
      <c r="M1006" s="64" t="n">
        <v>9.13</v>
      </c>
      <c r="N1006" s="18" t="s">
        <v>1197</v>
      </c>
      <c r="O1006" s="65" t="n">
        <v>486.029</v>
      </c>
      <c r="P1006" s="65" t="n">
        <v>486.029</v>
      </c>
      <c r="Q1006" s="65" t="n">
        <v>0</v>
      </c>
      <c r="R1006" s="65" t="s">
        <v>232</v>
      </c>
      <c r="S1006" s="66" t="n">
        <f aca="false">Model_Calc!BA171</f>
        <v>486.02897594252</v>
      </c>
      <c r="T1006" s="66" t="n">
        <f aca="false">ROUND(S1006-O1006,4)</f>
        <v>0</v>
      </c>
    </row>
    <row r="1007" customFormat="false" ht="15" hidden="false" customHeight="false" outlineLevel="0" collapsed="false">
      <c r="A1007" s="18" t="s">
        <v>200</v>
      </c>
      <c r="B1007" s="18" t="s">
        <v>201</v>
      </c>
      <c r="C1007" s="18"/>
      <c r="D1007" s="49" t="n">
        <v>46143</v>
      </c>
      <c r="E1007" s="18" t="s">
        <v>124</v>
      </c>
      <c r="F1007" s="18" t="s">
        <v>119</v>
      </c>
      <c r="G1007" s="18" t="s">
        <v>100</v>
      </c>
      <c r="H1007" s="18" t="s">
        <v>107</v>
      </c>
      <c r="I1007" s="18" t="s">
        <v>125</v>
      </c>
      <c r="J1007" s="18" t="s">
        <v>230</v>
      </c>
      <c r="K1007" s="18" t="s">
        <v>199</v>
      </c>
      <c r="L1007" s="64" t="n">
        <v>2814.50847419029</v>
      </c>
      <c r="M1007" s="64" t="n">
        <v>9.13</v>
      </c>
      <c r="N1007" s="18" t="s">
        <v>1198</v>
      </c>
      <c r="O1007" s="65" t="n">
        <v>25696.4624</v>
      </c>
      <c r="P1007" s="65" t="n">
        <v>25696.4624</v>
      </c>
      <c r="Q1007" s="65" t="n">
        <v>0</v>
      </c>
      <c r="R1007" s="65" t="s">
        <v>232</v>
      </c>
      <c r="S1007" s="66" t="n">
        <f aca="false">Model_Calc!AF172</f>
        <v>25696.4623693573</v>
      </c>
      <c r="T1007" s="66" t="n">
        <f aca="false">ROUND(S1007-O1007,4)</f>
        <v>0</v>
      </c>
    </row>
    <row r="1008" customFormat="false" ht="15" hidden="false" customHeight="false" outlineLevel="0" collapsed="false">
      <c r="A1008" s="18" t="s">
        <v>200</v>
      </c>
      <c r="B1008" s="18" t="s">
        <v>201</v>
      </c>
      <c r="C1008" s="18"/>
      <c r="D1008" s="49" t="n">
        <v>46143</v>
      </c>
      <c r="E1008" s="18" t="s">
        <v>124</v>
      </c>
      <c r="F1008" s="18" t="s">
        <v>119</v>
      </c>
      <c r="G1008" s="18" t="s">
        <v>100</v>
      </c>
      <c r="H1008" s="18" t="s">
        <v>107</v>
      </c>
      <c r="I1008" s="18" t="s">
        <v>125</v>
      </c>
      <c r="J1008" s="18" t="s">
        <v>233</v>
      </c>
      <c r="K1008" s="18" t="s">
        <v>199</v>
      </c>
      <c r="L1008" s="64" t="n">
        <v>326.905159277202</v>
      </c>
      <c r="M1008" s="64" t="n">
        <v>9.13</v>
      </c>
      <c r="N1008" s="18" t="s">
        <v>1199</v>
      </c>
      <c r="O1008" s="65" t="n">
        <v>2984.6441</v>
      </c>
      <c r="P1008" s="65" t="n">
        <v>2984.6441</v>
      </c>
      <c r="Q1008" s="65" t="n">
        <v>0</v>
      </c>
      <c r="R1008" s="65" t="s">
        <v>232</v>
      </c>
      <c r="S1008" s="66" t="n">
        <f aca="false">Model_Calc!AG172</f>
        <v>2984.64410420085</v>
      </c>
      <c r="T1008" s="66" t="n">
        <f aca="false">ROUND(S1008-O1008,4)</f>
        <v>0</v>
      </c>
    </row>
    <row r="1009" customFormat="false" ht="15" hidden="false" customHeight="false" outlineLevel="0" collapsed="false">
      <c r="A1009" s="18" t="s">
        <v>200</v>
      </c>
      <c r="B1009" s="18" t="s">
        <v>201</v>
      </c>
      <c r="C1009" s="18"/>
      <c r="D1009" s="49" t="n">
        <v>46143</v>
      </c>
      <c r="E1009" s="18" t="s">
        <v>124</v>
      </c>
      <c r="F1009" s="18" t="s">
        <v>119</v>
      </c>
      <c r="G1009" s="18" t="s">
        <v>100</v>
      </c>
      <c r="H1009" s="18" t="s">
        <v>107</v>
      </c>
      <c r="I1009" s="18" t="s">
        <v>125</v>
      </c>
      <c r="J1009" s="18" t="s">
        <v>235</v>
      </c>
      <c r="K1009" s="18" t="s">
        <v>195</v>
      </c>
      <c r="L1009" s="64" t="n">
        <v>504.25153344</v>
      </c>
      <c r="M1009" s="64" t="n">
        <v>7.87</v>
      </c>
      <c r="N1009" s="18" t="s">
        <v>1200</v>
      </c>
      <c r="O1009" s="65" t="n">
        <v>3968.4596</v>
      </c>
      <c r="P1009" s="65" t="n">
        <v>3968.4596</v>
      </c>
      <c r="Q1009" s="65" t="n">
        <v>0</v>
      </c>
      <c r="R1009" s="65" t="s">
        <v>232</v>
      </c>
      <c r="S1009" s="66" t="n">
        <f aca="false">Model_Calc!AL172</f>
        <v>3968.4595681728</v>
      </c>
      <c r="T1009" s="66" t="n">
        <f aca="false">ROUND(S1009-O1009,4)</f>
        <v>0</v>
      </c>
    </row>
    <row r="1010" customFormat="false" ht="15" hidden="false" customHeight="false" outlineLevel="0" collapsed="false">
      <c r="A1010" s="18" t="s">
        <v>200</v>
      </c>
      <c r="B1010" s="18" t="s">
        <v>201</v>
      </c>
      <c r="C1010" s="18"/>
      <c r="D1010" s="49" t="n">
        <v>46143</v>
      </c>
      <c r="E1010" s="18" t="s">
        <v>124</v>
      </c>
      <c r="F1010" s="18" t="s">
        <v>119</v>
      </c>
      <c r="G1010" s="18" t="s">
        <v>100</v>
      </c>
      <c r="H1010" s="18" t="s">
        <v>107</v>
      </c>
      <c r="I1010" s="18" t="s">
        <v>125</v>
      </c>
      <c r="J1010" s="18" t="s">
        <v>237</v>
      </c>
      <c r="K1010" s="18" t="s">
        <v>195</v>
      </c>
      <c r="L1010" s="64" t="n">
        <v>201.820950013133</v>
      </c>
      <c r="M1010" s="64" t="n">
        <v>7.87</v>
      </c>
      <c r="N1010" s="18" t="s">
        <v>1201</v>
      </c>
      <c r="O1010" s="65" t="n">
        <v>1588.3309</v>
      </c>
      <c r="P1010" s="65" t="n">
        <v>1588.3309</v>
      </c>
      <c r="Q1010" s="65" t="n">
        <v>0</v>
      </c>
      <c r="R1010" s="65" t="s">
        <v>232</v>
      </c>
      <c r="S1010" s="66" t="n">
        <f aca="false">Model_Calc!AQ172</f>
        <v>1588.33087660336</v>
      </c>
      <c r="T1010" s="66" t="n">
        <f aca="false">ROUND(S1010-O1010,4)</f>
        <v>0</v>
      </c>
    </row>
    <row r="1011" customFormat="false" ht="15" hidden="false" customHeight="false" outlineLevel="0" collapsed="false">
      <c r="A1011" s="18" t="s">
        <v>200</v>
      </c>
      <c r="B1011" s="18" t="s">
        <v>201</v>
      </c>
      <c r="C1011" s="18"/>
      <c r="D1011" s="49" t="n">
        <v>46143</v>
      </c>
      <c r="E1011" s="18" t="s">
        <v>124</v>
      </c>
      <c r="F1011" s="18" t="s">
        <v>119</v>
      </c>
      <c r="G1011" s="18" t="s">
        <v>100</v>
      </c>
      <c r="H1011" s="18" t="s">
        <v>107</v>
      </c>
      <c r="I1011" s="18" t="s">
        <v>125</v>
      </c>
      <c r="J1011" s="18" t="s">
        <v>239</v>
      </c>
      <c r="K1011" s="18" t="s">
        <v>199</v>
      </c>
      <c r="L1011" s="64" t="n">
        <v>164.095414272</v>
      </c>
      <c r="M1011" s="64" t="n">
        <v>9.13</v>
      </c>
      <c r="N1011" s="18" t="s">
        <v>1202</v>
      </c>
      <c r="O1011" s="65" t="n">
        <v>1498.1911</v>
      </c>
      <c r="P1011" s="65" t="n">
        <v>1498.1911</v>
      </c>
      <c r="Q1011" s="65" t="n">
        <v>0</v>
      </c>
      <c r="R1011" s="65" t="s">
        <v>232</v>
      </c>
      <c r="S1011" s="66" t="n">
        <f aca="false">Model_Calc!AV172</f>
        <v>1498.19113230336</v>
      </c>
      <c r="T1011" s="66" t="n">
        <f aca="false">ROUND(S1011-O1011,4)</f>
        <v>0</v>
      </c>
    </row>
    <row r="1012" customFormat="false" ht="15" hidden="false" customHeight="false" outlineLevel="0" collapsed="false">
      <c r="A1012" s="18" t="s">
        <v>200</v>
      </c>
      <c r="B1012" s="18" t="s">
        <v>201</v>
      </c>
      <c r="C1012" s="18"/>
      <c r="D1012" s="49" t="n">
        <v>46143</v>
      </c>
      <c r="E1012" s="18" t="s">
        <v>124</v>
      </c>
      <c r="F1012" s="18" t="s">
        <v>119</v>
      </c>
      <c r="G1012" s="18" t="s">
        <v>100</v>
      </c>
      <c r="H1012" s="18" t="s">
        <v>107</v>
      </c>
      <c r="I1012" s="18" t="s">
        <v>125</v>
      </c>
      <c r="J1012" s="18" t="s">
        <v>241</v>
      </c>
      <c r="K1012" s="18" t="s">
        <v>199</v>
      </c>
      <c r="L1012" s="64" t="n">
        <v>17.8409719811609</v>
      </c>
      <c r="M1012" s="64" t="n">
        <v>9.13</v>
      </c>
      <c r="N1012" s="18" t="s">
        <v>1203</v>
      </c>
      <c r="O1012" s="65" t="n">
        <v>162.8881</v>
      </c>
      <c r="P1012" s="65" t="n">
        <v>162.8881</v>
      </c>
      <c r="Q1012" s="65" t="n">
        <v>0</v>
      </c>
      <c r="R1012" s="65" t="s">
        <v>232</v>
      </c>
      <c r="S1012" s="66" t="n">
        <f aca="false">Model_Calc!BA172</f>
        <v>162.888074187999</v>
      </c>
      <c r="T1012" s="66" t="n">
        <f aca="false">ROUND(S1012-O1012,4)</f>
        <v>0</v>
      </c>
    </row>
    <row r="1013" customFormat="false" ht="15" hidden="false" customHeight="false" outlineLevel="0" collapsed="false">
      <c r="A1013" s="18" t="s">
        <v>200</v>
      </c>
      <c r="B1013" s="18" t="s">
        <v>201</v>
      </c>
      <c r="C1013" s="18"/>
      <c r="D1013" s="49" t="n">
        <v>46143</v>
      </c>
      <c r="E1013" s="18" t="s">
        <v>127</v>
      </c>
      <c r="F1013" s="18" t="s">
        <v>119</v>
      </c>
      <c r="G1013" s="18" t="s">
        <v>100</v>
      </c>
      <c r="H1013" s="18" t="s">
        <v>128</v>
      </c>
      <c r="I1013" s="18" t="s">
        <v>125</v>
      </c>
      <c r="J1013" s="18" t="s">
        <v>230</v>
      </c>
      <c r="K1013" s="18" t="s">
        <v>199</v>
      </c>
      <c r="L1013" s="64" t="n">
        <v>1480.98135223923</v>
      </c>
      <c r="M1013" s="64" t="n">
        <v>9.13</v>
      </c>
      <c r="N1013" s="18" t="s">
        <v>1204</v>
      </c>
      <c r="O1013" s="65" t="n">
        <v>13521.3597</v>
      </c>
      <c r="P1013" s="65" t="n">
        <v>13521.3597</v>
      </c>
      <c r="Q1013" s="65" t="n">
        <v>0</v>
      </c>
      <c r="R1013" s="65" t="s">
        <v>232</v>
      </c>
      <c r="S1013" s="66" t="n">
        <f aca="false">Model_Calc!AF173</f>
        <v>13521.3597459441</v>
      </c>
      <c r="T1013" s="66" t="n">
        <f aca="false">ROUND(S1013-O1013,4)</f>
        <v>0</v>
      </c>
    </row>
    <row r="1014" customFormat="false" ht="15" hidden="false" customHeight="false" outlineLevel="0" collapsed="false">
      <c r="A1014" s="18" t="s">
        <v>200</v>
      </c>
      <c r="B1014" s="18" t="s">
        <v>201</v>
      </c>
      <c r="C1014" s="18"/>
      <c r="D1014" s="49" t="n">
        <v>46143</v>
      </c>
      <c r="E1014" s="18" t="s">
        <v>127</v>
      </c>
      <c r="F1014" s="18" t="s">
        <v>119</v>
      </c>
      <c r="G1014" s="18" t="s">
        <v>100</v>
      </c>
      <c r="H1014" s="18" t="s">
        <v>128</v>
      </c>
      <c r="I1014" s="18" t="s">
        <v>125</v>
      </c>
      <c r="J1014" s="18" t="s">
        <v>233</v>
      </c>
      <c r="K1014" s="18" t="s">
        <v>199</v>
      </c>
      <c r="L1014" s="64" t="n">
        <v>114.529224573167</v>
      </c>
      <c r="M1014" s="64" t="n">
        <v>9.13</v>
      </c>
      <c r="N1014" s="18" t="s">
        <v>1205</v>
      </c>
      <c r="O1014" s="65" t="n">
        <v>1045.6518</v>
      </c>
      <c r="P1014" s="65" t="n">
        <v>1045.6518</v>
      </c>
      <c r="Q1014" s="65" t="n">
        <v>0</v>
      </c>
      <c r="R1014" s="65" t="s">
        <v>232</v>
      </c>
      <c r="S1014" s="66" t="n">
        <f aca="false">Model_Calc!AG173</f>
        <v>1045.65182035301</v>
      </c>
      <c r="T1014" s="66" t="n">
        <f aca="false">ROUND(S1014-O1014,4)</f>
        <v>0</v>
      </c>
    </row>
    <row r="1015" customFormat="false" ht="15" hidden="false" customHeight="false" outlineLevel="0" collapsed="false">
      <c r="A1015" s="18" t="s">
        <v>200</v>
      </c>
      <c r="B1015" s="18" t="s">
        <v>201</v>
      </c>
      <c r="C1015" s="18"/>
      <c r="D1015" s="49" t="n">
        <v>46143</v>
      </c>
      <c r="E1015" s="18" t="s">
        <v>127</v>
      </c>
      <c r="F1015" s="18" t="s">
        <v>119</v>
      </c>
      <c r="G1015" s="18" t="s">
        <v>100</v>
      </c>
      <c r="H1015" s="18" t="s">
        <v>128</v>
      </c>
      <c r="I1015" s="18" t="s">
        <v>125</v>
      </c>
      <c r="J1015" s="18" t="s">
        <v>235</v>
      </c>
      <c r="K1015" s="18" t="s">
        <v>195</v>
      </c>
      <c r="L1015" s="64" t="n">
        <v>224.11179264</v>
      </c>
      <c r="M1015" s="64" t="n">
        <v>7.87</v>
      </c>
      <c r="N1015" s="18" t="s">
        <v>1206</v>
      </c>
      <c r="O1015" s="65" t="n">
        <v>1763.7598</v>
      </c>
      <c r="P1015" s="65" t="n">
        <v>1763.7598</v>
      </c>
      <c r="Q1015" s="65" t="n">
        <v>0</v>
      </c>
      <c r="R1015" s="65" t="s">
        <v>232</v>
      </c>
      <c r="S1015" s="66" t="n">
        <f aca="false">Model_Calc!AL173</f>
        <v>1763.7598080768</v>
      </c>
      <c r="T1015" s="66" t="n">
        <f aca="false">ROUND(S1015-O1015,4)</f>
        <v>0</v>
      </c>
    </row>
    <row r="1016" customFormat="false" ht="15" hidden="false" customHeight="false" outlineLevel="0" collapsed="false">
      <c r="A1016" s="18" t="s">
        <v>200</v>
      </c>
      <c r="B1016" s="18" t="s">
        <v>201</v>
      </c>
      <c r="C1016" s="18"/>
      <c r="D1016" s="49" t="n">
        <v>46143</v>
      </c>
      <c r="E1016" s="18" t="s">
        <v>127</v>
      </c>
      <c r="F1016" s="18" t="s">
        <v>119</v>
      </c>
      <c r="G1016" s="18" t="s">
        <v>100</v>
      </c>
      <c r="H1016" s="18" t="s">
        <v>128</v>
      </c>
      <c r="I1016" s="18" t="s">
        <v>125</v>
      </c>
      <c r="J1016" s="18" t="s">
        <v>237</v>
      </c>
      <c r="K1016" s="18" t="s">
        <v>195</v>
      </c>
      <c r="L1016" s="64" t="n">
        <v>89.6982000058368</v>
      </c>
      <c r="M1016" s="64" t="n">
        <v>7.87</v>
      </c>
      <c r="N1016" s="18" t="s">
        <v>1207</v>
      </c>
      <c r="O1016" s="65" t="n">
        <v>705.9248</v>
      </c>
      <c r="P1016" s="65" t="n">
        <v>705.9248</v>
      </c>
      <c r="Q1016" s="65" t="n">
        <v>0</v>
      </c>
      <c r="R1016" s="65" t="s">
        <v>232</v>
      </c>
      <c r="S1016" s="66" t="n">
        <f aca="false">Model_Calc!AQ173</f>
        <v>705.924834045936</v>
      </c>
      <c r="T1016" s="66" t="n">
        <f aca="false">ROUND(S1016-O1016,4)</f>
        <v>0</v>
      </c>
    </row>
    <row r="1017" customFormat="false" ht="15" hidden="false" customHeight="false" outlineLevel="0" collapsed="false">
      <c r="A1017" s="18" t="s">
        <v>200</v>
      </c>
      <c r="B1017" s="18" t="s">
        <v>201</v>
      </c>
      <c r="C1017" s="18"/>
      <c r="D1017" s="49" t="n">
        <v>46143</v>
      </c>
      <c r="E1017" s="18" t="s">
        <v>127</v>
      </c>
      <c r="F1017" s="18" t="s">
        <v>119</v>
      </c>
      <c r="G1017" s="18" t="s">
        <v>100</v>
      </c>
      <c r="H1017" s="18" t="s">
        <v>128</v>
      </c>
      <c r="I1017" s="18" t="s">
        <v>125</v>
      </c>
      <c r="J1017" s="18" t="s">
        <v>239</v>
      </c>
      <c r="K1017" s="18" t="s">
        <v>199</v>
      </c>
      <c r="L1017" s="64" t="n">
        <v>72.931295232</v>
      </c>
      <c r="M1017" s="64" t="n">
        <v>9.13</v>
      </c>
      <c r="N1017" s="18" t="s">
        <v>1208</v>
      </c>
      <c r="O1017" s="65" t="n">
        <v>665.8627</v>
      </c>
      <c r="P1017" s="65" t="n">
        <v>665.8627</v>
      </c>
      <c r="Q1017" s="65" t="n">
        <v>0</v>
      </c>
      <c r="R1017" s="65" t="s">
        <v>232</v>
      </c>
      <c r="S1017" s="66" t="n">
        <f aca="false">Model_Calc!AV173</f>
        <v>665.86272546816</v>
      </c>
      <c r="T1017" s="66" t="n">
        <f aca="false">ROUND(S1017-O1017,4)</f>
        <v>0</v>
      </c>
    </row>
    <row r="1018" customFormat="false" ht="15" hidden="false" customHeight="false" outlineLevel="0" collapsed="false">
      <c r="A1018" s="18" t="s">
        <v>200</v>
      </c>
      <c r="B1018" s="18" t="s">
        <v>201</v>
      </c>
      <c r="C1018" s="18"/>
      <c r="D1018" s="49" t="n">
        <v>46143</v>
      </c>
      <c r="E1018" s="18" t="s">
        <v>127</v>
      </c>
      <c r="F1018" s="18" t="s">
        <v>119</v>
      </c>
      <c r="G1018" s="18" t="s">
        <v>100</v>
      </c>
      <c r="H1018" s="18" t="s">
        <v>128</v>
      </c>
      <c r="I1018" s="18" t="s">
        <v>125</v>
      </c>
      <c r="J1018" s="18" t="s">
        <v>241</v>
      </c>
      <c r="K1018" s="18" t="s">
        <v>199</v>
      </c>
      <c r="L1018" s="64" t="n">
        <v>7.05796693760213</v>
      </c>
      <c r="M1018" s="64" t="n">
        <v>9.13</v>
      </c>
      <c r="N1018" s="18" t="s">
        <v>1209</v>
      </c>
      <c r="O1018" s="65" t="n">
        <v>64.4392</v>
      </c>
      <c r="P1018" s="65" t="n">
        <v>64.4392</v>
      </c>
      <c r="Q1018" s="65" t="n">
        <v>0</v>
      </c>
      <c r="R1018" s="65" t="s">
        <v>232</v>
      </c>
      <c r="S1018" s="66" t="n">
        <f aca="false">Model_Calc!BA173</f>
        <v>64.4392381403075</v>
      </c>
      <c r="T1018" s="66" t="n">
        <f aca="false">ROUND(S1018-O1018,4)</f>
        <v>0</v>
      </c>
    </row>
    <row r="1019" customFormat="false" ht="15" hidden="false" customHeight="false" outlineLevel="0" collapsed="false">
      <c r="A1019" s="18" t="s">
        <v>200</v>
      </c>
      <c r="B1019" s="18" t="s">
        <v>201</v>
      </c>
      <c r="C1019" s="18"/>
      <c r="D1019" s="49" t="n">
        <v>46143</v>
      </c>
      <c r="E1019" s="18" t="s">
        <v>130</v>
      </c>
      <c r="F1019" s="18" t="s">
        <v>119</v>
      </c>
      <c r="G1019" s="18" t="s">
        <v>110</v>
      </c>
      <c r="H1019" s="18" t="s">
        <v>107</v>
      </c>
      <c r="I1019" s="18" t="s">
        <v>125</v>
      </c>
      <c r="J1019" s="18" t="s">
        <v>230</v>
      </c>
      <c r="K1019" s="18" t="s">
        <v>195</v>
      </c>
      <c r="L1019" s="64" t="n">
        <v>1384.28781529057</v>
      </c>
      <c r="M1019" s="64" t="n">
        <v>7.87</v>
      </c>
      <c r="N1019" s="18" t="s">
        <v>1210</v>
      </c>
      <c r="O1019" s="65" t="n">
        <v>10894.3451</v>
      </c>
      <c r="P1019" s="65" t="n">
        <v>10894.3451</v>
      </c>
      <c r="Q1019" s="65" t="n">
        <v>0</v>
      </c>
      <c r="R1019" s="65" t="s">
        <v>232</v>
      </c>
      <c r="S1019" s="66" t="n">
        <f aca="false">Model_Calc!AF174</f>
        <v>10894.3451063368</v>
      </c>
      <c r="T1019" s="66" t="n">
        <f aca="false">ROUND(S1019-O1019,4)</f>
        <v>0</v>
      </c>
    </row>
    <row r="1020" customFormat="false" ht="15" hidden="false" customHeight="false" outlineLevel="0" collapsed="false">
      <c r="A1020" s="18" t="s">
        <v>200</v>
      </c>
      <c r="B1020" s="18" t="s">
        <v>201</v>
      </c>
      <c r="C1020" s="18"/>
      <c r="D1020" s="49" t="n">
        <v>46143</v>
      </c>
      <c r="E1020" s="18" t="s">
        <v>130</v>
      </c>
      <c r="F1020" s="18" t="s">
        <v>119</v>
      </c>
      <c r="G1020" s="18" t="s">
        <v>110</v>
      </c>
      <c r="H1020" s="18" t="s">
        <v>107</v>
      </c>
      <c r="I1020" s="18" t="s">
        <v>125</v>
      </c>
      <c r="J1020" s="18" t="s">
        <v>233</v>
      </c>
      <c r="K1020" s="18" t="s">
        <v>195</v>
      </c>
      <c r="L1020" s="64" t="n">
        <v>146.803722811565</v>
      </c>
      <c r="M1020" s="64" t="n">
        <v>7.87</v>
      </c>
      <c r="N1020" s="18" t="s">
        <v>1211</v>
      </c>
      <c r="O1020" s="65" t="n">
        <v>1155.3453</v>
      </c>
      <c r="P1020" s="65" t="n">
        <v>1155.3453</v>
      </c>
      <c r="Q1020" s="65" t="n">
        <v>0</v>
      </c>
      <c r="R1020" s="65" t="s">
        <v>232</v>
      </c>
      <c r="S1020" s="66" t="n">
        <f aca="false">Model_Calc!AG174</f>
        <v>1155.34529852702</v>
      </c>
      <c r="T1020" s="66" t="n">
        <f aca="false">ROUND(S1020-O1020,4)</f>
        <v>0</v>
      </c>
    </row>
    <row r="1021" customFormat="false" ht="15" hidden="false" customHeight="false" outlineLevel="0" collapsed="false">
      <c r="A1021" s="18" t="s">
        <v>200</v>
      </c>
      <c r="B1021" s="18" t="s">
        <v>201</v>
      </c>
      <c r="C1021" s="18"/>
      <c r="D1021" s="49" t="n">
        <v>46143</v>
      </c>
      <c r="E1021" s="18" t="s">
        <v>130</v>
      </c>
      <c r="F1021" s="18" t="s">
        <v>119</v>
      </c>
      <c r="G1021" s="18" t="s">
        <v>110</v>
      </c>
      <c r="H1021" s="18" t="s">
        <v>107</v>
      </c>
      <c r="I1021" s="18" t="s">
        <v>125</v>
      </c>
      <c r="J1021" s="18" t="s">
        <v>235</v>
      </c>
      <c r="K1021" s="18" t="s">
        <v>195</v>
      </c>
      <c r="L1021" s="64" t="n">
        <v>207.73074</v>
      </c>
      <c r="M1021" s="64" t="n">
        <v>7.87</v>
      </c>
      <c r="N1021" s="18" t="s">
        <v>1212</v>
      </c>
      <c r="O1021" s="65" t="n">
        <v>1634.8409</v>
      </c>
      <c r="P1021" s="65" t="n">
        <v>1634.8409</v>
      </c>
      <c r="Q1021" s="65" t="n">
        <v>0</v>
      </c>
      <c r="R1021" s="65" t="s">
        <v>232</v>
      </c>
      <c r="S1021" s="66" t="n">
        <f aca="false">Model_Calc!AL174</f>
        <v>1634.8409238</v>
      </c>
      <c r="T1021" s="66" t="n">
        <f aca="false">ROUND(S1021-O1021,4)</f>
        <v>0</v>
      </c>
    </row>
    <row r="1022" customFormat="false" ht="15" hidden="false" customHeight="false" outlineLevel="0" collapsed="false">
      <c r="A1022" s="18" t="s">
        <v>200</v>
      </c>
      <c r="B1022" s="18" t="s">
        <v>201</v>
      </c>
      <c r="C1022" s="18"/>
      <c r="D1022" s="49" t="n">
        <v>46143</v>
      </c>
      <c r="E1022" s="18" t="s">
        <v>130</v>
      </c>
      <c r="F1022" s="18" t="s">
        <v>119</v>
      </c>
      <c r="G1022" s="18" t="s">
        <v>110</v>
      </c>
      <c r="H1022" s="18" t="s">
        <v>107</v>
      </c>
      <c r="I1022" s="18" t="s">
        <v>125</v>
      </c>
      <c r="J1022" s="18" t="s">
        <v>237</v>
      </c>
      <c r="K1022" s="18" t="s">
        <v>195</v>
      </c>
      <c r="L1022" s="64" t="n">
        <v>86.8013778224</v>
      </c>
      <c r="M1022" s="64" t="n">
        <v>7.87</v>
      </c>
      <c r="N1022" s="18" t="s">
        <v>1213</v>
      </c>
      <c r="O1022" s="65" t="n">
        <v>683.1268</v>
      </c>
      <c r="P1022" s="65" t="n">
        <v>683.1268</v>
      </c>
      <c r="Q1022" s="65" t="n">
        <v>0</v>
      </c>
      <c r="R1022" s="65" t="s">
        <v>232</v>
      </c>
      <c r="S1022" s="66" t="n">
        <f aca="false">Model_Calc!AQ174</f>
        <v>683.126843462288</v>
      </c>
      <c r="T1022" s="66" t="n">
        <f aca="false">ROUND(S1022-O1022,4)</f>
        <v>0</v>
      </c>
    </row>
    <row r="1023" customFormat="false" ht="15" hidden="false" customHeight="false" outlineLevel="0" collapsed="false">
      <c r="A1023" s="18" t="s">
        <v>200</v>
      </c>
      <c r="B1023" s="18" t="s">
        <v>201</v>
      </c>
      <c r="C1023" s="18"/>
      <c r="D1023" s="49" t="n">
        <v>46143</v>
      </c>
      <c r="E1023" s="18" t="s">
        <v>130</v>
      </c>
      <c r="F1023" s="18" t="s">
        <v>119</v>
      </c>
      <c r="G1023" s="18" t="s">
        <v>110</v>
      </c>
      <c r="H1023" s="18" t="s">
        <v>107</v>
      </c>
      <c r="I1023" s="18" t="s">
        <v>125</v>
      </c>
      <c r="J1023" s="18" t="s">
        <v>239</v>
      </c>
      <c r="K1023" s="18" t="s">
        <v>195</v>
      </c>
      <c r="L1023" s="64" t="n">
        <v>82.3009408</v>
      </c>
      <c r="M1023" s="64" t="n">
        <v>7.87</v>
      </c>
      <c r="N1023" s="18" t="s">
        <v>1214</v>
      </c>
      <c r="O1023" s="65" t="n">
        <v>647.7084</v>
      </c>
      <c r="P1023" s="65" t="n">
        <v>647.7084</v>
      </c>
      <c r="Q1023" s="65" t="n">
        <v>0</v>
      </c>
      <c r="R1023" s="65" t="s">
        <v>232</v>
      </c>
      <c r="S1023" s="66" t="n">
        <f aca="false">Model_Calc!AV174</f>
        <v>647.708404096</v>
      </c>
      <c r="T1023" s="66" t="n">
        <f aca="false">ROUND(S1023-O1023,4)</f>
        <v>0</v>
      </c>
    </row>
    <row r="1024" customFormat="false" ht="15" hidden="false" customHeight="false" outlineLevel="0" collapsed="false">
      <c r="A1024" s="18" t="s">
        <v>200</v>
      </c>
      <c r="B1024" s="18" t="s">
        <v>201</v>
      </c>
      <c r="C1024" s="18"/>
      <c r="D1024" s="49" t="n">
        <v>46143</v>
      </c>
      <c r="E1024" s="18" t="s">
        <v>130</v>
      </c>
      <c r="F1024" s="18" t="s">
        <v>119</v>
      </c>
      <c r="G1024" s="18" t="s">
        <v>110</v>
      </c>
      <c r="H1024" s="18" t="s">
        <v>107</v>
      </c>
      <c r="I1024" s="18" t="s">
        <v>125</v>
      </c>
      <c r="J1024" s="18" t="s">
        <v>241</v>
      </c>
      <c r="K1024" s="18" t="s">
        <v>195</v>
      </c>
      <c r="L1024" s="64" t="n">
        <v>7.82857058086656</v>
      </c>
      <c r="M1024" s="64" t="n">
        <v>7.87</v>
      </c>
      <c r="N1024" s="18" t="s">
        <v>1215</v>
      </c>
      <c r="O1024" s="65" t="n">
        <v>61.6109</v>
      </c>
      <c r="P1024" s="65" t="n">
        <v>61.6109</v>
      </c>
      <c r="Q1024" s="65" t="n">
        <v>0</v>
      </c>
      <c r="R1024" s="65" t="s">
        <v>232</v>
      </c>
      <c r="S1024" s="66" t="n">
        <f aca="false">Model_Calc!BA174</f>
        <v>61.6108504714198</v>
      </c>
      <c r="T1024" s="66" t="n">
        <f aca="false">ROUND(S1024-O1024,4)</f>
        <v>0</v>
      </c>
    </row>
    <row r="1025" customFormat="false" ht="15" hidden="false" customHeight="false" outlineLevel="0" collapsed="false">
      <c r="A1025" s="18" t="s">
        <v>200</v>
      </c>
      <c r="B1025" s="18" t="s">
        <v>201</v>
      </c>
      <c r="C1025" s="18"/>
      <c r="D1025" s="49" t="n">
        <v>46174</v>
      </c>
      <c r="E1025" s="18" t="s">
        <v>98</v>
      </c>
      <c r="F1025" s="18" t="s">
        <v>99</v>
      </c>
      <c r="G1025" s="18" t="s">
        <v>100</v>
      </c>
      <c r="H1025" s="18" t="s">
        <v>101</v>
      </c>
      <c r="I1025" s="18" t="s">
        <v>102</v>
      </c>
      <c r="J1025" s="18" t="s">
        <v>230</v>
      </c>
      <c r="K1025" s="18" t="s">
        <v>195</v>
      </c>
      <c r="L1025" s="64" t="n">
        <v>7042.61606521084</v>
      </c>
      <c r="M1025" s="64" t="n">
        <v>7.89</v>
      </c>
      <c r="N1025" s="18" t="s">
        <v>1216</v>
      </c>
      <c r="O1025" s="65" t="n">
        <v>55566.2408</v>
      </c>
      <c r="P1025" s="65" t="n">
        <v>55566.2408</v>
      </c>
      <c r="Q1025" s="65" t="n">
        <v>0</v>
      </c>
      <c r="R1025" s="65" t="s">
        <v>232</v>
      </c>
      <c r="S1025" s="66" t="n">
        <f aca="false">Model_Calc!AF175</f>
        <v>55566.2407545135</v>
      </c>
      <c r="T1025" s="66" t="n">
        <f aca="false">ROUND(S1025-O1025,4)</f>
        <v>0</v>
      </c>
    </row>
    <row r="1026" customFormat="false" ht="15" hidden="false" customHeight="false" outlineLevel="0" collapsed="false">
      <c r="A1026" s="18" t="s">
        <v>200</v>
      </c>
      <c r="B1026" s="18" t="s">
        <v>201</v>
      </c>
      <c r="C1026" s="18"/>
      <c r="D1026" s="49" t="n">
        <v>46174</v>
      </c>
      <c r="E1026" s="18" t="s">
        <v>98</v>
      </c>
      <c r="F1026" s="18" t="s">
        <v>99</v>
      </c>
      <c r="G1026" s="18" t="s">
        <v>100</v>
      </c>
      <c r="H1026" s="18" t="s">
        <v>101</v>
      </c>
      <c r="I1026" s="18" t="s">
        <v>102</v>
      </c>
      <c r="J1026" s="18" t="s">
        <v>233</v>
      </c>
      <c r="K1026" s="18" t="s">
        <v>195</v>
      </c>
      <c r="L1026" s="64" t="n">
        <v>677.07710850937</v>
      </c>
      <c r="M1026" s="64" t="n">
        <v>7.89</v>
      </c>
      <c r="N1026" s="18" t="s">
        <v>1217</v>
      </c>
      <c r="O1026" s="65" t="n">
        <v>5342.1384</v>
      </c>
      <c r="P1026" s="65" t="n">
        <v>5342.1384</v>
      </c>
      <c r="Q1026" s="65" t="n">
        <v>0</v>
      </c>
      <c r="R1026" s="65" t="s">
        <v>232</v>
      </c>
      <c r="S1026" s="66" t="n">
        <f aca="false">Model_Calc!AG175</f>
        <v>5342.13838613893</v>
      </c>
      <c r="T1026" s="66" t="n">
        <f aca="false">ROUND(S1026-O1026,4)</f>
        <v>0</v>
      </c>
    </row>
    <row r="1027" customFormat="false" ht="15" hidden="false" customHeight="false" outlineLevel="0" collapsed="false">
      <c r="A1027" s="18" t="s">
        <v>200</v>
      </c>
      <c r="B1027" s="18" t="s">
        <v>201</v>
      </c>
      <c r="C1027" s="18"/>
      <c r="D1027" s="49" t="n">
        <v>46174</v>
      </c>
      <c r="E1027" s="18" t="s">
        <v>98</v>
      </c>
      <c r="F1027" s="18" t="s">
        <v>99</v>
      </c>
      <c r="G1027" s="18" t="s">
        <v>100</v>
      </c>
      <c r="H1027" s="18" t="s">
        <v>101</v>
      </c>
      <c r="I1027" s="18" t="s">
        <v>102</v>
      </c>
      <c r="J1027" s="18" t="s">
        <v>235</v>
      </c>
      <c r="K1027" s="18" t="s">
        <v>195</v>
      </c>
      <c r="L1027" s="64" t="n">
        <v>4566.435358848</v>
      </c>
      <c r="M1027" s="64" t="n">
        <v>7.89</v>
      </c>
      <c r="N1027" s="18" t="s">
        <v>1218</v>
      </c>
      <c r="O1027" s="65" t="n">
        <v>36029.175</v>
      </c>
      <c r="P1027" s="65" t="n">
        <v>36029.175</v>
      </c>
      <c r="Q1027" s="65" t="n">
        <v>0</v>
      </c>
      <c r="R1027" s="65" t="s">
        <v>232</v>
      </c>
      <c r="S1027" s="66" t="n">
        <f aca="false">Model_Calc!AL175</f>
        <v>36029.1749813107</v>
      </c>
      <c r="T1027" s="66" t="n">
        <f aca="false">ROUND(S1027-O1027,4)</f>
        <v>0</v>
      </c>
    </row>
    <row r="1028" customFormat="false" ht="15" hidden="false" customHeight="false" outlineLevel="0" collapsed="false">
      <c r="A1028" s="18" t="s">
        <v>200</v>
      </c>
      <c r="B1028" s="18" t="s">
        <v>201</v>
      </c>
      <c r="C1028" s="18"/>
      <c r="D1028" s="49" t="n">
        <v>46174</v>
      </c>
      <c r="E1028" s="18" t="s">
        <v>98</v>
      </c>
      <c r="F1028" s="18" t="s">
        <v>99</v>
      </c>
      <c r="G1028" s="18" t="s">
        <v>100</v>
      </c>
      <c r="H1028" s="18" t="s">
        <v>101</v>
      </c>
      <c r="I1028" s="18" t="s">
        <v>102</v>
      </c>
      <c r="J1028" s="18" t="s">
        <v>237</v>
      </c>
      <c r="K1028" s="18" t="s">
        <v>195</v>
      </c>
      <c r="L1028" s="64" t="n">
        <v>1715.14151120189</v>
      </c>
      <c r="M1028" s="64" t="n">
        <v>7.89</v>
      </c>
      <c r="N1028" s="18" t="s">
        <v>1219</v>
      </c>
      <c r="O1028" s="65" t="n">
        <v>13532.4665</v>
      </c>
      <c r="P1028" s="65" t="n">
        <v>13532.4665</v>
      </c>
      <c r="Q1028" s="65" t="n">
        <v>0</v>
      </c>
      <c r="R1028" s="65" t="s">
        <v>232</v>
      </c>
      <c r="S1028" s="66" t="n">
        <f aca="false">Model_Calc!AQ175</f>
        <v>13532.4665233829</v>
      </c>
      <c r="T1028" s="66" t="n">
        <f aca="false">ROUND(S1028-O1028,4)</f>
        <v>0</v>
      </c>
    </row>
    <row r="1029" customFormat="false" ht="15" hidden="false" customHeight="false" outlineLevel="0" collapsed="false">
      <c r="A1029" s="18" t="s">
        <v>200</v>
      </c>
      <c r="B1029" s="18" t="s">
        <v>201</v>
      </c>
      <c r="C1029" s="18"/>
      <c r="D1029" s="49" t="n">
        <v>46174</v>
      </c>
      <c r="E1029" s="18" t="s">
        <v>98</v>
      </c>
      <c r="F1029" s="18" t="s">
        <v>99</v>
      </c>
      <c r="G1029" s="18" t="s">
        <v>100</v>
      </c>
      <c r="H1029" s="18" t="s">
        <v>101</v>
      </c>
      <c r="I1029" s="18" t="s">
        <v>102</v>
      </c>
      <c r="J1029" s="18" t="s">
        <v>239</v>
      </c>
      <c r="K1029" s="18" t="s">
        <v>195</v>
      </c>
      <c r="L1029" s="64" t="n">
        <v>619.177675776</v>
      </c>
      <c r="M1029" s="64" t="n">
        <v>7.89</v>
      </c>
      <c r="N1029" s="18" t="s">
        <v>1220</v>
      </c>
      <c r="O1029" s="65" t="n">
        <v>4885.3119</v>
      </c>
      <c r="P1029" s="65" t="n">
        <v>4885.3119</v>
      </c>
      <c r="Q1029" s="65" t="n">
        <v>0</v>
      </c>
      <c r="R1029" s="65" t="s">
        <v>232</v>
      </c>
      <c r="S1029" s="66" t="n">
        <f aca="false">Model_Calc!AV175</f>
        <v>4885.31186187264</v>
      </c>
      <c r="T1029" s="66" t="n">
        <f aca="false">ROUND(S1029-O1029,4)</f>
        <v>0</v>
      </c>
    </row>
    <row r="1030" customFormat="false" ht="15" hidden="false" customHeight="false" outlineLevel="0" collapsed="false">
      <c r="A1030" s="18" t="s">
        <v>200</v>
      </c>
      <c r="B1030" s="18" t="s">
        <v>201</v>
      </c>
      <c r="C1030" s="18"/>
      <c r="D1030" s="49" t="n">
        <v>46174</v>
      </c>
      <c r="E1030" s="18" t="s">
        <v>98</v>
      </c>
      <c r="F1030" s="18" t="s">
        <v>99</v>
      </c>
      <c r="G1030" s="18" t="s">
        <v>100</v>
      </c>
      <c r="H1030" s="18" t="s">
        <v>101</v>
      </c>
      <c r="I1030" s="18" t="s">
        <v>102</v>
      </c>
      <c r="J1030" s="18" t="s">
        <v>241</v>
      </c>
      <c r="K1030" s="18" t="s">
        <v>195</v>
      </c>
      <c r="L1030" s="64" t="n">
        <v>153.284647058272</v>
      </c>
      <c r="M1030" s="64" t="n">
        <v>7.89</v>
      </c>
      <c r="N1030" s="18" t="s">
        <v>1221</v>
      </c>
      <c r="O1030" s="65" t="n">
        <v>1209.4159</v>
      </c>
      <c r="P1030" s="65" t="n">
        <v>1209.4159</v>
      </c>
      <c r="Q1030" s="65" t="n">
        <v>0</v>
      </c>
      <c r="R1030" s="65" t="s">
        <v>232</v>
      </c>
      <c r="S1030" s="66" t="n">
        <f aca="false">Model_Calc!BA175</f>
        <v>1209.41586528976</v>
      </c>
      <c r="T1030" s="66" t="n">
        <f aca="false">ROUND(S1030-O1030,4)</f>
        <v>0</v>
      </c>
    </row>
    <row r="1031" customFormat="false" ht="15" hidden="false" customHeight="false" outlineLevel="0" collapsed="false">
      <c r="A1031" s="18" t="s">
        <v>200</v>
      </c>
      <c r="B1031" s="18" t="s">
        <v>201</v>
      </c>
      <c r="C1031" s="18"/>
      <c r="D1031" s="49" t="n">
        <v>46174</v>
      </c>
      <c r="E1031" s="18" t="s">
        <v>106</v>
      </c>
      <c r="F1031" s="18" t="s">
        <v>99</v>
      </c>
      <c r="G1031" s="18" t="s">
        <v>100</v>
      </c>
      <c r="H1031" s="18" t="s">
        <v>107</v>
      </c>
      <c r="I1031" s="18" t="s">
        <v>102</v>
      </c>
      <c r="J1031" s="18" t="s">
        <v>230</v>
      </c>
      <c r="K1031" s="18" t="s">
        <v>195</v>
      </c>
      <c r="L1031" s="64" t="n">
        <v>6019.32997026567</v>
      </c>
      <c r="M1031" s="64" t="n">
        <v>7.89</v>
      </c>
      <c r="N1031" s="18" t="s">
        <v>1222</v>
      </c>
      <c r="O1031" s="65" t="n">
        <v>47492.5135</v>
      </c>
      <c r="P1031" s="65" t="n">
        <v>47492.5135</v>
      </c>
      <c r="Q1031" s="65" t="n">
        <v>0</v>
      </c>
      <c r="R1031" s="65" t="s">
        <v>232</v>
      </c>
      <c r="S1031" s="66" t="n">
        <f aca="false">Model_Calc!AF176</f>
        <v>47492.5134653962</v>
      </c>
      <c r="T1031" s="66" t="n">
        <f aca="false">ROUND(S1031-O1031,4)</f>
        <v>0</v>
      </c>
    </row>
    <row r="1032" customFormat="false" ht="15" hidden="false" customHeight="false" outlineLevel="0" collapsed="false">
      <c r="A1032" s="18" t="s">
        <v>200</v>
      </c>
      <c r="B1032" s="18" t="s">
        <v>201</v>
      </c>
      <c r="C1032" s="18"/>
      <c r="D1032" s="49" t="n">
        <v>46174</v>
      </c>
      <c r="E1032" s="18" t="s">
        <v>106</v>
      </c>
      <c r="F1032" s="18" t="s">
        <v>99</v>
      </c>
      <c r="G1032" s="18" t="s">
        <v>100</v>
      </c>
      <c r="H1032" s="18" t="s">
        <v>107</v>
      </c>
      <c r="I1032" s="18" t="s">
        <v>102</v>
      </c>
      <c r="J1032" s="18" t="s">
        <v>233</v>
      </c>
      <c r="K1032" s="18" t="s">
        <v>195</v>
      </c>
      <c r="L1032" s="64" t="n">
        <v>459.657925002106</v>
      </c>
      <c r="M1032" s="64" t="n">
        <v>7.89</v>
      </c>
      <c r="N1032" s="18" t="s">
        <v>1223</v>
      </c>
      <c r="O1032" s="65" t="n">
        <v>3626.701</v>
      </c>
      <c r="P1032" s="65" t="n">
        <v>3626.701</v>
      </c>
      <c r="Q1032" s="65" t="n">
        <v>0</v>
      </c>
      <c r="R1032" s="65" t="s">
        <v>232</v>
      </c>
      <c r="S1032" s="66" t="n">
        <f aca="false">Model_Calc!AG176</f>
        <v>3626.70102826662</v>
      </c>
      <c r="T1032" s="66" t="n">
        <f aca="false">ROUND(S1032-O1032,4)</f>
        <v>0</v>
      </c>
    </row>
    <row r="1033" customFormat="false" ht="15" hidden="false" customHeight="false" outlineLevel="0" collapsed="false">
      <c r="A1033" s="18" t="s">
        <v>200</v>
      </c>
      <c r="B1033" s="18" t="s">
        <v>201</v>
      </c>
      <c r="C1033" s="18"/>
      <c r="D1033" s="49" t="n">
        <v>46174</v>
      </c>
      <c r="E1033" s="18" t="s">
        <v>106</v>
      </c>
      <c r="F1033" s="18" t="s">
        <v>99</v>
      </c>
      <c r="G1033" s="18" t="s">
        <v>100</v>
      </c>
      <c r="H1033" s="18" t="s">
        <v>107</v>
      </c>
      <c r="I1033" s="18" t="s">
        <v>102</v>
      </c>
      <c r="J1033" s="18" t="s">
        <v>235</v>
      </c>
      <c r="K1033" s="18" t="s">
        <v>195</v>
      </c>
      <c r="L1033" s="64" t="n">
        <v>3044.290239232</v>
      </c>
      <c r="M1033" s="64" t="n">
        <v>7.89</v>
      </c>
      <c r="N1033" s="18" t="s">
        <v>1224</v>
      </c>
      <c r="O1033" s="65" t="n">
        <v>24019.45</v>
      </c>
      <c r="P1033" s="65" t="n">
        <v>24019.45</v>
      </c>
      <c r="Q1033" s="65" t="n">
        <v>0</v>
      </c>
      <c r="R1033" s="65" t="s">
        <v>232</v>
      </c>
      <c r="S1033" s="66" t="n">
        <f aca="false">Model_Calc!AL176</f>
        <v>24019.4499875405</v>
      </c>
      <c r="T1033" s="66" t="n">
        <f aca="false">ROUND(S1033-O1033,4)</f>
        <v>0</v>
      </c>
    </row>
    <row r="1034" customFormat="false" ht="15" hidden="false" customHeight="false" outlineLevel="0" collapsed="false">
      <c r="A1034" s="18" t="s">
        <v>200</v>
      </c>
      <c r="B1034" s="18" t="s">
        <v>201</v>
      </c>
      <c r="C1034" s="18"/>
      <c r="D1034" s="49" t="n">
        <v>46174</v>
      </c>
      <c r="E1034" s="18" t="s">
        <v>106</v>
      </c>
      <c r="F1034" s="18" t="s">
        <v>99</v>
      </c>
      <c r="G1034" s="18" t="s">
        <v>100</v>
      </c>
      <c r="H1034" s="18" t="s">
        <v>107</v>
      </c>
      <c r="I1034" s="18" t="s">
        <v>102</v>
      </c>
      <c r="J1034" s="18" t="s">
        <v>237</v>
      </c>
      <c r="K1034" s="18" t="s">
        <v>195</v>
      </c>
      <c r="L1034" s="64" t="n">
        <v>1143.42767413459</v>
      </c>
      <c r="M1034" s="64" t="n">
        <v>7.89</v>
      </c>
      <c r="N1034" s="18" t="s">
        <v>1225</v>
      </c>
      <c r="O1034" s="65" t="n">
        <v>9021.6443</v>
      </c>
      <c r="P1034" s="65" t="n">
        <v>9021.6443</v>
      </c>
      <c r="Q1034" s="65" t="n">
        <v>0</v>
      </c>
      <c r="R1034" s="65" t="s">
        <v>232</v>
      </c>
      <c r="S1034" s="66" t="n">
        <f aca="false">Model_Calc!AQ176</f>
        <v>9021.64434892193</v>
      </c>
      <c r="T1034" s="66" t="n">
        <f aca="false">ROUND(S1034-O1034,4)</f>
        <v>0</v>
      </c>
    </row>
    <row r="1035" customFormat="false" ht="15" hidden="false" customHeight="false" outlineLevel="0" collapsed="false">
      <c r="A1035" s="18" t="s">
        <v>200</v>
      </c>
      <c r="B1035" s="18" t="s">
        <v>201</v>
      </c>
      <c r="C1035" s="18"/>
      <c r="D1035" s="49" t="n">
        <v>46174</v>
      </c>
      <c r="E1035" s="18" t="s">
        <v>106</v>
      </c>
      <c r="F1035" s="18" t="s">
        <v>99</v>
      </c>
      <c r="G1035" s="18" t="s">
        <v>100</v>
      </c>
      <c r="H1035" s="18" t="s">
        <v>107</v>
      </c>
      <c r="I1035" s="18" t="s">
        <v>102</v>
      </c>
      <c r="J1035" s="18" t="s">
        <v>239</v>
      </c>
      <c r="K1035" s="18" t="s">
        <v>195</v>
      </c>
      <c r="L1035" s="64" t="n">
        <v>412.785117184</v>
      </c>
      <c r="M1035" s="64" t="n">
        <v>7.89</v>
      </c>
      <c r="N1035" s="18" t="s">
        <v>1226</v>
      </c>
      <c r="O1035" s="65" t="n">
        <v>3256.8746</v>
      </c>
      <c r="P1035" s="65" t="n">
        <v>3256.8746</v>
      </c>
      <c r="Q1035" s="65" t="n">
        <v>0</v>
      </c>
      <c r="R1035" s="65" t="s">
        <v>232</v>
      </c>
      <c r="S1035" s="66" t="n">
        <f aca="false">Model_Calc!AV176</f>
        <v>3256.87457458176</v>
      </c>
      <c r="T1035" s="66" t="n">
        <f aca="false">ROUND(S1035-O1035,4)</f>
        <v>0</v>
      </c>
    </row>
    <row r="1036" customFormat="false" ht="15" hidden="false" customHeight="false" outlineLevel="0" collapsed="false">
      <c r="A1036" s="18" t="s">
        <v>200</v>
      </c>
      <c r="B1036" s="18" t="s">
        <v>201</v>
      </c>
      <c r="C1036" s="18"/>
      <c r="D1036" s="49" t="n">
        <v>46174</v>
      </c>
      <c r="E1036" s="18" t="s">
        <v>106</v>
      </c>
      <c r="F1036" s="18" t="s">
        <v>99</v>
      </c>
      <c r="G1036" s="18" t="s">
        <v>100</v>
      </c>
      <c r="H1036" s="18" t="s">
        <v>107</v>
      </c>
      <c r="I1036" s="18" t="s">
        <v>102</v>
      </c>
      <c r="J1036" s="18" t="s">
        <v>241</v>
      </c>
      <c r="K1036" s="18" t="s">
        <v>195</v>
      </c>
      <c r="L1036" s="64" t="n">
        <v>83.0291838232304</v>
      </c>
      <c r="M1036" s="64" t="n">
        <v>7.89</v>
      </c>
      <c r="N1036" s="18" t="s">
        <v>1227</v>
      </c>
      <c r="O1036" s="65" t="n">
        <v>655.1003</v>
      </c>
      <c r="P1036" s="65" t="n">
        <v>655.1003</v>
      </c>
      <c r="Q1036" s="65" t="n">
        <v>0</v>
      </c>
      <c r="R1036" s="65" t="s">
        <v>232</v>
      </c>
      <c r="S1036" s="66" t="n">
        <f aca="false">Model_Calc!BA176</f>
        <v>655.100260365288</v>
      </c>
      <c r="T1036" s="66" t="n">
        <f aca="false">ROUND(S1036-O1036,4)</f>
        <v>0</v>
      </c>
    </row>
    <row r="1037" customFormat="false" ht="15" hidden="false" customHeight="false" outlineLevel="0" collapsed="false">
      <c r="A1037" s="18" t="s">
        <v>200</v>
      </c>
      <c r="B1037" s="18" t="s">
        <v>201</v>
      </c>
      <c r="C1037" s="18"/>
      <c r="D1037" s="49" t="n">
        <v>46174</v>
      </c>
      <c r="E1037" s="18" t="s">
        <v>109</v>
      </c>
      <c r="F1037" s="18" t="s">
        <v>99</v>
      </c>
      <c r="G1037" s="18" t="s">
        <v>110</v>
      </c>
      <c r="H1037" s="18" t="s">
        <v>107</v>
      </c>
      <c r="I1037" s="18" t="s">
        <v>102</v>
      </c>
      <c r="J1037" s="18" t="s">
        <v>230</v>
      </c>
      <c r="K1037" s="18" t="s">
        <v>195</v>
      </c>
      <c r="L1037" s="64" t="n">
        <v>617.535383989259</v>
      </c>
      <c r="M1037" s="64" t="n">
        <v>7.89</v>
      </c>
      <c r="N1037" s="18" t="s">
        <v>1228</v>
      </c>
      <c r="O1037" s="65" t="n">
        <v>4872.3542</v>
      </c>
      <c r="P1037" s="65" t="n">
        <v>4872.3542</v>
      </c>
      <c r="Q1037" s="65" t="n">
        <v>0</v>
      </c>
      <c r="R1037" s="65" t="s">
        <v>232</v>
      </c>
      <c r="S1037" s="66" t="n">
        <f aca="false">Model_Calc!AF177</f>
        <v>4872.35417967525</v>
      </c>
      <c r="T1037" s="66" t="n">
        <f aca="false">ROUND(S1037-O1037,4)</f>
        <v>0</v>
      </c>
    </row>
    <row r="1038" customFormat="false" ht="15" hidden="false" customHeight="false" outlineLevel="0" collapsed="false">
      <c r="A1038" s="18" t="s">
        <v>200</v>
      </c>
      <c r="B1038" s="18" t="s">
        <v>201</v>
      </c>
      <c r="C1038" s="18"/>
      <c r="D1038" s="49" t="n">
        <v>46174</v>
      </c>
      <c r="E1038" s="18" t="s">
        <v>109</v>
      </c>
      <c r="F1038" s="18" t="s">
        <v>99</v>
      </c>
      <c r="G1038" s="18" t="s">
        <v>110</v>
      </c>
      <c r="H1038" s="18" t="s">
        <v>107</v>
      </c>
      <c r="I1038" s="18" t="s">
        <v>102</v>
      </c>
      <c r="J1038" s="18" t="s">
        <v>233</v>
      </c>
      <c r="K1038" s="18" t="s">
        <v>195</v>
      </c>
      <c r="L1038" s="64" t="n">
        <v>44.9116642901279</v>
      </c>
      <c r="M1038" s="64" t="n">
        <v>7.89</v>
      </c>
      <c r="N1038" s="18" t="s">
        <v>1229</v>
      </c>
      <c r="O1038" s="65" t="n">
        <v>354.353</v>
      </c>
      <c r="P1038" s="65" t="n">
        <v>354.353</v>
      </c>
      <c r="Q1038" s="65" t="n">
        <v>0</v>
      </c>
      <c r="R1038" s="65" t="s">
        <v>232</v>
      </c>
      <c r="S1038" s="66" t="n">
        <f aca="false">Model_Calc!AG177</f>
        <v>354.353031249109</v>
      </c>
      <c r="T1038" s="66" t="n">
        <f aca="false">ROUND(S1038-O1038,4)</f>
        <v>0</v>
      </c>
    </row>
    <row r="1039" customFormat="false" ht="15" hidden="false" customHeight="false" outlineLevel="0" collapsed="false">
      <c r="A1039" s="18" t="s">
        <v>200</v>
      </c>
      <c r="B1039" s="18" t="s">
        <v>201</v>
      </c>
      <c r="C1039" s="18"/>
      <c r="D1039" s="49" t="n">
        <v>46174</v>
      </c>
      <c r="E1039" s="18" t="s">
        <v>109</v>
      </c>
      <c r="F1039" s="18" t="s">
        <v>99</v>
      </c>
      <c r="G1039" s="18" t="s">
        <v>110</v>
      </c>
      <c r="H1039" s="18" t="s">
        <v>107</v>
      </c>
      <c r="I1039" s="18" t="s">
        <v>102</v>
      </c>
      <c r="J1039" s="18" t="s">
        <v>235</v>
      </c>
      <c r="K1039" s="18" t="s">
        <v>195</v>
      </c>
      <c r="L1039" s="64" t="n">
        <v>209.4512112</v>
      </c>
      <c r="M1039" s="64" t="n">
        <v>7.89</v>
      </c>
      <c r="N1039" s="18" t="s">
        <v>1230</v>
      </c>
      <c r="O1039" s="65" t="n">
        <v>1652.5701</v>
      </c>
      <c r="P1039" s="65" t="n">
        <v>1652.5701</v>
      </c>
      <c r="Q1039" s="65" t="n">
        <v>0</v>
      </c>
      <c r="R1039" s="65" t="s">
        <v>232</v>
      </c>
      <c r="S1039" s="66" t="n">
        <f aca="false">Model_Calc!AL177</f>
        <v>1652.570056368</v>
      </c>
      <c r="T1039" s="66" t="n">
        <f aca="false">ROUND(S1039-O1039,4)</f>
        <v>0</v>
      </c>
    </row>
    <row r="1040" customFormat="false" ht="15" hidden="false" customHeight="false" outlineLevel="0" collapsed="false">
      <c r="A1040" s="18" t="s">
        <v>200</v>
      </c>
      <c r="B1040" s="18" t="s">
        <v>201</v>
      </c>
      <c r="C1040" s="18"/>
      <c r="D1040" s="49" t="n">
        <v>46174</v>
      </c>
      <c r="E1040" s="18" t="s">
        <v>109</v>
      </c>
      <c r="F1040" s="18" t="s">
        <v>99</v>
      </c>
      <c r="G1040" s="18" t="s">
        <v>110</v>
      </c>
      <c r="H1040" s="18" t="s">
        <v>107</v>
      </c>
      <c r="I1040" s="18" t="s">
        <v>102</v>
      </c>
      <c r="J1040" s="18" t="s">
        <v>237</v>
      </c>
      <c r="K1040" s="18" t="s">
        <v>195</v>
      </c>
      <c r="L1040" s="64" t="n">
        <v>82.274829487488</v>
      </c>
      <c r="M1040" s="64" t="n">
        <v>7.89</v>
      </c>
      <c r="N1040" s="18" t="s">
        <v>1231</v>
      </c>
      <c r="O1040" s="65" t="n">
        <v>649.1484</v>
      </c>
      <c r="P1040" s="65" t="n">
        <v>649.1484</v>
      </c>
      <c r="Q1040" s="65" t="n">
        <v>0</v>
      </c>
      <c r="R1040" s="65" t="s">
        <v>232</v>
      </c>
      <c r="S1040" s="66" t="n">
        <f aca="false">Model_Calc!AQ177</f>
        <v>649.14840465628</v>
      </c>
      <c r="T1040" s="66" t="n">
        <f aca="false">ROUND(S1040-O1040,4)</f>
        <v>0</v>
      </c>
    </row>
    <row r="1041" customFormat="false" ht="15" hidden="false" customHeight="false" outlineLevel="0" collapsed="false">
      <c r="A1041" s="18" t="s">
        <v>200</v>
      </c>
      <c r="B1041" s="18" t="s">
        <v>201</v>
      </c>
      <c r="C1041" s="18"/>
      <c r="D1041" s="49" t="n">
        <v>46174</v>
      </c>
      <c r="E1041" s="18" t="s">
        <v>109</v>
      </c>
      <c r="F1041" s="18" t="s">
        <v>99</v>
      </c>
      <c r="G1041" s="18" t="s">
        <v>110</v>
      </c>
      <c r="H1041" s="18" t="s">
        <v>107</v>
      </c>
      <c r="I1041" s="18" t="s">
        <v>102</v>
      </c>
      <c r="J1041" s="18" t="s">
        <v>239</v>
      </c>
      <c r="K1041" s="18" t="s">
        <v>195</v>
      </c>
      <c r="L1041" s="64" t="n">
        <v>37.90069536</v>
      </c>
      <c r="M1041" s="64" t="n">
        <v>7.89</v>
      </c>
      <c r="N1041" s="18" t="s">
        <v>1232</v>
      </c>
      <c r="O1041" s="65" t="n">
        <v>299.0365</v>
      </c>
      <c r="P1041" s="65" t="n">
        <v>299.0365</v>
      </c>
      <c r="Q1041" s="65" t="n">
        <v>0</v>
      </c>
      <c r="R1041" s="65" t="s">
        <v>232</v>
      </c>
      <c r="S1041" s="66" t="n">
        <f aca="false">Model_Calc!AV177</f>
        <v>299.0364863904</v>
      </c>
      <c r="T1041" s="66" t="n">
        <f aca="false">ROUND(S1041-O1041,4)</f>
        <v>0</v>
      </c>
    </row>
    <row r="1042" customFormat="false" ht="15" hidden="false" customHeight="false" outlineLevel="0" collapsed="false">
      <c r="A1042" s="18" t="s">
        <v>200</v>
      </c>
      <c r="B1042" s="18" t="s">
        <v>201</v>
      </c>
      <c r="C1042" s="18"/>
      <c r="D1042" s="49" t="n">
        <v>46174</v>
      </c>
      <c r="E1042" s="18" t="s">
        <v>109</v>
      </c>
      <c r="F1042" s="18" t="s">
        <v>99</v>
      </c>
      <c r="G1042" s="18" t="s">
        <v>110</v>
      </c>
      <c r="H1042" s="18" t="s">
        <v>107</v>
      </c>
      <c r="I1042" s="18" t="s">
        <v>102</v>
      </c>
      <c r="J1042" s="18" t="s">
        <v>241</v>
      </c>
      <c r="K1042" s="18" t="s">
        <v>195</v>
      </c>
      <c r="L1042" s="64" t="n">
        <v>7.11114342022909</v>
      </c>
      <c r="M1042" s="64" t="n">
        <v>7.89</v>
      </c>
      <c r="N1042" s="18" t="s">
        <v>1233</v>
      </c>
      <c r="O1042" s="65" t="n">
        <v>56.1069</v>
      </c>
      <c r="P1042" s="65" t="n">
        <v>56.1069</v>
      </c>
      <c r="Q1042" s="65" t="n">
        <v>0</v>
      </c>
      <c r="R1042" s="65" t="s">
        <v>232</v>
      </c>
      <c r="S1042" s="66" t="n">
        <f aca="false">Model_Calc!BA177</f>
        <v>56.1069215856076</v>
      </c>
      <c r="T1042" s="66" t="n">
        <f aca="false">ROUND(S1042-O1042,4)</f>
        <v>0</v>
      </c>
    </row>
    <row r="1043" customFormat="false" ht="15" hidden="false" customHeight="false" outlineLevel="0" collapsed="false">
      <c r="A1043" s="18" t="s">
        <v>200</v>
      </c>
      <c r="B1043" s="18" t="s">
        <v>201</v>
      </c>
      <c r="C1043" s="18"/>
      <c r="D1043" s="49" t="n">
        <v>46174</v>
      </c>
      <c r="E1043" s="18" t="s">
        <v>112</v>
      </c>
      <c r="F1043" s="18" t="s">
        <v>113</v>
      </c>
      <c r="G1043" s="18" t="s">
        <v>110</v>
      </c>
      <c r="H1043" s="18" t="s">
        <v>101</v>
      </c>
      <c r="I1043" s="18" t="s">
        <v>102</v>
      </c>
      <c r="J1043" s="18" t="s">
        <v>230</v>
      </c>
      <c r="K1043" s="18" t="s">
        <v>195</v>
      </c>
      <c r="L1043" s="64" t="n">
        <v>3279.12848141211</v>
      </c>
      <c r="M1043" s="64" t="n">
        <v>7.89</v>
      </c>
      <c r="N1043" s="18" t="s">
        <v>1234</v>
      </c>
      <c r="O1043" s="65" t="n">
        <v>25872.3237</v>
      </c>
      <c r="P1043" s="65" t="n">
        <v>25872.3237</v>
      </c>
      <c r="Q1043" s="65" t="n">
        <v>0</v>
      </c>
      <c r="R1043" s="65" t="s">
        <v>232</v>
      </c>
      <c r="S1043" s="66" t="n">
        <f aca="false">Model_Calc!AF178</f>
        <v>25872.3237183415</v>
      </c>
      <c r="T1043" s="66" t="n">
        <f aca="false">ROUND(S1043-O1043,4)</f>
        <v>0</v>
      </c>
    </row>
    <row r="1044" customFormat="false" ht="15" hidden="false" customHeight="false" outlineLevel="0" collapsed="false">
      <c r="A1044" s="18" t="s">
        <v>200</v>
      </c>
      <c r="B1044" s="18" t="s">
        <v>201</v>
      </c>
      <c r="C1044" s="18"/>
      <c r="D1044" s="49" t="n">
        <v>46174</v>
      </c>
      <c r="E1044" s="18" t="s">
        <v>112</v>
      </c>
      <c r="F1044" s="18" t="s">
        <v>113</v>
      </c>
      <c r="G1044" s="18" t="s">
        <v>110</v>
      </c>
      <c r="H1044" s="18" t="s">
        <v>101</v>
      </c>
      <c r="I1044" s="18" t="s">
        <v>102</v>
      </c>
      <c r="J1044" s="18" t="s">
        <v>233</v>
      </c>
      <c r="K1044" s="18" t="s">
        <v>195</v>
      </c>
      <c r="L1044" s="64" t="n">
        <v>298.663022087015</v>
      </c>
      <c r="M1044" s="64" t="n">
        <v>7.89</v>
      </c>
      <c r="N1044" s="18" t="s">
        <v>1235</v>
      </c>
      <c r="O1044" s="65" t="n">
        <v>2356.4512</v>
      </c>
      <c r="P1044" s="65" t="n">
        <v>2356.4512</v>
      </c>
      <c r="Q1044" s="65" t="n">
        <v>0</v>
      </c>
      <c r="R1044" s="65" t="s">
        <v>232</v>
      </c>
      <c r="S1044" s="66" t="n">
        <f aca="false">Model_Calc!AG178</f>
        <v>2356.45124426655</v>
      </c>
      <c r="T1044" s="66" t="n">
        <f aca="false">ROUND(S1044-O1044,4)</f>
        <v>0</v>
      </c>
    </row>
    <row r="1045" customFormat="false" ht="15" hidden="false" customHeight="false" outlineLevel="0" collapsed="false">
      <c r="A1045" s="18" t="s">
        <v>200</v>
      </c>
      <c r="B1045" s="18" t="s">
        <v>201</v>
      </c>
      <c r="C1045" s="18"/>
      <c r="D1045" s="49" t="n">
        <v>46174</v>
      </c>
      <c r="E1045" s="18" t="s">
        <v>112</v>
      </c>
      <c r="F1045" s="18" t="s">
        <v>113</v>
      </c>
      <c r="G1045" s="18" t="s">
        <v>110</v>
      </c>
      <c r="H1045" s="18" t="s">
        <v>101</v>
      </c>
      <c r="I1045" s="18" t="s">
        <v>102</v>
      </c>
      <c r="J1045" s="18" t="s">
        <v>235</v>
      </c>
      <c r="K1045" s="18" t="s">
        <v>195</v>
      </c>
      <c r="L1045" s="64" t="n">
        <v>2015.00838</v>
      </c>
      <c r="M1045" s="64" t="n">
        <v>7.89</v>
      </c>
      <c r="N1045" s="18" t="s">
        <v>1236</v>
      </c>
      <c r="O1045" s="65" t="n">
        <v>15898.4161</v>
      </c>
      <c r="P1045" s="65" t="n">
        <v>15898.4161</v>
      </c>
      <c r="Q1045" s="65" t="n">
        <v>0</v>
      </c>
      <c r="R1045" s="65" t="s">
        <v>232</v>
      </c>
      <c r="S1045" s="66" t="n">
        <f aca="false">Model_Calc!AL178</f>
        <v>15898.4161182</v>
      </c>
      <c r="T1045" s="66" t="n">
        <f aca="false">ROUND(S1045-O1045,4)</f>
        <v>0</v>
      </c>
    </row>
    <row r="1046" customFormat="false" ht="15" hidden="false" customHeight="false" outlineLevel="0" collapsed="false">
      <c r="A1046" s="18" t="s">
        <v>200</v>
      </c>
      <c r="B1046" s="18" t="s">
        <v>201</v>
      </c>
      <c r="C1046" s="18"/>
      <c r="D1046" s="49" t="n">
        <v>46174</v>
      </c>
      <c r="E1046" s="18" t="s">
        <v>112</v>
      </c>
      <c r="F1046" s="18" t="s">
        <v>113</v>
      </c>
      <c r="G1046" s="18" t="s">
        <v>110</v>
      </c>
      <c r="H1046" s="18" t="s">
        <v>101</v>
      </c>
      <c r="I1046" s="18" t="s">
        <v>102</v>
      </c>
      <c r="J1046" s="18" t="s">
        <v>237</v>
      </c>
      <c r="K1046" s="18" t="s">
        <v>195</v>
      </c>
      <c r="L1046" s="64" t="n">
        <v>776.8605736584</v>
      </c>
      <c r="M1046" s="64" t="n">
        <v>7.89</v>
      </c>
      <c r="N1046" s="18" t="s">
        <v>1237</v>
      </c>
      <c r="O1046" s="65" t="n">
        <v>6129.4299</v>
      </c>
      <c r="P1046" s="65" t="n">
        <v>6129.4299</v>
      </c>
      <c r="Q1046" s="65" t="n">
        <v>0</v>
      </c>
      <c r="R1046" s="65" t="s">
        <v>232</v>
      </c>
      <c r="S1046" s="66" t="n">
        <f aca="false">Model_Calc!AQ178</f>
        <v>6129.42992616478</v>
      </c>
      <c r="T1046" s="66" t="n">
        <f aca="false">ROUND(S1046-O1046,4)</f>
        <v>0</v>
      </c>
    </row>
    <row r="1047" customFormat="false" ht="15" hidden="false" customHeight="false" outlineLevel="0" collapsed="false">
      <c r="A1047" s="18" t="s">
        <v>200</v>
      </c>
      <c r="B1047" s="18" t="s">
        <v>201</v>
      </c>
      <c r="C1047" s="18"/>
      <c r="D1047" s="49" t="n">
        <v>46174</v>
      </c>
      <c r="E1047" s="18" t="s">
        <v>112</v>
      </c>
      <c r="F1047" s="18" t="s">
        <v>113</v>
      </c>
      <c r="G1047" s="18" t="s">
        <v>110</v>
      </c>
      <c r="H1047" s="18" t="s">
        <v>101</v>
      </c>
      <c r="I1047" s="18" t="s">
        <v>102</v>
      </c>
      <c r="J1047" s="18" t="s">
        <v>239</v>
      </c>
      <c r="K1047" s="18" t="s">
        <v>195</v>
      </c>
      <c r="L1047" s="64" t="n">
        <v>345.430008</v>
      </c>
      <c r="M1047" s="64" t="n">
        <v>7.89</v>
      </c>
      <c r="N1047" s="18" t="s">
        <v>1238</v>
      </c>
      <c r="O1047" s="65" t="n">
        <v>2725.4428</v>
      </c>
      <c r="P1047" s="65" t="n">
        <v>2725.4428</v>
      </c>
      <c r="Q1047" s="65" t="n">
        <v>0</v>
      </c>
      <c r="R1047" s="65" t="s">
        <v>232</v>
      </c>
      <c r="S1047" s="66" t="n">
        <f aca="false">Model_Calc!AV178</f>
        <v>2725.44276312</v>
      </c>
      <c r="T1047" s="66" t="n">
        <f aca="false">ROUND(S1047-O1047,4)</f>
        <v>0</v>
      </c>
    </row>
    <row r="1048" customFormat="false" ht="15" hidden="false" customHeight="false" outlineLevel="0" collapsed="false">
      <c r="A1048" s="18" t="s">
        <v>200</v>
      </c>
      <c r="B1048" s="18" t="s">
        <v>201</v>
      </c>
      <c r="C1048" s="18"/>
      <c r="D1048" s="49" t="n">
        <v>46174</v>
      </c>
      <c r="E1048" s="18" t="s">
        <v>112</v>
      </c>
      <c r="F1048" s="18" t="s">
        <v>113</v>
      </c>
      <c r="G1048" s="18" t="s">
        <v>110</v>
      </c>
      <c r="H1048" s="18" t="s">
        <v>101</v>
      </c>
      <c r="I1048" s="18" t="s">
        <v>102</v>
      </c>
      <c r="J1048" s="18" t="s">
        <v>241</v>
      </c>
      <c r="K1048" s="18" t="s">
        <v>195</v>
      </c>
      <c r="L1048" s="64" t="n">
        <v>81.5335615753798</v>
      </c>
      <c r="M1048" s="64" t="n">
        <v>7.89</v>
      </c>
      <c r="N1048" s="18" t="s">
        <v>1239</v>
      </c>
      <c r="O1048" s="65" t="n">
        <v>643.2998</v>
      </c>
      <c r="P1048" s="65" t="n">
        <v>643.2998</v>
      </c>
      <c r="Q1048" s="65" t="n">
        <v>0</v>
      </c>
      <c r="R1048" s="65" t="s">
        <v>232</v>
      </c>
      <c r="S1048" s="66" t="n">
        <f aca="false">Model_Calc!BA178</f>
        <v>643.299800829746</v>
      </c>
      <c r="T1048" s="66" t="n">
        <f aca="false">ROUND(S1048-O1048,4)</f>
        <v>0</v>
      </c>
    </row>
    <row r="1049" customFormat="false" ht="15" hidden="false" customHeight="false" outlineLevel="0" collapsed="false">
      <c r="A1049" s="18" t="s">
        <v>200</v>
      </c>
      <c r="B1049" s="18" t="s">
        <v>201</v>
      </c>
      <c r="C1049" s="18"/>
      <c r="D1049" s="49" t="n">
        <v>46174</v>
      </c>
      <c r="E1049" s="18" t="s">
        <v>116</v>
      </c>
      <c r="F1049" s="18" t="s">
        <v>113</v>
      </c>
      <c r="G1049" s="18" t="s">
        <v>110</v>
      </c>
      <c r="H1049" s="18" t="s">
        <v>107</v>
      </c>
      <c r="I1049" s="18" t="s">
        <v>102</v>
      </c>
      <c r="J1049" s="18" t="s">
        <v>230</v>
      </c>
      <c r="K1049" s="18" t="s">
        <v>195</v>
      </c>
      <c r="L1049" s="64" t="n">
        <v>7837.38710263749</v>
      </c>
      <c r="M1049" s="64" t="n">
        <v>7.89</v>
      </c>
      <c r="N1049" s="18" t="s">
        <v>1240</v>
      </c>
      <c r="O1049" s="65" t="n">
        <v>61836.9842</v>
      </c>
      <c r="P1049" s="65" t="n">
        <v>61836.9842</v>
      </c>
      <c r="Q1049" s="65" t="n">
        <v>0</v>
      </c>
      <c r="R1049" s="65" t="s">
        <v>232</v>
      </c>
      <c r="S1049" s="66" t="n">
        <f aca="false">Model_Calc!AF179</f>
        <v>61836.9842398098</v>
      </c>
      <c r="T1049" s="66" t="n">
        <f aca="false">ROUND(S1049-O1049,4)</f>
        <v>0</v>
      </c>
    </row>
    <row r="1050" customFormat="false" ht="15" hidden="false" customHeight="false" outlineLevel="0" collapsed="false">
      <c r="A1050" s="18" t="s">
        <v>200</v>
      </c>
      <c r="B1050" s="18" t="s">
        <v>201</v>
      </c>
      <c r="C1050" s="18"/>
      <c r="D1050" s="49" t="n">
        <v>46174</v>
      </c>
      <c r="E1050" s="18" t="s">
        <v>116</v>
      </c>
      <c r="F1050" s="18" t="s">
        <v>113</v>
      </c>
      <c r="G1050" s="18" t="s">
        <v>110</v>
      </c>
      <c r="H1050" s="18" t="s">
        <v>107</v>
      </c>
      <c r="I1050" s="18" t="s">
        <v>102</v>
      </c>
      <c r="J1050" s="18" t="s">
        <v>233</v>
      </c>
      <c r="K1050" s="18" t="s">
        <v>195</v>
      </c>
      <c r="L1050" s="64" t="n">
        <v>602.875930972115</v>
      </c>
      <c r="M1050" s="64" t="n">
        <v>7.89</v>
      </c>
      <c r="N1050" s="18" t="s">
        <v>1241</v>
      </c>
      <c r="O1050" s="65" t="n">
        <v>4756.6911</v>
      </c>
      <c r="P1050" s="65" t="n">
        <v>4756.6911</v>
      </c>
      <c r="Q1050" s="65" t="n">
        <v>0</v>
      </c>
      <c r="R1050" s="65" t="s">
        <v>232</v>
      </c>
      <c r="S1050" s="66" t="n">
        <f aca="false">Model_Calc!AG179</f>
        <v>4756.69109536999</v>
      </c>
      <c r="T1050" s="66" t="n">
        <f aca="false">ROUND(S1050-O1050,4)</f>
        <v>0</v>
      </c>
    </row>
    <row r="1051" customFormat="false" ht="15" hidden="false" customHeight="false" outlineLevel="0" collapsed="false">
      <c r="A1051" s="18" t="s">
        <v>200</v>
      </c>
      <c r="B1051" s="18" t="s">
        <v>201</v>
      </c>
      <c r="C1051" s="18"/>
      <c r="D1051" s="49" t="n">
        <v>46174</v>
      </c>
      <c r="E1051" s="18" t="s">
        <v>116</v>
      </c>
      <c r="F1051" s="18" t="s">
        <v>113</v>
      </c>
      <c r="G1051" s="18" t="s">
        <v>110</v>
      </c>
      <c r="H1051" s="18" t="s">
        <v>107</v>
      </c>
      <c r="I1051" s="18" t="s">
        <v>102</v>
      </c>
      <c r="J1051" s="18" t="s">
        <v>235</v>
      </c>
      <c r="K1051" s="18" t="s">
        <v>195</v>
      </c>
      <c r="L1051" s="64" t="n">
        <v>3742.15842</v>
      </c>
      <c r="M1051" s="64" t="n">
        <v>7.89</v>
      </c>
      <c r="N1051" s="18" t="s">
        <v>1242</v>
      </c>
      <c r="O1051" s="65" t="n">
        <v>29525.6299</v>
      </c>
      <c r="P1051" s="65" t="n">
        <v>29525.6299</v>
      </c>
      <c r="Q1051" s="65" t="n">
        <v>0</v>
      </c>
      <c r="R1051" s="65" t="s">
        <v>232</v>
      </c>
      <c r="S1051" s="66" t="n">
        <f aca="false">Model_Calc!AL179</f>
        <v>29525.6299338</v>
      </c>
      <c r="T1051" s="66" t="n">
        <f aca="false">ROUND(S1051-O1051,4)</f>
        <v>0</v>
      </c>
    </row>
    <row r="1052" customFormat="false" ht="15" hidden="false" customHeight="false" outlineLevel="0" collapsed="false">
      <c r="A1052" s="18" t="s">
        <v>200</v>
      </c>
      <c r="B1052" s="18" t="s">
        <v>201</v>
      </c>
      <c r="C1052" s="18"/>
      <c r="D1052" s="49" t="n">
        <v>46174</v>
      </c>
      <c r="E1052" s="18" t="s">
        <v>116</v>
      </c>
      <c r="F1052" s="18" t="s">
        <v>113</v>
      </c>
      <c r="G1052" s="18" t="s">
        <v>110</v>
      </c>
      <c r="H1052" s="18" t="s">
        <v>107</v>
      </c>
      <c r="I1052" s="18" t="s">
        <v>102</v>
      </c>
      <c r="J1052" s="18" t="s">
        <v>237</v>
      </c>
      <c r="K1052" s="18" t="s">
        <v>195</v>
      </c>
      <c r="L1052" s="64" t="n">
        <v>1442.7410653656</v>
      </c>
      <c r="M1052" s="64" t="n">
        <v>7.89</v>
      </c>
      <c r="N1052" s="18" t="s">
        <v>1243</v>
      </c>
      <c r="O1052" s="65" t="n">
        <v>11383.227</v>
      </c>
      <c r="P1052" s="65" t="n">
        <v>11383.227</v>
      </c>
      <c r="Q1052" s="65" t="n">
        <v>0</v>
      </c>
      <c r="R1052" s="65" t="s">
        <v>232</v>
      </c>
      <c r="S1052" s="66" t="n">
        <f aca="false">Model_Calc!AQ179</f>
        <v>11383.2270057346</v>
      </c>
      <c r="T1052" s="66" t="n">
        <f aca="false">ROUND(S1052-O1052,4)</f>
        <v>0</v>
      </c>
    </row>
    <row r="1053" customFormat="false" ht="15" hidden="false" customHeight="false" outlineLevel="0" collapsed="false">
      <c r="A1053" s="18" t="s">
        <v>200</v>
      </c>
      <c r="B1053" s="18" t="s">
        <v>201</v>
      </c>
      <c r="C1053" s="18"/>
      <c r="D1053" s="49" t="n">
        <v>46174</v>
      </c>
      <c r="E1053" s="18" t="s">
        <v>116</v>
      </c>
      <c r="F1053" s="18" t="s">
        <v>113</v>
      </c>
      <c r="G1053" s="18" t="s">
        <v>110</v>
      </c>
      <c r="H1053" s="18" t="s">
        <v>107</v>
      </c>
      <c r="I1053" s="18" t="s">
        <v>102</v>
      </c>
      <c r="J1053" s="18" t="s">
        <v>239</v>
      </c>
      <c r="K1053" s="18" t="s">
        <v>195</v>
      </c>
      <c r="L1053" s="64" t="n">
        <v>641.512872</v>
      </c>
      <c r="M1053" s="64" t="n">
        <v>7.89</v>
      </c>
      <c r="N1053" s="18" t="s">
        <v>1244</v>
      </c>
      <c r="O1053" s="65" t="n">
        <v>5061.5366</v>
      </c>
      <c r="P1053" s="65" t="n">
        <v>5061.5366</v>
      </c>
      <c r="Q1053" s="65" t="n">
        <v>0</v>
      </c>
      <c r="R1053" s="65" t="s">
        <v>232</v>
      </c>
      <c r="S1053" s="66" t="n">
        <f aca="false">Model_Calc!AV179</f>
        <v>5061.53656008</v>
      </c>
      <c r="T1053" s="66" t="n">
        <f aca="false">ROUND(S1053-O1053,4)</f>
        <v>0</v>
      </c>
    </row>
    <row r="1054" customFormat="false" ht="15" hidden="false" customHeight="false" outlineLevel="0" collapsed="false">
      <c r="A1054" s="18" t="s">
        <v>200</v>
      </c>
      <c r="B1054" s="18" t="s">
        <v>201</v>
      </c>
      <c r="C1054" s="18"/>
      <c r="D1054" s="49" t="n">
        <v>46174</v>
      </c>
      <c r="E1054" s="18" t="s">
        <v>116</v>
      </c>
      <c r="F1054" s="18" t="s">
        <v>113</v>
      </c>
      <c r="G1054" s="18" t="s">
        <v>110</v>
      </c>
      <c r="H1054" s="18" t="s">
        <v>107</v>
      </c>
      <c r="I1054" s="18" t="s">
        <v>102</v>
      </c>
      <c r="J1054" s="18" t="s">
        <v>241</v>
      </c>
      <c r="K1054" s="18" t="s">
        <v>195</v>
      </c>
      <c r="L1054" s="64" t="n">
        <v>124.698388291757</v>
      </c>
      <c r="M1054" s="64" t="n">
        <v>7.89</v>
      </c>
      <c r="N1054" s="18" t="s">
        <v>1245</v>
      </c>
      <c r="O1054" s="65" t="n">
        <v>983.8703</v>
      </c>
      <c r="P1054" s="65" t="n">
        <v>983.8703</v>
      </c>
      <c r="Q1054" s="65" t="n">
        <v>0</v>
      </c>
      <c r="R1054" s="65" t="s">
        <v>232</v>
      </c>
      <c r="S1054" s="66" t="n">
        <f aca="false">Model_Calc!BA179</f>
        <v>983.870283621965</v>
      </c>
      <c r="T1054" s="66" t="n">
        <f aca="false">ROUND(S1054-O1054,4)</f>
        <v>0</v>
      </c>
    </row>
    <row r="1055" customFormat="false" ht="15" hidden="false" customHeight="false" outlineLevel="0" collapsed="false">
      <c r="A1055" s="18" t="s">
        <v>200</v>
      </c>
      <c r="B1055" s="18" t="s">
        <v>201</v>
      </c>
      <c r="C1055" s="18"/>
      <c r="D1055" s="49" t="n">
        <v>46174</v>
      </c>
      <c r="E1055" s="18" t="s">
        <v>118</v>
      </c>
      <c r="F1055" s="18" t="s">
        <v>119</v>
      </c>
      <c r="G1055" s="18" t="s">
        <v>100</v>
      </c>
      <c r="H1055" s="18" t="s">
        <v>101</v>
      </c>
      <c r="I1055" s="18" t="s">
        <v>102</v>
      </c>
      <c r="J1055" s="18" t="s">
        <v>230</v>
      </c>
      <c r="K1055" s="18" t="s">
        <v>199</v>
      </c>
      <c r="L1055" s="64" t="n">
        <v>14488.5465253791</v>
      </c>
      <c r="M1055" s="64" t="n">
        <v>9.16</v>
      </c>
      <c r="N1055" s="18" t="s">
        <v>1246</v>
      </c>
      <c r="O1055" s="65" t="n">
        <v>132715.0862</v>
      </c>
      <c r="P1055" s="65" t="n">
        <v>132715.0862</v>
      </c>
      <c r="Q1055" s="65" t="n">
        <v>0</v>
      </c>
      <c r="R1055" s="65" t="s">
        <v>232</v>
      </c>
      <c r="S1055" s="66" t="n">
        <f aca="false">Model_Calc!AF180</f>
        <v>132715.086172472</v>
      </c>
      <c r="T1055" s="66" t="n">
        <f aca="false">ROUND(S1055-O1055,4)</f>
        <v>0</v>
      </c>
    </row>
    <row r="1056" customFormat="false" ht="15" hidden="false" customHeight="false" outlineLevel="0" collapsed="false">
      <c r="A1056" s="18" t="s">
        <v>200</v>
      </c>
      <c r="B1056" s="18" t="s">
        <v>201</v>
      </c>
      <c r="C1056" s="18"/>
      <c r="D1056" s="49" t="n">
        <v>46174</v>
      </c>
      <c r="E1056" s="18" t="s">
        <v>118</v>
      </c>
      <c r="F1056" s="18" t="s">
        <v>119</v>
      </c>
      <c r="G1056" s="18" t="s">
        <v>100</v>
      </c>
      <c r="H1056" s="18" t="s">
        <v>101</v>
      </c>
      <c r="I1056" s="18" t="s">
        <v>102</v>
      </c>
      <c r="J1056" s="18" t="s">
        <v>233</v>
      </c>
      <c r="K1056" s="18" t="s">
        <v>199</v>
      </c>
      <c r="L1056" s="64" t="n">
        <v>1466.24090836836</v>
      </c>
      <c r="M1056" s="64" t="n">
        <v>9.16</v>
      </c>
      <c r="N1056" s="18" t="s">
        <v>1247</v>
      </c>
      <c r="O1056" s="65" t="n">
        <v>13430.7667</v>
      </c>
      <c r="P1056" s="65" t="n">
        <v>13430.7667</v>
      </c>
      <c r="Q1056" s="65" t="n">
        <v>0</v>
      </c>
      <c r="R1056" s="65" t="s">
        <v>232</v>
      </c>
      <c r="S1056" s="66" t="n">
        <f aca="false">Model_Calc!AG180</f>
        <v>13430.7667206542</v>
      </c>
      <c r="T1056" s="66" t="n">
        <f aca="false">ROUND(S1056-O1056,4)</f>
        <v>0</v>
      </c>
    </row>
    <row r="1057" customFormat="false" ht="15" hidden="false" customHeight="false" outlineLevel="0" collapsed="false">
      <c r="A1057" s="18" t="s">
        <v>200</v>
      </c>
      <c r="B1057" s="18" t="s">
        <v>201</v>
      </c>
      <c r="C1057" s="18"/>
      <c r="D1057" s="49" t="n">
        <v>46174</v>
      </c>
      <c r="E1057" s="18" t="s">
        <v>118</v>
      </c>
      <c r="F1057" s="18" t="s">
        <v>119</v>
      </c>
      <c r="G1057" s="18" t="s">
        <v>100</v>
      </c>
      <c r="H1057" s="18" t="s">
        <v>101</v>
      </c>
      <c r="I1057" s="18" t="s">
        <v>102</v>
      </c>
      <c r="J1057" s="18" t="s">
        <v>235</v>
      </c>
      <c r="K1057" s="18" t="s">
        <v>195</v>
      </c>
      <c r="L1057" s="64" t="n">
        <v>3704.2178291712</v>
      </c>
      <c r="M1057" s="64" t="n">
        <v>7.89</v>
      </c>
      <c r="N1057" s="18" t="s">
        <v>1248</v>
      </c>
      <c r="O1057" s="65" t="n">
        <v>29226.2787</v>
      </c>
      <c r="P1057" s="65" t="n">
        <v>29226.2787</v>
      </c>
      <c r="Q1057" s="65" t="n">
        <v>0</v>
      </c>
      <c r="R1057" s="65" t="s">
        <v>232</v>
      </c>
      <c r="S1057" s="66" t="n">
        <f aca="false">Model_Calc!AL180</f>
        <v>29226.2786721608</v>
      </c>
      <c r="T1057" s="66" t="n">
        <f aca="false">ROUND(S1057-O1057,4)</f>
        <v>0</v>
      </c>
    </row>
    <row r="1058" customFormat="false" ht="15" hidden="false" customHeight="false" outlineLevel="0" collapsed="false">
      <c r="A1058" s="18" t="s">
        <v>200</v>
      </c>
      <c r="B1058" s="18" t="s">
        <v>201</v>
      </c>
      <c r="C1058" s="18"/>
      <c r="D1058" s="49" t="n">
        <v>46174</v>
      </c>
      <c r="E1058" s="18" t="s">
        <v>118</v>
      </c>
      <c r="F1058" s="18" t="s">
        <v>119</v>
      </c>
      <c r="G1058" s="18" t="s">
        <v>100</v>
      </c>
      <c r="H1058" s="18" t="s">
        <v>101</v>
      </c>
      <c r="I1058" s="18" t="s">
        <v>102</v>
      </c>
      <c r="J1058" s="18" t="s">
        <v>237</v>
      </c>
      <c r="K1058" s="18" t="s">
        <v>195</v>
      </c>
      <c r="L1058" s="64" t="n">
        <v>1484.04778574266</v>
      </c>
      <c r="M1058" s="64" t="n">
        <v>7.89</v>
      </c>
      <c r="N1058" s="18" t="s">
        <v>1249</v>
      </c>
      <c r="O1058" s="65" t="n">
        <v>11709.137</v>
      </c>
      <c r="P1058" s="65" t="n">
        <v>11709.137</v>
      </c>
      <c r="Q1058" s="65" t="n">
        <v>0</v>
      </c>
      <c r="R1058" s="65" t="s">
        <v>232</v>
      </c>
      <c r="S1058" s="66" t="n">
        <f aca="false">Model_Calc!AQ180</f>
        <v>11709.1370295096</v>
      </c>
      <c r="T1058" s="66" t="n">
        <f aca="false">ROUND(S1058-O1058,4)</f>
        <v>0</v>
      </c>
    </row>
    <row r="1059" customFormat="false" ht="15" hidden="false" customHeight="false" outlineLevel="0" collapsed="false">
      <c r="A1059" s="18" t="s">
        <v>200</v>
      </c>
      <c r="B1059" s="18" t="s">
        <v>201</v>
      </c>
      <c r="C1059" s="18"/>
      <c r="D1059" s="49" t="n">
        <v>46174</v>
      </c>
      <c r="E1059" s="18" t="s">
        <v>118</v>
      </c>
      <c r="F1059" s="18" t="s">
        <v>119</v>
      </c>
      <c r="G1059" s="18" t="s">
        <v>100</v>
      </c>
      <c r="H1059" s="18" t="s">
        <v>101</v>
      </c>
      <c r="I1059" s="18" t="s">
        <v>102</v>
      </c>
      <c r="J1059" s="18" t="s">
        <v>239</v>
      </c>
      <c r="K1059" s="18" t="s">
        <v>199</v>
      </c>
      <c r="L1059" s="64" t="n">
        <v>1205.44037830656</v>
      </c>
      <c r="M1059" s="64" t="n">
        <v>9.16</v>
      </c>
      <c r="N1059" s="18" t="s">
        <v>1250</v>
      </c>
      <c r="O1059" s="65" t="n">
        <v>11041.8339</v>
      </c>
      <c r="P1059" s="65" t="n">
        <v>11041.8339</v>
      </c>
      <c r="Q1059" s="65" t="n">
        <v>0</v>
      </c>
      <c r="R1059" s="65" t="s">
        <v>232</v>
      </c>
      <c r="S1059" s="66" t="n">
        <f aca="false">Model_Calc!AV180</f>
        <v>11041.8338652881</v>
      </c>
      <c r="T1059" s="66" t="n">
        <f aca="false">ROUND(S1059-O1059,4)</f>
        <v>0</v>
      </c>
    </row>
    <row r="1060" customFormat="false" ht="15" hidden="false" customHeight="false" outlineLevel="0" collapsed="false">
      <c r="A1060" s="18" t="s">
        <v>200</v>
      </c>
      <c r="B1060" s="18" t="s">
        <v>201</v>
      </c>
      <c r="C1060" s="18"/>
      <c r="D1060" s="49" t="n">
        <v>46174</v>
      </c>
      <c r="E1060" s="18" t="s">
        <v>118</v>
      </c>
      <c r="F1060" s="18" t="s">
        <v>119</v>
      </c>
      <c r="G1060" s="18" t="s">
        <v>100</v>
      </c>
      <c r="H1060" s="18" t="s">
        <v>101</v>
      </c>
      <c r="I1060" s="18" t="s">
        <v>102</v>
      </c>
      <c r="J1060" s="18" t="s">
        <v>241</v>
      </c>
      <c r="K1060" s="18" t="s">
        <v>199</v>
      </c>
      <c r="L1060" s="64" t="n">
        <v>182.36827218512</v>
      </c>
      <c r="M1060" s="64" t="n">
        <v>9.16</v>
      </c>
      <c r="N1060" s="18" t="s">
        <v>1251</v>
      </c>
      <c r="O1060" s="65" t="n">
        <v>1670.4934</v>
      </c>
      <c r="P1060" s="65" t="n">
        <v>1670.4934</v>
      </c>
      <c r="Q1060" s="65" t="n">
        <v>0</v>
      </c>
      <c r="R1060" s="65" t="s">
        <v>232</v>
      </c>
      <c r="S1060" s="66" t="n">
        <f aca="false">Model_Calc!BA180</f>
        <v>1670.4933732157</v>
      </c>
      <c r="T1060" s="66" t="n">
        <f aca="false">ROUND(S1060-O1060,4)</f>
        <v>0</v>
      </c>
    </row>
    <row r="1061" customFormat="false" ht="15" hidden="false" customHeight="false" outlineLevel="0" collapsed="false">
      <c r="A1061" s="18" t="s">
        <v>200</v>
      </c>
      <c r="B1061" s="18" t="s">
        <v>201</v>
      </c>
      <c r="C1061" s="18"/>
      <c r="D1061" s="49" t="n">
        <v>46174</v>
      </c>
      <c r="E1061" s="18" t="s">
        <v>122</v>
      </c>
      <c r="F1061" s="18" t="s">
        <v>119</v>
      </c>
      <c r="G1061" s="18" t="s">
        <v>100</v>
      </c>
      <c r="H1061" s="18" t="s">
        <v>107</v>
      </c>
      <c r="I1061" s="18" t="s">
        <v>102</v>
      </c>
      <c r="J1061" s="18" t="s">
        <v>230</v>
      </c>
      <c r="K1061" s="18" t="s">
        <v>199</v>
      </c>
      <c r="L1061" s="64" t="n">
        <v>6729.93444312161</v>
      </c>
      <c r="M1061" s="64" t="n">
        <v>9.16</v>
      </c>
      <c r="N1061" s="18" t="s">
        <v>1252</v>
      </c>
      <c r="O1061" s="65" t="n">
        <v>61646.1995</v>
      </c>
      <c r="P1061" s="65" t="n">
        <v>61646.1995</v>
      </c>
      <c r="Q1061" s="65" t="n">
        <v>0</v>
      </c>
      <c r="R1061" s="65" t="s">
        <v>232</v>
      </c>
      <c r="S1061" s="66" t="n">
        <f aca="false">Model_Calc!AF181</f>
        <v>61646.199498994</v>
      </c>
      <c r="T1061" s="66" t="n">
        <f aca="false">ROUND(S1061-O1061,4)</f>
        <v>0</v>
      </c>
    </row>
    <row r="1062" customFormat="false" ht="15" hidden="false" customHeight="false" outlineLevel="0" collapsed="false">
      <c r="A1062" s="18" t="s">
        <v>200</v>
      </c>
      <c r="B1062" s="18" t="s">
        <v>201</v>
      </c>
      <c r="C1062" s="18"/>
      <c r="D1062" s="49" t="n">
        <v>46174</v>
      </c>
      <c r="E1062" s="18" t="s">
        <v>122</v>
      </c>
      <c r="F1062" s="18" t="s">
        <v>119</v>
      </c>
      <c r="G1062" s="18" t="s">
        <v>100</v>
      </c>
      <c r="H1062" s="18" t="s">
        <v>107</v>
      </c>
      <c r="I1062" s="18" t="s">
        <v>102</v>
      </c>
      <c r="J1062" s="18" t="s">
        <v>233</v>
      </c>
      <c r="K1062" s="18" t="s">
        <v>199</v>
      </c>
      <c r="L1062" s="64" t="n">
        <v>472.527311963858</v>
      </c>
      <c r="M1062" s="64" t="n">
        <v>9.16</v>
      </c>
      <c r="N1062" s="18" t="s">
        <v>1253</v>
      </c>
      <c r="O1062" s="65" t="n">
        <v>4328.3502</v>
      </c>
      <c r="P1062" s="65" t="n">
        <v>4328.3502</v>
      </c>
      <c r="Q1062" s="65" t="n">
        <v>0</v>
      </c>
      <c r="R1062" s="65" t="s">
        <v>232</v>
      </c>
      <c r="S1062" s="66" t="n">
        <f aca="false">Model_Calc!AG181</f>
        <v>4328.35017758894</v>
      </c>
      <c r="T1062" s="66" t="n">
        <f aca="false">ROUND(S1062-O1062,4)</f>
        <v>0</v>
      </c>
    </row>
    <row r="1063" customFormat="false" ht="15" hidden="false" customHeight="false" outlineLevel="0" collapsed="false">
      <c r="A1063" s="18" t="s">
        <v>200</v>
      </c>
      <c r="B1063" s="18" t="s">
        <v>201</v>
      </c>
      <c r="C1063" s="18"/>
      <c r="D1063" s="49" t="n">
        <v>46174</v>
      </c>
      <c r="E1063" s="18" t="s">
        <v>122</v>
      </c>
      <c r="F1063" s="18" t="s">
        <v>119</v>
      </c>
      <c r="G1063" s="18" t="s">
        <v>100</v>
      </c>
      <c r="H1063" s="18" t="s">
        <v>107</v>
      </c>
      <c r="I1063" s="18" t="s">
        <v>102</v>
      </c>
      <c r="J1063" s="18" t="s">
        <v>235</v>
      </c>
      <c r="K1063" s="18" t="s">
        <v>195</v>
      </c>
      <c r="L1063" s="64" t="n">
        <v>1493.63622144</v>
      </c>
      <c r="M1063" s="64" t="n">
        <v>7.89</v>
      </c>
      <c r="N1063" s="18" t="s">
        <v>1254</v>
      </c>
      <c r="O1063" s="65" t="n">
        <v>11784.7898</v>
      </c>
      <c r="P1063" s="65" t="n">
        <v>11784.7898</v>
      </c>
      <c r="Q1063" s="65" t="n">
        <v>0</v>
      </c>
      <c r="R1063" s="65" t="s">
        <v>232</v>
      </c>
      <c r="S1063" s="66" t="n">
        <f aca="false">Model_Calc!AL181</f>
        <v>11784.7897871616</v>
      </c>
      <c r="T1063" s="66" t="n">
        <f aca="false">ROUND(S1063-O1063,4)</f>
        <v>0</v>
      </c>
    </row>
    <row r="1064" customFormat="false" ht="15" hidden="false" customHeight="false" outlineLevel="0" collapsed="false">
      <c r="A1064" s="18" t="s">
        <v>200</v>
      </c>
      <c r="B1064" s="18" t="s">
        <v>201</v>
      </c>
      <c r="C1064" s="18"/>
      <c r="D1064" s="49" t="n">
        <v>46174</v>
      </c>
      <c r="E1064" s="18" t="s">
        <v>122</v>
      </c>
      <c r="F1064" s="18" t="s">
        <v>119</v>
      </c>
      <c r="G1064" s="18" t="s">
        <v>100</v>
      </c>
      <c r="H1064" s="18" t="s">
        <v>107</v>
      </c>
      <c r="I1064" s="18" t="s">
        <v>102</v>
      </c>
      <c r="J1064" s="18" t="s">
        <v>237</v>
      </c>
      <c r="K1064" s="18" t="s">
        <v>195</v>
      </c>
      <c r="L1064" s="64" t="n">
        <v>598.406365218816</v>
      </c>
      <c r="M1064" s="64" t="n">
        <v>7.89</v>
      </c>
      <c r="N1064" s="18" t="s">
        <v>1255</v>
      </c>
      <c r="O1064" s="65" t="n">
        <v>4721.4262</v>
      </c>
      <c r="P1064" s="65" t="n">
        <v>4721.4262</v>
      </c>
      <c r="Q1064" s="65" t="n">
        <v>0</v>
      </c>
      <c r="R1064" s="65" t="s">
        <v>232</v>
      </c>
      <c r="S1064" s="66" t="n">
        <f aca="false">Model_Calc!AQ181</f>
        <v>4721.42622157646</v>
      </c>
      <c r="T1064" s="66" t="n">
        <f aca="false">ROUND(S1064-O1064,4)</f>
        <v>0</v>
      </c>
    </row>
    <row r="1065" customFormat="false" ht="15" hidden="false" customHeight="false" outlineLevel="0" collapsed="false">
      <c r="A1065" s="18" t="s">
        <v>200</v>
      </c>
      <c r="B1065" s="18" t="s">
        <v>201</v>
      </c>
      <c r="C1065" s="18"/>
      <c r="D1065" s="49" t="n">
        <v>46174</v>
      </c>
      <c r="E1065" s="18" t="s">
        <v>122</v>
      </c>
      <c r="F1065" s="18" t="s">
        <v>119</v>
      </c>
      <c r="G1065" s="18" t="s">
        <v>100</v>
      </c>
      <c r="H1065" s="18" t="s">
        <v>107</v>
      </c>
      <c r="I1065" s="18" t="s">
        <v>102</v>
      </c>
      <c r="J1065" s="18" t="s">
        <v>239</v>
      </c>
      <c r="K1065" s="18" t="s">
        <v>199</v>
      </c>
      <c r="L1065" s="64" t="n">
        <v>486.064668672</v>
      </c>
      <c r="M1065" s="64" t="n">
        <v>9.16</v>
      </c>
      <c r="N1065" s="18" t="s">
        <v>1256</v>
      </c>
      <c r="O1065" s="65" t="n">
        <v>4452.3524</v>
      </c>
      <c r="P1065" s="65" t="n">
        <v>4452.3524</v>
      </c>
      <c r="Q1065" s="65" t="n">
        <v>0</v>
      </c>
      <c r="R1065" s="65" t="s">
        <v>232</v>
      </c>
      <c r="S1065" s="66" t="n">
        <f aca="false">Model_Calc!AV181</f>
        <v>4452.35236503552</v>
      </c>
      <c r="T1065" s="66" t="n">
        <f aca="false">ROUND(S1065-O1065,4)</f>
        <v>0</v>
      </c>
    </row>
    <row r="1066" customFormat="false" ht="15" hidden="false" customHeight="false" outlineLevel="0" collapsed="false">
      <c r="A1066" s="18" t="s">
        <v>200</v>
      </c>
      <c r="B1066" s="18" t="s">
        <v>201</v>
      </c>
      <c r="C1066" s="18"/>
      <c r="D1066" s="49" t="n">
        <v>46174</v>
      </c>
      <c r="E1066" s="18" t="s">
        <v>122</v>
      </c>
      <c r="F1066" s="18" t="s">
        <v>119</v>
      </c>
      <c r="G1066" s="18" t="s">
        <v>100</v>
      </c>
      <c r="H1066" s="18" t="s">
        <v>107</v>
      </c>
      <c r="I1066" s="18" t="s">
        <v>102</v>
      </c>
      <c r="J1066" s="18" t="s">
        <v>241</v>
      </c>
      <c r="K1066" s="18" t="s">
        <v>199</v>
      </c>
      <c r="L1066" s="64" t="n">
        <v>56.8229587087067</v>
      </c>
      <c r="M1066" s="64" t="n">
        <v>9.16</v>
      </c>
      <c r="N1066" s="18" t="s">
        <v>1257</v>
      </c>
      <c r="O1066" s="65" t="n">
        <v>520.4983</v>
      </c>
      <c r="P1066" s="65" t="n">
        <v>520.4983</v>
      </c>
      <c r="Q1066" s="65" t="n">
        <v>0</v>
      </c>
      <c r="R1066" s="65" t="s">
        <v>232</v>
      </c>
      <c r="S1066" s="66" t="n">
        <f aca="false">Model_Calc!BA181</f>
        <v>520.498301771754</v>
      </c>
      <c r="T1066" s="66" t="n">
        <f aca="false">ROUND(S1066-O1066,4)</f>
        <v>0</v>
      </c>
    </row>
    <row r="1067" customFormat="false" ht="15" hidden="false" customHeight="false" outlineLevel="0" collapsed="false">
      <c r="A1067" s="18" t="s">
        <v>200</v>
      </c>
      <c r="B1067" s="18" t="s">
        <v>201</v>
      </c>
      <c r="C1067" s="18"/>
      <c r="D1067" s="49" t="n">
        <v>46174</v>
      </c>
      <c r="E1067" s="18" t="s">
        <v>124</v>
      </c>
      <c r="F1067" s="18" t="s">
        <v>119</v>
      </c>
      <c r="G1067" s="18" t="s">
        <v>100</v>
      </c>
      <c r="H1067" s="18" t="s">
        <v>107</v>
      </c>
      <c r="I1067" s="18" t="s">
        <v>125</v>
      </c>
      <c r="J1067" s="18" t="s">
        <v>230</v>
      </c>
      <c r="K1067" s="18" t="s">
        <v>199</v>
      </c>
      <c r="L1067" s="64" t="n">
        <v>3004.24273540949</v>
      </c>
      <c r="M1067" s="64" t="n">
        <v>9.16</v>
      </c>
      <c r="N1067" s="18" t="s">
        <v>1258</v>
      </c>
      <c r="O1067" s="65" t="n">
        <v>27518.8635</v>
      </c>
      <c r="P1067" s="65" t="n">
        <v>27518.8635</v>
      </c>
      <c r="Q1067" s="65" t="n">
        <v>0</v>
      </c>
      <c r="R1067" s="65" t="s">
        <v>232</v>
      </c>
      <c r="S1067" s="66" t="n">
        <f aca="false">Model_Calc!AF182</f>
        <v>27518.8634563509</v>
      </c>
      <c r="T1067" s="66" t="n">
        <f aca="false">ROUND(S1067-O1067,4)</f>
        <v>0</v>
      </c>
    </row>
    <row r="1068" customFormat="false" ht="15" hidden="false" customHeight="false" outlineLevel="0" collapsed="false">
      <c r="A1068" s="18" t="s">
        <v>200</v>
      </c>
      <c r="B1068" s="18" t="s">
        <v>201</v>
      </c>
      <c r="C1068" s="18"/>
      <c r="D1068" s="49" t="n">
        <v>46174</v>
      </c>
      <c r="E1068" s="18" t="s">
        <v>124</v>
      </c>
      <c r="F1068" s="18" t="s">
        <v>119</v>
      </c>
      <c r="G1068" s="18" t="s">
        <v>100</v>
      </c>
      <c r="H1068" s="18" t="s">
        <v>107</v>
      </c>
      <c r="I1068" s="18" t="s">
        <v>125</v>
      </c>
      <c r="J1068" s="18" t="s">
        <v>233</v>
      </c>
      <c r="K1068" s="18" t="s">
        <v>199</v>
      </c>
      <c r="L1068" s="64" t="n">
        <v>349.633769546956</v>
      </c>
      <c r="M1068" s="64" t="n">
        <v>9.16</v>
      </c>
      <c r="N1068" s="18" t="s">
        <v>1259</v>
      </c>
      <c r="O1068" s="65" t="n">
        <v>3202.6453</v>
      </c>
      <c r="P1068" s="65" t="n">
        <v>3202.6453</v>
      </c>
      <c r="Q1068" s="65" t="n">
        <v>0</v>
      </c>
      <c r="R1068" s="65" t="s">
        <v>232</v>
      </c>
      <c r="S1068" s="66" t="n">
        <f aca="false">Model_Calc!AG182</f>
        <v>3202.64532905012</v>
      </c>
      <c r="T1068" s="66" t="n">
        <f aca="false">ROUND(S1068-O1068,4)</f>
        <v>0</v>
      </c>
    </row>
    <row r="1069" customFormat="false" ht="15" hidden="false" customHeight="false" outlineLevel="0" collapsed="false">
      <c r="A1069" s="18" t="s">
        <v>200</v>
      </c>
      <c r="B1069" s="18" t="s">
        <v>201</v>
      </c>
      <c r="C1069" s="18"/>
      <c r="D1069" s="49" t="n">
        <v>46174</v>
      </c>
      <c r="E1069" s="18" t="s">
        <v>124</v>
      </c>
      <c r="F1069" s="18" t="s">
        <v>119</v>
      </c>
      <c r="G1069" s="18" t="s">
        <v>100</v>
      </c>
      <c r="H1069" s="18" t="s">
        <v>107</v>
      </c>
      <c r="I1069" s="18" t="s">
        <v>125</v>
      </c>
      <c r="J1069" s="18" t="s">
        <v>235</v>
      </c>
      <c r="K1069" s="18" t="s">
        <v>195</v>
      </c>
      <c r="L1069" s="64" t="n">
        <v>537.7090397184</v>
      </c>
      <c r="M1069" s="64" t="n">
        <v>7.89</v>
      </c>
      <c r="N1069" s="18" t="s">
        <v>1260</v>
      </c>
      <c r="O1069" s="65" t="n">
        <v>4242.5243</v>
      </c>
      <c r="P1069" s="65" t="n">
        <v>4242.5243</v>
      </c>
      <c r="Q1069" s="65" t="n">
        <v>0</v>
      </c>
      <c r="R1069" s="65" t="s">
        <v>232</v>
      </c>
      <c r="S1069" s="66" t="n">
        <f aca="false">Model_Calc!AL182</f>
        <v>4242.52432337818</v>
      </c>
      <c r="T1069" s="66" t="n">
        <f aca="false">ROUND(S1069-O1069,4)</f>
        <v>0</v>
      </c>
    </row>
    <row r="1070" customFormat="false" ht="15" hidden="false" customHeight="false" outlineLevel="0" collapsed="false">
      <c r="A1070" s="18" t="s">
        <v>200</v>
      </c>
      <c r="B1070" s="18" t="s">
        <v>201</v>
      </c>
      <c r="C1070" s="18"/>
      <c r="D1070" s="49" t="n">
        <v>46174</v>
      </c>
      <c r="E1070" s="18" t="s">
        <v>124</v>
      </c>
      <c r="F1070" s="18" t="s">
        <v>119</v>
      </c>
      <c r="G1070" s="18" t="s">
        <v>100</v>
      </c>
      <c r="H1070" s="18" t="s">
        <v>107</v>
      </c>
      <c r="I1070" s="18" t="s">
        <v>125</v>
      </c>
      <c r="J1070" s="18" t="s">
        <v>237</v>
      </c>
      <c r="K1070" s="18" t="s">
        <v>195</v>
      </c>
      <c r="L1070" s="64" t="n">
        <v>215.426291478774</v>
      </c>
      <c r="M1070" s="64" t="n">
        <v>7.89</v>
      </c>
      <c r="N1070" s="18" t="s">
        <v>1261</v>
      </c>
      <c r="O1070" s="65" t="n">
        <v>1699.7134</v>
      </c>
      <c r="P1070" s="65" t="n">
        <v>1699.7134</v>
      </c>
      <c r="Q1070" s="65" t="n">
        <v>0</v>
      </c>
      <c r="R1070" s="65" t="s">
        <v>232</v>
      </c>
      <c r="S1070" s="66" t="n">
        <f aca="false">Model_Calc!AQ182</f>
        <v>1699.71343976752</v>
      </c>
      <c r="T1070" s="66" t="n">
        <f aca="false">ROUND(S1070-O1070,4)</f>
        <v>0</v>
      </c>
    </row>
    <row r="1071" customFormat="false" ht="15" hidden="false" customHeight="false" outlineLevel="0" collapsed="false">
      <c r="A1071" s="18" t="s">
        <v>200</v>
      </c>
      <c r="B1071" s="18" t="s">
        <v>201</v>
      </c>
      <c r="C1071" s="18"/>
      <c r="D1071" s="49" t="n">
        <v>46174</v>
      </c>
      <c r="E1071" s="18" t="s">
        <v>124</v>
      </c>
      <c r="F1071" s="18" t="s">
        <v>119</v>
      </c>
      <c r="G1071" s="18" t="s">
        <v>100</v>
      </c>
      <c r="H1071" s="18" t="s">
        <v>107</v>
      </c>
      <c r="I1071" s="18" t="s">
        <v>125</v>
      </c>
      <c r="J1071" s="18" t="s">
        <v>239</v>
      </c>
      <c r="K1071" s="18" t="s">
        <v>199</v>
      </c>
      <c r="L1071" s="64" t="n">
        <v>174.98328072192</v>
      </c>
      <c r="M1071" s="64" t="n">
        <v>9.16</v>
      </c>
      <c r="N1071" s="18" t="s">
        <v>1262</v>
      </c>
      <c r="O1071" s="65" t="n">
        <v>1602.8469</v>
      </c>
      <c r="P1071" s="65" t="n">
        <v>1602.8469</v>
      </c>
      <c r="Q1071" s="65" t="n">
        <v>0</v>
      </c>
      <c r="R1071" s="65" t="s">
        <v>232</v>
      </c>
      <c r="S1071" s="66" t="n">
        <f aca="false">Model_Calc!AV182</f>
        <v>1602.84685141279</v>
      </c>
      <c r="T1071" s="66" t="n">
        <f aca="false">ROUND(S1071-O1071,4)</f>
        <v>0</v>
      </c>
    </row>
    <row r="1072" customFormat="false" ht="15" hidden="false" customHeight="false" outlineLevel="0" collapsed="false">
      <c r="A1072" s="18" t="s">
        <v>200</v>
      </c>
      <c r="B1072" s="18" t="s">
        <v>201</v>
      </c>
      <c r="C1072" s="18"/>
      <c r="D1072" s="49" t="n">
        <v>46174</v>
      </c>
      <c r="E1072" s="18" t="s">
        <v>124</v>
      </c>
      <c r="F1072" s="18" t="s">
        <v>119</v>
      </c>
      <c r="G1072" s="18" t="s">
        <v>100</v>
      </c>
      <c r="H1072" s="18" t="s">
        <v>107</v>
      </c>
      <c r="I1072" s="18" t="s">
        <v>125</v>
      </c>
      <c r="J1072" s="18" t="s">
        <v>241</v>
      </c>
      <c r="K1072" s="18" t="s">
        <v>199</v>
      </c>
      <c r="L1072" s="64" t="n">
        <v>19.0436841667236</v>
      </c>
      <c r="M1072" s="64" t="n">
        <v>9.16</v>
      </c>
      <c r="N1072" s="18" t="s">
        <v>1263</v>
      </c>
      <c r="O1072" s="65" t="n">
        <v>174.4401</v>
      </c>
      <c r="P1072" s="65" t="n">
        <v>174.4401</v>
      </c>
      <c r="Q1072" s="65" t="n">
        <v>0</v>
      </c>
      <c r="R1072" s="65" t="s">
        <v>232</v>
      </c>
      <c r="S1072" s="66" t="n">
        <f aca="false">Model_Calc!BA182</f>
        <v>174.440146967188</v>
      </c>
      <c r="T1072" s="66" t="n">
        <f aca="false">ROUND(S1072-O1072,4)</f>
        <v>0</v>
      </c>
    </row>
    <row r="1073" customFormat="false" ht="15" hidden="false" customHeight="false" outlineLevel="0" collapsed="false">
      <c r="A1073" s="18" t="s">
        <v>200</v>
      </c>
      <c r="B1073" s="18" t="s">
        <v>201</v>
      </c>
      <c r="C1073" s="18"/>
      <c r="D1073" s="49" t="n">
        <v>46174</v>
      </c>
      <c r="E1073" s="18" t="s">
        <v>127</v>
      </c>
      <c r="F1073" s="18" t="s">
        <v>119</v>
      </c>
      <c r="G1073" s="18" t="s">
        <v>100</v>
      </c>
      <c r="H1073" s="18" t="s">
        <v>128</v>
      </c>
      <c r="I1073" s="18" t="s">
        <v>125</v>
      </c>
      <c r="J1073" s="18" t="s">
        <v>230</v>
      </c>
      <c r="K1073" s="18" t="s">
        <v>199</v>
      </c>
      <c r="L1073" s="64" t="n">
        <v>1580.81864366091</v>
      </c>
      <c r="M1073" s="64" t="n">
        <v>9.16</v>
      </c>
      <c r="N1073" s="18" t="s">
        <v>1264</v>
      </c>
      <c r="O1073" s="65" t="n">
        <v>14480.2988</v>
      </c>
      <c r="P1073" s="65" t="n">
        <v>14480.2988</v>
      </c>
      <c r="Q1073" s="65" t="n">
        <v>0</v>
      </c>
      <c r="R1073" s="65" t="s">
        <v>232</v>
      </c>
      <c r="S1073" s="66" t="n">
        <f aca="false">Model_Calc!AF183</f>
        <v>14480.2987759339</v>
      </c>
      <c r="T1073" s="66" t="n">
        <f aca="false">ROUND(S1073-O1073,4)</f>
        <v>0</v>
      </c>
    </row>
    <row r="1074" customFormat="false" ht="15" hidden="false" customHeight="false" outlineLevel="0" collapsed="false">
      <c r="A1074" s="18" t="s">
        <v>200</v>
      </c>
      <c r="B1074" s="18" t="s">
        <v>201</v>
      </c>
      <c r="C1074" s="18"/>
      <c r="D1074" s="49" t="n">
        <v>46174</v>
      </c>
      <c r="E1074" s="18" t="s">
        <v>127</v>
      </c>
      <c r="F1074" s="18" t="s">
        <v>119</v>
      </c>
      <c r="G1074" s="18" t="s">
        <v>100</v>
      </c>
      <c r="H1074" s="18" t="s">
        <v>128</v>
      </c>
      <c r="I1074" s="18" t="s">
        <v>125</v>
      </c>
      <c r="J1074" s="18" t="s">
        <v>233</v>
      </c>
      <c r="K1074" s="18" t="s">
        <v>199</v>
      </c>
      <c r="L1074" s="64" t="n">
        <v>122.249975109777</v>
      </c>
      <c r="M1074" s="64" t="n">
        <v>9.16</v>
      </c>
      <c r="N1074" s="18" t="s">
        <v>1265</v>
      </c>
      <c r="O1074" s="65" t="n">
        <v>1119.8098</v>
      </c>
      <c r="P1074" s="65" t="n">
        <v>1119.8098</v>
      </c>
      <c r="Q1074" s="65" t="n">
        <v>0</v>
      </c>
      <c r="R1074" s="65" t="s">
        <v>232</v>
      </c>
      <c r="S1074" s="66" t="n">
        <f aca="false">Model_Calc!AG183</f>
        <v>1119.80977200556</v>
      </c>
      <c r="T1074" s="66" t="n">
        <f aca="false">ROUND(S1074-O1074,4)</f>
        <v>0</v>
      </c>
    </row>
    <row r="1075" customFormat="false" ht="15" hidden="false" customHeight="false" outlineLevel="0" collapsed="false">
      <c r="A1075" s="18" t="s">
        <v>200</v>
      </c>
      <c r="B1075" s="18" t="s">
        <v>201</v>
      </c>
      <c r="C1075" s="18"/>
      <c r="D1075" s="49" t="n">
        <v>46174</v>
      </c>
      <c r="E1075" s="18" t="s">
        <v>127</v>
      </c>
      <c r="F1075" s="18" t="s">
        <v>119</v>
      </c>
      <c r="G1075" s="18" t="s">
        <v>100</v>
      </c>
      <c r="H1075" s="18" t="s">
        <v>128</v>
      </c>
      <c r="I1075" s="18" t="s">
        <v>125</v>
      </c>
      <c r="J1075" s="18" t="s">
        <v>235</v>
      </c>
      <c r="K1075" s="18" t="s">
        <v>195</v>
      </c>
      <c r="L1075" s="64" t="n">
        <v>238.9817954304</v>
      </c>
      <c r="M1075" s="64" t="n">
        <v>7.89</v>
      </c>
      <c r="N1075" s="18" t="s">
        <v>1266</v>
      </c>
      <c r="O1075" s="65" t="n">
        <v>1885.5664</v>
      </c>
      <c r="P1075" s="65" t="n">
        <v>1885.5664</v>
      </c>
      <c r="Q1075" s="65" t="n">
        <v>0</v>
      </c>
      <c r="R1075" s="65" t="s">
        <v>232</v>
      </c>
      <c r="S1075" s="66" t="n">
        <f aca="false">Model_Calc!AL183</f>
        <v>1885.56636594586</v>
      </c>
      <c r="T1075" s="66" t="n">
        <f aca="false">ROUND(S1075-O1075,4)</f>
        <v>0</v>
      </c>
    </row>
    <row r="1076" customFormat="false" ht="15" hidden="false" customHeight="false" outlineLevel="0" collapsed="false">
      <c r="A1076" s="18" t="s">
        <v>200</v>
      </c>
      <c r="B1076" s="18" t="s">
        <v>201</v>
      </c>
      <c r="C1076" s="18"/>
      <c r="D1076" s="49" t="n">
        <v>46174</v>
      </c>
      <c r="E1076" s="18" t="s">
        <v>127</v>
      </c>
      <c r="F1076" s="18" t="s">
        <v>119</v>
      </c>
      <c r="G1076" s="18" t="s">
        <v>100</v>
      </c>
      <c r="H1076" s="18" t="s">
        <v>128</v>
      </c>
      <c r="I1076" s="18" t="s">
        <v>125</v>
      </c>
      <c r="J1076" s="18" t="s">
        <v>237</v>
      </c>
      <c r="K1076" s="18" t="s">
        <v>195</v>
      </c>
      <c r="L1076" s="64" t="n">
        <v>95.7450184350106</v>
      </c>
      <c r="M1076" s="64" t="n">
        <v>7.89</v>
      </c>
      <c r="N1076" s="18" t="s">
        <v>1267</v>
      </c>
      <c r="O1076" s="65" t="n">
        <v>755.4282</v>
      </c>
      <c r="P1076" s="65" t="n">
        <v>755.4282</v>
      </c>
      <c r="Q1076" s="65" t="n">
        <v>0</v>
      </c>
      <c r="R1076" s="65" t="s">
        <v>232</v>
      </c>
      <c r="S1076" s="66" t="n">
        <f aca="false">Model_Calc!AQ183</f>
        <v>755.428195452233</v>
      </c>
      <c r="T1076" s="66" t="n">
        <f aca="false">ROUND(S1076-O1076,4)</f>
        <v>0</v>
      </c>
    </row>
    <row r="1077" customFormat="false" ht="15" hidden="false" customHeight="false" outlineLevel="0" collapsed="false">
      <c r="A1077" s="18" t="s">
        <v>200</v>
      </c>
      <c r="B1077" s="18" t="s">
        <v>201</v>
      </c>
      <c r="C1077" s="18"/>
      <c r="D1077" s="49" t="n">
        <v>46174</v>
      </c>
      <c r="E1077" s="18" t="s">
        <v>127</v>
      </c>
      <c r="F1077" s="18" t="s">
        <v>119</v>
      </c>
      <c r="G1077" s="18" t="s">
        <v>100</v>
      </c>
      <c r="H1077" s="18" t="s">
        <v>128</v>
      </c>
      <c r="I1077" s="18" t="s">
        <v>125</v>
      </c>
      <c r="J1077" s="18" t="s">
        <v>239</v>
      </c>
      <c r="K1077" s="18" t="s">
        <v>199</v>
      </c>
      <c r="L1077" s="64" t="n">
        <v>77.77034698752</v>
      </c>
      <c r="M1077" s="64" t="n">
        <v>9.16</v>
      </c>
      <c r="N1077" s="18" t="s">
        <v>1268</v>
      </c>
      <c r="O1077" s="65" t="n">
        <v>712.3764</v>
      </c>
      <c r="P1077" s="65" t="n">
        <v>712.3764</v>
      </c>
      <c r="Q1077" s="65" t="n">
        <v>0</v>
      </c>
      <c r="R1077" s="65" t="s">
        <v>232</v>
      </c>
      <c r="S1077" s="66" t="n">
        <f aca="false">Model_Calc!AV183</f>
        <v>712.376378405683</v>
      </c>
      <c r="T1077" s="66" t="n">
        <f aca="false">ROUND(S1077-O1077,4)</f>
        <v>0</v>
      </c>
    </row>
    <row r="1078" customFormat="false" ht="15" hidden="false" customHeight="false" outlineLevel="0" collapsed="false">
      <c r="A1078" s="18" t="s">
        <v>200</v>
      </c>
      <c r="B1078" s="18" t="s">
        <v>201</v>
      </c>
      <c r="C1078" s="18"/>
      <c r="D1078" s="49" t="n">
        <v>46174</v>
      </c>
      <c r="E1078" s="18" t="s">
        <v>127</v>
      </c>
      <c r="F1078" s="18" t="s">
        <v>119</v>
      </c>
      <c r="G1078" s="18" t="s">
        <v>100</v>
      </c>
      <c r="H1078" s="18" t="s">
        <v>128</v>
      </c>
      <c r="I1078" s="18" t="s">
        <v>125</v>
      </c>
      <c r="J1078" s="18" t="s">
        <v>241</v>
      </c>
      <c r="K1078" s="18" t="s">
        <v>199</v>
      </c>
      <c r="L1078" s="64" t="n">
        <v>7.53376516485769</v>
      </c>
      <c r="M1078" s="64" t="n">
        <v>9.16</v>
      </c>
      <c r="N1078" s="18" t="s">
        <v>1269</v>
      </c>
      <c r="O1078" s="65" t="n">
        <v>69.0093</v>
      </c>
      <c r="P1078" s="65" t="n">
        <v>69.0093</v>
      </c>
      <c r="Q1078" s="65" t="n">
        <v>0</v>
      </c>
      <c r="R1078" s="65" t="s">
        <v>232</v>
      </c>
      <c r="S1078" s="66" t="n">
        <f aca="false">Model_Calc!BA183</f>
        <v>69.0092889100964</v>
      </c>
      <c r="T1078" s="66" t="n">
        <f aca="false">ROUND(S1078-O1078,4)</f>
        <v>0</v>
      </c>
    </row>
    <row r="1079" customFormat="false" ht="15" hidden="false" customHeight="false" outlineLevel="0" collapsed="false">
      <c r="A1079" s="18" t="s">
        <v>200</v>
      </c>
      <c r="B1079" s="18" t="s">
        <v>201</v>
      </c>
      <c r="C1079" s="18"/>
      <c r="D1079" s="49" t="n">
        <v>46174</v>
      </c>
      <c r="E1079" s="18" t="s">
        <v>130</v>
      </c>
      <c r="F1079" s="18" t="s">
        <v>119</v>
      </c>
      <c r="G1079" s="18" t="s">
        <v>110</v>
      </c>
      <c r="H1079" s="18" t="s">
        <v>107</v>
      </c>
      <c r="I1079" s="18" t="s">
        <v>125</v>
      </c>
      <c r="J1079" s="18" t="s">
        <v>230</v>
      </c>
      <c r="K1079" s="18" t="s">
        <v>195</v>
      </c>
      <c r="L1079" s="64" t="n">
        <v>1477.60671212724</v>
      </c>
      <c r="M1079" s="64" t="n">
        <v>7.89</v>
      </c>
      <c r="N1079" s="18" t="s">
        <v>1270</v>
      </c>
      <c r="O1079" s="65" t="n">
        <v>11658.317</v>
      </c>
      <c r="P1079" s="65" t="n">
        <v>11658.317</v>
      </c>
      <c r="Q1079" s="65" t="n">
        <v>0</v>
      </c>
      <c r="R1079" s="65" t="s">
        <v>232</v>
      </c>
      <c r="S1079" s="66" t="n">
        <f aca="false">Model_Calc!AF184</f>
        <v>11658.3169586839</v>
      </c>
      <c r="T1079" s="66" t="n">
        <f aca="false">ROUND(S1079-O1079,4)</f>
        <v>0</v>
      </c>
    </row>
    <row r="1080" customFormat="false" ht="15" hidden="false" customHeight="false" outlineLevel="0" collapsed="false">
      <c r="A1080" s="18" t="s">
        <v>200</v>
      </c>
      <c r="B1080" s="18" t="s">
        <v>201</v>
      </c>
      <c r="C1080" s="18"/>
      <c r="D1080" s="49" t="n">
        <v>46174</v>
      </c>
      <c r="E1080" s="18" t="s">
        <v>130</v>
      </c>
      <c r="F1080" s="18" t="s">
        <v>119</v>
      </c>
      <c r="G1080" s="18" t="s">
        <v>110</v>
      </c>
      <c r="H1080" s="18" t="s">
        <v>107</v>
      </c>
      <c r="I1080" s="18" t="s">
        <v>125</v>
      </c>
      <c r="J1080" s="18" t="s">
        <v>233</v>
      </c>
      <c r="K1080" s="18" t="s">
        <v>195</v>
      </c>
      <c r="L1080" s="64" t="n">
        <v>157.010489230641</v>
      </c>
      <c r="M1080" s="64" t="n">
        <v>7.89</v>
      </c>
      <c r="N1080" s="18" t="s">
        <v>1271</v>
      </c>
      <c r="O1080" s="65" t="n">
        <v>1238.8128</v>
      </c>
      <c r="P1080" s="65" t="n">
        <v>1238.8128</v>
      </c>
      <c r="Q1080" s="65" t="n">
        <v>0</v>
      </c>
      <c r="R1080" s="65" t="s">
        <v>232</v>
      </c>
      <c r="S1080" s="66" t="n">
        <f aca="false">Model_Calc!AG184</f>
        <v>1238.81276002976</v>
      </c>
      <c r="T1080" s="66" t="n">
        <f aca="false">ROUND(S1080-O1080,4)</f>
        <v>0</v>
      </c>
    </row>
    <row r="1081" customFormat="false" ht="15" hidden="false" customHeight="false" outlineLevel="0" collapsed="false">
      <c r="A1081" s="18" t="s">
        <v>200</v>
      </c>
      <c r="B1081" s="18" t="s">
        <v>201</v>
      </c>
      <c r="C1081" s="18"/>
      <c r="D1081" s="49" t="n">
        <v>46174</v>
      </c>
      <c r="E1081" s="18" t="s">
        <v>130</v>
      </c>
      <c r="F1081" s="18" t="s">
        <v>119</v>
      </c>
      <c r="G1081" s="18" t="s">
        <v>110</v>
      </c>
      <c r="H1081" s="18" t="s">
        <v>107</v>
      </c>
      <c r="I1081" s="18" t="s">
        <v>125</v>
      </c>
      <c r="J1081" s="18" t="s">
        <v>235</v>
      </c>
      <c r="K1081" s="18" t="s">
        <v>195</v>
      </c>
      <c r="L1081" s="64" t="n">
        <v>221.5138464</v>
      </c>
      <c r="M1081" s="64" t="n">
        <v>7.89</v>
      </c>
      <c r="N1081" s="18" t="s">
        <v>1272</v>
      </c>
      <c r="O1081" s="65" t="n">
        <v>1747.7442</v>
      </c>
      <c r="P1081" s="65" t="n">
        <v>1747.7442</v>
      </c>
      <c r="Q1081" s="65" t="n">
        <v>0</v>
      </c>
      <c r="R1081" s="65" t="s">
        <v>232</v>
      </c>
      <c r="S1081" s="66" t="n">
        <f aca="false">Model_Calc!AL184</f>
        <v>1747.744248096</v>
      </c>
      <c r="T1081" s="66" t="n">
        <f aca="false">ROUND(S1081-O1081,4)</f>
        <v>0</v>
      </c>
    </row>
    <row r="1082" customFormat="false" ht="15" hidden="false" customHeight="false" outlineLevel="0" collapsed="false">
      <c r="A1082" s="18" t="s">
        <v>200</v>
      </c>
      <c r="B1082" s="18" t="s">
        <v>201</v>
      </c>
      <c r="C1082" s="18"/>
      <c r="D1082" s="49" t="n">
        <v>46174</v>
      </c>
      <c r="E1082" s="18" t="s">
        <v>130</v>
      </c>
      <c r="F1082" s="18" t="s">
        <v>119</v>
      </c>
      <c r="G1082" s="18" t="s">
        <v>110</v>
      </c>
      <c r="H1082" s="18" t="s">
        <v>107</v>
      </c>
      <c r="I1082" s="18" t="s">
        <v>125</v>
      </c>
      <c r="J1082" s="18" t="s">
        <v>237</v>
      </c>
      <c r="K1082" s="18" t="s">
        <v>195</v>
      </c>
      <c r="L1082" s="64" t="n">
        <v>92.65291298208</v>
      </c>
      <c r="M1082" s="64" t="n">
        <v>7.89</v>
      </c>
      <c r="N1082" s="18" t="s">
        <v>1273</v>
      </c>
      <c r="O1082" s="65" t="n">
        <v>731.0315</v>
      </c>
      <c r="P1082" s="65" t="n">
        <v>731.0315</v>
      </c>
      <c r="Q1082" s="65" t="n">
        <v>0</v>
      </c>
      <c r="R1082" s="65" t="s">
        <v>232</v>
      </c>
      <c r="S1082" s="66" t="n">
        <f aca="false">Model_Calc!AQ184</f>
        <v>731.031483428611</v>
      </c>
      <c r="T1082" s="66" t="n">
        <f aca="false">ROUND(S1082-O1082,4)</f>
        <v>0</v>
      </c>
    </row>
    <row r="1083" customFormat="false" ht="15" hidden="false" customHeight="false" outlineLevel="0" collapsed="false">
      <c r="A1083" s="18" t="s">
        <v>200</v>
      </c>
      <c r="B1083" s="18" t="s">
        <v>201</v>
      </c>
      <c r="C1083" s="18"/>
      <c r="D1083" s="49" t="n">
        <v>46174</v>
      </c>
      <c r="E1083" s="18" t="s">
        <v>130</v>
      </c>
      <c r="F1083" s="18" t="s">
        <v>119</v>
      </c>
      <c r="G1083" s="18" t="s">
        <v>110</v>
      </c>
      <c r="H1083" s="18" t="s">
        <v>107</v>
      </c>
      <c r="I1083" s="18" t="s">
        <v>125</v>
      </c>
      <c r="J1083" s="18" t="s">
        <v>239</v>
      </c>
      <c r="K1083" s="18" t="s">
        <v>195</v>
      </c>
      <c r="L1083" s="64" t="n">
        <v>87.761676288</v>
      </c>
      <c r="M1083" s="64" t="n">
        <v>7.89</v>
      </c>
      <c r="N1083" s="18" t="s">
        <v>1274</v>
      </c>
      <c r="O1083" s="65" t="n">
        <v>692.4396</v>
      </c>
      <c r="P1083" s="65" t="n">
        <v>692.4396</v>
      </c>
      <c r="Q1083" s="65" t="n">
        <v>0</v>
      </c>
      <c r="R1083" s="65" t="s">
        <v>232</v>
      </c>
      <c r="S1083" s="66" t="n">
        <f aca="false">Model_Calc!AV184</f>
        <v>692.43962591232</v>
      </c>
      <c r="T1083" s="66" t="n">
        <f aca="false">ROUND(S1083-O1083,4)</f>
        <v>0</v>
      </c>
    </row>
    <row r="1084" customFormat="false" ht="15" hidden="false" customHeight="false" outlineLevel="0" collapsed="false">
      <c r="A1084" s="18" t="s">
        <v>200</v>
      </c>
      <c r="B1084" s="18" t="s">
        <v>201</v>
      </c>
      <c r="C1084" s="18"/>
      <c r="D1084" s="49" t="n">
        <v>46174</v>
      </c>
      <c r="E1084" s="18" t="s">
        <v>130</v>
      </c>
      <c r="F1084" s="18" t="s">
        <v>119</v>
      </c>
      <c r="G1084" s="18" t="s">
        <v>110</v>
      </c>
      <c r="H1084" s="18" t="s">
        <v>107</v>
      </c>
      <c r="I1084" s="18" t="s">
        <v>125</v>
      </c>
      <c r="J1084" s="18" t="s">
        <v>241</v>
      </c>
      <c r="K1084" s="18" t="s">
        <v>195</v>
      </c>
      <c r="L1084" s="64" t="n">
        <v>8.35631745716275</v>
      </c>
      <c r="M1084" s="64" t="n">
        <v>7.89</v>
      </c>
      <c r="N1084" s="18" t="s">
        <v>1275</v>
      </c>
      <c r="O1084" s="65" t="n">
        <v>65.9313</v>
      </c>
      <c r="P1084" s="65" t="n">
        <v>65.9313</v>
      </c>
      <c r="Q1084" s="65" t="n">
        <v>0</v>
      </c>
      <c r="R1084" s="65" t="s">
        <v>232</v>
      </c>
      <c r="S1084" s="66" t="n">
        <f aca="false">Model_Calc!BA184</f>
        <v>65.9313447370141</v>
      </c>
      <c r="T1084" s="66" t="n">
        <f aca="false">ROUND(S1084-O1084,4)</f>
        <v>0</v>
      </c>
    </row>
    <row r="1085" customFormat="false" ht="15" hidden="false" customHeight="false" outlineLevel="0" collapsed="false">
      <c r="A1085" s="18" t="s">
        <v>200</v>
      </c>
      <c r="B1085" s="18" t="s">
        <v>201</v>
      </c>
      <c r="C1085" s="18"/>
      <c r="D1085" s="49" t="n">
        <v>46204</v>
      </c>
      <c r="E1085" s="18" t="s">
        <v>98</v>
      </c>
      <c r="F1085" s="18" t="s">
        <v>99</v>
      </c>
      <c r="G1085" s="18" t="s">
        <v>100</v>
      </c>
      <c r="H1085" s="18" t="s">
        <v>101</v>
      </c>
      <c r="I1085" s="18" t="s">
        <v>102</v>
      </c>
      <c r="J1085" s="18" t="s">
        <v>230</v>
      </c>
      <c r="K1085" s="18" t="s">
        <v>195</v>
      </c>
      <c r="L1085" s="64" t="n">
        <v>7063.12568304888</v>
      </c>
      <c r="M1085" s="64" t="n">
        <v>7.91</v>
      </c>
      <c r="N1085" s="18" t="s">
        <v>1276</v>
      </c>
      <c r="O1085" s="65" t="n">
        <v>55869.3242</v>
      </c>
      <c r="P1085" s="65" t="n">
        <v>55869.3242</v>
      </c>
      <c r="Q1085" s="65" t="n">
        <v>0</v>
      </c>
      <c r="R1085" s="65" t="s">
        <v>232</v>
      </c>
      <c r="S1085" s="66" t="n">
        <f aca="false">Model_Calc!AF185</f>
        <v>55869.3241529166</v>
      </c>
      <c r="T1085" s="66" t="n">
        <f aca="false">ROUND(S1085-O1085,4)</f>
        <v>0</v>
      </c>
    </row>
    <row r="1086" customFormat="false" ht="15" hidden="false" customHeight="false" outlineLevel="0" collapsed="false">
      <c r="A1086" s="18" t="s">
        <v>200</v>
      </c>
      <c r="B1086" s="18" t="s">
        <v>201</v>
      </c>
      <c r="C1086" s="18"/>
      <c r="D1086" s="49" t="n">
        <v>46204</v>
      </c>
      <c r="E1086" s="18" t="s">
        <v>98</v>
      </c>
      <c r="F1086" s="18" t="s">
        <v>99</v>
      </c>
      <c r="G1086" s="18" t="s">
        <v>100</v>
      </c>
      <c r="H1086" s="18" t="s">
        <v>101</v>
      </c>
      <c r="I1086" s="18" t="s">
        <v>102</v>
      </c>
      <c r="J1086" s="18" t="s">
        <v>233</v>
      </c>
      <c r="K1086" s="18" t="s">
        <v>195</v>
      </c>
      <c r="L1086" s="64" t="n">
        <v>680.390897048098</v>
      </c>
      <c r="M1086" s="64" t="n">
        <v>7.91</v>
      </c>
      <c r="N1086" s="18" t="s">
        <v>1277</v>
      </c>
      <c r="O1086" s="65" t="n">
        <v>5381.892</v>
      </c>
      <c r="P1086" s="65" t="n">
        <v>5381.892</v>
      </c>
      <c r="Q1086" s="65" t="n">
        <v>0</v>
      </c>
      <c r="R1086" s="65" t="s">
        <v>232</v>
      </c>
      <c r="S1086" s="66" t="n">
        <f aca="false">Model_Calc!AG185</f>
        <v>5381.89199565046</v>
      </c>
      <c r="T1086" s="66" t="n">
        <f aca="false">ROUND(S1086-O1086,4)</f>
        <v>0</v>
      </c>
    </row>
    <row r="1087" customFormat="false" ht="15" hidden="false" customHeight="false" outlineLevel="0" collapsed="false">
      <c r="A1087" s="18" t="s">
        <v>200</v>
      </c>
      <c r="B1087" s="18" t="s">
        <v>201</v>
      </c>
      <c r="C1087" s="18"/>
      <c r="D1087" s="49" t="n">
        <v>46204</v>
      </c>
      <c r="E1087" s="18" t="s">
        <v>98</v>
      </c>
      <c r="F1087" s="18" t="s">
        <v>99</v>
      </c>
      <c r="G1087" s="18" t="s">
        <v>100</v>
      </c>
      <c r="H1087" s="18" t="s">
        <v>101</v>
      </c>
      <c r="I1087" s="18" t="s">
        <v>102</v>
      </c>
      <c r="J1087" s="18" t="s">
        <v>235</v>
      </c>
      <c r="K1087" s="18" t="s">
        <v>195</v>
      </c>
      <c r="L1087" s="64" t="n">
        <v>4575.1813848</v>
      </c>
      <c r="M1087" s="64" t="n">
        <v>7.91</v>
      </c>
      <c r="N1087" s="18" t="s">
        <v>1278</v>
      </c>
      <c r="O1087" s="65" t="n">
        <v>36189.6848</v>
      </c>
      <c r="P1087" s="65" t="n">
        <v>36189.6848</v>
      </c>
      <c r="Q1087" s="65" t="n">
        <v>0</v>
      </c>
      <c r="R1087" s="65" t="s">
        <v>232</v>
      </c>
      <c r="S1087" s="66" t="n">
        <f aca="false">Model_Calc!AL185</f>
        <v>36189.684753768</v>
      </c>
      <c r="T1087" s="66" t="n">
        <f aca="false">ROUND(S1087-O1087,4)</f>
        <v>0</v>
      </c>
    </row>
    <row r="1088" customFormat="false" ht="15" hidden="false" customHeight="false" outlineLevel="0" collapsed="false">
      <c r="A1088" s="18" t="s">
        <v>200</v>
      </c>
      <c r="B1088" s="18" t="s">
        <v>201</v>
      </c>
      <c r="C1088" s="18"/>
      <c r="D1088" s="49" t="n">
        <v>46204</v>
      </c>
      <c r="E1088" s="18" t="s">
        <v>98</v>
      </c>
      <c r="F1088" s="18" t="s">
        <v>99</v>
      </c>
      <c r="G1088" s="18" t="s">
        <v>100</v>
      </c>
      <c r="H1088" s="18" t="s">
        <v>101</v>
      </c>
      <c r="I1088" s="18" t="s">
        <v>102</v>
      </c>
      <c r="J1088" s="18" t="s">
        <v>237</v>
      </c>
      <c r="K1088" s="18" t="s">
        <v>195</v>
      </c>
      <c r="L1088" s="64" t="n">
        <v>1720.13637342456</v>
      </c>
      <c r="M1088" s="64" t="n">
        <v>7.91</v>
      </c>
      <c r="N1088" s="18" t="s">
        <v>1279</v>
      </c>
      <c r="O1088" s="65" t="n">
        <v>13606.2787</v>
      </c>
      <c r="P1088" s="65" t="n">
        <v>13606.2787</v>
      </c>
      <c r="Q1088" s="65" t="n">
        <v>0</v>
      </c>
      <c r="R1088" s="65" t="s">
        <v>232</v>
      </c>
      <c r="S1088" s="66" t="n">
        <f aca="false">Model_Calc!AQ185</f>
        <v>13606.2787137883</v>
      </c>
      <c r="T1088" s="66" t="n">
        <f aca="false">ROUND(S1088-O1088,4)</f>
        <v>0</v>
      </c>
    </row>
    <row r="1089" customFormat="false" ht="15" hidden="false" customHeight="false" outlineLevel="0" collapsed="false">
      <c r="A1089" s="18" t="s">
        <v>200</v>
      </c>
      <c r="B1089" s="18" t="s">
        <v>201</v>
      </c>
      <c r="C1089" s="18"/>
      <c r="D1089" s="49" t="n">
        <v>46204</v>
      </c>
      <c r="E1089" s="18" t="s">
        <v>98</v>
      </c>
      <c r="F1089" s="18" t="s">
        <v>99</v>
      </c>
      <c r="G1089" s="18" t="s">
        <v>100</v>
      </c>
      <c r="H1089" s="18" t="s">
        <v>101</v>
      </c>
      <c r="I1089" s="18" t="s">
        <v>102</v>
      </c>
      <c r="J1089" s="18" t="s">
        <v>239</v>
      </c>
      <c r="K1089" s="18" t="s">
        <v>195</v>
      </c>
      <c r="L1089" s="64" t="n">
        <v>620.3635776</v>
      </c>
      <c r="M1089" s="64" t="n">
        <v>7.91</v>
      </c>
      <c r="N1089" s="18" t="s">
        <v>1280</v>
      </c>
      <c r="O1089" s="65" t="n">
        <v>4907.0759</v>
      </c>
      <c r="P1089" s="65" t="n">
        <v>4907.0759</v>
      </c>
      <c r="Q1089" s="65" t="n">
        <v>0</v>
      </c>
      <c r="R1089" s="65" t="s">
        <v>1100</v>
      </c>
      <c r="S1089" s="66" t="n">
        <f aca="false">Model_Calc!AV185</f>
        <v>4907.075898816</v>
      </c>
      <c r="T1089" s="66" t="n">
        <f aca="false">ROUND(S1089-O1089,4)</f>
        <v>0</v>
      </c>
    </row>
    <row r="1090" customFormat="false" ht="15" hidden="false" customHeight="false" outlineLevel="0" collapsed="false">
      <c r="A1090" s="18" t="s">
        <v>200</v>
      </c>
      <c r="B1090" s="18" t="s">
        <v>201</v>
      </c>
      <c r="C1090" s="18"/>
      <c r="D1090" s="49" t="n">
        <v>46204</v>
      </c>
      <c r="E1090" s="18" t="s">
        <v>98</v>
      </c>
      <c r="F1090" s="18" t="s">
        <v>99</v>
      </c>
      <c r="G1090" s="18" t="s">
        <v>100</v>
      </c>
      <c r="H1090" s="18" t="s">
        <v>101</v>
      </c>
      <c r="I1090" s="18" t="s">
        <v>102</v>
      </c>
      <c r="J1090" s="18" t="s">
        <v>241</v>
      </c>
      <c r="K1090" s="18" t="s">
        <v>195</v>
      </c>
      <c r="L1090" s="64" t="n">
        <v>153.731045030629</v>
      </c>
      <c r="M1090" s="64" t="n">
        <v>7.91</v>
      </c>
      <c r="N1090" s="18" t="s">
        <v>1281</v>
      </c>
      <c r="O1090" s="65" t="n">
        <v>1216.0126</v>
      </c>
      <c r="P1090" s="65" t="n">
        <v>1216.0126</v>
      </c>
      <c r="Q1090" s="65" t="n">
        <v>0</v>
      </c>
      <c r="R1090" s="65" t="s">
        <v>1100</v>
      </c>
      <c r="S1090" s="66" t="n">
        <f aca="false">Model_Calc!BA185</f>
        <v>1216.01256619228</v>
      </c>
      <c r="T1090" s="66" t="n">
        <f aca="false">ROUND(S1090-O1090,4)</f>
        <v>0</v>
      </c>
    </row>
    <row r="1091" customFormat="false" ht="15" hidden="false" customHeight="false" outlineLevel="0" collapsed="false">
      <c r="A1091" s="18" t="s">
        <v>200</v>
      </c>
      <c r="B1091" s="18" t="s">
        <v>201</v>
      </c>
      <c r="C1091" s="18"/>
      <c r="D1091" s="49" t="n">
        <v>46204</v>
      </c>
      <c r="E1091" s="18" t="s">
        <v>106</v>
      </c>
      <c r="F1091" s="18" t="s">
        <v>99</v>
      </c>
      <c r="G1091" s="18" t="s">
        <v>100</v>
      </c>
      <c r="H1091" s="18" t="s">
        <v>107</v>
      </c>
      <c r="I1091" s="18" t="s">
        <v>102</v>
      </c>
      <c r="J1091" s="18" t="s">
        <v>230</v>
      </c>
      <c r="K1091" s="18" t="s">
        <v>195</v>
      </c>
      <c r="L1091" s="64" t="n">
        <v>6036.85955816143</v>
      </c>
      <c r="M1091" s="64" t="n">
        <v>7.91</v>
      </c>
      <c r="N1091" s="18" t="s">
        <v>1282</v>
      </c>
      <c r="O1091" s="65" t="n">
        <v>47751.5591</v>
      </c>
      <c r="P1091" s="65" t="n">
        <v>47751.5591</v>
      </c>
      <c r="Q1091" s="65" t="n">
        <v>0</v>
      </c>
      <c r="R1091" s="65" t="s">
        <v>232</v>
      </c>
      <c r="S1091" s="66" t="n">
        <f aca="false">Model_Calc!AF186</f>
        <v>47751.5591050569</v>
      </c>
      <c r="T1091" s="66" t="n">
        <f aca="false">ROUND(S1091-O1091,4)</f>
        <v>0</v>
      </c>
    </row>
    <row r="1092" customFormat="false" ht="15" hidden="false" customHeight="false" outlineLevel="0" collapsed="false">
      <c r="A1092" s="18" t="s">
        <v>200</v>
      </c>
      <c r="B1092" s="18" t="s">
        <v>201</v>
      </c>
      <c r="C1092" s="18"/>
      <c r="D1092" s="49" t="n">
        <v>46204</v>
      </c>
      <c r="E1092" s="18" t="s">
        <v>106</v>
      </c>
      <c r="F1092" s="18" t="s">
        <v>99</v>
      </c>
      <c r="G1092" s="18" t="s">
        <v>100</v>
      </c>
      <c r="H1092" s="18" t="s">
        <v>107</v>
      </c>
      <c r="I1092" s="18" t="s">
        <v>102</v>
      </c>
      <c r="J1092" s="18" t="s">
        <v>233</v>
      </c>
      <c r="K1092" s="18" t="s">
        <v>195</v>
      </c>
      <c r="L1092" s="64" t="n">
        <v>460.996548077782</v>
      </c>
      <c r="M1092" s="64" t="n">
        <v>7.91</v>
      </c>
      <c r="N1092" s="18" t="s">
        <v>1283</v>
      </c>
      <c r="O1092" s="65" t="n">
        <v>3646.4827</v>
      </c>
      <c r="P1092" s="65" t="n">
        <v>3646.4827</v>
      </c>
      <c r="Q1092" s="65" t="n">
        <v>0</v>
      </c>
      <c r="R1092" s="65" t="s">
        <v>232</v>
      </c>
      <c r="S1092" s="66" t="n">
        <f aca="false">Model_Calc!AG186</f>
        <v>3646.48269529526</v>
      </c>
      <c r="T1092" s="66" t="n">
        <f aca="false">ROUND(S1092-O1092,4)</f>
        <v>0</v>
      </c>
    </row>
    <row r="1093" customFormat="false" ht="15" hidden="false" customHeight="false" outlineLevel="0" collapsed="false">
      <c r="A1093" s="18" t="s">
        <v>200</v>
      </c>
      <c r="B1093" s="18" t="s">
        <v>201</v>
      </c>
      <c r="C1093" s="18"/>
      <c r="D1093" s="49" t="n">
        <v>46204</v>
      </c>
      <c r="E1093" s="18" t="s">
        <v>106</v>
      </c>
      <c r="F1093" s="18" t="s">
        <v>99</v>
      </c>
      <c r="G1093" s="18" t="s">
        <v>100</v>
      </c>
      <c r="H1093" s="18" t="s">
        <v>107</v>
      </c>
      <c r="I1093" s="18" t="s">
        <v>102</v>
      </c>
      <c r="J1093" s="18" t="s">
        <v>235</v>
      </c>
      <c r="K1093" s="18" t="s">
        <v>195</v>
      </c>
      <c r="L1093" s="64" t="n">
        <v>3050.1209232</v>
      </c>
      <c r="M1093" s="64" t="n">
        <v>7.91</v>
      </c>
      <c r="N1093" s="18" t="s">
        <v>1284</v>
      </c>
      <c r="O1093" s="65" t="n">
        <v>24126.4565</v>
      </c>
      <c r="P1093" s="65" t="n">
        <v>24126.4565</v>
      </c>
      <c r="Q1093" s="65" t="n">
        <v>0</v>
      </c>
      <c r="R1093" s="65" t="s">
        <v>232</v>
      </c>
      <c r="S1093" s="66" t="n">
        <f aca="false">Model_Calc!AL186</f>
        <v>24126.456502512</v>
      </c>
      <c r="T1093" s="66" t="n">
        <f aca="false">ROUND(S1093-O1093,4)</f>
        <v>0</v>
      </c>
    </row>
    <row r="1094" customFormat="false" ht="15" hidden="false" customHeight="false" outlineLevel="0" collapsed="false">
      <c r="A1094" s="18" t="s">
        <v>200</v>
      </c>
      <c r="B1094" s="18" t="s">
        <v>201</v>
      </c>
      <c r="C1094" s="18"/>
      <c r="D1094" s="49" t="n">
        <v>46204</v>
      </c>
      <c r="E1094" s="18" t="s">
        <v>106</v>
      </c>
      <c r="F1094" s="18" t="s">
        <v>99</v>
      </c>
      <c r="G1094" s="18" t="s">
        <v>100</v>
      </c>
      <c r="H1094" s="18" t="s">
        <v>107</v>
      </c>
      <c r="I1094" s="18" t="s">
        <v>102</v>
      </c>
      <c r="J1094" s="18" t="s">
        <v>237</v>
      </c>
      <c r="K1094" s="18" t="s">
        <v>195</v>
      </c>
      <c r="L1094" s="64" t="n">
        <v>1146.75758228304</v>
      </c>
      <c r="M1094" s="64" t="n">
        <v>7.91</v>
      </c>
      <c r="N1094" s="18" t="s">
        <v>1285</v>
      </c>
      <c r="O1094" s="65" t="n">
        <v>9070.8525</v>
      </c>
      <c r="P1094" s="65" t="n">
        <v>9070.8525</v>
      </c>
      <c r="Q1094" s="65" t="n">
        <v>0</v>
      </c>
      <c r="R1094" s="65" t="s">
        <v>232</v>
      </c>
      <c r="S1094" s="66" t="n">
        <f aca="false">Model_Calc!AQ186</f>
        <v>9070.85247585885</v>
      </c>
      <c r="T1094" s="66" t="n">
        <f aca="false">ROUND(S1094-O1094,4)</f>
        <v>0</v>
      </c>
    </row>
    <row r="1095" customFormat="false" ht="15" hidden="false" customHeight="false" outlineLevel="0" collapsed="false">
      <c r="A1095" s="18" t="s">
        <v>200</v>
      </c>
      <c r="B1095" s="18" t="s">
        <v>201</v>
      </c>
      <c r="C1095" s="18"/>
      <c r="D1095" s="49" t="n">
        <v>46204</v>
      </c>
      <c r="E1095" s="18" t="s">
        <v>106</v>
      </c>
      <c r="F1095" s="18" t="s">
        <v>99</v>
      </c>
      <c r="G1095" s="18" t="s">
        <v>100</v>
      </c>
      <c r="H1095" s="18" t="s">
        <v>107</v>
      </c>
      <c r="I1095" s="18" t="s">
        <v>102</v>
      </c>
      <c r="J1095" s="18" t="s">
        <v>239</v>
      </c>
      <c r="K1095" s="18" t="s">
        <v>195</v>
      </c>
      <c r="L1095" s="64" t="n">
        <v>413.5757184</v>
      </c>
      <c r="M1095" s="64" t="n">
        <v>7.91</v>
      </c>
      <c r="N1095" s="18" t="s">
        <v>1286</v>
      </c>
      <c r="O1095" s="65" t="n">
        <v>3271.3839</v>
      </c>
      <c r="P1095" s="65" t="n">
        <v>3271.3839</v>
      </c>
      <c r="Q1095" s="65" t="n">
        <v>0</v>
      </c>
      <c r="R1095" s="65" t="s">
        <v>1100</v>
      </c>
      <c r="S1095" s="66" t="n">
        <f aca="false">Model_Calc!AV186</f>
        <v>3271.383932544</v>
      </c>
      <c r="T1095" s="66" t="n">
        <f aca="false">ROUND(S1095-O1095,4)</f>
        <v>0</v>
      </c>
    </row>
    <row r="1096" customFormat="false" ht="15" hidden="false" customHeight="false" outlineLevel="0" collapsed="false">
      <c r="A1096" s="18" t="s">
        <v>200</v>
      </c>
      <c r="B1096" s="18" t="s">
        <v>201</v>
      </c>
      <c r="C1096" s="18"/>
      <c r="D1096" s="49" t="n">
        <v>46204</v>
      </c>
      <c r="E1096" s="18" t="s">
        <v>106</v>
      </c>
      <c r="F1096" s="18" t="s">
        <v>99</v>
      </c>
      <c r="G1096" s="18" t="s">
        <v>100</v>
      </c>
      <c r="H1096" s="18" t="s">
        <v>107</v>
      </c>
      <c r="I1096" s="18" t="s">
        <v>102</v>
      </c>
      <c r="J1096" s="18" t="s">
        <v>241</v>
      </c>
      <c r="K1096" s="18" t="s">
        <v>195</v>
      </c>
      <c r="L1096" s="64" t="n">
        <v>83.2709827249242</v>
      </c>
      <c r="M1096" s="64" t="n">
        <v>7.91</v>
      </c>
      <c r="N1096" s="18" t="s">
        <v>1287</v>
      </c>
      <c r="O1096" s="65" t="n">
        <v>658.6735</v>
      </c>
      <c r="P1096" s="65" t="n">
        <v>658.6735</v>
      </c>
      <c r="Q1096" s="65" t="n">
        <v>0</v>
      </c>
      <c r="R1096" s="65" t="s">
        <v>1100</v>
      </c>
      <c r="S1096" s="66" t="n">
        <f aca="false">Model_Calc!BA186</f>
        <v>658.67347335415</v>
      </c>
      <c r="T1096" s="66" t="n">
        <f aca="false">ROUND(S1096-O1096,4)</f>
        <v>0</v>
      </c>
    </row>
    <row r="1097" customFormat="false" ht="15" hidden="false" customHeight="false" outlineLevel="0" collapsed="false">
      <c r="A1097" s="18" t="s">
        <v>200</v>
      </c>
      <c r="B1097" s="18" t="s">
        <v>201</v>
      </c>
      <c r="C1097" s="18"/>
      <c r="D1097" s="49" t="n">
        <v>46204</v>
      </c>
      <c r="E1097" s="18" t="s">
        <v>109</v>
      </c>
      <c r="F1097" s="18" t="s">
        <v>99</v>
      </c>
      <c r="G1097" s="18" t="s">
        <v>110</v>
      </c>
      <c r="H1097" s="18" t="s">
        <v>107</v>
      </c>
      <c r="I1097" s="18" t="s">
        <v>102</v>
      </c>
      <c r="J1097" s="18" t="s">
        <v>230</v>
      </c>
      <c r="K1097" s="18" t="s">
        <v>195</v>
      </c>
      <c r="L1097" s="64" t="n">
        <v>619.333780296797</v>
      </c>
      <c r="M1097" s="64" t="n">
        <v>7.91</v>
      </c>
      <c r="N1097" s="18" t="s">
        <v>1288</v>
      </c>
      <c r="O1097" s="65" t="n">
        <v>4898.9302</v>
      </c>
      <c r="P1097" s="65" t="n">
        <v>4898.9302</v>
      </c>
      <c r="Q1097" s="65" t="n">
        <v>0</v>
      </c>
      <c r="R1097" s="65" t="s">
        <v>232</v>
      </c>
      <c r="S1097" s="66" t="n">
        <f aca="false">Model_Calc!AF187</f>
        <v>4898.93020214767</v>
      </c>
      <c r="T1097" s="66" t="n">
        <f aca="false">ROUND(S1097-O1097,4)</f>
        <v>0</v>
      </c>
    </row>
    <row r="1098" customFormat="false" ht="15" hidden="false" customHeight="false" outlineLevel="0" collapsed="false">
      <c r="A1098" s="18" t="s">
        <v>200</v>
      </c>
      <c r="B1098" s="18" t="s">
        <v>201</v>
      </c>
      <c r="C1098" s="18"/>
      <c r="D1098" s="49" t="n">
        <v>46204</v>
      </c>
      <c r="E1098" s="18" t="s">
        <v>109</v>
      </c>
      <c r="F1098" s="18" t="s">
        <v>99</v>
      </c>
      <c r="G1098" s="18" t="s">
        <v>110</v>
      </c>
      <c r="H1098" s="18" t="s">
        <v>107</v>
      </c>
      <c r="I1098" s="18" t="s">
        <v>102</v>
      </c>
      <c r="J1098" s="18" t="s">
        <v>233</v>
      </c>
      <c r="K1098" s="18" t="s">
        <v>195</v>
      </c>
      <c r="L1098" s="64" t="n">
        <v>45.042456748858</v>
      </c>
      <c r="M1098" s="64" t="n">
        <v>7.91</v>
      </c>
      <c r="N1098" s="18" t="s">
        <v>1289</v>
      </c>
      <c r="O1098" s="65" t="n">
        <v>356.2858</v>
      </c>
      <c r="P1098" s="65" t="n">
        <v>356.2858</v>
      </c>
      <c r="Q1098" s="65" t="n">
        <v>0</v>
      </c>
      <c r="R1098" s="65" t="s">
        <v>232</v>
      </c>
      <c r="S1098" s="66" t="n">
        <f aca="false">Model_Calc!AG187</f>
        <v>356.285832883467</v>
      </c>
      <c r="T1098" s="66" t="n">
        <f aca="false">ROUND(S1098-O1098,4)</f>
        <v>0</v>
      </c>
    </row>
    <row r="1099" customFormat="false" ht="15" hidden="false" customHeight="false" outlineLevel="0" collapsed="false">
      <c r="A1099" s="18" t="s">
        <v>200</v>
      </c>
      <c r="B1099" s="18" t="s">
        <v>201</v>
      </c>
      <c r="C1099" s="18"/>
      <c r="D1099" s="49" t="n">
        <v>46204</v>
      </c>
      <c r="E1099" s="18" t="s">
        <v>109</v>
      </c>
      <c r="F1099" s="18" t="s">
        <v>99</v>
      </c>
      <c r="G1099" s="18" t="s">
        <v>110</v>
      </c>
      <c r="H1099" s="18" t="s">
        <v>107</v>
      </c>
      <c r="I1099" s="18" t="s">
        <v>102</v>
      </c>
      <c r="J1099" s="18" t="s">
        <v>235</v>
      </c>
      <c r="K1099" s="18" t="s">
        <v>195</v>
      </c>
      <c r="L1099" s="64" t="n">
        <v>209.85237</v>
      </c>
      <c r="M1099" s="64" t="n">
        <v>7.91</v>
      </c>
      <c r="N1099" s="18" t="s">
        <v>1290</v>
      </c>
      <c r="O1099" s="65" t="n">
        <v>1659.9322</v>
      </c>
      <c r="P1099" s="65" t="n">
        <v>1659.9322</v>
      </c>
      <c r="Q1099" s="65" t="n">
        <v>0</v>
      </c>
      <c r="R1099" s="65" t="s">
        <v>232</v>
      </c>
      <c r="S1099" s="66" t="n">
        <f aca="false">Model_Calc!AL187</f>
        <v>1659.9322467</v>
      </c>
      <c r="T1099" s="66" t="n">
        <f aca="false">ROUND(S1099-O1099,4)</f>
        <v>0</v>
      </c>
    </row>
    <row r="1100" customFormat="false" ht="15" hidden="false" customHeight="false" outlineLevel="0" collapsed="false">
      <c r="A1100" s="18" t="s">
        <v>200</v>
      </c>
      <c r="B1100" s="18" t="s">
        <v>201</v>
      </c>
      <c r="C1100" s="18"/>
      <c r="D1100" s="49" t="n">
        <v>46204</v>
      </c>
      <c r="E1100" s="18" t="s">
        <v>109</v>
      </c>
      <c r="F1100" s="18" t="s">
        <v>99</v>
      </c>
      <c r="G1100" s="18" t="s">
        <v>110</v>
      </c>
      <c r="H1100" s="18" t="s">
        <v>107</v>
      </c>
      <c r="I1100" s="18" t="s">
        <v>102</v>
      </c>
      <c r="J1100" s="18" t="s">
        <v>237</v>
      </c>
      <c r="K1100" s="18" t="s">
        <v>195</v>
      </c>
      <c r="L1100" s="64" t="n">
        <v>82.51443154656</v>
      </c>
      <c r="M1100" s="64" t="n">
        <v>7.91</v>
      </c>
      <c r="N1100" s="18" t="s">
        <v>1291</v>
      </c>
      <c r="O1100" s="65" t="n">
        <v>652.6892</v>
      </c>
      <c r="P1100" s="65" t="n">
        <v>652.6892</v>
      </c>
      <c r="Q1100" s="65" t="n">
        <v>0</v>
      </c>
      <c r="R1100" s="65" t="s">
        <v>232</v>
      </c>
      <c r="S1100" s="66" t="n">
        <f aca="false">Model_Calc!AQ187</f>
        <v>652.68915353329</v>
      </c>
      <c r="T1100" s="66" t="n">
        <f aca="false">ROUND(S1100-O1100,4)</f>
        <v>0</v>
      </c>
    </row>
    <row r="1101" customFormat="false" ht="15" hidden="false" customHeight="false" outlineLevel="0" collapsed="false">
      <c r="A1101" s="18" t="s">
        <v>200</v>
      </c>
      <c r="B1101" s="18" t="s">
        <v>201</v>
      </c>
      <c r="C1101" s="18"/>
      <c r="D1101" s="49" t="n">
        <v>46204</v>
      </c>
      <c r="E1101" s="18" t="s">
        <v>109</v>
      </c>
      <c r="F1101" s="18" t="s">
        <v>99</v>
      </c>
      <c r="G1101" s="18" t="s">
        <v>110</v>
      </c>
      <c r="H1101" s="18" t="s">
        <v>107</v>
      </c>
      <c r="I1101" s="18" t="s">
        <v>102</v>
      </c>
      <c r="J1101" s="18" t="s">
        <v>239</v>
      </c>
      <c r="K1101" s="18" t="s">
        <v>195</v>
      </c>
      <c r="L1101" s="64" t="n">
        <v>37.973286</v>
      </c>
      <c r="M1101" s="64" t="n">
        <v>7.91</v>
      </c>
      <c r="N1101" s="18" t="s">
        <v>1292</v>
      </c>
      <c r="O1101" s="65" t="n">
        <v>300.3687</v>
      </c>
      <c r="P1101" s="65" t="n">
        <v>300.3687</v>
      </c>
      <c r="Q1101" s="65" t="n">
        <v>0</v>
      </c>
      <c r="R1101" s="65" t="s">
        <v>1100</v>
      </c>
      <c r="S1101" s="66" t="n">
        <f aca="false">Model_Calc!AV187</f>
        <v>300.36869226</v>
      </c>
      <c r="T1101" s="66" t="n">
        <f aca="false">ROUND(S1101-O1101,4)</f>
        <v>0</v>
      </c>
    </row>
    <row r="1102" customFormat="false" ht="15" hidden="false" customHeight="false" outlineLevel="0" collapsed="false">
      <c r="A1102" s="18" t="s">
        <v>200</v>
      </c>
      <c r="B1102" s="18" t="s">
        <v>201</v>
      </c>
      <c r="C1102" s="18"/>
      <c r="D1102" s="49" t="n">
        <v>46204</v>
      </c>
      <c r="E1102" s="18" t="s">
        <v>109</v>
      </c>
      <c r="F1102" s="18" t="s">
        <v>99</v>
      </c>
      <c r="G1102" s="18" t="s">
        <v>110</v>
      </c>
      <c r="H1102" s="18" t="s">
        <v>107</v>
      </c>
      <c r="I1102" s="18" t="s">
        <v>102</v>
      </c>
      <c r="J1102" s="18" t="s">
        <v>241</v>
      </c>
      <c r="K1102" s="18" t="s">
        <v>195</v>
      </c>
      <c r="L1102" s="64" t="n">
        <v>7.13185260451373</v>
      </c>
      <c r="M1102" s="64" t="n">
        <v>7.91</v>
      </c>
      <c r="N1102" s="18" t="s">
        <v>1293</v>
      </c>
      <c r="O1102" s="65" t="n">
        <v>56.413</v>
      </c>
      <c r="P1102" s="65" t="n">
        <v>56.413</v>
      </c>
      <c r="Q1102" s="65" t="n">
        <v>0</v>
      </c>
      <c r="R1102" s="65" t="s">
        <v>1100</v>
      </c>
      <c r="S1102" s="66" t="n">
        <f aca="false">Model_Calc!BA187</f>
        <v>56.4129541017036</v>
      </c>
      <c r="T1102" s="66" t="n">
        <f aca="false">ROUND(S1102-O1102,4)</f>
        <v>0</v>
      </c>
    </row>
    <row r="1103" customFormat="false" ht="15" hidden="false" customHeight="false" outlineLevel="0" collapsed="false">
      <c r="A1103" s="18" t="s">
        <v>200</v>
      </c>
      <c r="B1103" s="18" t="s">
        <v>201</v>
      </c>
      <c r="C1103" s="18"/>
      <c r="D1103" s="49" t="n">
        <v>46204</v>
      </c>
      <c r="E1103" s="18" t="s">
        <v>112</v>
      </c>
      <c r="F1103" s="18" t="s">
        <v>113</v>
      </c>
      <c r="G1103" s="18" t="s">
        <v>110</v>
      </c>
      <c r="H1103" s="18" t="s">
        <v>101</v>
      </c>
      <c r="I1103" s="18" t="s">
        <v>102</v>
      </c>
      <c r="J1103" s="18" t="s">
        <v>230</v>
      </c>
      <c r="K1103" s="18" t="s">
        <v>195</v>
      </c>
      <c r="L1103" s="64" t="n">
        <v>3332.58425819963</v>
      </c>
      <c r="M1103" s="64" t="n">
        <v>7.91</v>
      </c>
      <c r="N1103" s="18" t="s">
        <v>1294</v>
      </c>
      <c r="O1103" s="65" t="n">
        <v>26360.7415</v>
      </c>
      <c r="P1103" s="65" t="n">
        <v>26360.7415</v>
      </c>
      <c r="Q1103" s="65" t="n">
        <v>0</v>
      </c>
      <c r="R1103" s="65" t="s">
        <v>232</v>
      </c>
      <c r="S1103" s="66" t="n">
        <f aca="false">Model_Calc!AF188</f>
        <v>26360.7414823591</v>
      </c>
      <c r="T1103" s="66" t="n">
        <f aca="false">ROUND(S1103-O1103,4)</f>
        <v>0</v>
      </c>
    </row>
    <row r="1104" customFormat="false" ht="15" hidden="false" customHeight="false" outlineLevel="0" collapsed="false">
      <c r="A1104" s="18" t="s">
        <v>200</v>
      </c>
      <c r="B1104" s="18" t="s">
        <v>201</v>
      </c>
      <c r="C1104" s="18"/>
      <c r="D1104" s="49" t="n">
        <v>46204</v>
      </c>
      <c r="E1104" s="18" t="s">
        <v>112</v>
      </c>
      <c r="F1104" s="18" t="s">
        <v>113</v>
      </c>
      <c r="G1104" s="18" t="s">
        <v>110</v>
      </c>
      <c r="H1104" s="18" t="s">
        <v>101</v>
      </c>
      <c r="I1104" s="18" t="s">
        <v>102</v>
      </c>
      <c r="J1104" s="18" t="s">
        <v>233</v>
      </c>
      <c r="K1104" s="18" t="s">
        <v>195</v>
      </c>
      <c r="L1104" s="64" t="n">
        <v>304.131639403299</v>
      </c>
      <c r="M1104" s="64" t="n">
        <v>7.91</v>
      </c>
      <c r="N1104" s="18" t="s">
        <v>1295</v>
      </c>
      <c r="O1104" s="65" t="n">
        <v>2405.6813</v>
      </c>
      <c r="P1104" s="65" t="n">
        <v>2405.6813</v>
      </c>
      <c r="Q1104" s="65" t="n">
        <v>0</v>
      </c>
      <c r="R1104" s="65" t="s">
        <v>232</v>
      </c>
      <c r="S1104" s="66" t="n">
        <f aca="false">Model_Calc!AG188</f>
        <v>2405.68126768009</v>
      </c>
      <c r="T1104" s="66" t="n">
        <f aca="false">ROUND(S1104-O1104,4)</f>
        <v>0</v>
      </c>
    </row>
    <row r="1105" customFormat="false" ht="15" hidden="false" customHeight="false" outlineLevel="0" collapsed="false">
      <c r="A1105" s="18" t="s">
        <v>200</v>
      </c>
      <c r="B1105" s="18" t="s">
        <v>201</v>
      </c>
      <c r="C1105" s="18"/>
      <c r="D1105" s="49" t="n">
        <v>46204</v>
      </c>
      <c r="E1105" s="18" t="s">
        <v>112</v>
      </c>
      <c r="F1105" s="18" t="s">
        <v>113</v>
      </c>
      <c r="G1105" s="18" t="s">
        <v>110</v>
      </c>
      <c r="H1105" s="18" t="s">
        <v>101</v>
      </c>
      <c r="I1105" s="18" t="s">
        <v>102</v>
      </c>
      <c r="J1105" s="18" t="s">
        <v>235</v>
      </c>
      <c r="K1105" s="18" t="s">
        <v>195</v>
      </c>
      <c r="L1105" s="64" t="n">
        <v>2045.82105</v>
      </c>
      <c r="M1105" s="64" t="n">
        <v>7.91</v>
      </c>
      <c r="N1105" s="18" t="s">
        <v>1296</v>
      </c>
      <c r="O1105" s="65" t="n">
        <v>16182.4445</v>
      </c>
      <c r="P1105" s="65" t="n">
        <v>16182.4445</v>
      </c>
      <c r="Q1105" s="65" t="n">
        <v>0</v>
      </c>
      <c r="R1105" s="65" t="s">
        <v>232</v>
      </c>
      <c r="S1105" s="66" t="n">
        <f aca="false">Model_Calc!AL188</f>
        <v>16182.4445055</v>
      </c>
      <c r="T1105" s="66" t="n">
        <f aca="false">ROUND(S1105-O1105,4)</f>
        <v>0</v>
      </c>
    </row>
    <row r="1106" customFormat="false" ht="15" hidden="false" customHeight="false" outlineLevel="0" collapsed="false">
      <c r="A1106" s="18" t="s">
        <v>200</v>
      </c>
      <c r="B1106" s="18" t="s">
        <v>201</v>
      </c>
      <c r="C1106" s="18"/>
      <c r="D1106" s="49" t="n">
        <v>46204</v>
      </c>
      <c r="E1106" s="18" t="s">
        <v>112</v>
      </c>
      <c r="F1106" s="18" t="s">
        <v>113</v>
      </c>
      <c r="G1106" s="18" t="s">
        <v>110</v>
      </c>
      <c r="H1106" s="18" t="s">
        <v>101</v>
      </c>
      <c r="I1106" s="18" t="s">
        <v>102</v>
      </c>
      <c r="J1106" s="18" t="s">
        <v>237</v>
      </c>
      <c r="K1106" s="18" t="s">
        <v>195</v>
      </c>
      <c r="L1106" s="64" t="n">
        <v>789.5248183368</v>
      </c>
      <c r="M1106" s="64" t="n">
        <v>7.91</v>
      </c>
      <c r="N1106" s="18" t="s">
        <v>1297</v>
      </c>
      <c r="O1106" s="65" t="n">
        <v>6245.1413</v>
      </c>
      <c r="P1106" s="65" t="n">
        <v>6245.1413</v>
      </c>
      <c r="Q1106" s="65" t="n">
        <v>0</v>
      </c>
      <c r="R1106" s="65" t="s">
        <v>232</v>
      </c>
      <c r="S1106" s="66" t="n">
        <f aca="false">Model_Calc!AQ188</f>
        <v>6245.14131304409</v>
      </c>
      <c r="T1106" s="66" t="n">
        <f aca="false">ROUND(S1106-O1106,4)</f>
        <v>0</v>
      </c>
    </row>
    <row r="1107" customFormat="false" ht="15" hidden="false" customHeight="false" outlineLevel="0" collapsed="false">
      <c r="A1107" s="18" t="s">
        <v>200</v>
      </c>
      <c r="B1107" s="18" t="s">
        <v>201</v>
      </c>
      <c r="C1107" s="18"/>
      <c r="D1107" s="49" t="n">
        <v>46204</v>
      </c>
      <c r="E1107" s="18" t="s">
        <v>112</v>
      </c>
      <c r="F1107" s="18" t="s">
        <v>113</v>
      </c>
      <c r="G1107" s="18" t="s">
        <v>110</v>
      </c>
      <c r="H1107" s="18" t="s">
        <v>101</v>
      </c>
      <c r="I1107" s="18" t="s">
        <v>102</v>
      </c>
      <c r="J1107" s="18" t="s">
        <v>239</v>
      </c>
      <c r="K1107" s="18" t="s">
        <v>195</v>
      </c>
      <c r="L1107" s="64" t="n">
        <v>350.71218</v>
      </c>
      <c r="M1107" s="64" t="n">
        <v>7.91</v>
      </c>
      <c r="N1107" s="18" t="s">
        <v>1298</v>
      </c>
      <c r="O1107" s="65" t="n">
        <v>2774.1333</v>
      </c>
      <c r="P1107" s="65" t="n">
        <v>2774.1333</v>
      </c>
      <c r="Q1107" s="65" t="n">
        <v>0</v>
      </c>
      <c r="R1107" s="65" t="s">
        <v>1100</v>
      </c>
      <c r="S1107" s="66" t="n">
        <f aca="false">Model_Calc!AV188</f>
        <v>2774.1333438</v>
      </c>
      <c r="T1107" s="66" t="n">
        <f aca="false">ROUND(S1107-O1107,4)</f>
        <v>0</v>
      </c>
    </row>
    <row r="1108" customFormat="false" ht="15" hidden="false" customHeight="false" outlineLevel="0" collapsed="false">
      <c r="A1108" s="18" t="s">
        <v>200</v>
      </c>
      <c r="B1108" s="18" t="s">
        <v>201</v>
      </c>
      <c r="C1108" s="18"/>
      <c r="D1108" s="49" t="n">
        <v>46204</v>
      </c>
      <c r="E1108" s="18" t="s">
        <v>112</v>
      </c>
      <c r="F1108" s="18" t="s">
        <v>113</v>
      </c>
      <c r="G1108" s="18" t="s">
        <v>110</v>
      </c>
      <c r="H1108" s="18" t="s">
        <v>101</v>
      </c>
      <c r="I1108" s="18" t="s">
        <v>102</v>
      </c>
      <c r="J1108" s="18" t="s">
        <v>241</v>
      </c>
      <c r="K1108" s="18" t="s">
        <v>195</v>
      </c>
      <c r="L1108" s="64" t="n">
        <v>82.8627073813375</v>
      </c>
      <c r="M1108" s="64" t="n">
        <v>7.91</v>
      </c>
      <c r="N1108" s="18" t="s">
        <v>1299</v>
      </c>
      <c r="O1108" s="65" t="n">
        <v>655.444</v>
      </c>
      <c r="P1108" s="65" t="n">
        <v>655.444</v>
      </c>
      <c r="Q1108" s="65" t="n">
        <v>0</v>
      </c>
      <c r="R1108" s="65" t="s">
        <v>1100</v>
      </c>
      <c r="S1108" s="66" t="n">
        <f aca="false">Model_Calc!BA188</f>
        <v>655.44401538638</v>
      </c>
      <c r="T1108" s="66" t="n">
        <f aca="false">ROUND(S1108-O1108,4)</f>
        <v>0</v>
      </c>
    </row>
    <row r="1109" customFormat="false" ht="15" hidden="false" customHeight="false" outlineLevel="0" collapsed="false">
      <c r="A1109" s="18" t="s">
        <v>200</v>
      </c>
      <c r="B1109" s="18" t="s">
        <v>201</v>
      </c>
      <c r="C1109" s="18"/>
      <c r="D1109" s="49" t="n">
        <v>46204</v>
      </c>
      <c r="E1109" s="18" t="s">
        <v>116</v>
      </c>
      <c r="F1109" s="18" t="s">
        <v>113</v>
      </c>
      <c r="G1109" s="18" t="s">
        <v>110</v>
      </c>
      <c r="H1109" s="18" t="s">
        <v>107</v>
      </c>
      <c r="I1109" s="18" t="s">
        <v>102</v>
      </c>
      <c r="J1109" s="18" t="s">
        <v>230</v>
      </c>
      <c r="K1109" s="18" t="s">
        <v>195</v>
      </c>
      <c r="L1109" s="64" t="n">
        <v>7965.15081117495</v>
      </c>
      <c r="M1109" s="64" t="n">
        <v>7.91</v>
      </c>
      <c r="N1109" s="18" t="s">
        <v>1300</v>
      </c>
      <c r="O1109" s="65" t="n">
        <v>63004.3429</v>
      </c>
      <c r="P1109" s="65" t="n">
        <v>63004.3429</v>
      </c>
      <c r="Q1109" s="65" t="n">
        <v>0</v>
      </c>
      <c r="R1109" s="65" t="s">
        <v>232</v>
      </c>
      <c r="S1109" s="66" t="n">
        <f aca="false">Model_Calc!AF189</f>
        <v>63004.3429163939</v>
      </c>
      <c r="T1109" s="66" t="n">
        <f aca="false">ROUND(S1109-O1109,4)</f>
        <v>0</v>
      </c>
    </row>
    <row r="1110" customFormat="false" ht="15" hidden="false" customHeight="false" outlineLevel="0" collapsed="false">
      <c r="A1110" s="18" t="s">
        <v>200</v>
      </c>
      <c r="B1110" s="18" t="s">
        <v>201</v>
      </c>
      <c r="C1110" s="18"/>
      <c r="D1110" s="49" t="n">
        <v>46204</v>
      </c>
      <c r="E1110" s="18" t="s">
        <v>116</v>
      </c>
      <c r="F1110" s="18" t="s">
        <v>113</v>
      </c>
      <c r="G1110" s="18" t="s">
        <v>110</v>
      </c>
      <c r="H1110" s="18" t="s">
        <v>107</v>
      </c>
      <c r="I1110" s="18" t="s">
        <v>102</v>
      </c>
      <c r="J1110" s="18" t="s">
        <v>233</v>
      </c>
      <c r="K1110" s="18" t="s">
        <v>195</v>
      </c>
      <c r="L1110" s="64" t="n">
        <v>612.70390855192</v>
      </c>
      <c r="M1110" s="64" t="n">
        <v>7.91</v>
      </c>
      <c r="N1110" s="18" t="s">
        <v>1301</v>
      </c>
      <c r="O1110" s="65" t="n">
        <v>4846.4879</v>
      </c>
      <c r="P1110" s="65" t="n">
        <v>4846.4879</v>
      </c>
      <c r="Q1110" s="65" t="n">
        <v>0</v>
      </c>
      <c r="R1110" s="65" t="s">
        <v>232</v>
      </c>
      <c r="S1110" s="66" t="n">
        <f aca="false">Model_Calc!AG189</f>
        <v>4846.48791664569</v>
      </c>
      <c r="T1110" s="66" t="n">
        <f aca="false">ROUND(S1110-O1110,4)</f>
        <v>0</v>
      </c>
    </row>
    <row r="1111" customFormat="false" ht="15" hidden="false" customHeight="false" outlineLevel="0" collapsed="false">
      <c r="A1111" s="18" t="s">
        <v>200</v>
      </c>
      <c r="B1111" s="18" t="s">
        <v>201</v>
      </c>
      <c r="C1111" s="18"/>
      <c r="D1111" s="49" t="n">
        <v>46204</v>
      </c>
      <c r="E1111" s="18" t="s">
        <v>116</v>
      </c>
      <c r="F1111" s="18" t="s">
        <v>113</v>
      </c>
      <c r="G1111" s="18" t="s">
        <v>110</v>
      </c>
      <c r="H1111" s="18" t="s">
        <v>107</v>
      </c>
      <c r="I1111" s="18" t="s">
        <v>102</v>
      </c>
      <c r="J1111" s="18" t="s">
        <v>235</v>
      </c>
      <c r="K1111" s="18" t="s">
        <v>195</v>
      </c>
      <c r="L1111" s="64" t="n">
        <v>3799.38195</v>
      </c>
      <c r="M1111" s="64" t="n">
        <v>7.91</v>
      </c>
      <c r="N1111" s="18" t="s">
        <v>1302</v>
      </c>
      <c r="O1111" s="65" t="n">
        <v>30053.1112</v>
      </c>
      <c r="P1111" s="65" t="n">
        <v>30053.1112</v>
      </c>
      <c r="Q1111" s="65" t="n">
        <v>0</v>
      </c>
      <c r="R1111" s="65" t="s">
        <v>232</v>
      </c>
      <c r="S1111" s="66" t="n">
        <f aca="false">Model_Calc!AL189</f>
        <v>30053.1112245</v>
      </c>
      <c r="T1111" s="66" t="n">
        <f aca="false">ROUND(S1111-O1111,4)</f>
        <v>0</v>
      </c>
    </row>
    <row r="1112" customFormat="false" ht="15" hidden="false" customHeight="false" outlineLevel="0" collapsed="false">
      <c r="A1112" s="18" t="s">
        <v>200</v>
      </c>
      <c r="B1112" s="18" t="s">
        <v>201</v>
      </c>
      <c r="C1112" s="18"/>
      <c r="D1112" s="49" t="n">
        <v>46204</v>
      </c>
      <c r="E1112" s="18" t="s">
        <v>116</v>
      </c>
      <c r="F1112" s="18" t="s">
        <v>113</v>
      </c>
      <c r="G1112" s="18" t="s">
        <v>110</v>
      </c>
      <c r="H1112" s="18" t="s">
        <v>107</v>
      </c>
      <c r="I1112" s="18" t="s">
        <v>102</v>
      </c>
      <c r="J1112" s="18" t="s">
        <v>237</v>
      </c>
      <c r="K1112" s="18" t="s">
        <v>195</v>
      </c>
      <c r="L1112" s="64" t="n">
        <v>1466.2603769112</v>
      </c>
      <c r="M1112" s="64" t="n">
        <v>7.91</v>
      </c>
      <c r="N1112" s="18" t="s">
        <v>1303</v>
      </c>
      <c r="O1112" s="65" t="n">
        <v>11598.1196</v>
      </c>
      <c r="P1112" s="65" t="n">
        <v>11598.1196</v>
      </c>
      <c r="Q1112" s="65" t="n">
        <v>0</v>
      </c>
      <c r="R1112" s="65" t="s">
        <v>232</v>
      </c>
      <c r="S1112" s="66" t="n">
        <f aca="false">Model_Calc!AQ189</f>
        <v>11598.1195813676</v>
      </c>
      <c r="T1112" s="66" t="n">
        <f aca="false">ROUND(S1112-O1112,4)</f>
        <v>0</v>
      </c>
    </row>
    <row r="1113" customFormat="false" ht="15" hidden="false" customHeight="false" outlineLevel="0" collapsed="false">
      <c r="A1113" s="18" t="s">
        <v>200</v>
      </c>
      <c r="B1113" s="18" t="s">
        <v>201</v>
      </c>
      <c r="C1113" s="18"/>
      <c r="D1113" s="49" t="n">
        <v>46204</v>
      </c>
      <c r="E1113" s="18" t="s">
        <v>116</v>
      </c>
      <c r="F1113" s="18" t="s">
        <v>113</v>
      </c>
      <c r="G1113" s="18" t="s">
        <v>110</v>
      </c>
      <c r="H1113" s="18" t="s">
        <v>107</v>
      </c>
      <c r="I1113" s="18" t="s">
        <v>102</v>
      </c>
      <c r="J1113" s="18" t="s">
        <v>239</v>
      </c>
      <c r="K1113" s="18" t="s">
        <v>195</v>
      </c>
      <c r="L1113" s="64" t="n">
        <v>651.32262</v>
      </c>
      <c r="M1113" s="64" t="n">
        <v>7.91</v>
      </c>
      <c r="N1113" s="18" t="s">
        <v>1304</v>
      </c>
      <c r="O1113" s="65" t="n">
        <v>5151.9619</v>
      </c>
      <c r="P1113" s="65" t="n">
        <v>5151.9619</v>
      </c>
      <c r="Q1113" s="65" t="n">
        <v>0</v>
      </c>
      <c r="R1113" s="65" t="s">
        <v>1100</v>
      </c>
      <c r="S1113" s="66" t="n">
        <f aca="false">Model_Calc!AV189</f>
        <v>5151.9619242</v>
      </c>
      <c r="T1113" s="66" t="n">
        <f aca="false">ROUND(S1113-O1113,4)</f>
        <v>0</v>
      </c>
    </row>
    <row r="1114" customFormat="false" ht="15" hidden="false" customHeight="false" outlineLevel="0" collapsed="false">
      <c r="A1114" s="18" t="s">
        <v>200</v>
      </c>
      <c r="B1114" s="18" t="s">
        <v>201</v>
      </c>
      <c r="C1114" s="18"/>
      <c r="D1114" s="49" t="n">
        <v>46204</v>
      </c>
      <c r="E1114" s="18" t="s">
        <v>116</v>
      </c>
      <c r="F1114" s="18" t="s">
        <v>113</v>
      </c>
      <c r="G1114" s="18" t="s">
        <v>110</v>
      </c>
      <c r="H1114" s="18" t="s">
        <v>107</v>
      </c>
      <c r="I1114" s="18" t="s">
        <v>102</v>
      </c>
      <c r="J1114" s="18" t="s">
        <v>241</v>
      </c>
      <c r="K1114" s="18" t="s">
        <v>195</v>
      </c>
      <c r="L1114" s="64" t="n">
        <v>126.731199524399</v>
      </c>
      <c r="M1114" s="64" t="n">
        <v>7.91</v>
      </c>
      <c r="N1114" s="18" t="s">
        <v>1305</v>
      </c>
      <c r="O1114" s="65" t="n">
        <v>1002.4438</v>
      </c>
      <c r="P1114" s="65" t="n">
        <v>1002.4438</v>
      </c>
      <c r="Q1114" s="65" t="n">
        <v>0</v>
      </c>
      <c r="R1114" s="65" t="s">
        <v>1100</v>
      </c>
      <c r="S1114" s="66" t="n">
        <f aca="false">Model_Calc!BA189</f>
        <v>1002.44378823799</v>
      </c>
      <c r="T1114" s="66" t="n">
        <f aca="false">ROUND(S1114-O1114,4)</f>
        <v>0</v>
      </c>
    </row>
    <row r="1115" customFormat="false" ht="15" hidden="false" customHeight="false" outlineLevel="0" collapsed="false">
      <c r="A1115" s="18" t="s">
        <v>200</v>
      </c>
      <c r="B1115" s="18" t="s">
        <v>201</v>
      </c>
      <c r="C1115" s="18"/>
      <c r="D1115" s="49" t="n">
        <v>46204</v>
      </c>
      <c r="E1115" s="18" t="s">
        <v>118</v>
      </c>
      <c r="F1115" s="18" t="s">
        <v>119</v>
      </c>
      <c r="G1115" s="18" t="s">
        <v>100</v>
      </c>
      <c r="H1115" s="18" t="s">
        <v>101</v>
      </c>
      <c r="I1115" s="18" t="s">
        <v>102</v>
      </c>
      <c r="J1115" s="18" t="s">
        <v>230</v>
      </c>
      <c r="K1115" s="18" t="s">
        <v>199</v>
      </c>
      <c r="L1115" s="64" t="n">
        <v>15226.942821547</v>
      </c>
      <c r="M1115" s="64" t="n">
        <v>9.18</v>
      </c>
      <c r="N1115" s="18" t="s">
        <v>1306</v>
      </c>
      <c r="O1115" s="65" t="n">
        <v>139783.3351</v>
      </c>
      <c r="P1115" s="65" t="n">
        <v>139783.3351</v>
      </c>
      <c r="Q1115" s="65" t="n">
        <v>0</v>
      </c>
      <c r="R1115" s="65" t="s">
        <v>232</v>
      </c>
      <c r="S1115" s="66" t="n">
        <f aca="false">Model_Calc!AF190</f>
        <v>139783.335101802</v>
      </c>
      <c r="T1115" s="66" t="n">
        <f aca="false">ROUND(S1115-O1115,4)</f>
        <v>0</v>
      </c>
    </row>
    <row r="1116" customFormat="false" ht="15" hidden="false" customHeight="false" outlineLevel="0" collapsed="false">
      <c r="A1116" s="18" t="s">
        <v>200</v>
      </c>
      <c r="B1116" s="18" t="s">
        <v>201</v>
      </c>
      <c r="C1116" s="18"/>
      <c r="D1116" s="49" t="n">
        <v>46204</v>
      </c>
      <c r="E1116" s="18" t="s">
        <v>118</v>
      </c>
      <c r="F1116" s="18" t="s">
        <v>119</v>
      </c>
      <c r="G1116" s="18" t="s">
        <v>100</v>
      </c>
      <c r="H1116" s="18" t="s">
        <v>101</v>
      </c>
      <c r="I1116" s="18" t="s">
        <v>102</v>
      </c>
      <c r="J1116" s="18" t="s">
        <v>233</v>
      </c>
      <c r="K1116" s="18" t="s">
        <v>199</v>
      </c>
      <c r="L1116" s="64" t="n">
        <v>1544.01200210487</v>
      </c>
      <c r="M1116" s="64" t="n">
        <v>9.18</v>
      </c>
      <c r="N1116" s="18" t="s">
        <v>1307</v>
      </c>
      <c r="O1116" s="65" t="n">
        <v>14174.0302</v>
      </c>
      <c r="P1116" s="65" t="n">
        <v>14174.0302</v>
      </c>
      <c r="Q1116" s="65" t="n">
        <v>0</v>
      </c>
      <c r="R1116" s="65" t="s">
        <v>232</v>
      </c>
      <c r="S1116" s="66" t="n">
        <f aca="false">Model_Calc!AG190</f>
        <v>14174.0301793227</v>
      </c>
      <c r="T1116" s="66" t="n">
        <f aca="false">ROUND(S1116-O1116,4)</f>
        <v>0</v>
      </c>
    </row>
    <row r="1117" customFormat="false" ht="15" hidden="false" customHeight="false" outlineLevel="0" collapsed="false">
      <c r="A1117" s="18" t="s">
        <v>200</v>
      </c>
      <c r="B1117" s="18" t="s">
        <v>201</v>
      </c>
      <c r="C1117" s="18"/>
      <c r="D1117" s="49" t="n">
        <v>46204</v>
      </c>
      <c r="E1117" s="18" t="s">
        <v>118</v>
      </c>
      <c r="F1117" s="18" t="s">
        <v>119</v>
      </c>
      <c r="G1117" s="18" t="s">
        <v>100</v>
      </c>
      <c r="H1117" s="18" t="s">
        <v>101</v>
      </c>
      <c r="I1117" s="18" t="s">
        <v>102</v>
      </c>
      <c r="J1117" s="18" t="s">
        <v>235</v>
      </c>
      <c r="K1117" s="18" t="s">
        <v>195</v>
      </c>
      <c r="L1117" s="64" t="n">
        <v>3889.13031936</v>
      </c>
      <c r="M1117" s="64" t="n">
        <v>7.91</v>
      </c>
      <c r="N1117" s="18" t="s">
        <v>1308</v>
      </c>
      <c r="O1117" s="65" t="n">
        <v>30763.0208</v>
      </c>
      <c r="P1117" s="65" t="n">
        <v>30763.0208</v>
      </c>
      <c r="Q1117" s="65" t="n">
        <v>0</v>
      </c>
      <c r="R1117" s="65" t="s">
        <v>232</v>
      </c>
      <c r="S1117" s="66" t="n">
        <f aca="false">Model_Calc!AL190</f>
        <v>30763.0208261376</v>
      </c>
      <c r="T1117" s="66" t="n">
        <f aca="false">ROUND(S1117-O1117,4)</f>
        <v>0</v>
      </c>
    </row>
    <row r="1118" customFormat="false" ht="15" hidden="false" customHeight="false" outlineLevel="0" collapsed="false">
      <c r="A1118" s="18" t="s">
        <v>200</v>
      </c>
      <c r="B1118" s="18" t="s">
        <v>201</v>
      </c>
      <c r="C1118" s="18"/>
      <c r="D1118" s="49" t="n">
        <v>46204</v>
      </c>
      <c r="E1118" s="18" t="s">
        <v>118</v>
      </c>
      <c r="F1118" s="18" t="s">
        <v>119</v>
      </c>
      <c r="G1118" s="18" t="s">
        <v>100</v>
      </c>
      <c r="H1118" s="18" t="s">
        <v>101</v>
      </c>
      <c r="I1118" s="18" t="s">
        <v>102</v>
      </c>
      <c r="J1118" s="18" t="s">
        <v>237</v>
      </c>
      <c r="K1118" s="18" t="s">
        <v>195</v>
      </c>
      <c r="L1118" s="64" t="n">
        <v>1559.681003085</v>
      </c>
      <c r="M1118" s="64" t="n">
        <v>7.91</v>
      </c>
      <c r="N1118" s="18" t="s">
        <v>1309</v>
      </c>
      <c r="O1118" s="65" t="n">
        <v>12337.0767</v>
      </c>
      <c r="P1118" s="65" t="n">
        <v>12337.0767</v>
      </c>
      <c r="Q1118" s="65" t="n">
        <v>0</v>
      </c>
      <c r="R1118" s="65" t="s">
        <v>232</v>
      </c>
      <c r="S1118" s="66" t="n">
        <f aca="false">Model_Calc!AQ190</f>
        <v>12337.0767344024</v>
      </c>
      <c r="T1118" s="66" t="n">
        <f aca="false">ROUND(S1118-O1118,4)</f>
        <v>0</v>
      </c>
    </row>
    <row r="1119" customFormat="false" ht="15" hidden="false" customHeight="false" outlineLevel="0" collapsed="false">
      <c r="A1119" s="18" t="s">
        <v>200</v>
      </c>
      <c r="B1119" s="18" t="s">
        <v>201</v>
      </c>
      <c r="C1119" s="18"/>
      <c r="D1119" s="49" t="n">
        <v>46204</v>
      </c>
      <c r="E1119" s="18" t="s">
        <v>118</v>
      </c>
      <c r="F1119" s="18" t="s">
        <v>119</v>
      </c>
      <c r="G1119" s="18" t="s">
        <v>100</v>
      </c>
      <c r="H1119" s="18" t="s">
        <v>101</v>
      </c>
      <c r="I1119" s="18" t="s">
        <v>102</v>
      </c>
      <c r="J1119" s="18" t="s">
        <v>239</v>
      </c>
      <c r="K1119" s="18" t="s">
        <v>199</v>
      </c>
      <c r="L1119" s="64" t="n">
        <v>1265.615290368</v>
      </c>
      <c r="M1119" s="64" t="n">
        <v>9.18</v>
      </c>
      <c r="N1119" s="18" t="s">
        <v>1310</v>
      </c>
      <c r="O1119" s="65" t="n">
        <v>11618.3484</v>
      </c>
      <c r="P1119" s="65" t="n">
        <v>11618.3484</v>
      </c>
      <c r="Q1119" s="65" t="n">
        <v>0</v>
      </c>
      <c r="R1119" s="65" t="s">
        <v>1100</v>
      </c>
      <c r="S1119" s="66" t="n">
        <f aca="false">Model_Calc!AV190</f>
        <v>11618.3483655782</v>
      </c>
      <c r="T1119" s="66" t="n">
        <f aca="false">ROUND(S1119-O1119,4)</f>
        <v>0</v>
      </c>
    </row>
    <row r="1120" customFormat="false" ht="15" hidden="false" customHeight="false" outlineLevel="0" collapsed="false">
      <c r="A1120" s="18" t="s">
        <v>200</v>
      </c>
      <c r="B1120" s="18" t="s">
        <v>201</v>
      </c>
      <c r="C1120" s="18"/>
      <c r="D1120" s="49" t="n">
        <v>46204</v>
      </c>
      <c r="E1120" s="18" t="s">
        <v>118</v>
      </c>
      <c r="F1120" s="18" t="s">
        <v>119</v>
      </c>
      <c r="G1120" s="18" t="s">
        <v>100</v>
      </c>
      <c r="H1120" s="18" t="s">
        <v>101</v>
      </c>
      <c r="I1120" s="18" t="s">
        <v>102</v>
      </c>
      <c r="J1120" s="18" t="s">
        <v>241</v>
      </c>
      <c r="K1120" s="18" t="s">
        <v>199</v>
      </c>
      <c r="L1120" s="64" t="n">
        <v>191.66251412196</v>
      </c>
      <c r="M1120" s="64" t="n">
        <v>9.18</v>
      </c>
      <c r="N1120" s="18" t="s">
        <v>1311</v>
      </c>
      <c r="O1120" s="65" t="n">
        <v>1759.4619</v>
      </c>
      <c r="P1120" s="65" t="n">
        <v>1759.4619</v>
      </c>
      <c r="Q1120" s="65" t="n">
        <v>0</v>
      </c>
      <c r="R1120" s="65" t="s">
        <v>1100</v>
      </c>
      <c r="S1120" s="66" t="n">
        <f aca="false">Model_Calc!BA190</f>
        <v>1759.46187963959</v>
      </c>
      <c r="T1120" s="66" t="n">
        <f aca="false">ROUND(S1120-O1120,4)</f>
        <v>0</v>
      </c>
    </row>
    <row r="1121" customFormat="false" ht="15" hidden="false" customHeight="false" outlineLevel="0" collapsed="false">
      <c r="A1121" s="18" t="s">
        <v>200</v>
      </c>
      <c r="B1121" s="18" t="s">
        <v>201</v>
      </c>
      <c r="C1121" s="18"/>
      <c r="D1121" s="49" t="n">
        <v>46204</v>
      </c>
      <c r="E1121" s="18" t="s">
        <v>122</v>
      </c>
      <c r="F1121" s="18" t="s">
        <v>119</v>
      </c>
      <c r="G1121" s="18" t="s">
        <v>100</v>
      </c>
      <c r="H1121" s="18" t="s">
        <v>107</v>
      </c>
      <c r="I1121" s="18" t="s">
        <v>102</v>
      </c>
      <c r="J1121" s="18" t="s">
        <v>230</v>
      </c>
      <c r="K1121" s="18" t="s">
        <v>199</v>
      </c>
      <c r="L1121" s="64" t="n">
        <v>8001.08536632717</v>
      </c>
      <c r="M1121" s="64" t="n">
        <v>9.18</v>
      </c>
      <c r="N1121" s="18" t="s">
        <v>1312</v>
      </c>
      <c r="O1121" s="65" t="n">
        <v>73449.9637</v>
      </c>
      <c r="P1121" s="65" t="n">
        <v>73449.9637</v>
      </c>
      <c r="Q1121" s="65" t="n">
        <v>0</v>
      </c>
      <c r="R1121" s="65" t="s">
        <v>232</v>
      </c>
      <c r="S1121" s="66" t="n">
        <f aca="false">Model_Calc!AF191</f>
        <v>73449.9636628834</v>
      </c>
      <c r="T1121" s="66" t="n">
        <f aca="false">ROUND(S1121-O1121,4)</f>
        <v>0</v>
      </c>
    </row>
    <row r="1122" customFormat="false" ht="15" hidden="false" customHeight="false" outlineLevel="0" collapsed="false">
      <c r="A1122" s="18" t="s">
        <v>200</v>
      </c>
      <c r="B1122" s="18" t="s">
        <v>201</v>
      </c>
      <c r="C1122" s="18"/>
      <c r="D1122" s="49" t="n">
        <v>46204</v>
      </c>
      <c r="E1122" s="18" t="s">
        <v>122</v>
      </c>
      <c r="F1122" s="18" t="s">
        <v>119</v>
      </c>
      <c r="G1122" s="18" t="s">
        <v>100</v>
      </c>
      <c r="H1122" s="18" t="s">
        <v>107</v>
      </c>
      <c r="I1122" s="18" t="s">
        <v>102</v>
      </c>
      <c r="J1122" s="18" t="s">
        <v>233</v>
      </c>
      <c r="K1122" s="18" t="s">
        <v>199</v>
      </c>
      <c r="L1122" s="64" t="n">
        <v>561.778334231482</v>
      </c>
      <c r="M1122" s="64" t="n">
        <v>9.18</v>
      </c>
      <c r="N1122" s="18" t="s">
        <v>1313</v>
      </c>
      <c r="O1122" s="65" t="n">
        <v>5157.1251</v>
      </c>
      <c r="P1122" s="65" t="n">
        <v>5157.1251</v>
      </c>
      <c r="Q1122" s="65" t="n">
        <v>0</v>
      </c>
      <c r="R1122" s="65" t="s">
        <v>232</v>
      </c>
      <c r="S1122" s="66" t="n">
        <f aca="false">Model_Calc!AG191</f>
        <v>5157.12510824501</v>
      </c>
      <c r="T1122" s="66" t="n">
        <f aca="false">ROUND(S1122-O1122,4)</f>
        <v>0</v>
      </c>
    </row>
    <row r="1123" customFormat="false" ht="15" hidden="false" customHeight="false" outlineLevel="0" collapsed="false">
      <c r="A1123" s="18" t="s">
        <v>200</v>
      </c>
      <c r="B1123" s="18" t="s">
        <v>201</v>
      </c>
      <c r="C1123" s="18"/>
      <c r="D1123" s="49" t="n">
        <v>46204</v>
      </c>
      <c r="E1123" s="18" t="s">
        <v>122</v>
      </c>
      <c r="F1123" s="18" t="s">
        <v>119</v>
      </c>
      <c r="G1123" s="18" t="s">
        <v>100</v>
      </c>
      <c r="H1123" s="18" t="s">
        <v>107</v>
      </c>
      <c r="I1123" s="18" t="s">
        <v>102</v>
      </c>
      <c r="J1123" s="18" t="s">
        <v>235</v>
      </c>
      <c r="K1123" s="18" t="s">
        <v>195</v>
      </c>
      <c r="L1123" s="64" t="n">
        <v>1773.98926848</v>
      </c>
      <c r="M1123" s="64" t="n">
        <v>7.91</v>
      </c>
      <c r="N1123" s="18" t="s">
        <v>1314</v>
      </c>
      <c r="O1123" s="65" t="n">
        <v>14032.2551</v>
      </c>
      <c r="P1123" s="65" t="n">
        <v>14032.2551</v>
      </c>
      <c r="Q1123" s="65" t="n">
        <v>0</v>
      </c>
      <c r="R1123" s="65" t="s">
        <v>232</v>
      </c>
      <c r="S1123" s="66" t="n">
        <f aca="false">Model_Calc!AL191</f>
        <v>14032.2551136768</v>
      </c>
      <c r="T1123" s="66" t="n">
        <f aca="false">ROUND(S1123-O1123,4)</f>
        <v>0</v>
      </c>
    </row>
    <row r="1124" customFormat="false" ht="15" hidden="false" customHeight="false" outlineLevel="0" collapsed="false">
      <c r="A1124" s="18" t="s">
        <v>200</v>
      </c>
      <c r="B1124" s="18" t="s">
        <v>201</v>
      </c>
      <c r="C1124" s="18"/>
      <c r="D1124" s="49" t="n">
        <v>46204</v>
      </c>
      <c r="E1124" s="18" t="s">
        <v>122</v>
      </c>
      <c r="F1124" s="18" t="s">
        <v>119</v>
      </c>
      <c r="G1124" s="18" t="s">
        <v>100</v>
      </c>
      <c r="H1124" s="18" t="s">
        <v>107</v>
      </c>
      <c r="I1124" s="18" t="s">
        <v>102</v>
      </c>
      <c r="J1124" s="18" t="s">
        <v>237</v>
      </c>
      <c r="K1124" s="18" t="s">
        <v>195</v>
      </c>
      <c r="L1124" s="64" t="n">
        <v>711.433440003686</v>
      </c>
      <c r="M1124" s="64" t="n">
        <v>7.91</v>
      </c>
      <c r="N1124" s="18" t="s">
        <v>1315</v>
      </c>
      <c r="O1124" s="65" t="n">
        <v>5627.4385</v>
      </c>
      <c r="P1124" s="65" t="n">
        <v>5627.4385</v>
      </c>
      <c r="Q1124" s="65" t="n">
        <v>0</v>
      </c>
      <c r="R1124" s="65" t="s">
        <v>232</v>
      </c>
      <c r="S1124" s="66" t="n">
        <f aca="false">Model_Calc!AQ191</f>
        <v>5627.43851042916</v>
      </c>
      <c r="T1124" s="66" t="n">
        <f aca="false">ROUND(S1124-O1124,4)</f>
        <v>0</v>
      </c>
    </row>
    <row r="1125" customFormat="false" ht="15" hidden="false" customHeight="false" outlineLevel="0" collapsed="false">
      <c r="A1125" s="18" t="s">
        <v>200</v>
      </c>
      <c r="B1125" s="18" t="s">
        <v>201</v>
      </c>
      <c r="C1125" s="18"/>
      <c r="D1125" s="49" t="n">
        <v>46204</v>
      </c>
      <c r="E1125" s="18" t="s">
        <v>122</v>
      </c>
      <c r="F1125" s="18" t="s">
        <v>119</v>
      </c>
      <c r="G1125" s="18" t="s">
        <v>100</v>
      </c>
      <c r="H1125" s="18" t="s">
        <v>107</v>
      </c>
      <c r="I1125" s="18" t="s">
        <v>102</v>
      </c>
      <c r="J1125" s="18" t="s">
        <v>239</v>
      </c>
      <c r="K1125" s="18" t="s">
        <v>199</v>
      </c>
      <c r="L1125" s="64" t="n">
        <v>577.298202624</v>
      </c>
      <c r="M1125" s="64" t="n">
        <v>9.18</v>
      </c>
      <c r="N1125" s="18" t="s">
        <v>1316</v>
      </c>
      <c r="O1125" s="65" t="n">
        <v>5299.5975</v>
      </c>
      <c r="P1125" s="65" t="n">
        <v>5299.5975</v>
      </c>
      <c r="Q1125" s="65" t="n">
        <v>0</v>
      </c>
      <c r="R1125" s="65" t="s">
        <v>1100</v>
      </c>
      <c r="S1125" s="66" t="n">
        <f aca="false">Model_Calc!AV191</f>
        <v>5299.59750008832</v>
      </c>
      <c r="T1125" s="66" t="n">
        <f aca="false">ROUND(S1125-O1125,4)</f>
        <v>0</v>
      </c>
    </row>
    <row r="1126" customFormat="false" ht="15" hidden="false" customHeight="false" outlineLevel="0" collapsed="false">
      <c r="A1126" s="18" t="s">
        <v>200</v>
      </c>
      <c r="B1126" s="18" t="s">
        <v>201</v>
      </c>
      <c r="C1126" s="18"/>
      <c r="D1126" s="49" t="n">
        <v>46204</v>
      </c>
      <c r="E1126" s="18" t="s">
        <v>122</v>
      </c>
      <c r="F1126" s="18" t="s">
        <v>119</v>
      </c>
      <c r="G1126" s="18" t="s">
        <v>100</v>
      </c>
      <c r="H1126" s="18" t="s">
        <v>107</v>
      </c>
      <c r="I1126" s="18" t="s">
        <v>102</v>
      </c>
      <c r="J1126" s="18" t="s">
        <v>241</v>
      </c>
      <c r="K1126" s="18" t="s">
        <v>199</v>
      </c>
      <c r="L1126" s="64" t="n">
        <v>67.5556867957786</v>
      </c>
      <c r="M1126" s="64" t="n">
        <v>9.18</v>
      </c>
      <c r="N1126" s="18" t="s">
        <v>1317</v>
      </c>
      <c r="O1126" s="65" t="n">
        <v>620.1612</v>
      </c>
      <c r="P1126" s="65" t="n">
        <v>620.1612</v>
      </c>
      <c r="Q1126" s="65" t="n">
        <v>0</v>
      </c>
      <c r="R1126" s="65" t="s">
        <v>1100</v>
      </c>
      <c r="S1126" s="66" t="n">
        <f aca="false">Model_Calc!BA191</f>
        <v>620.161204785248</v>
      </c>
      <c r="T1126" s="66" t="n">
        <f aca="false">ROUND(S1126-O1126,4)</f>
        <v>0</v>
      </c>
    </row>
    <row r="1127" customFormat="false" ht="15" hidden="false" customHeight="false" outlineLevel="0" collapsed="false">
      <c r="A1127" s="18" t="s">
        <v>200</v>
      </c>
      <c r="B1127" s="18" t="s">
        <v>201</v>
      </c>
      <c r="C1127" s="18"/>
      <c r="D1127" s="49" t="n">
        <v>46204</v>
      </c>
      <c r="E1127" s="18" t="s">
        <v>124</v>
      </c>
      <c r="F1127" s="18" t="s">
        <v>119</v>
      </c>
      <c r="G1127" s="18" t="s">
        <v>100</v>
      </c>
      <c r="H1127" s="18" t="s">
        <v>107</v>
      </c>
      <c r="I1127" s="18" t="s">
        <v>125</v>
      </c>
      <c r="J1127" s="18" t="s">
        <v>230</v>
      </c>
      <c r="K1127" s="18" t="s">
        <v>199</v>
      </c>
      <c r="L1127" s="64" t="n">
        <v>4197.49247679626</v>
      </c>
      <c r="M1127" s="64" t="n">
        <v>9.18</v>
      </c>
      <c r="N1127" s="18" t="s">
        <v>1318</v>
      </c>
      <c r="O1127" s="65" t="n">
        <v>38532.9809</v>
      </c>
      <c r="P1127" s="65" t="n">
        <v>38532.9809</v>
      </c>
      <c r="Q1127" s="65" t="n">
        <v>0</v>
      </c>
      <c r="R1127" s="65" t="s">
        <v>232</v>
      </c>
      <c r="S1127" s="66" t="n">
        <f aca="false">Model_Calc!AF192</f>
        <v>38532.9809369896</v>
      </c>
      <c r="T1127" s="66" t="n">
        <f aca="false">ROUND(S1127-O1127,4)</f>
        <v>0</v>
      </c>
    </row>
    <row r="1128" customFormat="false" ht="15" hidden="false" customHeight="false" outlineLevel="0" collapsed="false">
      <c r="A1128" s="18" t="s">
        <v>200</v>
      </c>
      <c r="B1128" s="18" t="s">
        <v>201</v>
      </c>
      <c r="C1128" s="18"/>
      <c r="D1128" s="49" t="n">
        <v>46204</v>
      </c>
      <c r="E1128" s="18" t="s">
        <v>124</v>
      </c>
      <c r="F1128" s="18" t="s">
        <v>119</v>
      </c>
      <c r="G1128" s="18" t="s">
        <v>100</v>
      </c>
      <c r="H1128" s="18" t="s">
        <v>107</v>
      </c>
      <c r="I1128" s="18" t="s">
        <v>125</v>
      </c>
      <c r="J1128" s="18" t="s">
        <v>233</v>
      </c>
      <c r="K1128" s="18" t="s">
        <v>199</v>
      </c>
      <c r="L1128" s="64" t="n">
        <v>489.469597719211</v>
      </c>
      <c r="M1128" s="64" t="n">
        <v>9.18</v>
      </c>
      <c r="N1128" s="18" t="s">
        <v>1319</v>
      </c>
      <c r="O1128" s="65" t="n">
        <v>4493.3309</v>
      </c>
      <c r="P1128" s="65" t="n">
        <v>4493.3309</v>
      </c>
      <c r="Q1128" s="65" t="n">
        <v>0</v>
      </c>
      <c r="R1128" s="65" t="s">
        <v>232</v>
      </c>
      <c r="S1128" s="66" t="n">
        <f aca="false">Model_Calc!AG192</f>
        <v>4493.33090706236</v>
      </c>
      <c r="T1128" s="66" t="n">
        <f aca="false">ROUND(S1128-O1128,4)</f>
        <v>0</v>
      </c>
    </row>
    <row r="1129" customFormat="false" ht="15" hidden="false" customHeight="false" outlineLevel="0" collapsed="false">
      <c r="A1129" s="18" t="s">
        <v>200</v>
      </c>
      <c r="B1129" s="18" t="s">
        <v>201</v>
      </c>
      <c r="C1129" s="18"/>
      <c r="D1129" s="49" t="n">
        <v>46204</v>
      </c>
      <c r="E1129" s="18" t="s">
        <v>124</v>
      </c>
      <c r="F1129" s="18" t="s">
        <v>119</v>
      </c>
      <c r="G1129" s="18" t="s">
        <v>100</v>
      </c>
      <c r="H1129" s="18" t="s">
        <v>107</v>
      </c>
      <c r="I1129" s="18" t="s">
        <v>125</v>
      </c>
      <c r="J1129" s="18" t="s">
        <v>235</v>
      </c>
      <c r="K1129" s="18" t="s">
        <v>195</v>
      </c>
      <c r="L1129" s="64" t="n">
        <v>750.53392128</v>
      </c>
      <c r="M1129" s="64" t="n">
        <v>7.91</v>
      </c>
      <c r="N1129" s="18" t="s">
        <v>1320</v>
      </c>
      <c r="O1129" s="65" t="n">
        <v>5936.7233</v>
      </c>
      <c r="P1129" s="65" t="n">
        <v>5936.7233</v>
      </c>
      <c r="Q1129" s="65" t="n">
        <v>0</v>
      </c>
      <c r="R1129" s="65" t="s">
        <v>232</v>
      </c>
      <c r="S1129" s="66" t="n">
        <f aca="false">Model_Calc!AL192</f>
        <v>5936.7233173248</v>
      </c>
      <c r="T1129" s="66" t="n">
        <f aca="false">ROUND(S1129-O1129,4)</f>
        <v>0</v>
      </c>
    </row>
    <row r="1130" customFormat="false" ht="15" hidden="false" customHeight="false" outlineLevel="0" collapsed="false">
      <c r="A1130" s="18" t="s">
        <v>200</v>
      </c>
      <c r="B1130" s="18" t="s">
        <v>201</v>
      </c>
      <c r="C1130" s="18"/>
      <c r="D1130" s="49" t="n">
        <v>46204</v>
      </c>
      <c r="E1130" s="18" t="s">
        <v>124</v>
      </c>
      <c r="F1130" s="18" t="s">
        <v>119</v>
      </c>
      <c r="G1130" s="18" t="s">
        <v>100</v>
      </c>
      <c r="H1130" s="18" t="s">
        <v>107</v>
      </c>
      <c r="I1130" s="18" t="s">
        <v>125</v>
      </c>
      <c r="J1130" s="18" t="s">
        <v>237</v>
      </c>
      <c r="K1130" s="18" t="s">
        <v>195</v>
      </c>
      <c r="L1130" s="64" t="n">
        <v>300.99107077079</v>
      </c>
      <c r="M1130" s="64" t="n">
        <v>7.91</v>
      </c>
      <c r="N1130" s="18" t="s">
        <v>1321</v>
      </c>
      <c r="O1130" s="65" t="n">
        <v>2380.8394</v>
      </c>
      <c r="P1130" s="65" t="n">
        <v>2380.8394</v>
      </c>
      <c r="Q1130" s="65" t="n">
        <v>0</v>
      </c>
      <c r="R1130" s="65" t="s">
        <v>232</v>
      </c>
      <c r="S1130" s="66" t="n">
        <f aca="false">Model_Calc!AQ192</f>
        <v>2380.83936979695</v>
      </c>
      <c r="T1130" s="66" t="n">
        <f aca="false">ROUND(S1130-O1130,4)</f>
        <v>0</v>
      </c>
    </row>
    <row r="1131" customFormat="false" ht="15" hidden="false" customHeight="false" outlineLevel="0" collapsed="false">
      <c r="A1131" s="18" t="s">
        <v>200</v>
      </c>
      <c r="B1131" s="18" t="s">
        <v>201</v>
      </c>
      <c r="C1131" s="18"/>
      <c r="D1131" s="49" t="n">
        <v>46204</v>
      </c>
      <c r="E1131" s="18" t="s">
        <v>124</v>
      </c>
      <c r="F1131" s="18" t="s">
        <v>119</v>
      </c>
      <c r="G1131" s="18" t="s">
        <v>100</v>
      </c>
      <c r="H1131" s="18" t="s">
        <v>107</v>
      </c>
      <c r="I1131" s="18" t="s">
        <v>125</v>
      </c>
      <c r="J1131" s="18" t="s">
        <v>239</v>
      </c>
      <c r="K1131" s="18" t="s">
        <v>199</v>
      </c>
      <c r="L1131" s="64" t="n">
        <v>244.241547264</v>
      </c>
      <c r="M1131" s="64" t="n">
        <v>9.18</v>
      </c>
      <c r="N1131" s="18" t="s">
        <v>1322</v>
      </c>
      <c r="O1131" s="65" t="n">
        <v>2242.1374</v>
      </c>
      <c r="P1131" s="65" t="n">
        <v>2242.1374</v>
      </c>
      <c r="Q1131" s="65" t="n">
        <v>0</v>
      </c>
      <c r="R1131" s="65" t="s">
        <v>1100</v>
      </c>
      <c r="S1131" s="66" t="n">
        <f aca="false">Model_Calc!AV192</f>
        <v>2242.13740388352</v>
      </c>
      <c r="T1131" s="66" t="n">
        <f aca="false">ROUND(S1131-O1131,4)</f>
        <v>0</v>
      </c>
    </row>
    <row r="1132" customFormat="false" ht="15" hidden="false" customHeight="false" outlineLevel="0" collapsed="false">
      <c r="A1132" s="18" t="s">
        <v>200</v>
      </c>
      <c r="B1132" s="18" t="s">
        <v>201</v>
      </c>
      <c r="C1132" s="18"/>
      <c r="D1132" s="49" t="n">
        <v>46204</v>
      </c>
      <c r="E1132" s="18" t="s">
        <v>124</v>
      </c>
      <c r="F1132" s="18" t="s">
        <v>119</v>
      </c>
      <c r="G1132" s="18" t="s">
        <v>100</v>
      </c>
      <c r="H1132" s="18" t="s">
        <v>107</v>
      </c>
      <c r="I1132" s="18" t="s">
        <v>125</v>
      </c>
      <c r="J1132" s="18" t="s">
        <v>241</v>
      </c>
      <c r="K1132" s="18" t="s">
        <v>199</v>
      </c>
      <c r="L1132" s="64" t="n">
        <v>26.6076106561379</v>
      </c>
      <c r="M1132" s="64" t="n">
        <v>9.18</v>
      </c>
      <c r="N1132" s="18" t="s">
        <v>1323</v>
      </c>
      <c r="O1132" s="65" t="n">
        <v>244.2579</v>
      </c>
      <c r="P1132" s="65" t="n">
        <v>244.2579</v>
      </c>
      <c r="Q1132" s="65" t="n">
        <v>0</v>
      </c>
      <c r="R1132" s="65" t="s">
        <v>1100</v>
      </c>
      <c r="S1132" s="66" t="n">
        <f aca="false">Model_Calc!BA192</f>
        <v>244.257865823346</v>
      </c>
      <c r="T1132" s="66" t="n">
        <f aca="false">ROUND(S1132-O1132,4)</f>
        <v>0</v>
      </c>
    </row>
    <row r="1133" customFormat="false" ht="15" hidden="false" customHeight="false" outlineLevel="0" collapsed="false">
      <c r="A1133" s="18" t="s">
        <v>200</v>
      </c>
      <c r="B1133" s="18" t="s">
        <v>201</v>
      </c>
      <c r="C1133" s="18"/>
      <c r="D1133" s="49" t="n">
        <v>46204</v>
      </c>
      <c r="E1133" s="18" t="s">
        <v>127</v>
      </c>
      <c r="F1133" s="18" t="s">
        <v>119</v>
      </c>
      <c r="G1133" s="18" t="s">
        <v>100</v>
      </c>
      <c r="H1133" s="18" t="s">
        <v>128</v>
      </c>
      <c r="I1133" s="18" t="s">
        <v>125</v>
      </c>
      <c r="J1133" s="18" t="s">
        <v>230</v>
      </c>
      <c r="K1133" s="18" t="s">
        <v>199</v>
      </c>
      <c r="L1133" s="64" t="n">
        <v>2710.6786756624</v>
      </c>
      <c r="M1133" s="64" t="n">
        <v>9.18</v>
      </c>
      <c r="N1133" s="18" t="s">
        <v>1324</v>
      </c>
      <c r="O1133" s="65" t="n">
        <v>24884.0302</v>
      </c>
      <c r="P1133" s="65" t="n">
        <v>24884.0302</v>
      </c>
      <c r="Q1133" s="65" t="n">
        <v>0</v>
      </c>
      <c r="R1133" s="65" t="s">
        <v>232</v>
      </c>
      <c r="S1133" s="66" t="n">
        <f aca="false">Model_Calc!AF193</f>
        <v>24884.0302425808</v>
      </c>
      <c r="T1133" s="66" t="n">
        <f aca="false">ROUND(S1133-O1133,4)</f>
        <v>0</v>
      </c>
    </row>
    <row r="1134" customFormat="false" ht="15" hidden="false" customHeight="false" outlineLevel="0" collapsed="false">
      <c r="A1134" s="18" t="s">
        <v>200</v>
      </c>
      <c r="B1134" s="18" t="s">
        <v>201</v>
      </c>
      <c r="C1134" s="18"/>
      <c r="D1134" s="49" t="n">
        <v>46204</v>
      </c>
      <c r="E1134" s="18" t="s">
        <v>127</v>
      </c>
      <c r="F1134" s="18" t="s">
        <v>119</v>
      </c>
      <c r="G1134" s="18" t="s">
        <v>100</v>
      </c>
      <c r="H1134" s="18" t="s">
        <v>128</v>
      </c>
      <c r="I1134" s="18" t="s">
        <v>125</v>
      </c>
      <c r="J1134" s="18" t="s">
        <v>233</v>
      </c>
      <c r="K1134" s="18" t="s">
        <v>199</v>
      </c>
      <c r="L1134" s="64" t="n">
        <v>209.625817584559</v>
      </c>
      <c r="M1134" s="64" t="n">
        <v>9.18</v>
      </c>
      <c r="N1134" s="18" t="s">
        <v>1325</v>
      </c>
      <c r="O1134" s="65" t="n">
        <v>1924.365</v>
      </c>
      <c r="P1134" s="65" t="n">
        <v>1924.365</v>
      </c>
      <c r="Q1134" s="65" t="n">
        <v>0</v>
      </c>
      <c r="R1134" s="65" t="s">
        <v>232</v>
      </c>
      <c r="S1134" s="66" t="n">
        <f aca="false">Model_Calc!AG193</f>
        <v>1924.36500542625</v>
      </c>
      <c r="T1134" s="66" t="n">
        <f aca="false">ROUND(S1134-O1134,4)</f>
        <v>0</v>
      </c>
    </row>
    <row r="1135" customFormat="false" ht="15" hidden="false" customHeight="false" outlineLevel="0" collapsed="false">
      <c r="A1135" s="18" t="s">
        <v>200</v>
      </c>
      <c r="B1135" s="18" t="s">
        <v>201</v>
      </c>
      <c r="C1135" s="18"/>
      <c r="D1135" s="49" t="n">
        <v>46204</v>
      </c>
      <c r="E1135" s="18" t="s">
        <v>127</v>
      </c>
      <c r="F1135" s="18" t="s">
        <v>119</v>
      </c>
      <c r="G1135" s="18" t="s">
        <v>100</v>
      </c>
      <c r="H1135" s="18" t="s">
        <v>128</v>
      </c>
      <c r="I1135" s="18" t="s">
        <v>125</v>
      </c>
      <c r="J1135" s="18" t="s">
        <v>235</v>
      </c>
      <c r="K1135" s="18" t="s">
        <v>195</v>
      </c>
      <c r="L1135" s="64" t="n">
        <v>409.38213888</v>
      </c>
      <c r="M1135" s="64" t="n">
        <v>7.91</v>
      </c>
      <c r="N1135" s="18" t="s">
        <v>1326</v>
      </c>
      <c r="O1135" s="65" t="n">
        <v>3238.2127</v>
      </c>
      <c r="P1135" s="65" t="n">
        <v>3238.2127</v>
      </c>
      <c r="Q1135" s="65" t="n">
        <v>0</v>
      </c>
      <c r="R1135" s="65" t="s">
        <v>232</v>
      </c>
      <c r="S1135" s="66" t="n">
        <f aca="false">Model_Calc!AL193</f>
        <v>3238.2127185408</v>
      </c>
      <c r="T1135" s="66" t="n">
        <f aca="false">ROUND(S1135-O1135,4)</f>
        <v>0</v>
      </c>
    </row>
    <row r="1136" customFormat="false" ht="15" hidden="false" customHeight="false" outlineLevel="0" collapsed="false">
      <c r="A1136" s="18" t="s">
        <v>200</v>
      </c>
      <c r="B1136" s="18" t="s">
        <v>201</v>
      </c>
      <c r="C1136" s="18"/>
      <c r="D1136" s="49" t="n">
        <v>46204</v>
      </c>
      <c r="E1136" s="18" t="s">
        <v>127</v>
      </c>
      <c r="F1136" s="18" t="s">
        <v>119</v>
      </c>
      <c r="G1136" s="18" t="s">
        <v>100</v>
      </c>
      <c r="H1136" s="18" t="s">
        <v>128</v>
      </c>
      <c r="I1136" s="18" t="s">
        <v>125</v>
      </c>
      <c r="J1136" s="18" t="s">
        <v>237</v>
      </c>
      <c r="K1136" s="18" t="s">
        <v>195</v>
      </c>
      <c r="L1136" s="64" t="n">
        <v>164.176947693158</v>
      </c>
      <c r="M1136" s="64" t="n">
        <v>7.91</v>
      </c>
      <c r="N1136" s="18" t="s">
        <v>1327</v>
      </c>
      <c r="O1136" s="65" t="n">
        <v>1298.6397</v>
      </c>
      <c r="P1136" s="65" t="n">
        <v>1298.6397</v>
      </c>
      <c r="Q1136" s="65" t="n">
        <v>0</v>
      </c>
      <c r="R1136" s="65" t="s">
        <v>232</v>
      </c>
      <c r="S1136" s="66" t="n">
        <f aca="false">Model_Calc!AQ193</f>
        <v>1298.63965625288</v>
      </c>
      <c r="T1136" s="66" t="n">
        <f aca="false">ROUND(S1136-O1136,4)</f>
        <v>0</v>
      </c>
    </row>
    <row r="1137" customFormat="false" ht="15" hidden="false" customHeight="false" outlineLevel="0" collapsed="false">
      <c r="A1137" s="18" t="s">
        <v>200</v>
      </c>
      <c r="B1137" s="18" t="s">
        <v>201</v>
      </c>
      <c r="C1137" s="18"/>
      <c r="D1137" s="49" t="n">
        <v>46204</v>
      </c>
      <c r="E1137" s="18" t="s">
        <v>127</v>
      </c>
      <c r="F1137" s="18" t="s">
        <v>119</v>
      </c>
      <c r="G1137" s="18" t="s">
        <v>100</v>
      </c>
      <c r="H1137" s="18" t="s">
        <v>128</v>
      </c>
      <c r="I1137" s="18" t="s">
        <v>125</v>
      </c>
      <c r="J1137" s="18" t="s">
        <v>239</v>
      </c>
      <c r="K1137" s="18" t="s">
        <v>199</v>
      </c>
      <c r="L1137" s="64" t="n">
        <v>133.222662144</v>
      </c>
      <c r="M1137" s="64" t="n">
        <v>9.18</v>
      </c>
      <c r="N1137" s="18" t="s">
        <v>1328</v>
      </c>
      <c r="O1137" s="65" t="n">
        <v>1222.984</v>
      </c>
      <c r="P1137" s="65" t="n">
        <v>1222.984</v>
      </c>
      <c r="Q1137" s="65" t="n">
        <v>0</v>
      </c>
      <c r="R1137" s="65" t="s">
        <v>1100</v>
      </c>
      <c r="S1137" s="66" t="n">
        <f aca="false">Model_Calc!AV193</f>
        <v>1222.98403848192</v>
      </c>
      <c r="T1137" s="66" t="n">
        <f aca="false">ROUND(S1137-O1137,4)</f>
        <v>0</v>
      </c>
    </row>
    <row r="1138" customFormat="false" ht="15" hidden="false" customHeight="false" outlineLevel="0" collapsed="false">
      <c r="A1138" s="18" t="s">
        <v>200</v>
      </c>
      <c r="B1138" s="18" t="s">
        <v>201</v>
      </c>
      <c r="C1138" s="18"/>
      <c r="D1138" s="49" t="n">
        <v>46204</v>
      </c>
      <c r="E1138" s="18" t="s">
        <v>127</v>
      </c>
      <c r="F1138" s="18" t="s">
        <v>119</v>
      </c>
      <c r="G1138" s="18" t="s">
        <v>100</v>
      </c>
      <c r="H1138" s="18" t="s">
        <v>128</v>
      </c>
      <c r="I1138" s="18" t="s">
        <v>125</v>
      </c>
      <c r="J1138" s="18" t="s">
        <v>241</v>
      </c>
      <c r="K1138" s="18" t="s">
        <v>199</v>
      </c>
      <c r="L1138" s="64" t="n">
        <v>12.9183803984845</v>
      </c>
      <c r="M1138" s="64" t="n">
        <v>9.18</v>
      </c>
      <c r="N1138" s="18" t="s">
        <v>1329</v>
      </c>
      <c r="O1138" s="65" t="n">
        <v>118.5907</v>
      </c>
      <c r="P1138" s="65" t="n">
        <v>118.5907</v>
      </c>
      <c r="Q1138" s="65" t="n">
        <v>0</v>
      </c>
      <c r="R1138" s="65" t="s">
        <v>1100</v>
      </c>
      <c r="S1138" s="66" t="n">
        <f aca="false">Model_Calc!BA193</f>
        <v>118.590732058088</v>
      </c>
      <c r="T1138" s="66" t="n">
        <f aca="false">ROUND(S1138-O1138,4)</f>
        <v>0</v>
      </c>
    </row>
    <row r="1139" customFormat="false" ht="15" hidden="false" customHeight="false" outlineLevel="0" collapsed="false">
      <c r="A1139" s="18" t="s">
        <v>200</v>
      </c>
      <c r="B1139" s="18" t="s">
        <v>201</v>
      </c>
      <c r="C1139" s="18"/>
      <c r="D1139" s="49" t="n">
        <v>46204</v>
      </c>
      <c r="E1139" s="18" t="s">
        <v>130</v>
      </c>
      <c r="F1139" s="18" t="s">
        <v>119</v>
      </c>
      <c r="G1139" s="18" t="s">
        <v>110</v>
      </c>
      <c r="H1139" s="18" t="s">
        <v>107</v>
      </c>
      <c r="I1139" s="18" t="s">
        <v>125</v>
      </c>
      <c r="J1139" s="18" t="s">
        <v>230</v>
      </c>
      <c r="K1139" s="18" t="s">
        <v>195</v>
      </c>
      <c r="L1139" s="64" t="n">
        <v>1689.13198725242</v>
      </c>
      <c r="M1139" s="64" t="n">
        <v>7.91</v>
      </c>
      <c r="N1139" s="18" t="s">
        <v>1330</v>
      </c>
      <c r="O1139" s="65" t="n">
        <v>13361.034</v>
      </c>
      <c r="P1139" s="65" t="n">
        <v>13361.034</v>
      </c>
      <c r="Q1139" s="65" t="n">
        <v>0</v>
      </c>
      <c r="R1139" s="65" t="s">
        <v>232</v>
      </c>
      <c r="S1139" s="66" t="n">
        <f aca="false">Model_Calc!AF194</f>
        <v>13361.0340191667</v>
      </c>
      <c r="T1139" s="66" t="n">
        <f aca="false">ROUND(S1139-O1139,4)</f>
        <v>0</v>
      </c>
    </row>
    <row r="1140" customFormat="false" ht="15" hidden="false" customHeight="false" outlineLevel="0" collapsed="false">
      <c r="A1140" s="18" t="s">
        <v>200</v>
      </c>
      <c r="B1140" s="18" t="s">
        <v>201</v>
      </c>
      <c r="C1140" s="18"/>
      <c r="D1140" s="49" t="n">
        <v>46204</v>
      </c>
      <c r="E1140" s="18" t="s">
        <v>130</v>
      </c>
      <c r="F1140" s="18" t="s">
        <v>119</v>
      </c>
      <c r="G1140" s="18" t="s">
        <v>110</v>
      </c>
      <c r="H1140" s="18" t="s">
        <v>107</v>
      </c>
      <c r="I1140" s="18" t="s">
        <v>125</v>
      </c>
      <c r="J1140" s="18" t="s">
        <v>233</v>
      </c>
      <c r="K1140" s="18" t="s">
        <v>195</v>
      </c>
      <c r="L1140" s="64" t="n">
        <v>179.841882682766</v>
      </c>
      <c r="M1140" s="64" t="n">
        <v>7.91</v>
      </c>
      <c r="N1140" s="18" t="s">
        <v>1331</v>
      </c>
      <c r="O1140" s="65" t="n">
        <v>1422.5493</v>
      </c>
      <c r="P1140" s="65" t="n">
        <v>1422.5493</v>
      </c>
      <c r="Q1140" s="65" t="n">
        <v>0</v>
      </c>
      <c r="R1140" s="65" t="s">
        <v>232</v>
      </c>
      <c r="S1140" s="66" t="n">
        <f aca="false">Model_Calc!AG194</f>
        <v>1422.54929202068</v>
      </c>
      <c r="T1140" s="66" t="n">
        <f aca="false">ROUND(S1140-O1140,4)</f>
        <v>0</v>
      </c>
    </row>
    <row r="1141" customFormat="false" ht="15" hidden="false" customHeight="false" outlineLevel="0" collapsed="false">
      <c r="A1141" s="18" t="s">
        <v>200</v>
      </c>
      <c r="B1141" s="18" t="s">
        <v>201</v>
      </c>
      <c r="C1141" s="18"/>
      <c r="D1141" s="49" t="n">
        <v>46204</v>
      </c>
      <c r="E1141" s="18" t="s">
        <v>130</v>
      </c>
      <c r="F1141" s="18" t="s">
        <v>119</v>
      </c>
      <c r="G1141" s="18" t="s">
        <v>110</v>
      </c>
      <c r="H1141" s="18" t="s">
        <v>107</v>
      </c>
      <c r="I1141" s="18" t="s">
        <v>125</v>
      </c>
      <c r="J1141" s="18" t="s">
        <v>235</v>
      </c>
      <c r="K1141" s="18" t="s">
        <v>195</v>
      </c>
      <c r="L1141" s="64" t="n">
        <v>252.97272</v>
      </c>
      <c r="M1141" s="64" t="n">
        <v>7.91</v>
      </c>
      <c r="N1141" s="18" t="s">
        <v>1332</v>
      </c>
      <c r="O1141" s="65" t="n">
        <v>2001.0142</v>
      </c>
      <c r="P1141" s="65" t="n">
        <v>2001.0142</v>
      </c>
      <c r="Q1141" s="65" t="n">
        <v>0</v>
      </c>
      <c r="R1141" s="65" t="s">
        <v>232</v>
      </c>
      <c r="S1141" s="66" t="n">
        <f aca="false">Model_Calc!AL194</f>
        <v>2001.0142152</v>
      </c>
      <c r="T1141" s="66" t="n">
        <f aca="false">ROUND(S1141-O1141,4)</f>
        <v>0</v>
      </c>
    </row>
    <row r="1142" customFormat="false" ht="15" hidden="false" customHeight="false" outlineLevel="0" collapsed="false">
      <c r="A1142" s="18" t="s">
        <v>200</v>
      </c>
      <c r="B1142" s="18" t="s">
        <v>201</v>
      </c>
      <c r="C1142" s="18"/>
      <c r="D1142" s="49" t="n">
        <v>46204</v>
      </c>
      <c r="E1142" s="18" t="s">
        <v>130</v>
      </c>
      <c r="F1142" s="18" t="s">
        <v>119</v>
      </c>
      <c r="G1142" s="18" t="s">
        <v>110</v>
      </c>
      <c r="H1142" s="18" t="s">
        <v>107</v>
      </c>
      <c r="I1142" s="18" t="s">
        <v>125</v>
      </c>
      <c r="J1142" s="18" t="s">
        <v>237</v>
      </c>
      <c r="K1142" s="18" t="s">
        <v>195</v>
      </c>
      <c r="L1142" s="64" t="n">
        <v>105.9165458208</v>
      </c>
      <c r="M1142" s="64" t="n">
        <v>7.91</v>
      </c>
      <c r="N1142" s="18" t="s">
        <v>1333</v>
      </c>
      <c r="O1142" s="65" t="n">
        <v>837.7999</v>
      </c>
      <c r="P1142" s="65" t="n">
        <v>837.7999</v>
      </c>
      <c r="Q1142" s="65" t="n">
        <v>0</v>
      </c>
      <c r="R1142" s="65" t="s">
        <v>232</v>
      </c>
      <c r="S1142" s="66" t="n">
        <f aca="false">Model_Calc!AQ194</f>
        <v>837.799877442528</v>
      </c>
      <c r="T1142" s="66" t="n">
        <f aca="false">ROUND(S1142-O1142,4)</f>
        <v>0</v>
      </c>
    </row>
    <row r="1143" customFormat="false" ht="15" hidden="false" customHeight="false" outlineLevel="0" collapsed="false">
      <c r="A1143" s="18" t="s">
        <v>200</v>
      </c>
      <c r="B1143" s="18" t="s">
        <v>201</v>
      </c>
      <c r="C1143" s="18"/>
      <c r="D1143" s="49" t="n">
        <v>46204</v>
      </c>
      <c r="E1143" s="18" t="s">
        <v>130</v>
      </c>
      <c r="F1143" s="18" t="s">
        <v>119</v>
      </c>
      <c r="G1143" s="18" t="s">
        <v>110</v>
      </c>
      <c r="H1143" s="18" t="s">
        <v>107</v>
      </c>
      <c r="I1143" s="18" t="s">
        <v>125</v>
      </c>
      <c r="J1143" s="18" t="s">
        <v>239</v>
      </c>
      <c r="K1143" s="18" t="s">
        <v>195</v>
      </c>
      <c r="L1143" s="64" t="n">
        <v>100.2253824</v>
      </c>
      <c r="M1143" s="64" t="n">
        <v>7.91</v>
      </c>
      <c r="N1143" s="18" t="s">
        <v>1334</v>
      </c>
      <c r="O1143" s="65" t="n">
        <v>792.7828</v>
      </c>
      <c r="P1143" s="65" t="n">
        <v>792.7828</v>
      </c>
      <c r="Q1143" s="65" t="n">
        <v>0</v>
      </c>
      <c r="R1143" s="65" t="s">
        <v>1100</v>
      </c>
      <c r="S1143" s="66" t="n">
        <f aca="false">Model_Calc!AV194</f>
        <v>792.782774784</v>
      </c>
      <c r="T1143" s="66" t="n">
        <f aca="false">ROUND(S1143-O1143,4)</f>
        <v>0</v>
      </c>
    </row>
    <row r="1144" customFormat="false" ht="15" hidden="false" customHeight="false" outlineLevel="0" collapsed="false">
      <c r="A1144" s="18" t="s">
        <v>200</v>
      </c>
      <c r="B1144" s="18" t="s">
        <v>201</v>
      </c>
      <c r="C1144" s="18"/>
      <c r="D1144" s="49" t="n">
        <v>46204</v>
      </c>
      <c r="E1144" s="18" t="s">
        <v>130</v>
      </c>
      <c r="F1144" s="18" t="s">
        <v>119</v>
      </c>
      <c r="G1144" s="18" t="s">
        <v>110</v>
      </c>
      <c r="H1144" s="18" t="s">
        <v>107</v>
      </c>
      <c r="I1144" s="18" t="s">
        <v>125</v>
      </c>
      <c r="J1144" s="18" t="s">
        <v>241</v>
      </c>
      <c r="K1144" s="18" t="s">
        <v>195</v>
      </c>
      <c r="L1144" s="64" t="n">
        <v>9.55255752202752</v>
      </c>
      <c r="M1144" s="64" t="n">
        <v>7.91</v>
      </c>
      <c r="N1144" s="18" t="s">
        <v>1335</v>
      </c>
      <c r="O1144" s="65" t="n">
        <v>75.5607</v>
      </c>
      <c r="P1144" s="65" t="n">
        <v>75.5607</v>
      </c>
      <c r="Q1144" s="65" t="n">
        <v>0</v>
      </c>
      <c r="R1144" s="65" t="s">
        <v>1100</v>
      </c>
      <c r="S1144" s="66" t="n">
        <f aca="false">Model_Calc!BA194</f>
        <v>75.5607299992377</v>
      </c>
      <c r="T1144" s="66" t="n">
        <f aca="false">ROUND(S1144-O1144,4)</f>
        <v>0</v>
      </c>
    </row>
    <row r="1145" customFormat="false" ht="15" hidden="false" customHeight="false" outlineLevel="0" collapsed="false">
      <c r="A1145" s="18" t="s">
        <v>200</v>
      </c>
      <c r="B1145" s="18" t="s">
        <v>201</v>
      </c>
      <c r="C1145" s="18"/>
      <c r="D1145" s="49" t="n">
        <v>46235</v>
      </c>
      <c r="E1145" s="18" t="s">
        <v>98</v>
      </c>
      <c r="F1145" s="18" t="s">
        <v>99</v>
      </c>
      <c r="G1145" s="18" t="s">
        <v>100</v>
      </c>
      <c r="H1145" s="18" t="s">
        <v>101</v>
      </c>
      <c r="I1145" s="18" t="s">
        <v>102</v>
      </c>
      <c r="J1145" s="18" t="s">
        <v>230</v>
      </c>
      <c r="K1145" s="18" t="s">
        <v>195</v>
      </c>
      <c r="L1145" s="64" t="n">
        <v>6704.7255763488</v>
      </c>
      <c r="M1145" s="64" t="n">
        <v>7.95</v>
      </c>
      <c r="N1145" s="18" t="s">
        <v>1336</v>
      </c>
      <c r="O1145" s="65" t="n">
        <v>53302.5683</v>
      </c>
      <c r="P1145" s="65" t="n">
        <v>53302.5683</v>
      </c>
      <c r="Q1145" s="65" t="n">
        <v>0</v>
      </c>
      <c r="R1145" s="65" t="s">
        <v>232</v>
      </c>
      <c r="S1145" s="66" t="n">
        <f aca="false">Model_Calc!AF195</f>
        <v>53302.568331973</v>
      </c>
      <c r="T1145" s="66" t="n">
        <f aca="false">ROUND(S1145-O1145,4)</f>
        <v>0</v>
      </c>
    </row>
    <row r="1146" customFormat="false" ht="15" hidden="false" customHeight="false" outlineLevel="0" collapsed="false">
      <c r="A1146" s="18" t="s">
        <v>200</v>
      </c>
      <c r="B1146" s="18" t="s">
        <v>201</v>
      </c>
      <c r="C1146" s="18"/>
      <c r="D1146" s="49" t="n">
        <v>46235</v>
      </c>
      <c r="E1146" s="18" t="s">
        <v>98</v>
      </c>
      <c r="F1146" s="18" t="s">
        <v>99</v>
      </c>
      <c r="G1146" s="18" t="s">
        <v>100</v>
      </c>
      <c r="H1146" s="18" t="s">
        <v>101</v>
      </c>
      <c r="I1146" s="18" t="s">
        <v>102</v>
      </c>
      <c r="J1146" s="18" t="s">
        <v>233</v>
      </c>
      <c r="K1146" s="18" t="s">
        <v>195</v>
      </c>
      <c r="L1146" s="64" t="n">
        <v>647.140112629186</v>
      </c>
      <c r="M1146" s="64" t="n">
        <v>7.95</v>
      </c>
      <c r="N1146" s="18" t="s">
        <v>1337</v>
      </c>
      <c r="O1146" s="65" t="n">
        <v>5144.7639</v>
      </c>
      <c r="P1146" s="65" t="n">
        <v>5144.7639</v>
      </c>
      <c r="Q1146" s="65" t="n">
        <v>0</v>
      </c>
      <c r="R1146" s="65" t="s">
        <v>232</v>
      </c>
      <c r="S1146" s="66" t="n">
        <f aca="false">Model_Calc!AG195</f>
        <v>5144.76389540203</v>
      </c>
      <c r="T1146" s="66" t="n">
        <f aca="false">ROUND(S1146-O1146,4)</f>
        <v>0</v>
      </c>
    </row>
    <row r="1147" customFormat="false" ht="15" hidden="false" customHeight="false" outlineLevel="0" collapsed="false">
      <c r="A1147" s="18" t="s">
        <v>200</v>
      </c>
      <c r="B1147" s="18" t="s">
        <v>201</v>
      </c>
      <c r="C1147" s="18"/>
      <c r="D1147" s="49" t="n">
        <v>46235</v>
      </c>
      <c r="E1147" s="18" t="s">
        <v>98</v>
      </c>
      <c r="F1147" s="18" t="s">
        <v>99</v>
      </c>
      <c r="G1147" s="18" t="s">
        <v>100</v>
      </c>
      <c r="H1147" s="18" t="s">
        <v>101</v>
      </c>
      <c r="I1147" s="18" t="s">
        <v>102</v>
      </c>
      <c r="J1147" s="18" t="s">
        <v>235</v>
      </c>
      <c r="K1147" s="18" t="s">
        <v>195</v>
      </c>
      <c r="L1147" s="64" t="n">
        <v>5085.32917088</v>
      </c>
      <c r="M1147" s="64" t="n">
        <v>7.95</v>
      </c>
      <c r="N1147" s="18" t="s">
        <v>1338</v>
      </c>
      <c r="O1147" s="65" t="n">
        <v>40428.3669</v>
      </c>
      <c r="P1147" s="65" t="n">
        <v>40428.3669</v>
      </c>
      <c r="Q1147" s="65" t="n">
        <v>0</v>
      </c>
      <c r="R1147" s="65" t="s">
        <v>232</v>
      </c>
      <c r="S1147" s="66" t="n">
        <f aca="false">Model_Calc!AL195</f>
        <v>40428.366908496</v>
      </c>
      <c r="T1147" s="66" t="n">
        <f aca="false">ROUND(S1147-O1147,4)</f>
        <v>0</v>
      </c>
    </row>
    <row r="1148" customFormat="false" ht="15" hidden="false" customHeight="false" outlineLevel="0" collapsed="false">
      <c r="A1148" s="18" t="s">
        <v>200</v>
      </c>
      <c r="B1148" s="18" t="s">
        <v>201</v>
      </c>
      <c r="C1148" s="18"/>
      <c r="D1148" s="49" t="n">
        <v>46235</v>
      </c>
      <c r="E1148" s="18" t="s">
        <v>98</v>
      </c>
      <c r="F1148" s="18" t="s">
        <v>99</v>
      </c>
      <c r="G1148" s="18" t="s">
        <v>100</v>
      </c>
      <c r="H1148" s="18" t="s">
        <v>101</v>
      </c>
      <c r="I1148" s="18" t="s">
        <v>102</v>
      </c>
      <c r="J1148" s="18" t="s">
        <v>237</v>
      </c>
      <c r="K1148" s="18" t="s">
        <v>195</v>
      </c>
      <c r="L1148" s="64" t="n">
        <v>1641.016749456</v>
      </c>
      <c r="M1148" s="64" t="n">
        <v>7.95</v>
      </c>
      <c r="N1148" s="18" t="s">
        <v>1339</v>
      </c>
      <c r="O1148" s="65" t="n">
        <v>13046.0832</v>
      </c>
      <c r="P1148" s="65" t="n">
        <v>13046.0832</v>
      </c>
      <c r="Q1148" s="65" t="n">
        <v>0</v>
      </c>
      <c r="R1148" s="65" t="s">
        <v>232</v>
      </c>
      <c r="S1148" s="66" t="n">
        <f aca="false">Model_Calc!AQ195</f>
        <v>13046.0831581752</v>
      </c>
      <c r="T1148" s="66" t="n">
        <f aca="false">ROUND(S1148-O1148,4)</f>
        <v>0</v>
      </c>
    </row>
    <row r="1149" customFormat="false" ht="15" hidden="false" customHeight="false" outlineLevel="0" collapsed="false">
      <c r="A1149" s="18" t="s">
        <v>200</v>
      </c>
      <c r="B1149" s="18" t="s">
        <v>201</v>
      </c>
      <c r="C1149" s="18"/>
      <c r="D1149" s="49" t="n">
        <v>46235</v>
      </c>
      <c r="E1149" s="18" t="s">
        <v>98</v>
      </c>
      <c r="F1149" s="18" t="s">
        <v>99</v>
      </c>
      <c r="G1149" s="18" t="s">
        <v>100</v>
      </c>
      <c r="H1149" s="18" t="s">
        <v>101</v>
      </c>
      <c r="I1149" s="18" t="s">
        <v>102</v>
      </c>
      <c r="J1149" s="18" t="s">
        <v>239</v>
      </c>
      <c r="K1149" s="18" t="s">
        <v>195</v>
      </c>
      <c r="L1149" s="64" t="n">
        <v>595.38022656</v>
      </c>
      <c r="M1149" s="64" t="n">
        <v>7.95</v>
      </c>
      <c r="N1149" s="18" t="s">
        <v>1340</v>
      </c>
      <c r="O1149" s="65" t="n">
        <v>4733.2728</v>
      </c>
      <c r="P1149" s="65" t="n">
        <v>4733.2728</v>
      </c>
      <c r="Q1149" s="65" t="n">
        <v>0</v>
      </c>
      <c r="R1149" s="65" t="s">
        <v>232</v>
      </c>
      <c r="S1149" s="66" t="n">
        <f aca="false">Model_Calc!AV195</f>
        <v>4733.272801152</v>
      </c>
      <c r="T1149" s="66" t="n">
        <f aca="false">ROUND(S1149-O1149,4)</f>
        <v>0</v>
      </c>
    </row>
    <row r="1150" customFormat="false" ht="15" hidden="false" customHeight="false" outlineLevel="0" collapsed="false">
      <c r="A1150" s="18" t="s">
        <v>200</v>
      </c>
      <c r="B1150" s="18" t="s">
        <v>201</v>
      </c>
      <c r="C1150" s="18"/>
      <c r="D1150" s="49" t="n">
        <v>46235</v>
      </c>
      <c r="E1150" s="18" t="s">
        <v>98</v>
      </c>
      <c r="F1150" s="18" t="s">
        <v>99</v>
      </c>
      <c r="G1150" s="18" t="s">
        <v>100</v>
      </c>
      <c r="H1150" s="18" t="s">
        <v>101</v>
      </c>
      <c r="I1150" s="18" t="s">
        <v>102</v>
      </c>
      <c r="J1150" s="18" t="s">
        <v>241</v>
      </c>
      <c r="K1150" s="18" t="s">
        <v>195</v>
      </c>
      <c r="L1150" s="64" t="n">
        <v>143.78432471424</v>
      </c>
      <c r="M1150" s="64" t="n">
        <v>7.95</v>
      </c>
      <c r="N1150" s="18" t="s">
        <v>1341</v>
      </c>
      <c r="O1150" s="65" t="n">
        <v>1143.0854</v>
      </c>
      <c r="P1150" s="65" t="n">
        <v>1143.0854</v>
      </c>
      <c r="Q1150" s="65" t="n">
        <v>0</v>
      </c>
      <c r="R1150" s="65" t="s">
        <v>232</v>
      </c>
      <c r="S1150" s="66" t="n">
        <f aca="false">Model_Calc!BA195</f>
        <v>1143.08538147821</v>
      </c>
      <c r="T1150" s="66" t="n">
        <f aca="false">ROUND(S1150-O1150,4)</f>
        <v>0</v>
      </c>
    </row>
    <row r="1151" customFormat="false" ht="15" hidden="false" customHeight="false" outlineLevel="0" collapsed="false">
      <c r="A1151" s="18" t="s">
        <v>200</v>
      </c>
      <c r="B1151" s="18" t="s">
        <v>201</v>
      </c>
      <c r="C1151" s="18"/>
      <c r="D1151" s="49" t="n">
        <v>46235</v>
      </c>
      <c r="E1151" s="18" t="s">
        <v>106</v>
      </c>
      <c r="F1151" s="18" t="s">
        <v>99</v>
      </c>
      <c r="G1151" s="18" t="s">
        <v>100</v>
      </c>
      <c r="H1151" s="18" t="s">
        <v>107</v>
      </c>
      <c r="I1151" s="18" t="s">
        <v>102</v>
      </c>
      <c r="J1151" s="18" t="s">
        <v>230</v>
      </c>
      <c r="K1151" s="18" t="s">
        <v>195</v>
      </c>
      <c r="L1151" s="64" t="n">
        <v>5730.53468064</v>
      </c>
      <c r="M1151" s="64" t="n">
        <v>7.95</v>
      </c>
      <c r="N1151" s="18" t="s">
        <v>1342</v>
      </c>
      <c r="O1151" s="65" t="n">
        <v>45557.7507</v>
      </c>
      <c r="P1151" s="65" t="n">
        <v>45557.7507</v>
      </c>
      <c r="Q1151" s="65" t="n">
        <v>0</v>
      </c>
      <c r="R1151" s="65" t="s">
        <v>232</v>
      </c>
      <c r="S1151" s="66" t="n">
        <f aca="false">Model_Calc!AF196</f>
        <v>45557.750711088</v>
      </c>
      <c r="T1151" s="66" t="n">
        <f aca="false">ROUND(S1151-O1151,4)</f>
        <v>0</v>
      </c>
    </row>
    <row r="1152" customFormat="false" ht="15" hidden="false" customHeight="false" outlineLevel="0" collapsed="false">
      <c r="A1152" s="18" t="s">
        <v>200</v>
      </c>
      <c r="B1152" s="18" t="s">
        <v>201</v>
      </c>
      <c r="C1152" s="18"/>
      <c r="D1152" s="49" t="n">
        <v>46235</v>
      </c>
      <c r="E1152" s="18" t="s">
        <v>106</v>
      </c>
      <c r="F1152" s="18" t="s">
        <v>99</v>
      </c>
      <c r="G1152" s="18" t="s">
        <v>100</v>
      </c>
      <c r="H1152" s="18" t="s">
        <v>107</v>
      </c>
      <c r="I1152" s="18" t="s">
        <v>102</v>
      </c>
      <c r="J1152" s="18" t="s">
        <v>233</v>
      </c>
      <c r="K1152" s="18" t="s">
        <v>195</v>
      </c>
      <c r="L1152" s="64" t="n">
        <v>437.6044665216</v>
      </c>
      <c r="M1152" s="64" t="n">
        <v>7.95</v>
      </c>
      <c r="N1152" s="18" t="s">
        <v>1343</v>
      </c>
      <c r="O1152" s="65" t="n">
        <v>3478.9555</v>
      </c>
      <c r="P1152" s="65" t="n">
        <v>3478.9555</v>
      </c>
      <c r="Q1152" s="65" t="n">
        <v>0</v>
      </c>
      <c r="R1152" s="65" t="s">
        <v>232</v>
      </c>
      <c r="S1152" s="66" t="n">
        <f aca="false">Model_Calc!AG196</f>
        <v>3478.95550884672</v>
      </c>
      <c r="T1152" s="66" t="n">
        <f aca="false">ROUND(S1152-O1152,4)</f>
        <v>0</v>
      </c>
    </row>
    <row r="1153" customFormat="false" ht="15" hidden="false" customHeight="false" outlineLevel="0" collapsed="false">
      <c r="A1153" s="18" t="s">
        <v>200</v>
      </c>
      <c r="B1153" s="18" t="s">
        <v>201</v>
      </c>
      <c r="C1153" s="18"/>
      <c r="D1153" s="49" t="n">
        <v>46235</v>
      </c>
      <c r="E1153" s="18" t="s">
        <v>106</v>
      </c>
      <c r="F1153" s="18" t="s">
        <v>99</v>
      </c>
      <c r="G1153" s="18" t="s">
        <v>100</v>
      </c>
      <c r="H1153" s="18" t="s">
        <v>107</v>
      </c>
      <c r="I1153" s="18" t="s">
        <v>102</v>
      </c>
      <c r="J1153" s="18" t="s">
        <v>235</v>
      </c>
      <c r="K1153" s="18" t="s">
        <v>195</v>
      </c>
      <c r="L1153" s="64" t="n">
        <v>3390.21944725333</v>
      </c>
      <c r="M1153" s="64" t="n">
        <v>7.95</v>
      </c>
      <c r="N1153" s="18" t="s">
        <v>1344</v>
      </c>
      <c r="O1153" s="65" t="n">
        <v>26952.2446</v>
      </c>
      <c r="P1153" s="65" t="n">
        <v>26952.2446</v>
      </c>
      <c r="Q1153" s="65" t="n">
        <v>0</v>
      </c>
      <c r="R1153" s="65" t="s">
        <v>232</v>
      </c>
      <c r="S1153" s="66" t="n">
        <f aca="false">Model_Calc!AL196</f>
        <v>26952.244605664</v>
      </c>
      <c r="T1153" s="66" t="n">
        <f aca="false">ROUND(S1153-O1153,4)</f>
        <v>0</v>
      </c>
    </row>
    <row r="1154" customFormat="false" ht="15" hidden="false" customHeight="false" outlineLevel="0" collapsed="false">
      <c r="A1154" s="18" t="s">
        <v>200</v>
      </c>
      <c r="B1154" s="18" t="s">
        <v>201</v>
      </c>
      <c r="C1154" s="18"/>
      <c r="D1154" s="49" t="n">
        <v>46235</v>
      </c>
      <c r="E1154" s="18" t="s">
        <v>106</v>
      </c>
      <c r="F1154" s="18" t="s">
        <v>99</v>
      </c>
      <c r="G1154" s="18" t="s">
        <v>100</v>
      </c>
      <c r="H1154" s="18" t="s">
        <v>107</v>
      </c>
      <c r="I1154" s="18" t="s">
        <v>102</v>
      </c>
      <c r="J1154" s="18" t="s">
        <v>237</v>
      </c>
      <c r="K1154" s="18" t="s">
        <v>195</v>
      </c>
      <c r="L1154" s="64" t="n">
        <v>1094.011166304</v>
      </c>
      <c r="M1154" s="64" t="n">
        <v>7.95</v>
      </c>
      <c r="N1154" s="18" t="s">
        <v>1345</v>
      </c>
      <c r="O1154" s="65" t="n">
        <v>8697.3888</v>
      </c>
      <c r="P1154" s="65" t="n">
        <v>8697.3888</v>
      </c>
      <c r="Q1154" s="65" t="n">
        <v>0</v>
      </c>
      <c r="R1154" s="65" t="s">
        <v>232</v>
      </c>
      <c r="S1154" s="66" t="n">
        <f aca="false">Model_Calc!AQ196</f>
        <v>8697.3887721168</v>
      </c>
      <c r="T1154" s="66" t="n">
        <f aca="false">ROUND(S1154-O1154,4)</f>
        <v>0</v>
      </c>
    </row>
    <row r="1155" customFormat="false" ht="15" hidden="false" customHeight="false" outlineLevel="0" collapsed="false">
      <c r="A1155" s="18" t="s">
        <v>200</v>
      </c>
      <c r="B1155" s="18" t="s">
        <v>201</v>
      </c>
      <c r="C1155" s="18"/>
      <c r="D1155" s="49" t="n">
        <v>46235</v>
      </c>
      <c r="E1155" s="18" t="s">
        <v>106</v>
      </c>
      <c r="F1155" s="18" t="s">
        <v>99</v>
      </c>
      <c r="G1155" s="18" t="s">
        <v>100</v>
      </c>
      <c r="H1155" s="18" t="s">
        <v>107</v>
      </c>
      <c r="I1155" s="18" t="s">
        <v>102</v>
      </c>
      <c r="J1155" s="18" t="s">
        <v>239</v>
      </c>
      <c r="K1155" s="18" t="s">
        <v>195</v>
      </c>
      <c r="L1155" s="64" t="n">
        <v>396.92015104</v>
      </c>
      <c r="M1155" s="64" t="n">
        <v>7.95</v>
      </c>
      <c r="N1155" s="18" t="s">
        <v>1346</v>
      </c>
      <c r="O1155" s="65" t="n">
        <v>3155.5152</v>
      </c>
      <c r="P1155" s="65" t="n">
        <v>3155.5152</v>
      </c>
      <c r="Q1155" s="65" t="n">
        <v>0</v>
      </c>
      <c r="R1155" s="65" t="s">
        <v>232</v>
      </c>
      <c r="S1155" s="66" t="n">
        <f aca="false">Model_Calc!AV196</f>
        <v>3155.515200768</v>
      </c>
      <c r="T1155" s="66" t="n">
        <f aca="false">ROUND(S1155-O1155,4)</f>
        <v>0</v>
      </c>
    </row>
    <row r="1156" customFormat="false" ht="15" hidden="false" customHeight="false" outlineLevel="0" collapsed="false">
      <c r="A1156" s="18" t="s">
        <v>200</v>
      </c>
      <c r="B1156" s="18" t="s">
        <v>201</v>
      </c>
      <c r="C1156" s="18"/>
      <c r="D1156" s="49" t="n">
        <v>46235</v>
      </c>
      <c r="E1156" s="18" t="s">
        <v>106</v>
      </c>
      <c r="F1156" s="18" t="s">
        <v>99</v>
      </c>
      <c r="G1156" s="18" t="s">
        <v>100</v>
      </c>
      <c r="H1156" s="18" t="s">
        <v>107</v>
      </c>
      <c r="I1156" s="18" t="s">
        <v>102</v>
      </c>
      <c r="J1156" s="18" t="s">
        <v>241</v>
      </c>
      <c r="K1156" s="18" t="s">
        <v>195</v>
      </c>
      <c r="L1156" s="64" t="n">
        <v>77.88317588688</v>
      </c>
      <c r="M1156" s="64" t="n">
        <v>7.95</v>
      </c>
      <c r="N1156" s="18" t="s">
        <v>1347</v>
      </c>
      <c r="O1156" s="65" t="n">
        <v>619.1712</v>
      </c>
      <c r="P1156" s="65" t="n">
        <v>619.1712</v>
      </c>
      <c r="Q1156" s="65" t="n">
        <v>0</v>
      </c>
      <c r="R1156" s="65" t="s">
        <v>232</v>
      </c>
      <c r="S1156" s="66" t="n">
        <f aca="false">Model_Calc!BA196</f>
        <v>619.171248300696</v>
      </c>
      <c r="T1156" s="66" t="n">
        <f aca="false">ROUND(S1156-O1156,4)</f>
        <v>0</v>
      </c>
    </row>
    <row r="1157" customFormat="false" ht="15" hidden="false" customHeight="false" outlineLevel="0" collapsed="false">
      <c r="A1157" s="18" t="s">
        <v>200</v>
      </c>
      <c r="B1157" s="18" t="s">
        <v>201</v>
      </c>
      <c r="C1157" s="18"/>
      <c r="D1157" s="49" t="n">
        <v>46235</v>
      </c>
      <c r="E1157" s="18" t="s">
        <v>109</v>
      </c>
      <c r="F1157" s="18" t="s">
        <v>99</v>
      </c>
      <c r="G1157" s="18" t="s">
        <v>110</v>
      </c>
      <c r="H1157" s="18" t="s">
        <v>107</v>
      </c>
      <c r="I1157" s="18" t="s">
        <v>102</v>
      </c>
      <c r="J1157" s="18" t="s">
        <v>230</v>
      </c>
      <c r="K1157" s="18" t="s">
        <v>195</v>
      </c>
      <c r="L1157" s="64" t="n">
        <v>587.9072840256</v>
      </c>
      <c r="M1157" s="64" t="n">
        <v>7.95</v>
      </c>
      <c r="N1157" s="18" t="s">
        <v>1348</v>
      </c>
      <c r="O1157" s="65" t="n">
        <v>4673.8629</v>
      </c>
      <c r="P1157" s="65" t="n">
        <v>4673.8629</v>
      </c>
      <c r="Q1157" s="65" t="n">
        <v>0</v>
      </c>
      <c r="R1157" s="65" t="s">
        <v>232</v>
      </c>
      <c r="S1157" s="66" t="n">
        <f aca="false">Model_Calc!AF197</f>
        <v>4673.86290800352</v>
      </c>
      <c r="T1157" s="66" t="n">
        <f aca="false">ROUND(S1157-O1157,4)</f>
        <v>0</v>
      </c>
    </row>
    <row r="1158" customFormat="false" ht="15" hidden="false" customHeight="false" outlineLevel="0" collapsed="false">
      <c r="A1158" s="18" t="s">
        <v>200</v>
      </c>
      <c r="B1158" s="18" t="s">
        <v>201</v>
      </c>
      <c r="C1158" s="18"/>
      <c r="D1158" s="49" t="n">
        <v>46235</v>
      </c>
      <c r="E1158" s="18" t="s">
        <v>109</v>
      </c>
      <c r="F1158" s="18" t="s">
        <v>99</v>
      </c>
      <c r="G1158" s="18" t="s">
        <v>110</v>
      </c>
      <c r="H1158" s="18" t="s">
        <v>107</v>
      </c>
      <c r="I1158" s="18" t="s">
        <v>102</v>
      </c>
      <c r="J1158" s="18" t="s">
        <v>233</v>
      </c>
      <c r="K1158" s="18" t="s">
        <v>195</v>
      </c>
      <c r="L1158" s="64" t="n">
        <v>42.75689338368</v>
      </c>
      <c r="M1158" s="64" t="n">
        <v>7.95</v>
      </c>
      <c r="N1158" s="18" t="s">
        <v>1349</v>
      </c>
      <c r="O1158" s="65" t="n">
        <v>339.9173</v>
      </c>
      <c r="P1158" s="65" t="n">
        <v>339.9173</v>
      </c>
      <c r="Q1158" s="65" t="n">
        <v>0</v>
      </c>
      <c r="R1158" s="65" t="s">
        <v>232</v>
      </c>
      <c r="S1158" s="66" t="n">
        <f aca="false">Model_Calc!AG197</f>
        <v>339.917302400256</v>
      </c>
      <c r="T1158" s="66" t="n">
        <f aca="false">ROUND(S1158-O1158,4)</f>
        <v>0</v>
      </c>
    </row>
    <row r="1159" customFormat="false" ht="15" hidden="false" customHeight="false" outlineLevel="0" collapsed="false">
      <c r="A1159" s="18" t="s">
        <v>200</v>
      </c>
      <c r="B1159" s="18" t="s">
        <v>201</v>
      </c>
      <c r="C1159" s="18"/>
      <c r="D1159" s="49" t="n">
        <v>46235</v>
      </c>
      <c r="E1159" s="18" t="s">
        <v>109</v>
      </c>
      <c r="F1159" s="18" t="s">
        <v>99</v>
      </c>
      <c r="G1159" s="18" t="s">
        <v>110</v>
      </c>
      <c r="H1159" s="18" t="s">
        <v>107</v>
      </c>
      <c r="I1159" s="18" t="s">
        <v>102</v>
      </c>
      <c r="J1159" s="18" t="s">
        <v>235</v>
      </c>
      <c r="K1159" s="18" t="s">
        <v>195</v>
      </c>
      <c r="L1159" s="64" t="n">
        <v>201.401172</v>
      </c>
      <c r="M1159" s="64" t="n">
        <v>7.95</v>
      </c>
      <c r="N1159" s="18" t="s">
        <v>1350</v>
      </c>
      <c r="O1159" s="65" t="n">
        <v>1601.1393</v>
      </c>
      <c r="P1159" s="65" t="n">
        <v>1601.1393</v>
      </c>
      <c r="Q1159" s="65" t="n">
        <v>0</v>
      </c>
      <c r="R1159" s="65" t="s">
        <v>232</v>
      </c>
      <c r="S1159" s="66" t="n">
        <f aca="false">Model_Calc!AL197</f>
        <v>1601.1393174</v>
      </c>
      <c r="T1159" s="66" t="n">
        <f aca="false">ROUND(S1159-O1159,4)</f>
        <v>0</v>
      </c>
    </row>
    <row r="1160" customFormat="false" ht="15" hidden="false" customHeight="false" outlineLevel="0" collapsed="false">
      <c r="A1160" s="18" t="s">
        <v>200</v>
      </c>
      <c r="B1160" s="18" t="s">
        <v>201</v>
      </c>
      <c r="C1160" s="18"/>
      <c r="D1160" s="49" t="n">
        <v>46235</v>
      </c>
      <c r="E1160" s="18" t="s">
        <v>109</v>
      </c>
      <c r="F1160" s="18" t="s">
        <v>99</v>
      </c>
      <c r="G1160" s="18" t="s">
        <v>110</v>
      </c>
      <c r="H1160" s="18" t="s">
        <v>107</v>
      </c>
      <c r="I1160" s="18" t="s">
        <v>102</v>
      </c>
      <c r="J1160" s="18" t="s">
        <v>237</v>
      </c>
      <c r="K1160" s="18" t="s">
        <v>195</v>
      </c>
      <c r="L1160" s="64" t="n">
        <v>78.719086656</v>
      </c>
      <c r="M1160" s="64" t="n">
        <v>7.95</v>
      </c>
      <c r="N1160" s="18" t="s">
        <v>1351</v>
      </c>
      <c r="O1160" s="65" t="n">
        <v>625.8167</v>
      </c>
      <c r="P1160" s="65" t="n">
        <v>625.8167</v>
      </c>
      <c r="Q1160" s="65" t="n">
        <v>0</v>
      </c>
      <c r="R1160" s="65" t="s">
        <v>232</v>
      </c>
      <c r="S1160" s="66" t="n">
        <f aca="false">Model_Calc!AQ197</f>
        <v>625.8167389152</v>
      </c>
      <c r="T1160" s="66" t="n">
        <f aca="false">ROUND(S1160-O1160,4)</f>
        <v>0</v>
      </c>
    </row>
    <row r="1161" customFormat="false" ht="15" hidden="false" customHeight="false" outlineLevel="0" collapsed="false">
      <c r="A1161" s="18" t="s">
        <v>200</v>
      </c>
      <c r="B1161" s="18" t="s">
        <v>201</v>
      </c>
      <c r="C1161" s="18"/>
      <c r="D1161" s="49" t="n">
        <v>46235</v>
      </c>
      <c r="E1161" s="18" t="s">
        <v>109</v>
      </c>
      <c r="F1161" s="18" t="s">
        <v>99</v>
      </c>
      <c r="G1161" s="18" t="s">
        <v>110</v>
      </c>
      <c r="H1161" s="18" t="s">
        <v>107</v>
      </c>
      <c r="I1161" s="18" t="s">
        <v>102</v>
      </c>
      <c r="J1161" s="18" t="s">
        <v>239</v>
      </c>
      <c r="K1161" s="18" t="s">
        <v>195</v>
      </c>
      <c r="L1161" s="64" t="n">
        <v>36.4440216</v>
      </c>
      <c r="M1161" s="64" t="n">
        <v>7.95</v>
      </c>
      <c r="N1161" s="18" t="s">
        <v>1352</v>
      </c>
      <c r="O1161" s="65" t="n">
        <v>289.73</v>
      </c>
      <c r="P1161" s="65" t="n">
        <v>289.73</v>
      </c>
      <c r="Q1161" s="65" t="n">
        <v>0</v>
      </c>
      <c r="R1161" s="65" t="s">
        <v>232</v>
      </c>
      <c r="S1161" s="66" t="n">
        <f aca="false">Model_Calc!AV197</f>
        <v>289.72997172</v>
      </c>
      <c r="T1161" s="66" t="n">
        <f aca="false">ROUND(S1161-O1161,4)</f>
        <v>0</v>
      </c>
    </row>
    <row r="1162" customFormat="false" ht="15" hidden="false" customHeight="false" outlineLevel="0" collapsed="false">
      <c r="A1162" s="18" t="s">
        <v>200</v>
      </c>
      <c r="B1162" s="18" t="s">
        <v>201</v>
      </c>
      <c r="C1162" s="18"/>
      <c r="D1162" s="49" t="n">
        <v>46235</v>
      </c>
      <c r="E1162" s="18" t="s">
        <v>109</v>
      </c>
      <c r="F1162" s="18" t="s">
        <v>99</v>
      </c>
      <c r="G1162" s="18" t="s">
        <v>110</v>
      </c>
      <c r="H1162" s="18" t="s">
        <v>107</v>
      </c>
      <c r="I1162" s="18" t="s">
        <v>102</v>
      </c>
      <c r="J1162" s="18" t="s">
        <v>241</v>
      </c>
      <c r="K1162" s="18" t="s">
        <v>195</v>
      </c>
      <c r="L1162" s="64" t="n">
        <v>6.67040681664</v>
      </c>
      <c r="M1162" s="64" t="n">
        <v>7.95</v>
      </c>
      <c r="N1162" s="18" t="s">
        <v>1353</v>
      </c>
      <c r="O1162" s="65" t="n">
        <v>53.0297</v>
      </c>
      <c r="P1162" s="65" t="n">
        <v>53.0297</v>
      </c>
      <c r="Q1162" s="65" t="n">
        <v>0</v>
      </c>
      <c r="R1162" s="65" t="s">
        <v>232</v>
      </c>
      <c r="S1162" s="66" t="n">
        <f aca="false">Model_Calc!BA197</f>
        <v>53.029734192288</v>
      </c>
      <c r="T1162" s="66" t="n">
        <f aca="false">ROUND(S1162-O1162,4)</f>
        <v>0</v>
      </c>
    </row>
    <row r="1163" customFormat="false" ht="15" hidden="false" customHeight="false" outlineLevel="0" collapsed="false">
      <c r="A1163" s="18" t="s">
        <v>200</v>
      </c>
      <c r="B1163" s="18" t="s">
        <v>201</v>
      </c>
      <c r="C1163" s="18"/>
      <c r="D1163" s="49" t="n">
        <v>46235</v>
      </c>
      <c r="E1163" s="18" t="s">
        <v>112</v>
      </c>
      <c r="F1163" s="18" t="s">
        <v>113</v>
      </c>
      <c r="G1163" s="18" t="s">
        <v>110</v>
      </c>
      <c r="H1163" s="18" t="s">
        <v>101</v>
      </c>
      <c r="I1163" s="18" t="s">
        <v>102</v>
      </c>
      <c r="J1163" s="18" t="s">
        <v>230</v>
      </c>
      <c r="K1163" s="18" t="s">
        <v>195</v>
      </c>
      <c r="L1163" s="64" t="n">
        <v>3053.0685192</v>
      </c>
      <c r="M1163" s="64" t="n">
        <v>7.95</v>
      </c>
      <c r="N1163" s="18" t="s">
        <v>1354</v>
      </c>
      <c r="O1163" s="65" t="n">
        <v>24271.8947</v>
      </c>
      <c r="P1163" s="65" t="n">
        <v>24271.8947</v>
      </c>
      <c r="Q1163" s="65" t="n">
        <v>0</v>
      </c>
      <c r="R1163" s="65" t="s">
        <v>232</v>
      </c>
      <c r="S1163" s="66" t="n">
        <f aca="false">Model_Calc!AF198</f>
        <v>24271.89472764</v>
      </c>
      <c r="T1163" s="66" t="n">
        <f aca="false">ROUND(S1163-O1163,4)</f>
        <v>0</v>
      </c>
    </row>
    <row r="1164" customFormat="false" ht="15" hidden="false" customHeight="false" outlineLevel="0" collapsed="false">
      <c r="A1164" s="18" t="s">
        <v>200</v>
      </c>
      <c r="B1164" s="18" t="s">
        <v>201</v>
      </c>
      <c r="C1164" s="18"/>
      <c r="D1164" s="49" t="n">
        <v>46235</v>
      </c>
      <c r="E1164" s="18" t="s">
        <v>112</v>
      </c>
      <c r="F1164" s="18" t="s">
        <v>113</v>
      </c>
      <c r="G1164" s="18" t="s">
        <v>110</v>
      </c>
      <c r="H1164" s="18" t="s">
        <v>101</v>
      </c>
      <c r="I1164" s="18" t="s">
        <v>102</v>
      </c>
      <c r="J1164" s="18" t="s">
        <v>233</v>
      </c>
      <c r="K1164" s="18" t="s">
        <v>195</v>
      </c>
      <c r="L1164" s="64" t="n">
        <v>279.172585395648</v>
      </c>
      <c r="M1164" s="64" t="n">
        <v>7.95</v>
      </c>
      <c r="N1164" s="18" t="s">
        <v>1355</v>
      </c>
      <c r="O1164" s="65" t="n">
        <v>2219.4221</v>
      </c>
      <c r="P1164" s="65" t="n">
        <v>2219.4221</v>
      </c>
      <c r="Q1164" s="65" t="n">
        <v>0</v>
      </c>
      <c r="R1164" s="65" t="s">
        <v>232</v>
      </c>
      <c r="S1164" s="66" t="n">
        <f aca="false">Model_Calc!AG198</f>
        <v>2219.4220538954</v>
      </c>
      <c r="T1164" s="66" t="n">
        <f aca="false">ROUND(S1164-O1164,4)</f>
        <v>0</v>
      </c>
    </row>
    <row r="1165" customFormat="false" ht="15" hidden="false" customHeight="false" outlineLevel="0" collapsed="false">
      <c r="A1165" s="18" t="s">
        <v>200</v>
      </c>
      <c r="B1165" s="18" t="s">
        <v>201</v>
      </c>
      <c r="C1165" s="18"/>
      <c r="D1165" s="49" t="n">
        <v>46235</v>
      </c>
      <c r="E1165" s="18" t="s">
        <v>112</v>
      </c>
      <c r="F1165" s="18" t="s">
        <v>113</v>
      </c>
      <c r="G1165" s="18" t="s">
        <v>110</v>
      </c>
      <c r="H1165" s="18" t="s">
        <v>101</v>
      </c>
      <c r="I1165" s="18" t="s">
        <v>102</v>
      </c>
      <c r="J1165" s="18" t="s">
        <v>235</v>
      </c>
      <c r="K1165" s="18" t="s">
        <v>195</v>
      </c>
      <c r="L1165" s="64" t="n">
        <v>1894.9035</v>
      </c>
      <c r="M1165" s="64" t="n">
        <v>7.95</v>
      </c>
      <c r="N1165" s="18" t="s">
        <v>1356</v>
      </c>
      <c r="O1165" s="65" t="n">
        <v>15064.4828</v>
      </c>
      <c r="P1165" s="65" t="n">
        <v>15064.4828</v>
      </c>
      <c r="Q1165" s="65" t="n">
        <v>0</v>
      </c>
      <c r="R1165" s="65" t="s">
        <v>232</v>
      </c>
      <c r="S1165" s="66" t="n">
        <f aca="false">Model_Calc!AL198</f>
        <v>15064.482825</v>
      </c>
      <c r="T1165" s="66" t="n">
        <f aca="false">ROUND(S1165-O1165,4)</f>
        <v>0</v>
      </c>
    </row>
    <row r="1166" customFormat="false" ht="15" hidden="false" customHeight="false" outlineLevel="0" collapsed="false">
      <c r="A1166" s="18" t="s">
        <v>200</v>
      </c>
      <c r="B1166" s="18" t="s">
        <v>201</v>
      </c>
      <c r="C1166" s="18"/>
      <c r="D1166" s="49" t="n">
        <v>46235</v>
      </c>
      <c r="E1166" s="18" t="s">
        <v>112</v>
      </c>
      <c r="F1166" s="18" t="s">
        <v>113</v>
      </c>
      <c r="G1166" s="18" t="s">
        <v>110</v>
      </c>
      <c r="H1166" s="18" t="s">
        <v>101</v>
      </c>
      <c r="I1166" s="18" t="s">
        <v>102</v>
      </c>
      <c r="J1166" s="18" t="s">
        <v>237</v>
      </c>
      <c r="K1166" s="18" t="s">
        <v>195</v>
      </c>
      <c r="L1166" s="64" t="n">
        <v>726.921076</v>
      </c>
      <c r="M1166" s="64" t="n">
        <v>7.95</v>
      </c>
      <c r="N1166" s="18" t="s">
        <v>1357</v>
      </c>
      <c r="O1166" s="65" t="n">
        <v>5779.0226</v>
      </c>
      <c r="P1166" s="65" t="n">
        <v>5779.0226</v>
      </c>
      <c r="Q1166" s="65" t="n">
        <v>0</v>
      </c>
      <c r="R1166" s="65" t="s">
        <v>232</v>
      </c>
      <c r="S1166" s="66" t="n">
        <f aca="false">Model_Calc!AQ198</f>
        <v>5779.0225542</v>
      </c>
      <c r="T1166" s="66" t="n">
        <f aca="false">ROUND(S1166-O1166,4)</f>
        <v>0</v>
      </c>
    </row>
    <row r="1167" customFormat="false" ht="15" hidden="false" customHeight="false" outlineLevel="0" collapsed="false">
      <c r="A1167" s="18" t="s">
        <v>200</v>
      </c>
      <c r="B1167" s="18" t="s">
        <v>201</v>
      </c>
      <c r="C1167" s="18"/>
      <c r="D1167" s="49" t="n">
        <v>46235</v>
      </c>
      <c r="E1167" s="18" t="s">
        <v>112</v>
      </c>
      <c r="F1167" s="18" t="s">
        <v>113</v>
      </c>
      <c r="G1167" s="18" t="s">
        <v>110</v>
      </c>
      <c r="H1167" s="18" t="s">
        <v>101</v>
      </c>
      <c r="I1167" s="18" t="s">
        <v>102</v>
      </c>
      <c r="J1167" s="18" t="s">
        <v>239</v>
      </c>
      <c r="K1167" s="18" t="s">
        <v>195</v>
      </c>
      <c r="L1167" s="64" t="n">
        <v>324.8406</v>
      </c>
      <c r="M1167" s="64" t="n">
        <v>7.95</v>
      </c>
      <c r="N1167" s="18" t="s">
        <v>1358</v>
      </c>
      <c r="O1167" s="65" t="n">
        <v>2582.4828</v>
      </c>
      <c r="P1167" s="65" t="n">
        <v>2582.4828</v>
      </c>
      <c r="Q1167" s="65" t="n">
        <v>0</v>
      </c>
      <c r="R1167" s="65" t="s">
        <v>232</v>
      </c>
      <c r="S1167" s="66" t="n">
        <f aca="false">Model_Calc!AV198</f>
        <v>2582.48277</v>
      </c>
      <c r="T1167" s="66" t="n">
        <f aca="false">ROUND(S1167-O1167,4)</f>
        <v>0</v>
      </c>
    </row>
    <row r="1168" customFormat="false" ht="15" hidden="false" customHeight="false" outlineLevel="0" collapsed="false">
      <c r="A1168" s="18" t="s">
        <v>200</v>
      </c>
      <c r="B1168" s="18" t="s">
        <v>201</v>
      </c>
      <c r="C1168" s="18"/>
      <c r="D1168" s="49" t="n">
        <v>46235</v>
      </c>
      <c r="E1168" s="18" t="s">
        <v>112</v>
      </c>
      <c r="F1168" s="18" t="s">
        <v>113</v>
      </c>
      <c r="G1168" s="18" t="s">
        <v>110</v>
      </c>
      <c r="H1168" s="18" t="s">
        <v>101</v>
      </c>
      <c r="I1168" s="18" t="s">
        <v>102</v>
      </c>
      <c r="J1168" s="18" t="s">
        <v>241</v>
      </c>
      <c r="K1168" s="18" t="s">
        <v>195</v>
      </c>
      <c r="L1168" s="64" t="n">
        <v>74.79635282</v>
      </c>
      <c r="M1168" s="64" t="n">
        <v>7.95</v>
      </c>
      <c r="N1168" s="18" t="s">
        <v>1359</v>
      </c>
      <c r="O1168" s="65" t="n">
        <v>594.631</v>
      </c>
      <c r="P1168" s="65" t="n">
        <v>594.631</v>
      </c>
      <c r="Q1168" s="65" t="n">
        <v>0</v>
      </c>
      <c r="R1168" s="65" t="s">
        <v>232</v>
      </c>
      <c r="S1168" s="66" t="n">
        <f aca="false">Model_Calc!BA198</f>
        <v>594.631004919</v>
      </c>
      <c r="T1168" s="66" t="n">
        <f aca="false">ROUND(S1168-O1168,4)</f>
        <v>0</v>
      </c>
    </row>
    <row r="1169" customFormat="false" ht="15" hidden="false" customHeight="false" outlineLevel="0" collapsed="false">
      <c r="A1169" s="18" t="s">
        <v>200</v>
      </c>
      <c r="B1169" s="18" t="s">
        <v>201</v>
      </c>
      <c r="C1169" s="18"/>
      <c r="D1169" s="49" t="n">
        <v>46235</v>
      </c>
      <c r="E1169" s="18" t="s">
        <v>116</v>
      </c>
      <c r="F1169" s="18" t="s">
        <v>113</v>
      </c>
      <c r="G1169" s="18" t="s">
        <v>110</v>
      </c>
      <c r="H1169" s="18" t="s">
        <v>107</v>
      </c>
      <c r="I1169" s="18" t="s">
        <v>102</v>
      </c>
      <c r="J1169" s="18" t="s">
        <v>230</v>
      </c>
      <c r="K1169" s="18" t="s">
        <v>195</v>
      </c>
      <c r="L1169" s="64" t="n">
        <v>7297.0851772</v>
      </c>
      <c r="M1169" s="64" t="n">
        <v>7.95</v>
      </c>
      <c r="N1169" s="18" t="s">
        <v>1360</v>
      </c>
      <c r="O1169" s="65" t="n">
        <v>58011.8272</v>
      </c>
      <c r="P1169" s="65" t="n">
        <v>58011.8272</v>
      </c>
      <c r="Q1169" s="65" t="n">
        <v>0</v>
      </c>
      <c r="R1169" s="65" t="s">
        <v>232</v>
      </c>
      <c r="S1169" s="66" t="n">
        <f aca="false">Model_Calc!AF199</f>
        <v>58011.82715874</v>
      </c>
      <c r="T1169" s="66" t="n">
        <f aca="false">ROUND(S1169-O1169,4)</f>
        <v>0</v>
      </c>
    </row>
    <row r="1170" customFormat="false" ht="15" hidden="false" customHeight="false" outlineLevel="0" collapsed="false">
      <c r="A1170" s="18" t="s">
        <v>200</v>
      </c>
      <c r="B1170" s="18" t="s">
        <v>201</v>
      </c>
      <c r="C1170" s="18"/>
      <c r="D1170" s="49" t="n">
        <v>46235</v>
      </c>
      <c r="E1170" s="18" t="s">
        <v>116</v>
      </c>
      <c r="F1170" s="18" t="s">
        <v>113</v>
      </c>
      <c r="G1170" s="18" t="s">
        <v>110</v>
      </c>
      <c r="H1170" s="18" t="s">
        <v>107</v>
      </c>
      <c r="I1170" s="18" t="s">
        <v>102</v>
      </c>
      <c r="J1170" s="18" t="s">
        <v>233</v>
      </c>
      <c r="K1170" s="18" t="s">
        <v>195</v>
      </c>
      <c r="L1170" s="64" t="n">
        <v>561.3142444</v>
      </c>
      <c r="M1170" s="64" t="n">
        <v>7.95</v>
      </c>
      <c r="N1170" s="18" t="s">
        <v>1361</v>
      </c>
      <c r="O1170" s="65" t="n">
        <v>4462.4482</v>
      </c>
      <c r="P1170" s="65" t="n">
        <v>4462.4482</v>
      </c>
      <c r="Q1170" s="65" t="n">
        <v>0</v>
      </c>
      <c r="R1170" s="65" t="s">
        <v>232</v>
      </c>
      <c r="S1170" s="66" t="n">
        <f aca="false">Model_Calc!AG199</f>
        <v>4462.44824298</v>
      </c>
      <c r="T1170" s="66" t="n">
        <f aca="false">ROUND(S1170-O1170,4)</f>
        <v>0</v>
      </c>
    </row>
    <row r="1171" customFormat="false" ht="15" hidden="false" customHeight="false" outlineLevel="0" collapsed="false">
      <c r="A1171" s="18" t="s">
        <v>200</v>
      </c>
      <c r="B1171" s="18" t="s">
        <v>201</v>
      </c>
      <c r="C1171" s="18"/>
      <c r="D1171" s="49" t="n">
        <v>46235</v>
      </c>
      <c r="E1171" s="18" t="s">
        <v>116</v>
      </c>
      <c r="F1171" s="18" t="s">
        <v>113</v>
      </c>
      <c r="G1171" s="18" t="s">
        <v>110</v>
      </c>
      <c r="H1171" s="18" t="s">
        <v>107</v>
      </c>
      <c r="I1171" s="18" t="s">
        <v>102</v>
      </c>
      <c r="J1171" s="18" t="s">
        <v>235</v>
      </c>
      <c r="K1171" s="18" t="s">
        <v>195</v>
      </c>
      <c r="L1171" s="64" t="n">
        <v>3519.1065</v>
      </c>
      <c r="M1171" s="64" t="n">
        <v>7.95</v>
      </c>
      <c r="N1171" s="18" t="s">
        <v>1362</v>
      </c>
      <c r="O1171" s="65" t="n">
        <v>27976.8967</v>
      </c>
      <c r="P1171" s="65" t="n">
        <v>27976.8967</v>
      </c>
      <c r="Q1171" s="65" t="n">
        <v>0</v>
      </c>
      <c r="R1171" s="65" t="s">
        <v>232</v>
      </c>
      <c r="S1171" s="66" t="n">
        <f aca="false">Model_Calc!AL199</f>
        <v>27976.896675</v>
      </c>
      <c r="T1171" s="66" t="n">
        <f aca="false">ROUND(S1171-O1171,4)</f>
        <v>0</v>
      </c>
    </row>
    <row r="1172" customFormat="false" ht="15" hidden="false" customHeight="false" outlineLevel="0" collapsed="false">
      <c r="A1172" s="18" t="s">
        <v>200</v>
      </c>
      <c r="B1172" s="18" t="s">
        <v>201</v>
      </c>
      <c r="C1172" s="18"/>
      <c r="D1172" s="49" t="n">
        <v>46235</v>
      </c>
      <c r="E1172" s="18" t="s">
        <v>116</v>
      </c>
      <c r="F1172" s="18" t="s">
        <v>113</v>
      </c>
      <c r="G1172" s="18" t="s">
        <v>110</v>
      </c>
      <c r="H1172" s="18" t="s">
        <v>107</v>
      </c>
      <c r="I1172" s="18" t="s">
        <v>102</v>
      </c>
      <c r="J1172" s="18" t="s">
        <v>237</v>
      </c>
      <c r="K1172" s="18" t="s">
        <v>195</v>
      </c>
      <c r="L1172" s="64" t="n">
        <v>1349.996284</v>
      </c>
      <c r="M1172" s="64" t="n">
        <v>7.95</v>
      </c>
      <c r="N1172" s="18" t="s">
        <v>1363</v>
      </c>
      <c r="O1172" s="65" t="n">
        <v>10732.4705</v>
      </c>
      <c r="P1172" s="65" t="n">
        <v>10732.4705</v>
      </c>
      <c r="Q1172" s="65" t="n">
        <v>0</v>
      </c>
      <c r="R1172" s="65" t="s">
        <v>232</v>
      </c>
      <c r="S1172" s="66" t="n">
        <f aca="false">Model_Calc!AQ199</f>
        <v>10732.4704578</v>
      </c>
      <c r="T1172" s="66" t="n">
        <f aca="false">ROUND(S1172-O1172,4)</f>
        <v>0</v>
      </c>
    </row>
    <row r="1173" customFormat="false" ht="15" hidden="false" customHeight="false" outlineLevel="0" collapsed="false">
      <c r="A1173" s="18" t="s">
        <v>200</v>
      </c>
      <c r="B1173" s="18" t="s">
        <v>201</v>
      </c>
      <c r="C1173" s="18"/>
      <c r="D1173" s="49" t="n">
        <v>46235</v>
      </c>
      <c r="E1173" s="18" t="s">
        <v>116</v>
      </c>
      <c r="F1173" s="18" t="s">
        <v>113</v>
      </c>
      <c r="G1173" s="18" t="s">
        <v>110</v>
      </c>
      <c r="H1173" s="18" t="s">
        <v>107</v>
      </c>
      <c r="I1173" s="18" t="s">
        <v>102</v>
      </c>
      <c r="J1173" s="18" t="s">
        <v>239</v>
      </c>
      <c r="K1173" s="18" t="s">
        <v>195</v>
      </c>
      <c r="L1173" s="64" t="n">
        <v>603.2754</v>
      </c>
      <c r="M1173" s="64" t="n">
        <v>7.95</v>
      </c>
      <c r="N1173" s="18" t="s">
        <v>1364</v>
      </c>
      <c r="O1173" s="65" t="n">
        <v>4796.0394</v>
      </c>
      <c r="P1173" s="65" t="n">
        <v>4796.0394</v>
      </c>
      <c r="Q1173" s="65" t="n">
        <v>0</v>
      </c>
      <c r="R1173" s="65" t="s">
        <v>232</v>
      </c>
      <c r="S1173" s="66" t="n">
        <f aca="false">Model_Calc!AV199</f>
        <v>4796.03943</v>
      </c>
      <c r="T1173" s="66" t="n">
        <f aca="false">ROUND(S1173-O1173,4)</f>
        <v>0</v>
      </c>
    </row>
    <row r="1174" customFormat="false" ht="15" hidden="false" customHeight="false" outlineLevel="0" collapsed="false">
      <c r="A1174" s="18" t="s">
        <v>200</v>
      </c>
      <c r="B1174" s="18" t="s">
        <v>201</v>
      </c>
      <c r="C1174" s="18"/>
      <c r="D1174" s="49" t="n">
        <v>46235</v>
      </c>
      <c r="E1174" s="18" t="s">
        <v>116</v>
      </c>
      <c r="F1174" s="18" t="s">
        <v>113</v>
      </c>
      <c r="G1174" s="18" t="s">
        <v>110</v>
      </c>
      <c r="H1174" s="18" t="s">
        <v>107</v>
      </c>
      <c r="I1174" s="18" t="s">
        <v>102</v>
      </c>
      <c r="J1174" s="18" t="s">
        <v>241</v>
      </c>
      <c r="K1174" s="18" t="s">
        <v>195</v>
      </c>
      <c r="L1174" s="64" t="n">
        <v>114.39442196</v>
      </c>
      <c r="M1174" s="64" t="n">
        <v>7.95</v>
      </c>
      <c r="N1174" s="18" t="s">
        <v>1365</v>
      </c>
      <c r="O1174" s="65" t="n">
        <v>909.4357</v>
      </c>
      <c r="P1174" s="65" t="n">
        <v>909.4357</v>
      </c>
      <c r="Q1174" s="65" t="n">
        <v>0</v>
      </c>
      <c r="R1174" s="65" t="s">
        <v>232</v>
      </c>
      <c r="S1174" s="66" t="n">
        <f aca="false">Model_Calc!BA199</f>
        <v>909.435654582</v>
      </c>
      <c r="T1174" s="66" t="n">
        <f aca="false">ROUND(S1174-O1174,4)</f>
        <v>0</v>
      </c>
    </row>
    <row r="1175" customFormat="false" ht="15" hidden="false" customHeight="false" outlineLevel="0" collapsed="false">
      <c r="A1175" s="18" t="s">
        <v>200</v>
      </c>
      <c r="B1175" s="18" t="s">
        <v>201</v>
      </c>
      <c r="C1175" s="18"/>
      <c r="D1175" s="49" t="n">
        <v>46235</v>
      </c>
      <c r="E1175" s="18" t="s">
        <v>118</v>
      </c>
      <c r="F1175" s="18" t="s">
        <v>119</v>
      </c>
      <c r="G1175" s="18" t="s">
        <v>100</v>
      </c>
      <c r="H1175" s="18" t="s">
        <v>101</v>
      </c>
      <c r="I1175" s="18" t="s">
        <v>102</v>
      </c>
      <c r="J1175" s="18" t="s">
        <v>230</v>
      </c>
      <c r="K1175" s="18" t="s">
        <v>199</v>
      </c>
      <c r="L1175" s="64" t="n">
        <v>10127.3128822304</v>
      </c>
      <c r="M1175" s="64" t="n">
        <v>9.22</v>
      </c>
      <c r="N1175" s="18" t="s">
        <v>1366</v>
      </c>
      <c r="O1175" s="65" t="n">
        <v>93373.8248</v>
      </c>
      <c r="P1175" s="65" t="n">
        <v>93373.8248</v>
      </c>
      <c r="Q1175" s="65" t="n">
        <v>0</v>
      </c>
      <c r="R1175" s="65" t="s">
        <v>232</v>
      </c>
      <c r="S1175" s="66" t="n">
        <f aca="false">Model_Calc!AF200</f>
        <v>93373.824774164</v>
      </c>
      <c r="T1175" s="66" t="n">
        <f aca="false">ROUND(S1175-O1175,4)</f>
        <v>0</v>
      </c>
    </row>
    <row r="1176" customFormat="false" ht="15" hidden="false" customHeight="false" outlineLevel="0" collapsed="false">
      <c r="A1176" s="18" t="s">
        <v>200</v>
      </c>
      <c r="B1176" s="18" t="s">
        <v>201</v>
      </c>
      <c r="C1176" s="18"/>
      <c r="D1176" s="49" t="n">
        <v>46235</v>
      </c>
      <c r="E1176" s="18" t="s">
        <v>118</v>
      </c>
      <c r="F1176" s="18" t="s">
        <v>119</v>
      </c>
      <c r="G1176" s="18" t="s">
        <v>100</v>
      </c>
      <c r="H1176" s="18" t="s">
        <v>101</v>
      </c>
      <c r="I1176" s="18" t="s">
        <v>102</v>
      </c>
      <c r="J1176" s="18" t="s">
        <v>233</v>
      </c>
      <c r="K1176" s="18" t="s">
        <v>199</v>
      </c>
      <c r="L1176" s="64" t="n">
        <v>1049.5136886113</v>
      </c>
      <c r="M1176" s="64" t="n">
        <v>9.22</v>
      </c>
      <c r="N1176" s="18" t="s">
        <v>1367</v>
      </c>
      <c r="O1176" s="65" t="n">
        <v>9676.5162</v>
      </c>
      <c r="P1176" s="65" t="n">
        <v>9676.5162</v>
      </c>
      <c r="Q1176" s="65" t="n">
        <v>0</v>
      </c>
      <c r="R1176" s="65" t="s">
        <v>232</v>
      </c>
      <c r="S1176" s="66" t="n">
        <f aca="false">Model_Calc!AG200</f>
        <v>9676.51620899617</v>
      </c>
      <c r="T1176" s="66" t="n">
        <f aca="false">ROUND(S1176-O1176,4)</f>
        <v>0</v>
      </c>
    </row>
    <row r="1177" customFormat="false" ht="15" hidden="false" customHeight="false" outlineLevel="0" collapsed="false">
      <c r="A1177" s="18" t="s">
        <v>200</v>
      </c>
      <c r="B1177" s="18" t="s">
        <v>201</v>
      </c>
      <c r="C1177" s="18"/>
      <c r="D1177" s="49" t="n">
        <v>46235</v>
      </c>
      <c r="E1177" s="18" t="s">
        <v>118</v>
      </c>
      <c r="F1177" s="18" t="s">
        <v>119</v>
      </c>
      <c r="G1177" s="18" t="s">
        <v>100</v>
      </c>
      <c r="H1177" s="18" t="s">
        <v>101</v>
      </c>
      <c r="I1177" s="18" t="s">
        <v>102</v>
      </c>
      <c r="J1177" s="18" t="s">
        <v>235</v>
      </c>
      <c r="K1177" s="18" t="s">
        <v>195</v>
      </c>
      <c r="L1177" s="64" t="n">
        <v>2646.55840721067</v>
      </c>
      <c r="M1177" s="64" t="n">
        <v>7.95</v>
      </c>
      <c r="N1177" s="18" t="s">
        <v>1368</v>
      </c>
      <c r="O1177" s="65" t="n">
        <v>21040.1393</v>
      </c>
      <c r="P1177" s="65" t="n">
        <v>21040.1393</v>
      </c>
      <c r="Q1177" s="65" t="n">
        <v>0</v>
      </c>
      <c r="R1177" s="65" t="s">
        <v>232</v>
      </c>
      <c r="S1177" s="66" t="n">
        <f aca="false">Model_Calc!AL200</f>
        <v>21040.1393373248</v>
      </c>
      <c r="T1177" s="66" t="n">
        <f aca="false">ROUND(S1177-O1177,4)</f>
        <v>0</v>
      </c>
    </row>
    <row r="1178" customFormat="false" ht="15" hidden="false" customHeight="false" outlineLevel="0" collapsed="false">
      <c r="A1178" s="18" t="s">
        <v>200</v>
      </c>
      <c r="B1178" s="18" t="s">
        <v>201</v>
      </c>
      <c r="C1178" s="18"/>
      <c r="D1178" s="49" t="n">
        <v>46235</v>
      </c>
      <c r="E1178" s="18" t="s">
        <v>118</v>
      </c>
      <c r="F1178" s="18" t="s">
        <v>119</v>
      </c>
      <c r="G1178" s="18" t="s">
        <v>100</v>
      </c>
      <c r="H1178" s="18" t="s">
        <v>101</v>
      </c>
      <c r="I1178" s="18" t="s">
        <v>102</v>
      </c>
      <c r="J1178" s="18" t="s">
        <v>237</v>
      </c>
      <c r="K1178" s="18" t="s">
        <v>195</v>
      </c>
      <c r="L1178" s="64" t="n">
        <v>992.30677953792</v>
      </c>
      <c r="M1178" s="64" t="n">
        <v>7.95</v>
      </c>
      <c r="N1178" s="18" t="s">
        <v>1369</v>
      </c>
      <c r="O1178" s="65" t="n">
        <v>7888.8389</v>
      </c>
      <c r="P1178" s="65" t="n">
        <v>7888.8389</v>
      </c>
      <c r="Q1178" s="65" t="n">
        <v>0</v>
      </c>
      <c r="R1178" s="65" t="s">
        <v>232</v>
      </c>
      <c r="S1178" s="66" t="n">
        <f aca="false">Model_Calc!AQ200</f>
        <v>7888.83889732646</v>
      </c>
      <c r="T1178" s="66" t="n">
        <f aca="false">ROUND(S1178-O1178,4)</f>
        <v>0</v>
      </c>
    </row>
    <row r="1179" customFormat="false" ht="15" hidden="false" customHeight="false" outlineLevel="0" collapsed="false">
      <c r="A1179" s="18" t="s">
        <v>200</v>
      </c>
      <c r="B1179" s="18" t="s">
        <v>201</v>
      </c>
      <c r="C1179" s="18"/>
      <c r="D1179" s="49" t="n">
        <v>46235</v>
      </c>
      <c r="E1179" s="18" t="s">
        <v>118</v>
      </c>
      <c r="F1179" s="18" t="s">
        <v>119</v>
      </c>
      <c r="G1179" s="18" t="s">
        <v>100</v>
      </c>
      <c r="H1179" s="18" t="s">
        <v>101</v>
      </c>
      <c r="I1179" s="18" t="s">
        <v>102</v>
      </c>
      <c r="J1179" s="18" t="s">
        <v>239</v>
      </c>
      <c r="K1179" s="18" t="s">
        <v>199</v>
      </c>
      <c r="L1179" s="64" t="n">
        <v>976.0394552832</v>
      </c>
      <c r="M1179" s="64" t="n">
        <v>9.22</v>
      </c>
      <c r="N1179" s="18" t="s">
        <v>1370</v>
      </c>
      <c r="O1179" s="65" t="n">
        <v>8999.0838</v>
      </c>
      <c r="P1179" s="65" t="n">
        <v>8999.0838</v>
      </c>
      <c r="Q1179" s="65" t="n">
        <v>0</v>
      </c>
      <c r="R1179" s="65" t="s">
        <v>232</v>
      </c>
      <c r="S1179" s="66" t="n">
        <f aca="false">Model_Calc!AV200</f>
        <v>8999.0837777111</v>
      </c>
      <c r="T1179" s="66" t="n">
        <f aca="false">ROUND(S1179-O1179,4)</f>
        <v>0</v>
      </c>
    </row>
    <row r="1180" customFormat="false" ht="15" hidden="false" customHeight="false" outlineLevel="0" collapsed="false">
      <c r="A1180" s="18" t="s">
        <v>200</v>
      </c>
      <c r="B1180" s="18" t="s">
        <v>201</v>
      </c>
      <c r="C1180" s="18"/>
      <c r="D1180" s="49" t="n">
        <v>46235</v>
      </c>
      <c r="E1180" s="18" t="s">
        <v>118</v>
      </c>
      <c r="F1180" s="18" t="s">
        <v>119</v>
      </c>
      <c r="G1180" s="18" t="s">
        <v>100</v>
      </c>
      <c r="H1180" s="18" t="s">
        <v>101</v>
      </c>
      <c r="I1180" s="18" t="s">
        <v>102</v>
      </c>
      <c r="J1180" s="18" t="s">
        <v>241</v>
      </c>
      <c r="K1180" s="18" t="s">
        <v>199</v>
      </c>
      <c r="L1180" s="64" t="n">
        <v>163.021828066944</v>
      </c>
      <c r="M1180" s="64" t="n">
        <v>9.22</v>
      </c>
      <c r="N1180" s="18" t="s">
        <v>1371</v>
      </c>
      <c r="O1180" s="65" t="n">
        <v>1503.0613</v>
      </c>
      <c r="P1180" s="65" t="n">
        <v>1503.0613</v>
      </c>
      <c r="Q1180" s="65" t="n">
        <v>0</v>
      </c>
      <c r="R1180" s="65" t="s">
        <v>232</v>
      </c>
      <c r="S1180" s="66" t="n">
        <f aca="false">Model_Calc!BA200</f>
        <v>1503.06125477722</v>
      </c>
      <c r="T1180" s="66" t="n">
        <f aca="false">ROUND(S1180-O1180,4)</f>
        <v>0</v>
      </c>
    </row>
    <row r="1181" customFormat="false" ht="15" hidden="false" customHeight="false" outlineLevel="0" collapsed="false">
      <c r="A1181" s="18" t="s">
        <v>200</v>
      </c>
      <c r="B1181" s="18" t="s">
        <v>201</v>
      </c>
      <c r="C1181" s="18"/>
      <c r="D1181" s="49" t="n">
        <v>46235</v>
      </c>
      <c r="E1181" s="18" t="s">
        <v>122</v>
      </c>
      <c r="F1181" s="18" t="s">
        <v>119</v>
      </c>
      <c r="G1181" s="18" t="s">
        <v>100</v>
      </c>
      <c r="H1181" s="18" t="s">
        <v>107</v>
      </c>
      <c r="I1181" s="18" t="s">
        <v>102</v>
      </c>
      <c r="J1181" s="18" t="s">
        <v>230</v>
      </c>
      <c r="K1181" s="18" t="s">
        <v>199</v>
      </c>
      <c r="L1181" s="64" t="n">
        <v>6961.28872655408</v>
      </c>
      <c r="M1181" s="64" t="n">
        <v>9.22</v>
      </c>
      <c r="N1181" s="18" t="s">
        <v>1372</v>
      </c>
      <c r="O1181" s="65" t="n">
        <v>64183.0821</v>
      </c>
      <c r="P1181" s="65" t="n">
        <v>64183.0821</v>
      </c>
      <c r="Q1181" s="65" t="n">
        <v>0</v>
      </c>
      <c r="R1181" s="65" t="s">
        <v>232</v>
      </c>
      <c r="S1181" s="66" t="n">
        <f aca="false">Model_Calc!AF201</f>
        <v>64183.0820588286</v>
      </c>
      <c r="T1181" s="66" t="n">
        <f aca="false">ROUND(S1181-O1181,4)</f>
        <v>0</v>
      </c>
    </row>
    <row r="1182" customFormat="false" ht="15" hidden="false" customHeight="false" outlineLevel="0" collapsed="false">
      <c r="A1182" s="18" t="s">
        <v>200</v>
      </c>
      <c r="B1182" s="18" t="s">
        <v>201</v>
      </c>
      <c r="C1182" s="18"/>
      <c r="D1182" s="49" t="n">
        <v>46235</v>
      </c>
      <c r="E1182" s="18" t="s">
        <v>122</v>
      </c>
      <c r="F1182" s="18" t="s">
        <v>119</v>
      </c>
      <c r="G1182" s="18" t="s">
        <v>100</v>
      </c>
      <c r="H1182" s="18" t="s">
        <v>107</v>
      </c>
      <c r="I1182" s="18" t="s">
        <v>102</v>
      </c>
      <c r="J1182" s="18" t="s">
        <v>233</v>
      </c>
      <c r="K1182" s="18" t="s">
        <v>199</v>
      </c>
      <c r="L1182" s="64" t="n">
        <v>488.771336119755</v>
      </c>
      <c r="M1182" s="64" t="n">
        <v>9.22</v>
      </c>
      <c r="N1182" s="18" t="s">
        <v>1373</v>
      </c>
      <c r="O1182" s="65" t="n">
        <v>4506.4717</v>
      </c>
      <c r="P1182" s="65" t="n">
        <v>4506.4717</v>
      </c>
      <c r="Q1182" s="65" t="n">
        <v>0</v>
      </c>
      <c r="R1182" s="65" t="s">
        <v>232</v>
      </c>
      <c r="S1182" s="66" t="n">
        <f aca="false">Model_Calc!AG201</f>
        <v>4506.47171902414</v>
      </c>
      <c r="T1182" s="66" t="n">
        <f aca="false">ROUND(S1182-O1182,4)</f>
        <v>0</v>
      </c>
    </row>
    <row r="1183" customFormat="false" ht="15" hidden="false" customHeight="false" outlineLevel="0" collapsed="false">
      <c r="A1183" s="18" t="s">
        <v>200</v>
      </c>
      <c r="B1183" s="18" t="s">
        <v>201</v>
      </c>
      <c r="C1183" s="18"/>
      <c r="D1183" s="49" t="n">
        <v>46235</v>
      </c>
      <c r="E1183" s="18" t="s">
        <v>122</v>
      </c>
      <c r="F1183" s="18" t="s">
        <v>119</v>
      </c>
      <c r="G1183" s="18" t="s">
        <v>100</v>
      </c>
      <c r="H1183" s="18" t="s">
        <v>107</v>
      </c>
      <c r="I1183" s="18" t="s">
        <v>102</v>
      </c>
      <c r="J1183" s="18" t="s">
        <v>235</v>
      </c>
      <c r="K1183" s="18" t="s">
        <v>195</v>
      </c>
      <c r="L1183" s="64" t="n">
        <v>1563.87542244267</v>
      </c>
      <c r="M1183" s="64" t="n">
        <v>7.95</v>
      </c>
      <c r="N1183" s="18" t="s">
        <v>1374</v>
      </c>
      <c r="O1183" s="65" t="n">
        <v>12432.8096</v>
      </c>
      <c r="P1183" s="65" t="n">
        <v>12432.8096</v>
      </c>
      <c r="Q1183" s="65" t="n">
        <v>0</v>
      </c>
      <c r="R1183" s="65" t="s">
        <v>232</v>
      </c>
      <c r="S1183" s="66" t="n">
        <f aca="false">Model_Calc!AL201</f>
        <v>12432.8096084192</v>
      </c>
      <c r="T1183" s="66" t="n">
        <f aca="false">ROUND(S1183-O1183,4)</f>
        <v>0</v>
      </c>
    </row>
    <row r="1184" customFormat="false" ht="15" hidden="false" customHeight="false" outlineLevel="0" collapsed="false">
      <c r="A1184" s="18" t="s">
        <v>200</v>
      </c>
      <c r="B1184" s="18" t="s">
        <v>201</v>
      </c>
      <c r="C1184" s="18"/>
      <c r="D1184" s="49" t="n">
        <v>46235</v>
      </c>
      <c r="E1184" s="18" t="s">
        <v>122</v>
      </c>
      <c r="F1184" s="18" t="s">
        <v>119</v>
      </c>
      <c r="G1184" s="18" t="s">
        <v>100</v>
      </c>
      <c r="H1184" s="18" t="s">
        <v>107</v>
      </c>
      <c r="I1184" s="18" t="s">
        <v>102</v>
      </c>
      <c r="J1184" s="18" t="s">
        <v>237</v>
      </c>
      <c r="K1184" s="18" t="s">
        <v>195</v>
      </c>
      <c r="L1184" s="64" t="n">
        <v>586.36309699968</v>
      </c>
      <c r="M1184" s="64" t="n">
        <v>7.95</v>
      </c>
      <c r="N1184" s="18" t="s">
        <v>1375</v>
      </c>
      <c r="O1184" s="65" t="n">
        <v>4661.5866</v>
      </c>
      <c r="P1184" s="65" t="n">
        <v>4661.5866</v>
      </c>
      <c r="Q1184" s="65" t="n">
        <v>0</v>
      </c>
      <c r="R1184" s="65" t="s">
        <v>232</v>
      </c>
      <c r="S1184" s="66" t="n">
        <f aca="false">Model_Calc!AQ201</f>
        <v>4661.58662114746</v>
      </c>
      <c r="T1184" s="66" t="n">
        <f aca="false">ROUND(S1184-O1184,4)</f>
        <v>0</v>
      </c>
    </row>
    <row r="1185" customFormat="false" ht="15" hidden="false" customHeight="false" outlineLevel="0" collapsed="false">
      <c r="A1185" s="18" t="s">
        <v>200</v>
      </c>
      <c r="B1185" s="18" t="s">
        <v>201</v>
      </c>
      <c r="C1185" s="18"/>
      <c r="D1185" s="49" t="n">
        <v>46235</v>
      </c>
      <c r="E1185" s="18" t="s">
        <v>122</v>
      </c>
      <c r="F1185" s="18" t="s">
        <v>119</v>
      </c>
      <c r="G1185" s="18" t="s">
        <v>100</v>
      </c>
      <c r="H1185" s="18" t="s">
        <v>107</v>
      </c>
      <c r="I1185" s="18" t="s">
        <v>102</v>
      </c>
      <c r="J1185" s="18" t="s">
        <v>239</v>
      </c>
      <c r="K1185" s="18" t="s">
        <v>199</v>
      </c>
      <c r="L1185" s="64" t="n">
        <v>576.7505872128</v>
      </c>
      <c r="M1185" s="64" t="n">
        <v>9.22</v>
      </c>
      <c r="N1185" s="18" t="s">
        <v>1376</v>
      </c>
      <c r="O1185" s="65" t="n">
        <v>5317.6404</v>
      </c>
      <c r="P1185" s="65" t="n">
        <v>5317.6404</v>
      </c>
      <c r="Q1185" s="65" t="n">
        <v>0</v>
      </c>
      <c r="R1185" s="65" t="s">
        <v>232</v>
      </c>
      <c r="S1185" s="66" t="n">
        <f aca="false">Model_Calc!AV201</f>
        <v>5317.64041410202</v>
      </c>
      <c r="T1185" s="66" t="n">
        <f aca="false">ROUND(S1185-O1185,4)</f>
        <v>0</v>
      </c>
    </row>
    <row r="1186" customFormat="false" ht="15" hidden="false" customHeight="false" outlineLevel="0" collapsed="false">
      <c r="A1186" s="18" t="s">
        <v>200</v>
      </c>
      <c r="B1186" s="18" t="s">
        <v>201</v>
      </c>
      <c r="C1186" s="18"/>
      <c r="D1186" s="49" t="n">
        <v>46235</v>
      </c>
      <c r="E1186" s="18" t="s">
        <v>122</v>
      </c>
      <c r="F1186" s="18" t="s">
        <v>119</v>
      </c>
      <c r="G1186" s="18" t="s">
        <v>100</v>
      </c>
      <c r="H1186" s="18" t="s">
        <v>107</v>
      </c>
      <c r="I1186" s="18" t="s">
        <v>102</v>
      </c>
      <c r="J1186" s="18" t="s">
        <v>241</v>
      </c>
      <c r="K1186" s="18" t="s">
        <v>199</v>
      </c>
      <c r="L1186" s="64" t="n">
        <v>70.6427921623424</v>
      </c>
      <c r="M1186" s="64" t="n">
        <v>9.22</v>
      </c>
      <c r="N1186" s="18" t="s">
        <v>1377</v>
      </c>
      <c r="O1186" s="65" t="n">
        <v>651.3265</v>
      </c>
      <c r="P1186" s="65" t="n">
        <v>651.3265</v>
      </c>
      <c r="Q1186" s="65" t="n">
        <v>0</v>
      </c>
      <c r="R1186" s="65" t="s">
        <v>232</v>
      </c>
      <c r="S1186" s="66" t="n">
        <f aca="false">Model_Calc!BA201</f>
        <v>651.326543736797</v>
      </c>
      <c r="T1186" s="66" t="n">
        <f aca="false">ROUND(S1186-O1186,4)</f>
        <v>0</v>
      </c>
    </row>
    <row r="1187" customFormat="false" ht="15" hidden="false" customHeight="false" outlineLevel="0" collapsed="false">
      <c r="A1187" s="18" t="s">
        <v>200</v>
      </c>
      <c r="B1187" s="18" t="s">
        <v>201</v>
      </c>
      <c r="C1187" s="18"/>
      <c r="D1187" s="49" t="n">
        <v>46235</v>
      </c>
      <c r="E1187" s="18" t="s">
        <v>124</v>
      </c>
      <c r="F1187" s="18" t="s">
        <v>119</v>
      </c>
      <c r="G1187" s="18" t="s">
        <v>100</v>
      </c>
      <c r="H1187" s="18" t="s">
        <v>107</v>
      </c>
      <c r="I1187" s="18" t="s">
        <v>125</v>
      </c>
      <c r="J1187" s="18" t="s">
        <v>230</v>
      </c>
      <c r="K1187" s="18" t="s">
        <v>199</v>
      </c>
      <c r="L1187" s="64" t="n">
        <v>17405.8212520561</v>
      </c>
      <c r="M1187" s="64" t="n">
        <v>9.22</v>
      </c>
      <c r="N1187" s="18" t="s">
        <v>1378</v>
      </c>
      <c r="O1187" s="65" t="n">
        <v>160481.6719</v>
      </c>
      <c r="P1187" s="65" t="n">
        <v>160481.6719</v>
      </c>
      <c r="Q1187" s="65" t="n">
        <v>0</v>
      </c>
      <c r="R1187" s="65" t="s">
        <v>232</v>
      </c>
      <c r="S1187" s="66" t="n">
        <f aca="false">Model_Calc!AF202</f>
        <v>160481.671943957</v>
      </c>
      <c r="T1187" s="66" t="n">
        <f aca="false">ROUND(S1187-O1187,4)</f>
        <v>0</v>
      </c>
    </row>
    <row r="1188" customFormat="false" ht="15" hidden="false" customHeight="false" outlineLevel="0" collapsed="false">
      <c r="A1188" s="18" t="s">
        <v>200</v>
      </c>
      <c r="B1188" s="18" t="s">
        <v>201</v>
      </c>
      <c r="C1188" s="18"/>
      <c r="D1188" s="49" t="n">
        <v>46235</v>
      </c>
      <c r="E1188" s="18" t="s">
        <v>124</v>
      </c>
      <c r="F1188" s="18" t="s">
        <v>119</v>
      </c>
      <c r="G1188" s="18" t="s">
        <v>100</v>
      </c>
      <c r="H1188" s="18" t="s">
        <v>107</v>
      </c>
      <c r="I1188" s="18" t="s">
        <v>125</v>
      </c>
      <c r="J1188" s="18" t="s">
        <v>233</v>
      </c>
      <c r="K1188" s="18" t="s">
        <v>199</v>
      </c>
      <c r="L1188" s="64" t="n">
        <v>2196.39184749745</v>
      </c>
      <c r="M1188" s="64" t="n">
        <v>9.22</v>
      </c>
      <c r="N1188" s="18" t="s">
        <v>1379</v>
      </c>
      <c r="O1188" s="65" t="n">
        <v>20250.7328</v>
      </c>
      <c r="P1188" s="65" t="n">
        <v>20250.7328</v>
      </c>
      <c r="Q1188" s="65" t="n">
        <v>0</v>
      </c>
      <c r="R1188" s="65" t="s">
        <v>232</v>
      </c>
      <c r="S1188" s="66" t="n">
        <f aca="false">Model_Calc!AG202</f>
        <v>20250.7328339265</v>
      </c>
      <c r="T1188" s="66" t="n">
        <f aca="false">ROUND(S1188-O1188,4)</f>
        <v>0</v>
      </c>
    </row>
    <row r="1189" customFormat="false" ht="15" hidden="false" customHeight="false" outlineLevel="0" collapsed="false">
      <c r="A1189" s="18" t="s">
        <v>200</v>
      </c>
      <c r="B1189" s="18" t="s">
        <v>201</v>
      </c>
      <c r="C1189" s="18"/>
      <c r="D1189" s="49" t="n">
        <v>46235</v>
      </c>
      <c r="E1189" s="18" t="s">
        <v>124</v>
      </c>
      <c r="F1189" s="18" t="s">
        <v>119</v>
      </c>
      <c r="G1189" s="18" t="s">
        <v>100</v>
      </c>
      <c r="H1189" s="18" t="s">
        <v>107</v>
      </c>
      <c r="I1189" s="18" t="s">
        <v>125</v>
      </c>
      <c r="J1189" s="18" t="s">
        <v>235</v>
      </c>
      <c r="K1189" s="18" t="s">
        <v>195</v>
      </c>
      <c r="L1189" s="64" t="n">
        <v>3007.45273546667</v>
      </c>
      <c r="M1189" s="64" t="n">
        <v>7.95</v>
      </c>
      <c r="N1189" s="18" t="s">
        <v>1380</v>
      </c>
      <c r="O1189" s="65" t="n">
        <v>23909.2492</v>
      </c>
      <c r="P1189" s="65" t="n">
        <v>23909.2492</v>
      </c>
      <c r="Q1189" s="65" t="n">
        <v>0</v>
      </c>
      <c r="R1189" s="65" t="s">
        <v>232</v>
      </c>
      <c r="S1189" s="66" t="n">
        <f aca="false">Model_Calc!AL202</f>
        <v>23909.24924696</v>
      </c>
      <c r="T1189" s="66" t="n">
        <f aca="false">ROUND(S1189-O1189,4)</f>
        <v>0</v>
      </c>
    </row>
    <row r="1190" customFormat="false" ht="15" hidden="false" customHeight="false" outlineLevel="0" collapsed="false">
      <c r="A1190" s="18" t="s">
        <v>200</v>
      </c>
      <c r="B1190" s="18" t="s">
        <v>201</v>
      </c>
      <c r="C1190" s="18"/>
      <c r="D1190" s="49" t="n">
        <v>46235</v>
      </c>
      <c r="E1190" s="18" t="s">
        <v>124</v>
      </c>
      <c r="F1190" s="18" t="s">
        <v>119</v>
      </c>
      <c r="G1190" s="18" t="s">
        <v>100</v>
      </c>
      <c r="H1190" s="18" t="s">
        <v>107</v>
      </c>
      <c r="I1190" s="18" t="s">
        <v>125</v>
      </c>
      <c r="J1190" s="18" t="s">
        <v>237</v>
      </c>
      <c r="K1190" s="18" t="s">
        <v>195</v>
      </c>
      <c r="L1190" s="64" t="n">
        <v>1127.621340384</v>
      </c>
      <c r="M1190" s="64" t="n">
        <v>7.95</v>
      </c>
      <c r="N1190" s="18" t="s">
        <v>1381</v>
      </c>
      <c r="O1190" s="65" t="n">
        <v>8964.5897</v>
      </c>
      <c r="P1190" s="65" t="n">
        <v>8964.5897</v>
      </c>
      <c r="Q1190" s="65" t="n">
        <v>0</v>
      </c>
      <c r="R1190" s="65" t="s">
        <v>232</v>
      </c>
      <c r="S1190" s="66" t="n">
        <f aca="false">Model_Calc!AQ202</f>
        <v>8964.5896560528</v>
      </c>
      <c r="T1190" s="66" t="n">
        <f aca="false">ROUND(S1190-O1190,4)</f>
        <v>0</v>
      </c>
    </row>
    <row r="1191" customFormat="false" ht="15" hidden="false" customHeight="false" outlineLevel="0" collapsed="false">
      <c r="A1191" s="18" t="s">
        <v>200</v>
      </c>
      <c r="B1191" s="18" t="s">
        <v>201</v>
      </c>
      <c r="C1191" s="18"/>
      <c r="D1191" s="49" t="n">
        <v>46235</v>
      </c>
      <c r="E1191" s="18" t="s">
        <v>124</v>
      </c>
      <c r="F1191" s="18" t="s">
        <v>119</v>
      </c>
      <c r="G1191" s="18" t="s">
        <v>100</v>
      </c>
      <c r="H1191" s="18" t="s">
        <v>107</v>
      </c>
      <c r="I1191" s="18" t="s">
        <v>125</v>
      </c>
      <c r="J1191" s="18" t="s">
        <v>239</v>
      </c>
      <c r="K1191" s="18" t="s">
        <v>199</v>
      </c>
      <c r="L1191" s="64" t="n">
        <v>1109.13574464</v>
      </c>
      <c r="M1191" s="64" t="n">
        <v>9.22</v>
      </c>
      <c r="N1191" s="18" t="s">
        <v>1382</v>
      </c>
      <c r="O1191" s="65" t="n">
        <v>10226.2316</v>
      </c>
      <c r="P1191" s="65" t="n">
        <v>10226.2316</v>
      </c>
      <c r="Q1191" s="65" t="n">
        <v>0</v>
      </c>
      <c r="R1191" s="65" t="s">
        <v>232</v>
      </c>
      <c r="S1191" s="66" t="n">
        <f aca="false">Model_Calc!AV202</f>
        <v>10226.2315655808</v>
      </c>
      <c r="T1191" s="66" t="n">
        <f aca="false">ROUND(S1191-O1191,4)</f>
        <v>0</v>
      </c>
    </row>
    <row r="1192" customFormat="false" ht="15" hidden="false" customHeight="false" outlineLevel="0" collapsed="false">
      <c r="A1192" s="18" t="s">
        <v>200</v>
      </c>
      <c r="B1192" s="18" t="s">
        <v>201</v>
      </c>
      <c r="C1192" s="18"/>
      <c r="D1192" s="49" t="n">
        <v>46235</v>
      </c>
      <c r="E1192" s="18" t="s">
        <v>124</v>
      </c>
      <c r="F1192" s="18" t="s">
        <v>119</v>
      </c>
      <c r="G1192" s="18" t="s">
        <v>100</v>
      </c>
      <c r="H1192" s="18" t="s">
        <v>107</v>
      </c>
      <c r="I1192" s="18" t="s">
        <v>125</v>
      </c>
      <c r="J1192" s="18" t="s">
        <v>241</v>
      </c>
      <c r="K1192" s="18" t="s">
        <v>199</v>
      </c>
      <c r="L1192" s="64" t="n">
        <v>127.79708524352</v>
      </c>
      <c r="M1192" s="64" t="n">
        <v>9.22</v>
      </c>
      <c r="N1192" s="18" t="s">
        <v>1383</v>
      </c>
      <c r="O1192" s="65" t="n">
        <v>1178.2891</v>
      </c>
      <c r="P1192" s="65" t="n">
        <v>1178.2891</v>
      </c>
      <c r="Q1192" s="65" t="n">
        <v>0</v>
      </c>
      <c r="R1192" s="65" t="s">
        <v>232</v>
      </c>
      <c r="S1192" s="66" t="n">
        <f aca="false">Model_Calc!BA202</f>
        <v>1178.28912594525</v>
      </c>
      <c r="T1192" s="66" t="n">
        <f aca="false">ROUND(S1192-O1192,4)</f>
        <v>0</v>
      </c>
    </row>
    <row r="1193" customFormat="false" ht="15" hidden="false" customHeight="false" outlineLevel="0" collapsed="false">
      <c r="A1193" s="18" t="s">
        <v>200</v>
      </c>
      <c r="B1193" s="18" t="s">
        <v>201</v>
      </c>
      <c r="C1193" s="18"/>
      <c r="D1193" s="49" t="n">
        <v>46235</v>
      </c>
      <c r="E1193" s="18" t="s">
        <v>127</v>
      </c>
      <c r="F1193" s="18" t="s">
        <v>119</v>
      </c>
      <c r="G1193" s="18" t="s">
        <v>100</v>
      </c>
      <c r="H1193" s="18" t="s">
        <v>128</v>
      </c>
      <c r="I1193" s="18" t="s">
        <v>125</v>
      </c>
      <c r="J1193" s="18" t="s">
        <v>230</v>
      </c>
      <c r="K1193" s="18" t="s">
        <v>199</v>
      </c>
      <c r="L1193" s="64" t="n">
        <v>34193.0874287321</v>
      </c>
      <c r="M1193" s="64" t="n">
        <v>9.22</v>
      </c>
      <c r="N1193" s="18" t="s">
        <v>1384</v>
      </c>
      <c r="O1193" s="65" t="n">
        <v>315260.2661</v>
      </c>
      <c r="P1193" s="65" t="n">
        <v>315260.2661</v>
      </c>
      <c r="Q1193" s="65" t="n">
        <v>0</v>
      </c>
      <c r="R1193" s="65" t="s">
        <v>232</v>
      </c>
      <c r="S1193" s="66" t="n">
        <f aca="false">Model_Calc!AF203</f>
        <v>315260.26609291</v>
      </c>
      <c r="T1193" s="66" t="n">
        <f aca="false">ROUND(S1193-O1193,4)</f>
        <v>0</v>
      </c>
    </row>
    <row r="1194" customFormat="false" ht="15" hidden="false" customHeight="false" outlineLevel="0" collapsed="false">
      <c r="A1194" s="18" t="s">
        <v>200</v>
      </c>
      <c r="B1194" s="18" t="s">
        <v>201</v>
      </c>
      <c r="C1194" s="18"/>
      <c r="D1194" s="49" t="n">
        <v>46235</v>
      </c>
      <c r="E1194" s="18" t="s">
        <v>127</v>
      </c>
      <c r="F1194" s="18" t="s">
        <v>119</v>
      </c>
      <c r="G1194" s="18" t="s">
        <v>100</v>
      </c>
      <c r="H1194" s="18" t="s">
        <v>128</v>
      </c>
      <c r="I1194" s="18" t="s">
        <v>125</v>
      </c>
      <c r="J1194" s="18" t="s">
        <v>233</v>
      </c>
      <c r="K1194" s="18" t="s">
        <v>199</v>
      </c>
      <c r="L1194" s="64" t="n">
        <v>2644.26542782195</v>
      </c>
      <c r="M1194" s="64" t="n">
        <v>9.22</v>
      </c>
      <c r="N1194" s="18" t="s">
        <v>1385</v>
      </c>
      <c r="O1194" s="65" t="n">
        <v>24380.1272</v>
      </c>
      <c r="P1194" s="65" t="n">
        <v>24380.1272</v>
      </c>
      <c r="Q1194" s="65" t="n">
        <v>0</v>
      </c>
      <c r="R1194" s="65" t="s">
        <v>232</v>
      </c>
      <c r="S1194" s="66" t="n">
        <f aca="false">Model_Calc!AG203</f>
        <v>24380.1272445184</v>
      </c>
      <c r="T1194" s="66" t="n">
        <f aca="false">ROUND(S1194-O1194,4)</f>
        <v>0</v>
      </c>
    </row>
    <row r="1195" customFormat="false" ht="15" hidden="false" customHeight="false" outlineLevel="0" collapsed="false">
      <c r="A1195" s="18" t="s">
        <v>200</v>
      </c>
      <c r="B1195" s="18" t="s">
        <v>201</v>
      </c>
      <c r="C1195" s="18"/>
      <c r="D1195" s="49" t="n">
        <v>46235</v>
      </c>
      <c r="E1195" s="18" t="s">
        <v>127</v>
      </c>
      <c r="F1195" s="18" t="s">
        <v>119</v>
      </c>
      <c r="G1195" s="18" t="s">
        <v>100</v>
      </c>
      <c r="H1195" s="18" t="s">
        <v>128</v>
      </c>
      <c r="I1195" s="18" t="s">
        <v>125</v>
      </c>
      <c r="J1195" s="18" t="s">
        <v>235</v>
      </c>
      <c r="K1195" s="18" t="s">
        <v>195</v>
      </c>
      <c r="L1195" s="64" t="n">
        <v>4811.92437674667</v>
      </c>
      <c r="M1195" s="64" t="n">
        <v>7.95</v>
      </c>
      <c r="N1195" s="18" t="s">
        <v>1386</v>
      </c>
      <c r="O1195" s="65" t="n">
        <v>38254.7988</v>
      </c>
      <c r="P1195" s="65" t="n">
        <v>38254.7988</v>
      </c>
      <c r="Q1195" s="65" t="n">
        <v>0</v>
      </c>
      <c r="R1195" s="65" t="s">
        <v>232</v>
      </c>
      <c r="S1195" s="66" t="n">
        <f aca="false">Model_Calc!AL203</f>
        <v>38254.798795136</v>
      </c>
      <c r="T1195" s="66" t="n">
        <f aca="false">ROUND(S1195-O1195,4)</f>
        <v>0</v>
      </c>
    </row>
    <row r="1196" customFormat="false" ht="15" hidden="false" customHeight="false" outlineLevel="0" collapsed="false">
      <c r="A1196" s="18" t="s">
        <v>200</v>
      </c>
      <c r="B1196" s="18" t="s">
        <v>201</v>
      </c>
      <c r="C1196" s="18"/>
      <c r="D1196" s="49" t="n">
        <v>46235</v>
      </c>
      <c r="E1196" s="18" t="s">
        <v>127</v>
      </c>
      <c r="F1196" s="18" t="s">
        <v>119</v>
      </c>
      <c r="G1196" s="18" t="s">
        <v>100</v>
      </c>
      <c r="H1196" s="18" t="s">
        <v>128</v>
      </c>
      <c r="I1196" s="18" t="s">
        <v>125</v>
      </c>
      <c r="J1196" s="18" t="s">
        <v>237</v>
      </c>
      <c r="K1196" s="18" t="s">
        <v>195</v>
      </c>
      <c r="L1196" s="64" t="n">
        <v>1804.1941446144</v>
      </c>
      <c r="M1196" s="64" t="n">
        <v>7.95</v>
      </c>
      <c r="N1196" s="18" t="s">
        <v>1387</v>
      </c>
      <c r="O1196" s="65" t="n">
        <v>14343.3434</v>
      </c>
      <c r="P1196" s="65" t="n">
        <v>14343.3434</v>
      </c>
      <c r="Q1196" s="65" t="n">
        <v>0</v>
      </c>
      <c r="R1196" s="65" t="s">
        <v>232</v>
      </c>
      <c r="S1196" s="66" t="n">
        <f aca="false">Model_Calc!AQ203</f>
        <v>14343.3434496845</v>
      </c>
      <c r="T1196" s="66" t="n">
        <f aca="false">ROUND(S1196-O1196,4)</f>
        <v>0</v>
      </c>
    </row>
    <row r="1197" customFormat="false" ht="15" hidden="false" customHeight="false" outlineLevel="0" collapsed="false">
      <c r="A1197" s="18" t="s">
        <v>200</v>
      </c>
      <c r="B1197" s="18" t="s">
        <v>201</v>
      </c>
      <c r="C1197" s="18"/>
      <c r="D1197" s="49" t="n">
        <v>46235</v>
      </c>
      <c r="E1197" s="18" t="s">
        <v>127</v>
      </c>
      <c r="F1197" s="18" t="s">
        <v>119</v>
      </c>
      <c r="G1197" s="18" t="s">
        <v>100</v>
      </c>
      <c r="H1197" s="18" t="s">
        <v>128</v>
      </c>
      <c r="I1197" s="18" t="s">
        <v>125</v>
      </c>
      <c r="J1197" s="18" t="s">
        <v>239</v>
      </c>
      <c r="K1197" s="18" t="s">
        <v>199</v>
      </c>
      <c r="L1197" s="64" t="n">
        <v>1774.617191424</v>
      </c>
      <c r="M1197" s="64" t="n">
        <v>9.22</v>
      </c>
      <c r="N1197" s="18" t="s">
        <v>1388</v>
      </c>
      <c r="O1197" s="65" t="n">
        <v>16361.9705</v>
      </c>
      <c r="P1197" s="65" t="n">
        <v>16361.9705</v>
      </c>
      <c r="Q1197" s="65" t="n">
        <v>0</v>
      </c>
      <c r="R1197" s="65" t="s">
        <v>232</v>
      </c>
      <c r="S1197" s="66" t="n">
        <f aca="false">Model_Calc!AV203</f>
        <v>16361.9705049293</v>
      </c>
      <c r="T1197" s="66" t="n">
        <f aca="false">ROUND(S1197-O1197,4)</f>
        <v>0</v>
      </c>
    </row>
    <row r="1198" customFormat="false" ht="15" hidden="false" customHeight="false" outlineLevel="0" collapsed="false">
      <c r="A1198" s="18" t="s">
        <v>200</v>
      </c>
      <c r="B1198" s="18" t="s">
        <v>201</v>
      </c>
      <c r="C1198" s="18"/>
      <c r="D1198" s="49" t="n">
        <v>46235</v>
      </c>
      <c r="E1198" s="18" t="s">
        <v>127</v>
      </c>
      <c r="F1198" s="18" t="s">
        <v>119</v>
      </c>
      <c r="G1198" s="18" t="s">
        <v>100</v>
      </c>
      <c r="H1198" s="18" t="s">
        <v>128</v>
      </c>
      <c r="I1198" s="18" t="s">
        <v>125</v>
      </c>
      <c r="J1198" s="18" t="s">
        <v>241</v>
      </c>
      <c r="K1198" s="18" t="s">
        <v>199</v>
      </c>
      <c r="L1198" s="64" t="n">
        <v>185.574254874624</v>
      </c>
      <c r="M1198" s="64" t="n">
        <v>9.22</v>
      </c>
      <c r="N1198" s="18" t="s">
        <v>1389</v>
      </c>
      <c r="O1198" s="65" t="n">
        <v>1710.9946</v>
      </c>
      <c r="P1198" s="65" t="n">
        <v>1710.9946</v>
      </c>
      <c r="Q1198" s="65" t="n">
        <v>0</v>
      </c>
      <c r="R1198" s="65" t="s">
        <v>232</v>
      </c>
      <c r="S1198" s="66" t="n">
        <f aca="false">Model_Calc!BA203</f>
        <v>1710.99462994403</v>
      </c>
      <c r="T1198" s="66" t="n">
        <f aca="false">ROUND(S1198-O1198,4)</f>
        <v>0</v>
      </c>
    </row>
    <row r="1199" customFormat="false" ht="15" hidden="false" customHeight="false" outlineLevel="0" collapsed="false">
      <c r="A1199" s="18" t="s">
        <v>200</v>
      </c>
      <c r="B1199" s="18" t="s">
        <v>201</v>
      </c>
      <c r="C1199" s="18"/>
      <c r="D1199" s="49" t="n">
        <v>46235</v>
      </c>
      <c r="E1199" s="18" t="s">
        <v>130</v>
      </c>
      <c r="F1199" s="18" t="s">
        <v>119</v>
      </c>
      <c r="G1199" s="18" t="s">
        <v>110</v>
      </c>
      <c r="H1199" s="18" t="s">
        <v>107</v>
      </c>
      <c r="I1199" s="18" t="s">
        <v>125</v>
      </c>
      <c r="J1199" s="18" t="s">
        <v>230</v>
      </c>
      <c r="K1199" s="18" t="s">
        <v>195</v>
      </c>
      <c r="L1199" s="64" t="n">
        <v>1995.26333130432</v>
      </c>
      <c r="M1199" s="64" t="n">
        <v>7.95</v>
      </c>
      <c r="N1199" s="18" t="s">
        <v>1390</v>
      </c>
      <c r="O1199" s="65" t="n">
        <v>15862.3435</v>
      </c>
      <c r="P1199" s="65" t="n">
        <v>15862.3435</v>
      </c>
      <c r="Q1199" s="65" t="n">
        <v>0</v>
      </c>
      <c r="R1199" s="65" t="s">
        <v>232</v>
      </c>
      <c r="S1199" s="66" t="n">
        <f aca="false">Model_Calc!AF204</f>
        <v>15862.3434838693</v>
      </c>
      <c r="T1199" s="66" t="n">
        <f aca="false">ROUND(S1199-O1199,4)</f>
        <v>0</v>
      </c>
    </row>
    <row r="1200" customFormat="false" ht="15" hidden="false" customHeight="false" outlineLevel="0" collapsed="false">
      <c r="A1200" s="18" t="s">
        <v>200</v>
      </c>
      <c r="B1200" s="18" t="s">
        <v>201</v>
      </c>
      <c r="C1200" s="18"/>
      <c r="D1200" s="49" t="n">
        <v>46235</v>
      </c>
      <c r="E1200" s="18" t="s">
        <v>130</v>
      </c>
      <c r="F1200" s="18" t="s">
        <v>119</v>
      </c>
      <c r="G1200" s="18" t="s">
        <v>110</v>
      </c>
      <c r="H1200" s="18" t="s">
        <v>107</v>
      </c>
      <c r="I1200" s="18" t="s">
        <v>125</v>
      </c>
      <c r="J1200" s="18" t="s">
        <v>233</v>
      </c>
      <c r="K1200" s="18" t="s">
        <v>195</v>
      </c>
      <c r="L1200" s="64" t="n">
        <v>212.854692183545</v>
      </c>
      <c r="M1200" s="64" t="n">
        <v>7.95</v>
      </c>
      <c r="N1200" s="18" t="s">
        <v>1391</v>
      </c>
      <c r="O1200" s="65" t="n">
        <v>1692.1948</v>
      </c>
      <c r="P1200" s="65" t="n">
        <v>1692.1948</v>
      </c>
      <c r="Q1200" s="65" t="n">
        <v>0</v>
      </c>
      <c r="R1200" s="65" t="s">
        <v>232</v>
      </c>
      <c r="S1200" s="66" t="n">
        <f aca="false">Model_Calc!AG204</f>
        <v>1692.19480285918</v>
      </c>
      <c r="T1200" s="66" t="n">
        <f aca="false">ROUND(S1200-O1200,4)</f>
        <v>0</v>
      </c>
    </row>
    <row r="1201" customFormat="false" ht="15" hidden="false" customHeight="false" outlineLevel="0" collapsed="false">
      <c r="A1201" s="18" t="s">
        <v>200</v>
      </c>
      <c r="B1201" s="18" t="s">
        <v>201</v>
      </c>
      <c r="C1201" s="18"/>
      <c r="D1201" s="49" t="n">
        <v>46235</v>
      </c>
      <c r="E1201" s="18" t="s">
        <v>130</v>
      </c>
      <c r="F1201" s="18" t="s">
        <v>119</v>
      </c>
      <c r="G1201" s="18" t="s">
        <v>110</v>
      </c>
      <c r="H1201" s="18" t="s">
        <v>107</v>
      </c>
      <c r="I1201" s="18" t="s">
        <v>125</v>
      </c>
      <c r="J1201" s="18" t="s">
        <v>235</v>
      </c>
      <c r="K1201" s="18" t="s">
        <v>195</v>
      </c>
      <c r="L1201" s="64" t="n">
        <v>285.859728</v>
      </c>
      <c r="M1201" s="64" t="n">
        <v>7.95</v>
      </c>
      <c r="N1201" s="18" t="s">
        <v>1392</v>
      </c>
      <c r="O1201" s="65" t="n">
        <v>2272.5848</v>
      </c>
      <c r="P1201" s="65" t="n">
        <v>2272.5848</v>
      </c>
      <c r="Q1201" s="65" t="n">
        <v>0</v>
      </c>
      <c r="R1201" s="65" t="s">
        <v>232</v>
      </c>
      <c r="S1201" s="66" t="n">
        <f aca="false">Model_Calc!AL204</f>
        <v>2272.5848376</v>
      </c>
      <c r="T1201" s="66" t="n">
        <f aca="false">ROUND(S1201-O1201,4)</f>
        <v>0</v>
      </c>
    </row>
    <row r="1202" customFormat="false" ht="15" hidden="false" customHeight="false" outlineLevel="0" collapsed="false">
      <c r="A1202" s="18" t="s">
        <v>200</v>
      </c>
      <c r="B1202" s="18" t="s">
        <v>201</v>
      </c>
      <c r="C1202" s="18"/>
      <c r="D1202" s="49" t="n">
        <v>46235</v>
      </c>
      <c r="E1202" s="18" t="s">
        <v>130</v>
      </c>
      <c r="F1202" s="18" t="s">
        <v>119</v>
      </c>
      <c r="G1202" s="18" t="s">
        <v>110</v>
      </c>
      <c r="H1202" s="18" t="s">
        <v>107</v>
      </c>
      <c r="I1202" s="18" t="s">
        <v>125</v>
      </c>
      <c r="J1202" s="18" t="s">
        <v>237</v>
      </c>
      <c r="K1202" s="18" t="s">
        <v>195</v>
      </c>
      <c r="L1202" s="64" t="n">
        <v>122.075716224</v>
      </c>
      <c r="M1202" s="64" t="n">
        <v>7.95</v>
      </c>
      <c r="N1202" s="18" t="s">
        <v>1393</v>
      </c>
      <c r="O1202" s="65" t="n">
        <v>970.5019</v>
      </c>
      <c r="P1202" s="65" t="n">
        <v>970.5019</v>
      </c>
      <c r="Q1202" s="65" t="n">
        <v>0</v>
      </c>
      <c r="R1202" s="65" t="s">
        <v>232</v>
      </c>
      <c r="S1202" s="66" t="n">
        <f aca="false">Model_Calc!AQ204</f>
        <v>970.5019439808</v>
      </c>
      <c r="T1202" s="66" t="n">
        <f aca="false">ROUND(S1202-O1202,4)</f>
        <v>0</v>
      </c>
    </row>
    <row r="1203" customFormat="false" ht="15" hidden="false" customHeight="false" outlineLevel="0" collapsed="false">
      <c r="A1203" s="18" t="s">
        <v>200</v>
      </c>
      <c r="B1203" s="18" t="s">
        <v>201</v>
      </c>
      <c r="C1203" s="18"/>
      <c r="D1203" s="49" t="n">
        <v>46235</v>
      </c>
      <c r="E1203" s="18" t="s">
        <v>130</v>
      </c>
      <c r="F1203" s="18" t="s">
        <v>119</v>
      </c>
      <c r="G1203" s="18" t="s">
        <v>110</v>
      </c>
      <c r="H1203" s="18" t="s">
        <v>107</v>
      </c>
      <c r="I1203" s="18" t="s">
        <v>125</v>
      </c>
      <c r="J1203" s="18" t="s">
        <v>239</v>
      </c>
      <c r="K1203" s="18" t="s">
        <v>195</v>
      </c>
      <c r="L1203" s="64" t="n">
        <v>148.64705856</v>
      </c>
      <c r="M1203" s="64" t="n">
        <v>7.95</v>
      </c>
      <c r="N1203" s="18" t="s">
        <v>1394</v>
      </c>
      <c r="O1203" s="65" t="n">
        <v>1181.7441</v>
      </c>
      <c r="P1203" s="65" t="n">
        <v>1181.7441</v>
      </c>
      <c r="Q1203" s="65" t="n">
        <v>0</v>
      </c>
      <c r="R1203" s="65" t="s">
        <v>232</v>
      </c>
      <c r="S1203" s="66" t="n">
        <f aca="false">Model_Calc!AV204</f>
        <v>1181.744115552</v>
      </c>
      <c r="T1203" s="66" t="n">
        <f aca="false">ROUND(S1203-O1203,4)</f>
        <v>0</v>
      </c>
    </row>
    <row r="1204" customFormat="false" ht="15" hidden="false" customHeight="false" outlineLevel="0" collapsed="false">
      <c r="A1204" s="18" t="s">
        <v>200</v>
      </c>
      <c r="B1204" s="18" t="s">
        <v>201</v>
      </c>
      <c r="C1204" s="18"/>
      <c r="D1204" s="49" t="n">
        <v>46235</v>
      </c>
      <c r="E1204" s="18" t="s">
        <v>130</v>
      </c>
      <c r="F1204" s="18" t="s">
        <v>119</v>
      </c>
      <c r="G1204" s="18" t="s">
        <v>110</v>
      </c>
      <c r="H1204" s="18" t="s">
        <v>107</v>
      </c>
      <c r="I1204" s="18" t="s">
        <v>125</v>
      </c>
      <c r="J1204" s="18" t="s">
        <v>241</v>
      </c>
      <c r="K1204" s="18" t="s">
        <v>195</v>
      </c>
      <c r="L1204" s="64" t="n">
        <v>13.4925791616</v>
      </c>
      <c r="M1204" s="64" t="n">
        <v>7.95</v>
      </c>
      <c r="N1204" s="18" t="s">
        <v>1395</v>
      </c>
      <c r="O1204" s="65" t="n">
        <v>107.266</v>
      </c>
      <c r="P1204" s="65" t="n">
        <v>107.266</v>
      </c>
      <c r="Q1204" s="65" t="n">
        <v>0</v>
      </c>
      <c r="R1204" s="65" t="s">
        <v>232</v>
      </c>
      <c r="S1204" s="66" t="n">
        <f aca="false">Model_Calc!BA204</f>
        <v>107.26600433472</v>
      </c>
      <c r="T1204" s="66" t="n">
        <f aca="false">ROUND(S1204-O1204,4)</f>
        <v>0</v>
      </c>
    </row>
    <row r="1205" customFormat="false" ht="15" hidden="false" customHeight="false" outlineLevel="0" collapsed="false">
      <c r="A1205" s="18" t="s">
        <v>203</v>
      </c>
      <c r="B1205" s="18" t="s">
        <v>204</v>
      </c>
      <c r="C1205" s="18"/>
      <c r="D1205" s="49" t="n">
        <v>46266</v>
      </c>
      <c r="E1205" s="18" t="s">
        <v>98</v>
      </c>
      <c r="F1205" s="18" t="s">
        <v>99</v>
      </c>
      <c r="G1205" s="18" t="s">
        <v>100</v>
      </c>
      <c r="H1205" s="18" t="s">
        <v>101</v>
      </c>
      <c r="I1205" s="18" t="s">
        <v>102</v>
      </c>
      <c r="J1205" s="18" t="s">
        <v>230</v>
      </c>
      <c r="K1205" s="18" t="s">
        <v>195</v>
      </c>
      <c r="L1205" s="64" t="n">
        <v>6720.488847072</v>
      </c>
      <c r="M1205" s="64" t="n">
        <v>7.92</v>
      </c>
      <c r="N1205" s="18" t="s">
        <v>1396</v>
      </c>
      <c r="O1205" s="65" t="n">
        <v>53226.2717</v>
      </c>
      <c r="P1205" s="65"/>
      <c r="Q1205" s="65"/>
      <c r="R1205" s="65" t="s">
        <v>232</v>
      </c>
      <c r="S1205" s="66" t="n">
        <f aca="false">Model_Calc!AF205</f>
        <v>53226.2716688102</v>
      </c>
      <c r="T1205" s="66" t="n">
        <f aca="false">ROUND(S1205-O1205,4)</f>
        <v>0</v>
      </c>
    </row>
    <row r="1206" customFormat="false" ht="15" hidden="false" customHeight="false" outlineLevel="0" collapsed="false">
      <c r="A1206" s="18" t="s">
        <v>203</v>
      </c>
      <c r="B1206" s="18" t="s">
        <v>204</v>
      </c>
      <c r="C1206" s="18"/>
      <c r="D1206" s="49" t="n">
        <v>46266</v>
      </c>
      <c r="E1206" s="18" t="s">
        <v>98</v>
      </c>
      <c r="F1206" s="18" t="s">
        <v>99</v>
      </c>
      <c r="G1206" s="18" t="s">
        <v>100</v>
      </c>
      <c r="H1206" s="18" t="s">
        <v>101</v>
      </c>
      <c r="I1206" s="18" t="s">
        <v>102</v>
      </c>
      <c r="J1206" s="18" t="s">
        <v>233</v>
      </c>
      <c r="K1206" s="18" t="s">
        <v>195</v>
      </c>
      <c r="L1206" s="64" t="n">
        <v>660.792065888354</v>
      </c>
      <c r="M1206" s="64" t="n">
        <v>7.92</v>
      </c>
      <c r="N1206" s="18" t="s">
        <v>1397</v>
      </c>
      <c r="O1206" s="65" t="n">
        <v>5233.4732</v>
      </c>
      <c r="P1206" s="65"/>
      <c r="Q1206" s="65"/>
      <c r="R1206" s="65" t="s">
        <v>232</v>
      </c>
      <c r="S1206" s="66" t="n">
        <f aca="false">Model_Calc!AG205</f>
        <v>5233.47316183577</v>
      </c>
      <c r="T1206" s="66" t="n">
        <f aca="false">ROUND(S1206-O1206,4)</f>
        <v>0</v>
      </c>
    </row>
    <row r="1207" customFormat="false" ht="15" hidden="false" customHeight="false" outlineLevel="0" collapsed="false">
      <c r="A1207" s="18" t="s">
        <v>203</v>
      </c>
      <c r="B1207" s="18" t="s">
        <v>204</v>
      </c>
      <c r="C1207" s="18"/>
      <c r="D1207" s="49" t="n">
        <v>46266</v>
      </c>
      <c r="E1207" s="18" t="s">
        <v>98</v>
      </c>
      <c r="F1207" s="18" t="s">
        <v>99</v>
      </c>
      <c r="G1207" s="18" t="s">
        <v>100</v>
      </c>
      <c r="H1207" s="18" t="s">
        <v>101</v>
      </c>
      <c r="I1207" s="18" t="s">
        <v>102</v>
      </c>
      <c r="J1207" s="18" t="s">
        <v>235</v>
      </c>
      <c r="K1207" s="18" t="s">
        <v>195</v>
      </c>
      <c r="L1207" s="64" t="n">
        <v>4959.47634826572</v>
      </c>
      <c r="M1207" s="64" t="n">
        <v>7.92</v>
      </c>
      <c r="N1207" s="18" t="s">
        <v>1398</v>
      </c>
      <c r="O1207" s="65" t="n">
        <v>39279.0527</v>
      </c>
      <c r="P1207" s="65"/>
      <c r="Q1207" s="65"/>
      <c r="R1207" s="65" t="s">
        <v>232</v>
      </c>
      <c r="S1207" s="66" t="n">
        <f aca="false">Model_Calc!AL205</f>
        <v>39279.0526782645</v>
      </c>
      <c r="T1207" s="66" t="n">
        <f aca="false">ROUND(S1207-O1207,4)</f>
        <v>0</v>
      </c>
    </row>
    <row r="1208" customFormat="false" ht="15" hidden="false" customHeight="false" outlineLevel="0" collapsed="false">
      <c r="A1208" s="18" t="s">
        <v>203</v>
      </c>
      <c r="B1208" s="18" t="s">
        <v>204</v>
      </c>
      <c r="C1208" s="18"/>
      <c r="D1208" s="49" t="n">
        <v>46266</v>
      </c>
      <c r="E1208" s="18" t="s">
        <v>98</v>
      </c>
      <c r="F1208" s="18" t="s">
        <v>99</v>
      </c>
      <c r="G1208" s="18" t="s">
        <v>100</v>
      </c>
      <c r="H1208" s="18" t="s">
        <v>101</v>
      </c>
      <c r="I1208" s="18" t="s">
        <v>102</v>
      </c>
      <c r="J1208" s="18" t="s">
        <v>237</v>
      </c>
      <c r="K1208" s="18" t="s">
        <v>195</v>
      </c>
      <c r="L1208" s="64" t="n">
        <v>1644.87489264</v>
      </c>
      <c r="M1208" s="64" t="n">
        <v>7.92</v>
      </c>
      <c r="N1208" s="18" t="s">
        <v>1399</v>
      </c>
      <c r="O1208" s="65" t="n">
        <v>13027.4091</v>
      </c>
      <c r="P1208" s="65"/>
      <c r="Q1208" s="65"/>
      <c r="R1208" s="65" t="s">
        <v>232</v>
      </c>
      <c r="S1208" s="66" t="n">
        <f aca="false">Model_Calc!AQ205</f>
        <v>13027.4091497088</v>
      </c>
      <c r="T1208" s="66" t="n">
        <f aca="false">ROUND(S1208-O1208,4)</f>
        <v>0</v>
      </c>
    </row>
    <row r="1209" customFormat="false" ht="15" hidden="false" customHeight="false" outlineLevel="0" collapsed="false">
      <c r="A1209" s="18" t="s">
        <v>203</v>
      </c>
      <c r="B1209" s="18" t="s">
        <v>204</v>
      </c>
      <c r="C1209" s="18"/>
      <c r="D1209" s="49" t="n">
        <v>46266</v>
      </c>
      <c r="E1209" s="18" t="s">
        <v>98</v>
      </c>
      <c r="F1209" s="18" t="s">
        <v>99</v>
      </c>
      <c r="G1209" s="18" t="s">
        <v>100</v>
      </c>
      <c r="H1209" s="18" t="s">
        <v>101</v>
      </c>
      <c r="I1209" s="18" t="s">
        <v>102</v>
      </c>
      <c r="J1209" s="18" t="s">
        <v>239</v>
      </c>
      <c r="K1209" s="18" t="s">
        <v>195</v>
      </c>
      <c r="L1209" s="64" t="n">
        <v>596.7800064</v>
      </c>
      <c r="M1209" s="64" t="n">
        <v>7.92</v>
      </c>
      <c r="N1209" s="18" t="s">
        <v>1400</v>
      </c>
      <c r="O1209" s="65" t="n">
        <v>4726.4977</v>
      </c>
      <c r="P1209" s="65"/>
      <c r="Q1209" s="65"/>
      <c r="R1209" s="65" t="s">
        <v>232</v>
      </c>
      <c r="S1209" s="66" t="n">
        <f aca="false">Model_Calc!AV205</f>
        <v>4726.497650688</v>
      </c>
      <c r="T1209" s="66" t="n">
        <f aca="false">ROUND(S1209-O1209,4)</f>
        <v>0</v>
      </c>
    </row>
    <row r="1210" customFormat="false" ht="15" hidden="false" customHeight="false" outlineLevel="0" collapsed="false">
      <c r="A1210" s="18" t="s">
        <v>203</v>
      </c>
      <c r="B1210" s="18" t="s">
        <v>204</v>
      </c>
      <c r="C1210" s="18"/>
      <c r="D1210" s="49" t="n">
        <v>46266</v>
      </c>
      <c r="E1210" s="18" t="s">
        <v>98</v>
      </c>
      <c r="F1210" s="18" t="s">
        <v>99</v>
      </c>
      <c r="G1210" s="18" t="s">
        <v>100</v>
      </c>
      <c r="H1210" s="18" t="s">
        <v>101</v>
      </c>
      <c r="I1210" s="18" t="s">
        <v>102</v>
      </c>
      <c r="J1210" s="18" t="s">
        <v>241</v>
      </c>
      <c r="K1210" s="18" t="s">
        <v>195</v>
      </c>
      <c r="L1210" s="64" t="n">
        <v>144.1223715456</v>
      </c>
      <c r="M1210" s="64" t="n">
        <v>7.92</v>
      </c>
      <c r="N1210" s="18" t="s">
        <v>1401</v>
      </c>
      <c r="O1210" s="65" t="n">
        <v>1141.4492</v>
      </c>
      <c r="P1210" s="65"/>
      <c r="Q1210" s="65"/>
      <c r="R1210" s="65" t="s">
        <v>232</v>
      </c>
      <c r="S1210" s="66" t="n">
        <f aca="false">Model_Calc!BA205</f>
        <v>1141.44918264115</v>
      </c>
      <c r="T1210" s="66" t="n">
        <f aca="false">ROUND(S1210-O1210,4)</f>
        <v>0</v>
      </c>
    </row>
    <row r="1211" customFormat="false" ht="15" hidden="false" customHeight="false" outlineLevel="0" collapsed="false">
      <c r="A1211" s="18" t="s">
        <v>203</v>
      </c>
      <c r="B1211" s="18" t="s">
        <v>204</v>
      </c>
      <c r="C1211" s="18"/>
      <c r="D1211" s="49" t="n">
        <v>46266</v>
      </c>
      <c r="E1211" s="18" t="s">
        <v>106</v>
      </c>
      <c r="F1211" s="18" t="s">
        <v>99</v>
      </c>
      <c r="G1211" s="18" t="s">
        <v>100</v>
      </c>
      <c r="H1211" s="18" t="s">
        <v>107</v>
      </c>
      <c r="I1211" s="18" t="s">
        <v>102</v>
      </c>
      <c r="J1211" s="18" t="s">
        <v>230</v>
      </c>
      <c r="K1211" s="18" t="s">
        <v>195</v>
      </c>
      <c r="L1211" s="64" t="n">
        <v>5744.0075616</v>
      </c>
      <c r="M1211" s="64" t="n">
        <v>7.92</v>
      </c>
      <c r="N1211" s="18" t="s">
        <v>1402</v>
      </c>
      <c r="O1211" s="65" t="n">
        <v>45492.5399</v>
      </c>
      <c r="P1211" s="65"/>
      <c r="Q1211" s="65"/>
      <c r="R1211" s="65" t="s">
        <v>232</v>
      </c>
      <c r="S1211" s="66" t="n">
        <f aca="false">Model_Calc!AF206</f>
        <v>45492.539887872</v>
      </c>
      <c r="T1211" s="66" t="n">
        <f aca="false">ROUND(S1211-O1211,4)</f>
        <v>0</v>
      </c>
    </row>
    <row r="1212" customFormat="false" ht="15" hidden="false" customHeight="false" outlineLevel="0" collapsed="false">
      <c r="A1212" s="18" t="s">
        <v>203</v>
      </c>
      <c r="B1212" s="18" t="s">
        <v>204</v>
      </c>
      <c r="C1212" s="18"/>
      <c r="D1212" s="49" t="n">
        <v>46266</v>
      </c>
      <c r="E1212" s="18" t="s">
        <v>106</v>
      </c>
      <c r="F1212" s="18" t="s">
        <v>99</v>
      </c>
      <c r="G1212" s="18" t="s">
        <v>100</v>
      </c>
      <c r="H1212" s="18" t="s">
        <v>107</v>
      </c>
      <c r="I1212" s="18" t="s">
        <v>102</v>
      </c>
      <c r="J1212" s="18" t="s">
        <v>233</v>
      </c>
      <c r="K1212" s="18" t="s">
        <v>195</v>
      </c>
      <c r="L1212" s="64" t="n">
        <v>438.633304704</v>
      </c>
      <c r="M1212" s="64" t="n">
        <v>7.92</v>
      </c>
      <c r="N1212" s="18" t="s">
        <v>1403</v>
      </c>
      <c r="O1212" s="65" t="n">
        <v>3473.9758</v>
      </c>
      <c r="P1212" s="65"/>
      <c r="Q1212" s="65"/>
      <c r="R1212" s="65" t="s">
        <v>232</v>
      </c>
      <c r="S1212" s="66" t="n">
        <f aca="false">Model_Calc!AG206</f>
        <v>3473.97577325568</v>
      </c>
      <c r="T1212" s="66" t="n">
        <f aca="false">ROUND(S1212-O1212,4)</f>
        <v>0</v>
      </c>
    </row>
    <row r="1213" customFormat="false" ht="15" hidden="false" customHeight="false" outlineLevel="0" collapsed="false">
      <c r="A1213" s="18" t="s">
        <v>203</v>
      </c>
      <c r="B1213" s="18" t="s">
        <v>204</v>
      </c>
      <c r="C1213" s="18"/>
      <c r="D1213" s="49" t="n">
        <v>46266</v>
      </c>
      <c r="E1213" s="18" t="s">
        <v>106</v>
      </c>
      <c r="F1213" s="18" t="s">
        <v>99</v>
      </c>
      <c r="G1213" s="18" t="s">
        <v>100</v>
      </c>
      <c r="H1213" s="18" t="s">
        <v>107</v>
      </c>
      <c r="I1213" s="18" t="s">
        <v>102</v>
      </c>
      <c r="J1213" s="18" t="s">
        <v>235</v>
      </c>
      <c r="K1213" s="18" t="s">
        <v>195</v>
      </c>
      <c r="L1213" s="64" t="n">
        <v>3306.31756551048</v>
      </c>
      <c r="M1213" s="64" t="n">
        <v>7.92</v>
      </c>
      <c r="N1213" s="18" t="s">
        <v>1404</v>
      </c>
      <c r="O1213" s="65" t="n">
        <v>26186.0351</v>
      </c>
      <c r="P1213" s="65"/>
      <c r="Q1213" s="65"/>
      <c r="R1213" s="65" t="s">
        <v>232</v>
      </c>
      <c r="S1213" s="66" t="n">
        <f aca="false">Model_Calc!AL206</f>
        <v>26186.035118843</v>
      </c>
      <c r="T1213" s="66" t="n">
        <f aca="false">ROUND(S1213-O1213,4)</f>
        <v>0</v>
      </c>
    </row>
    <row r="1214" customFormat="false" ht="15" hidden="false" customHeight="false" outlineLevel="0" collapsed="false">
      <c r="A1214" s="18" t="s">
        <v>203</v>
      </c>
      <c r="B1214" s="18" t="s">
        <v>204</v>
      </c>
      <c r="C1214" s="18"/>
      <c r="D1214" s="49" t="n">
        <v>46266</v>
      </c>
      <c r="E1214" s="18" t="s">
        <v>106</v>
      </c>
      <c r="F1214" s="18" t="s">
        <v>99</v>
      </c>
      <c r="G1214" s="18" t="s">
        <v>100</v>
      </c>
      <c r="H1214" s="18" t="s">
        <v>107</v>
      </c>
      <c r="I1214" s="18" t="s">
        <v>102</v>
      </c>
      <c r="J1214" s="18" t="s">
        <v>237</v>
      </c>
      <c r="K1214" s="18" t="s">
        <v>195</v>
      </c>
      <c r="L1214" s="64" t="n">
        <v>1096.58326176</v>
      </c>
      <c r="M1214" s="64" t="n">
        <v>7.92</v>
      </c>
      <c r="N1214" s="18" t="s">
        <v>1405</v>
      </c>
      <c r="O1214" s="65" t="n">
        <v>8684.9394</v>
      </c>
      <c r="P1214" s="65"/>
      <c r="Q1214" s="65"/>
      <c r="R1214" s="65" t="s">
        <v>232</v>
      </c>
      <c r="S1214" s="66" t="n">
        <f aca="false">Model_Calc!AQ206</f>
        <v>8684.9394331392</v>
      </c>
      <c r="T1214" s="66" t="n">
        <f aca="false">ROUND(S1214-O1214,4)</f>
        <v>0</v>
      </c>
    </row>
    <row r="1215" customFormat="false" ht="15" hidden="false" customHeight="false" outlineLevel="0" collapsed="false">
      <c r="A1215" s="18" t="s">
        <v>203</v>
      </c>
      <c r="B1215" s="18" t="s">
        <v>204</v>
      </c>
      <c r="C1215" s="18"/>
      <c r="D1215" s="49" t="n">
        <v>46266</v>
      </c>
      <c r="E1215" s="18" t="s">
        <v>106</v>
      </c>
      <c r="F1215" s="18" t="s">
        <v>99</v>
      </c>
      <c r="G1215" s="18" t="s">
        <v>100</v>
      </c>
      <c r="H1215" s="18" t="s">
        <v>107</v>
      </c>
      <c r="I1215" s="18" t="s">
        <v>102</v>
      </c>
      <c r="J1215" s="18" t="s">
        <v>239</v>
      </c>
      <c r="K1215" s="18" t="s">
        <v>195</v>
      </c>
      <c r="L1215" s="64" t="n">
        <v>397.8533376</v>
      </c>
      <c r="M1215" s="64" t="n">
        <v>7.92</v>
      </c>
      <c r="N1215" s="18" t="s">
        <v>1406</v>
      </c>
      <c r="O1215" s="65" t="n">
        <v>3150.9984</v>
      </c>
      <c r="P1215" s="65"/>
      <c r="Q1215" s="65"/>
      <c r="R1215" s="65" t="s">
        <v>232</v>
      </c>
      <c r="S1215" s="66" t="n">
        <f aca="false">Model_Calc!AV206</f>
        <v>3150.998433792</v>
      </c>
      <c r="T1215" s="66" t="n">
        <f aca="false">ROUND(S1215-O1215,4)</f>
        <v>0</v>
      </c>
    </row>
    <row r="1216" customFormat="false" ht="15" hidden="false" customHeight="false" outlineLevel="0" collapsed="false">
      <c r="A1216" s="18" t="s">
        <v>203</v>
      </c>
      <c r="B1216" s="18" t="s">
        <v>204</v>
      </c>
      <c r="C1216" s="18"/>
      <c r="D1216" s="49" t="n">
        <v>46266</v>
      </c>
      <c r="E1216" s="18" t="s">
        <v>106</v>
      </c>
      <c r="F1216" s="18" t="s">
        <v>99</v>
      </c>
      <c r="G1216" s="18" t="s">
        <v>100</v>
      </c>
      <c r="H1216" s="18" t="s">
        <v>107</v>
      </c>
      <c r="I1216" s="18" t="s">
        <v>102</v>
      </c>
      <c r="J1216" s="18" t="s">
        <v>241</v>
      </c>
      <c r="K1216" s="18" t="s">
        <v>195</v>
      </c>
      <c r="L1216" s="64" t="n">
        <v>78.0662845872</v>
      </c>
      <c r="M1216" s="64" t="n">
        <v>7.92</v>
      </c>
      <c r="N1216" s="18" t="s">
        <v>1407</v>
      </c>
      <c r="O1216" s="65" t="n">
        <v>618.285</v>
      </c>
      <c r="P1216" s="65"/>
      <c r="Q1216" s="65"/>
      <c r="R1216" s="65" t="s">
        <v>232</v>
      </c>
      <c r="S1216" s="66" t="n">
        <f aca="false">Model_Calc!BA206</f>
        <v>618.284973930624</v>
      </c>
      <c r="T1216" s="66" t="n">
        <f aca="false">ROUND(S1216-O1216,4)</f>
        <v>0</v>
      </c>
    </row>
    <row r="1217" customFormat="false" ht="15" hidden="false" customHeight="false" outlineLevel="0" collapsed="false">
      <c r="A1217" s="18" t="s">
        <v>203</v>
      </c>
      <c r="B1217" s="18" t="s">
        <v>204</v>
      </c>
      <c r="C1217" s="18"/>
      <c r="D1217" s="49" t="n">
        <v>46266</v>
      </c>
      <c r="E1217" s="18" t="s">
        <v>109</v>
      </c>
      <c r="F1217" s="18" t="s">
        <v>99</v>
      </c>
      <c r="G1217" s="18" t="s">
        <v>110</v>
      </c>
      <c r="H1217" s="18" t="s">
        <v>107</v>
      </c>
      <c r="I1217" s="18" t="s">
        <v>102</v>
      </c>
      <c r="J1217" s="18" t="s">
        <v>230</v>
      </c>
      <c r="K1217" s="18" t="s">
        <v>195</v>
      </c>
      <c r="L1217" s="64" t="n">
        <v>589.289494464</v>
      </c>
      <c r="M1217" s="64" t="n">
        <v>7.92</v>
      </c>
      <c r="N1217" s="18" t="s">
        <v>1408</v>
      </c>
      <c r="O1217" s="65" t="n">
        <v>4667.1728</v>
      </c>
      <c r="P1217" s="65"/>
      <c r="Q1217" s="65"/>
      <c r="R1217" s="65" t="s">
        <v>232</v>
      </c>
      <c r="S1217" s="66" t="n">
        <f aca="false">Model_Calc!AF207</f>
        <v>4667.17279615488</v>
      </c>
      <c r="T1217" s="66" t="n">
        <f aca="false">ROUND(S1217-O1217,4)</f>
        <v>0</v>
      </c>
    </row>
    <row r="1218" customFormat="false" ht="15" hidden="false" customHeight="false" outlineLevel="0" collapsed="false">
      <c r="A1218" s="18" t="s">
        <v>203</v>
      </c>
      <c r="B1218" s="18" t="s">
        <v>204</v>
      </c>
      <c r="C1218" s="18"/>
      <c r="D1218" s="49" t="n">
        <v>46266</v>
      </c>
      <c r="E1218" s="18" t="s">
        <v>109</v>
      </c>
      <c r="F1218" s="18" t="s">
        <v>99</v>
      </c>
      <c r="G1218" s="18" t="s">
        <v>110</v>
      </c>
      <c r="H1218" s="18" t="s">
        <v>107</v>
      </c>
      <c r="I1218" s="18" t="s">
        <v>102</v>
      </c>
      <c r="J1218" s="18" t="s">
        <v>233</v>
      </c>
      <c r="K1218" s="18" t="s">
        <v>195</v>
      </c>
      <c r="L1218" s="64" t="n">
        <v>42.8574177792</v>
      </c>
      <c r="M1218" s="64" t="n">
        <v>7.92</v>
      </c>
      <c r="N1218" s="18" t="s">
        <v>1409</v>
      </c>
      <c r="O1218" s="65" t="n">
        <v>339.4307</v>
      </c>
      <c r="P1218" s="65"/>
      <c r="Q1218" s="65"/>
      <c r="R1218" s="65" t="s">
        <v>232</v>
      </c>
      <c r="S1218" s="66" t="n">
        <f aca="false">Model_Calc!AG207</f>
        <v>339.430748811264</v>
      </c>
      <c r="T1218" s="66" t="n">
        <f aca="false">ROUND(S1218-O1218,4)</f>
        <v>0</v>
      </c>
    </row>
    <row r="1219" customFormat="false" ht="15" hidden="false" customHeight="false" outlineLevel="0" collapsed="false">
      <c r="A1219" s="18" t="s">
        <v>203</v>
      </c>
      <c r="B1219" s="18" t="s">
        <v>204</v>
      </c>
      <c r="C1219" s="18"/>
      <c r="D1219" s="49" t="n">
        <v>46266</v>
      </c>
      <c r="E1219" s="18" t="s">
        <v>109</v>
      </c>
      <c r="F1219" s="18" t="s">
        <v>99</v>
      </c>
      <c r="G1219" s="18" t="s">
        <v>110</v>
      </c>
      <c r="H1219" s="18" t="s">
        <v>107</v>
      </c>
      <c r="I1219" s="18" t="s">
        <v>102</v>
      </c>
      <c r="J1219" s="18" t="s">
        <v>235</v>
      </c>
      <c r="K1219" s="18" t="s">
        <v>195</v>
      </c>
      <c r="L1219" s="64" t="n">
        <v>201.87468</v>
      </c>
      <c r="M1219" s="64" t="n">
        <v>7.92</v>
      </c>
      <c r="N1219" s="18" t="s">
        <v>1410</v>
      </c>
      <c r="O1219" s="65" t="n">
        <v>1598.8475</v>
      </c>
      <c r="P1219" s="65"/>
      <c r="Q1219" s="65"/>
      <c r="R1219" s="65" t="s">
        <v>232</v>
      </c>
      <c r="S1219" s="66" t="n">
        <f aca="false">Model_Calc!AL207</f>
        <v>1598.8474656</v>
      </c>
      <c r="T1219" s="66" t="n">
        <f aca="false">ROUND(S1219-O1219,4)</f>
        <v>0</v>
      </c>
    </row>
    <row r="1220" customFormat="false" ht="15" hidden="false" customHeight="false" outlineLevel="0" collapsed="false">
      <c r="A1220" s="18" t="s">
        <v>203</v>
      </c>
      <c r="B1220" s="18" t="s">
        <v>204</v>
      </c>
      <c r="C1220" s="18"/>
      <c r="D1220" s="49" t="n">
        <v>46266</v>
      </c>
      <c r="E1220" s="18" t="s">
        <v>109</v>
      </c>
      <c r="F1220" s="18" t="s">
        <v>99</v>
      </c>
      <c r="G1220" s="18" t="s">
        <v>110</v>
      </c>
      <c r="H1220" s="18" t="s">
        <v>107</v>
      </c>
      <c r="I1220" s="18" t="s">
        <v>102</v>
      </c>
      <c r="J1220" s="18" t="s">
        <v>237</v>
      </c>
      <c r="K1220" s="18" t="s">
        <v>195</v>
      </c>
      <c r="L1220" s="64" t="n">
        <v>78.90416064</v>
      </c>
      <c r="M1220" s="64" t="n">
        <v>7.92</v>
      </c>
      <c r="N1220" s="18" t="s">
        <v>1411</v>
      </c>
      <c r="O1220" s="65" t="n">
        <v>624.921</v>
      </c>
      <c r="P1220" s="65"/>
      <c r="Q1220" s="65"/>
      <c r="R1220" s="65" t="s">
        <v>232</v>
      </c>
      <c r="S1220" s="66" t="n">
        <f aca="false">Model_Calc!AQ207</f>
        <v>624.9209522688</v>
      </c>
      <c r="T1220" s="66" t="n">
        <f aca="false">ROUND(S1220-O1220,4)</f>
        <v>0</v>
      </c>
    </row>
    <row r="1221" customFormat="false" ht="15" hidden="false" customHeight="false" outlineLevel="0" collapsed="false">
      <c r="A1221" s="18" t="s">
        <v>203</v>
      </c>
      <c r="B1221" s="18" t="s">
        <v>204</v>
      </c>
      <c r="C1221" s="18"/>
      <c r="D1221" s="49" t="n">
        <v>46266</v>
      </c>
      <c r="E1221" s="18" t="s">
        <v>109</v>
      </c>
      <c r="F1221" s="18" t="s">
        <v>99</v>
      </c>
      <c r="G1221" s="18" t="s">
        <v>110</v>
      </c>
      <c r="H1221" s="18" t="s">
        <v>107</v>
      </c>
      <c r="I1221" s="18" t="s">
        <v>102</v>
      </c>
      <c r="J1221" s="18" t="s">
        <v>239</v>
      </c>
      <c r="K1221" s="18" t="s">
        <v>195</v>
      </c>
      <c r="L1221" s="64" t="n">
        <v>36.529704</v>
      </c>
      <c r="M1221" s="64" t="n">
        <v>7.92</v>
      </c>
      <c r="N1221" s="18" t="s">
        <v>1412</v>
      </c>
      <c r="O1221" s="65" t="n">
        <v>289.3153</v>
      </c>
      <c r="P1221" s="65"/>
      <c r="Q1221" s="65"/>
      <c r="R1221" s="65" t="s">
        <v>232</v>
      </c>
      <c r="S1221" s="66" t="n">
        <f aca="false">Model_Calc!AV207</f>
        <v>289.31525568</v>
      </c>
      <c r="T1221" s="66" t="n">
        <f aca="false">ROUND(S1221-O1221,4)</f>
        <v>0</v>
      </c>
    </row>
    <row r="1222" customFormat="false" ht="15" hidden="false" customHeight="false" outlineLevel="0" collapsed="false">
      <c r="A1222" s="18" t="s">
        <v>203</v>
      </c>
      <c r="B1222" s="18" t="s">
        <v>204</v>
      </c>
      <c r="C1222" s="18"/>
      <c r="D1222" s="49" t="n">
        <v>46266</v>
      </c>
      <c r="E1222" s="18" t="s">
        <v>109</v>
      </c>
      <c r="F1222" s="18" t="s">
        <v>99</v>
      </c>
      <c r="G1222" s="18" t="s">
        <v>110</v>
      </c>
      <c r="H1222" s="18" t="s">
        <v>107</v>
      </c>
      <c r="I1222" s="18" t="s">
        <v>102</v>
      </c>
      <c r="J1222" s="18" t="s">
        <v>241</v>
      </c>
      <c r="K1222" s="18" t="s">
        <v>195</v>
      </c>
      <c r="L1222" s="64" t="n">
        <v>6.6860894016</v>
      </c>
      <c r="M1222" s="64" t="n">
        <v>7.92</v>
      </c>
      <c r="N1222" s="18" t="s">
        <v>1413</v>
      </c>
      <c r="O1222" s="65" t="n">
        <v>52.9538</v>
      </c>
      <c r="P1222" s="65"/>
      <c r="Q1222" s="65"/>
      <c r="R1222" s="65" t="s">
        <v>232</v>
      </c>
      <c r="S1222" s="66" t="n">
        <f aca="false">Model_Calc!BA207</f>
        <v>52.953828060672</v>
      </c>
      <c r="T1222" s="66" t="n">
        <f aca="false">ROUND(S1222-O1222,4)</f>
        <v>0</v>
      </c>
    </row>
    <row r="1223" customFormat="false" ht="15" hidden="false" customHeight="false" outlineLevel="0" collapsed="false">
      <c r="A1223" s="18" t="s">
        <v>203</v>
      </c>
      <c r="B1223" s="18" t="s">
        <v>204</v>
      </c>
      <c r="C1223" s="18"/>
      <c r="D1223" s="49" t="n">
        <v>46266</v>
      </c>
      <c r="E1223" s="18" t="s">
        <v>112</v>
      </c>
      <c r="F1223" s="18" t="s">
        <v>113</v>
      </c>
      <c r="G1223" s="18" t="s">
        <v>110</v>
      </c>
      <c r="H1223" s="18" t="s">
        <v>101</v>
      </c>
      <c r="I1223" s="18" t="s">
        <v>102</v>
      </c>
      <c r="J1223" s="18" t="s">
        <v>230</v>
      </c>
      <c r="K1223" s="18" t="s">
        <v>195</v>
      </c>
      <c r="L1223" s="64" t="n">
        <v>3162.2547096</v>
      </c>
      <c r="M1223" s="64" t="n">
        <v>7.92</v>
      </c>
      <c r="N1223" s="18" t="s">
        <v>1414</v>
      </c>
      <c r="O1223" s="65" t="n">
        <v>25045.0573</v>
      </c>
      <c r="P1223" s="65"/>
      <c r="Q1223" s="65"/>
      <c r="R1223" s="65" t="s">
        <v>232</v>
      </c>
      <c r="S1223" s="66" t="n">
        <f aca="false">Model_Calc!AF208</f>
        <v>25045.057300032</v>
      </c>
      <c r="T1223" s="66" t="n">
        <f aca="false">ROUND(S1223-O1223,4)</f>
        <v>0</v>
      </c>
    </row>
    <row r="1224" customFormat="false" ht="15" hidden="false" customHeight="false" outlineLevel="0" collapsed="false">
      <c r="A1224" s="18" t="s">
        <v>203</v>
      </c>
      <c r="B1224" s="18" t="s">
        <v>204</v>
      </c>
      <c r="C1224" s="18"/>
      <c r="D1224" s="49" t="n">
        <v>46266</v>
      </c>
      <c r="E1224" s="18" t="s">
        <v>112</v>
      </c>
      <c r="F1224" s="18" t="s">
        <v>113</v>
      </c>
      <c r="G1224" s="18" t="s">
        <v>110</v>
      </c>
      <c r="H1224" s="18" t="s">
        <v>101</v>
      </c>
      <c r="I1224" s="18" t="s">
        <v>102</v>
      </c>
      <c r="J1224" s="18" t="s">
        <v>233</v>
      </c>
      <c r="K1224" s="18" t="s">
        <v>195</v>
      </c>
      <c r="L1224" s="64" t="n">
        <v>294.56402619924</v>
      </c>
      <c r="M1224" s="64" t="n">
        <v>7.92</v>
      </c>
      <c r="N1224" s="18" t="s">
        <v>1415</v>
      </c>
      <c r="O1224" s="65" t="n">
        <v>2332.9471</v>
      </c>
      <c r="P1224" s="65"/>
      <c r="Q1224" s="65"/>
      <c r="R1224" s="65" t="s">
        <v>232</v>
      </c>
      <c r="S1224" s="66" t="n">
        <f aca="false">Model_Calc!AG208</f>
        <v>2332.94708749798</v>
      </c>
      <c r="T1224" s="66" t="n">
        <f aca="false">ROUND(S1224-O1224,4)</f>
        <v>0</v>
      </c>
    </row>
    <row r="1225" customFormat="false" ht="15" hidden="false" customHeight="false" outlineLevel="0" collapsed="false">
      <c r="A1225" s="18" t="s">
        <v>203</v>
      </c>
      <c r="B1225" s="18" t="s">
        <v>204</v>
      </c>
      <c r="C1225" s="18"/>
      <c r="D1225" s="49" t="n">
        <v>46266</v>
      </c>
      <c r="E1225" s="18" t="s">
        <v>112</v>
      </c>
      <c r="F1225" s="18" t="s">
        <v>113</v>
      </c>
      <c r="G1225" s="18" t="s">
        <v>110</v>
      </c>
      <c r="H1225" s="18" t="s">
        <v>101</v>
      </c>
      <c r="I1225" s="18" t="s">
        <v>102</v>
      </c>
      <c r="J1225" s="18" t="s">
        <v>235</v>
      </c>
      <c r="K1225" s="18" t="s">
        <v>195</v>
      </c>
      <c r="L1225" s="64" t="n">
        <v>1962.6705</v>
      </c>
      <c r="M1225" s="64" t="n">
        <v>7.92</v>
      </c>
      <c r="N1225" s="18" t="s">
        <v>1416</v>
      </c>
      <c r="O1225" s="65" t="n">
        <v>15544.3504</v>
      </c>
      <c r="P1225" s="65"/>
      <c r="Q1225" s="65"/>
      <c r="R1225" s="65" t="s">
        <v>232</v>
      </c>
      <c r="S1225" s="66" t="n">
        <f aca="false">Model_Calc!AL208</f>
        <v>15544.35036</v>
      </c>
      <c r="T1225" s="66" t="n">
        <f aca="false">ROUND(S1225-O1225,4)</f>
        <v>0</v>
      </c>
    </row>
    <row r="1226" customFormat="false" ht="15" hidden="false" customHeight="false" outlineLevel="0" collapsed="false">
      <c r="A1226" s="18" t="s">
        <v>203</v>
      </c>
      <c r="B1226" s="18" t="s">
        <v>204</v>
      </c>
      <c r="C1226" s="18"/>
      <c r="D1226" s="49" t="n">
        <v>46266</v>
      </c>
      <c r="E1226" s="18" t="s">
        <v>112</v>
      </c>
      <c r="F1226" s="18" t="s">
        <v>113</v>
      </c>
      <c r="G1226" s="18" t="s">
        <v>110</v>
      </c>
      <c r="H1226" s="18" t="s">
        <v>101</v>
      </c>
      <c r="I1226" s="18" t="s">
        <v>102</v>
      </c>
      <c r="J1226" s="18" t="s">
        <v>237</v>
      </c>
      <c r="K1226" s="18" t="s">
        <v>195</v>
      </c>
      <c r="L1226" s="64" t="n">
        <v>752.917788</v>
      </c>
      <c r="M1226" s="64" t="n">
        <v>7.92</v>
      </c>
      <c r="N1226" s="18" t="s">
        <v>1417</v>
      </c>
      <c r="O1226" s="65" t="n">
        <v>5963.1089</v>
      </c>
      <c r="P1226" s="65"/>
      <c r="Q1226" s="65"/>
      <c r="R1226" s="65" t="s">
        <v>232</v>
      </c>
      <c r="S1226" s="66" t="n">
        <f aca="false">Model_Calc!AQ208</f>
        <v>5963.10888096</v>
      </c>
      <c r="T1226" s="66" t="n">
        <f aca="false">ROUND(S1226-O1226,4)</f>
        <v>0</v>
      </c>
    </row>
    <row r="1227" customFormat="false" ht="15" hidden="false" customHeight="false" outlineLevel="0" collapsed="false">
      <c r="A1227" s="18" t="s">
        <v>203</v>
      </c>
      <c r="B1227" s="18" t="s">
        <v>204</v>
      </c>
      <c r="C1227" s="18"/>
      <c r="D1227" s="49" t="n">
        <v>46266</v>
      </c>
      <c r="E1227" s="18" t="s">
        <v>112</v>
      </c>
      <c r="F1227" s="18" t="s">
        <v>113</v>
      </c>
      <c r="G1227" s="18" t="s">
        <v>110</v>
      </c>
      <c r="H1227" s="18" t="s">
        <v>101</v>
      </c>
      <c r="I1227" s="18" t="s">
        <v>102</v>
      </c>
      <c r="J1227" s="18" t="s">
        <v>239</v>
      </c>
      <c r="K1227" s="18" t="s">
        <v>195</v>
      </c>
      <c r="L1227" s="64" t="n">
        <v>336.4578</v>
      </c>
      <c r="M1227" s="64" t="n">
        <v>7.92</v>
      </c>
      <c r="N1227" s="18" t="s">
        <v>1418</v>
      </c>
      <c r="O1227" s="65" t="n">
        <v>2664.7458</v>
      </c>
      <c r="P1227" s="65"/>
      <c r="Q1227" s="65"/>
      <c r="R1227" s="65" t="s">
        <v>232</v>
      </c>
      <c r="S1227" s="66" t="n">
        <f aca="false">Model_Calc!AV208</f>
        <v>2664.745776</v>
      </c>
      <c r="T1227" s="66" t="n">
        <f aca="false">ROUND(S1227-O1227,4)</f>
        <v>0</v>
      </c>
    </row>
    <row r="1228" customFormat="false" ht="15" hidden="false" customHeight="false" outlineLevel="0" collapsed="false">
      <c r="A1228" s="18" t="s">
        <v>203</v>
      </c>
      <c r="B1228" s="18" t="s">
        <v>204</v>
      </c>
      <c r="C1228" s="18"/>
      <c r="D1228" s="49" t="n">
        <v>46266</v>
      </c>
      <c r="E1228" s="18" t="s">
        <v>112</v>
      </c>
      <c r="F1228" s="18" t="s">
        <v>113</v>
      </c>
      <c r="G1228" s="18" t="s">
        <v>110</v>
      </c>
      <c r="H1228" s="18" t="s">
        <v>101</v>
      </c>
      <c r="I1228" s="18" t="s">
        <v>102</v>
      </c>
      <c r="J1228" s="18" t="s">
        <v>241</v>
      </c>
      <c r="K1228" s="18" t="s">
        <v>195</v>
      </c>
      <c r="L1228" s="64" t="n">
        <v>77.47127766</v>
      </c>
      <c r="M1228" s="64" t="n">
        <v>7.92</v>
      </c>
      <c r="N1228" s="18" t="s">
        <v>1419</v>
      </c>
      <c r="O1228" s="65" t="n">
        <v>613.5725</v>
      </c>
      <c r="P1228" s="65"/>
      <c r="Q1228" s="65"/>
      <c r="R1228" s="65" t="s">
        <v>232</v>
      </c>
      <c r="S1228" s="66" t="n">
        <f aca="false">Model_Calc!BA208</f>
        <v>613.5725190672</v>
      </c>
      <c r="T1228" s="66" t="n">
        <f aca="false">ROUND(S1228-O1228,4)</f>
        <v>0</v>
      </c>
    </row>
    <row r="1229" customFormat="false" ht="15" hidden="false" customHeight="false" outlineLevel="0" collapsed="false">
      <c r="A1229" s="18" t="s">
        <v>203</v>
      </c>
      <c r="B1229" s="18" t="s">
        <v>204</v>
      </c>
      <c r="C1229" s="18"/>
      <c r="D1229" s="49" t="n">
        <v>46266</v>
      </c>
      <c r="E1229" s="18" t="s">
        <v>116</v>
      </c>
      <c r="F1229" s="18" t="s">
        <v>113</v>
      </c>
      <c r="G1229" s="18" t="s">
        <v>110</v>
      </c>
      <c r="H1229" s="18" t="s">
        <v>107</v>
      </c>
      <c r="I1229" s="18" t="s">
        <v>102</v>
      </c>
      <c r="J1229" s="18" t="s">
        <v>230</v>
      </c>
      <c r="K1229" s="18" t="s">
        <v>195</v>
      </c>
      <c r="L1229" s="64" t="n">
        <v>7558.0491636</v>
      </c>
      <c r="M1229" s="64" t="n">
        <v>7.92</v>
      </c>
      <c r="N1229" s="18" t="s">
        <v>1420</v>
      </c>
      <c r="O1229" s="65" t="n">
        <v>59859.7494</v>
      </c>
      <c r="P1229" s="65"/>
      <c r="Q1229" s="65"/>
      <c r="R1229" s="65" t="s">
        <v>232</v>
      </c>
      <c r="S1229" s="66" t="n">
        <f aca="false">Model_Calc!AF209</f>
        <v>59859.749375712</v>
      </c>
      <c r="T1229" s="66" t="n">
        <f aca="false">ROUND(S1229-O1229,4)</f>
        <v>0</v>
      </c>
    </row>
    <row r="1230" customFormat="false" ht="15" hidden="false" customHeight="false" outlineLevel="0" collapsed="false">
      <c r="A1230" s="18" t="s">
        <v>203</v>
      </c>
      <c r="B1230" s="18" t="s">
        <v>204</v>
      </c>
      <c r="C1230" s="18"/>
      <c r="D1230" s="49" t="n">
        <v>46266</v>
      </c>
      <c r="E1230" s="18" t="s">
        <v>116</v>
      </c>
      <c r="F1230" s="18" t="s">
        <v>113</v>
      </c>
      <c r="G1230" s="18" t="s">
        <v>110</v>
      </c>
      <c r="H1230" s="18" t="s">
        <v>107</v>
      </c>
      <c r="I1230" s="18" t="s">
        <v>102</v>
      </c>
      <c r="J1230" s="18" t="s">
        <v>233</v>
      </c>
      <c r="K1230" s="18" t="s">
        <v>195</v>
      </c>
      <c r="L1230" s="64" t="n">
        <v>581.3883972</v>
      </c>
      <c r="M1230" s="64" t="n">
        <v>7.92</v>
      </c>
      <c r="N1230" s="18" t="s">
        <v>1421</v>
      </c>
      <c r="O1230" s="65" t="n">
        <v>4604.5961</v>
      </c>
      <c r="P1230" s="65"/>
      <c r="Q1230" s="65"/>
      <c r="R1230" s="65" t="s">
        <v>232</v>
      </c>
      <c r="S1230" s="66" t="n">
        <f aca="false">Model_Calc!AG209</f>
        <v>4604.596105824</v>
      </c>
      <c r="T1230" s="66" t="n">
        <f aca="false">ROUND(S1230-O1230,4)</f>
        <v>0</v>
      </c>
    </row>
    <row r="1231" customFormat="false" ht="15" hidden="false" customHeight="false" outlineLevel="0" collapsed="false">
      <c r="A1231" s="18" t="s">
        <v>203</v>
      </c>
      <c r="B1231" s="18" t="s">
        <v>204</v>
      </c>
      <c r="C1231" s="18"/>
      <c r="D1231" s="49" t="n">
        <v>46266</v>
      </c>
      <c r="E1231" s="18" t="s">
        <v>116</v>
      </c>
      <c r="F1231" s="18" t="s">
        <v>113</v>
      </c>
      <c r="G1231" s="18" t="s">
        <v>110</v>
      </c>
      <c r="H1231" s="18" t="s">
        <v>107</v>
      </c>
      <c r="I1231" s="18" t="s">
        <v>102</v>
      </c>
      <c r="J1231" s="18" t="s">
        <v>235</v>
      </c>
      <c r="K1231" s="18" t="s">
        <v>195</v>
      </c>
      <c r="L1231" s="64" t="n">
        <v>3644.9595</v>
      </c>
      <c r="M1231" s="64" t="n">
        <v>7.92</v>
      </c>
      <c r="N1231" s="18" t="s">
        <v>1422</v>
      </c>
      <c r="O1231" s="65" t="n">
        <v>28868.0792</v>
      </c>
      <c r="P1231" s="65"/>
      <c r="Q1231" s="65"/>
      <c r="R1231" s="65" t="s">
        <v>232</v>
      </c>
      <c r="S1231" s="66" t="n">
        <f aca="false">Model_Calc!AL209</f>
        <v>28868.07924</v>
      </c>
      <c r="T1231" s="66" t="n">
        <f aca="false">ROUND(S1231-O1231,4)</f>
        <v>0</v>
      </c>
    </row>
    <row r="1232" customFormat="false" ht="15" hidden="false" customHeight="false" outlineLevel="0" collapsed="false">
      <c r="A1232" s="18" t="s">
        <v>203</v>
      </c>
      <c r="B1232" s="18" t="s">
        <v>204</v>
      </c>
      <c r="C1232" s="18"/>
      <c r="D1232" s="49" t="n">
        <v>46266</v>
      </c>
      <c r="E1232" s="18" t="s">
        <v>116</v>
      </c>
      <c r="F1232" s="18" t="s">
        <v>113</v>
      </c>
      <c r="G1232" s="18" t="s">
        <v>110</v>
      </c>
      <c r="H1232" s="18" t="s">
        <v>107</v>
      </c>
      <c r="I1232" s="18" t="s">
        <v>102</v>
      </c>
      <c r="J1232" s="18" t="s">
        <v>237</v>
      </c>
      <c r="K1232" s="18" t="s">
        <v>195</v>
      </c>
      <c r="L1232" s="64" t="n">
        <v>1398.275892</v>
      </c>
      <c r="M1232" s="64" t="n">
        <v>7.92</v>
      </c>
      <c r="N1232" s="18" t="s">
        <v>1423</v>
      </c>
      <c r="O1232" s="65" t="n">
        <v>11074.3451</v>
      </c>
      <c r="P1232" s="65"/>
      <c r="Q1232" s="65"/>
      <c r="R1232" s="65" t="s">
        <v>232</v>
      </c>
      <c r="S1232" s="66" t="n">
        <f aca="false">Model_Calc!AQ209</f>
        <v>11074.34506464</v>
      </c>
      <c r="T1232" s="66" t="n">
        <f aca="false">ROUND(S1232-O1232,4)</f>
        <v>0</v>
      </c>
    </row>
    <row r="1233" customFormat="false" ht="15" hidden="false" customHeight="false" outlineLevel="0" collapsed="false">
      <c r="A1233" s="18" t="s">
        <v>203</v>
      </c>
      <c r="B1233" s="18" t="s">
        <v>204</v>
      </c>
      <c r="C1233" s="18"/>
      <c r="D1233" s="49" t="n">
        <v>46266</v>
      </c>
      <c r="E1233" s="18" t="s">
        <v>116</v>
      </c>
      <c r="F1233" s="18" t="s">
        <v>113</v>
      </c>
      <c r="G1233" s="18" t="s">
        <v>110</v>
      </c>
      <c r="H1233" s="18" t="s">
        <v>107</v>
      </c>
      <c r="I1233" s="18" t="s">
        <v>102</v>
      </c>
      <c r="J1233" s="18" t="s">
        <v>239</v>
      </c>
      <c r="K1233" s="18" t="s">
        <v>195</v>
      </c>
      <c r="L1233" s="64" t="n">
        <v>624.8502</v>
      </c>
      <c r="M1233" s="64" t="n">
        <v>7.92</v>
      </c>
      <c r="N1233" s="18" t="s">
        <v>1424</v>
      </c>
      <c r="O1233" s="65" t="n">
        <v>4948.8136</v>
      </c>
      <c r="P1233" s="65"/>
      <c r="Q1233" s="65"/>
      <c r="R1233" s="65" t="s">
        <v>232</v>
      </c>
      <c r="S1233" s="66" t="n">
        <f aca="false">Model_Calc!AV209</f>
        <v>4948.813584</v>
      </c>
      <c r="T1233" s="66" t="n">
        <f aca="false">ROUND(S1233-O1233,4)</f>
        <v>0</v>
      </c>
    </row>
    <row r="1234" customFormat="false" ht="15" hidden="false" customHeight="false" outlineLevel="0" collapsed="false">
      <c r="A1234" s="18" t="s">
        <v>203</v>
      </c>
      <c r="B1234" s="18" t="s">
        <v>204</v>
      </c>
      <c r="C1234" s="18"/>
      <c r="D1234" s="49" t="n">
        <v>46266</v>
      </c>
      <c r="E1234" s="18" t="s">
        <v>116</v>
      </c>
      <c r="F1234" s="18" t="s">
        <v>113</v>
      </c>
      <c r="G1234" s="18" t="s">
        <v>110</v>
      </c>
      <c r="H1234" s="18" t="s">
        <v>107</v>
      </c>
      <c r="I1234" s="18" t="s">
        <v>102</v>
      </c>
      <c r="J1234" s="18" t="s">
        <v>241</v>
      </c>
      <c r="K1234" s="18" t="s">
        <v>195</v>
      </c>
      <c r="L1234" s="64" t="n">
        <v>118.48548348</v>
      </c>
      <c r="M1234" s="64" t="n">
        <v>7.92</v>
      </c>
      <c r="N1234" s="18" t="s">
        <v>1425</v>
      </c>
      <c r="O1234" s="65" t="n">
        <v>938.405</v>
      </c>
      <c r="P1234" s="65"/>
      <c r="Q1234" s="65"/>
      <c r="R1234" s="65" t="s">
        <v>232</v>
      </c>
      <c r="S1234" s="66" t="n">
        <f aca="false">Model_Calc!BA209</f>
        <v>938.4050291616</v>
      </c>
      <c r="T1234" s="66" t="n">
        <f aca="false">ROUND(S1234-O1234,4)</f>
        <v>0</v>
      </c>
    </row>
    <row r="1235" customFormat="false" ht="15" hidden="false" customHeight="false" outlineLevel="0" collapsed="false">
      <c r="A1235" s="18" t="s">
        <v>203</v>
      </c>
      <c r="B1235" s="18" t="s">
        <v>204</v>
      </c>
      <c r="C1235" s="18"/>
      <c r="D1235" s="49" t="n">
        <v>46266</v>
      </c>
      <c r="E1235" s="18" t="s">
        <v>118</v>
      </c>
      <c r="F1235" s="18" t="s">
        <v>119</v>
      </c>
      <c r="G1235" s="18" t="s">
        <v>100</v>
      </c>
      <c r="H1235" s="18" t="s">
        <v>101</v>
      </c>
      <c r="I1235" s="18" t="s">
        <v>102</v>
      </c>
      <c r="J1235" s="18" t="s">
        <v>230</v>
      </c>
      <c r="K1235" s="18" t="s">
        <v>199</v>
      </c>
      <c r="L1235" s="64" t="n">
        <v>8632.71687591936</v>
      </c>
      <c r="M1235" s="64" t="n">
        <v>9.15</v>
      </c>
      <c r="N1235" s="18" t="s">
        <v>1426</v>
      </c>
      <c r="O1235" s="65" t="n">
        <v>78989.3594</v>
      </c>
      <c r="P1235" s="65"/>
      <c r="Q1235" s="65"/>
      <c r="R1235" s="65" t="s">
        <v>232</v>
      </c>
      <c r="S1235" s="66" t="n">
        <f aca="false">Model_Calc!AF210</f>
        <v>78989.3594146621</v>
      </c>
      <c r="T1235" s="66" t="n">
        <f aca="false">ROUND(S1235-O1235,4)</f>
        <v>0</v>
      </c>
    </row>
    <row r="1236" customFormat="false" ht="15" hidden="false" customHeight="false" outlineLevel="0" collapsed="false">
      <c r="A1236" s="18" t="s">
        <v>203</v>
      </c>
      <c r="B1236" s="18" t="s">
        <v>204</v>
      </c>
      <c r="C1236" s="18"/>
      <c r="D1236" s="49" t="n">
        <v>46266</v>
      </c>
      <c r="E1236" s="18" t="s">
        <v>118</v>
      </c>
      <c r="F1236" s="18" t="s">
        <v>119</v>
      </c>
      <c r="G1236" s="18" t="s">
        <v>100</v>
      </c>
      <c r="H1236" s="18" t="s">
        <v>101</v>
      </c>
      <c r="I1236" s="18" t="s">
        <v>102</v>
      </c>
      <c r="J1236" s="18" t="s">
        <v>233</v>
      </c>
      <c r="K1236" s="18" t="s">
        <v>199</v>
      </c>
      <c r="L1236" s="64" t="n">
        <v>893.486196657654</v>
      </c>
      <c r="M1236" s="64" t="n">
        <v>9.15</v>
      </c>
      <c r="N1236" s="18" t="s">
        <v>1427</v>
      </c>
      <c r="O1236" s="65" t="n">
        <v>8175.3987</v>
      </c>
      <c r="P1236" s="65"/>
      <c r="Q1236" s="65"/>
      <c r="R1236" s="65" t="s">
        <v>232</v>
      </c>
      <c r="S1236" s="66" t="n">
        <f aca="false">Model_Calc!AG210</f>
        <v>8175.39869941753</v>
      </c>
      <c r="T1236" s="66" t="n">
        <f aca="false">ROUND(S1236-O1236,4)</f>
        <v>0</v>
      </c>
    </row>
    <row r="1237" customFormat="false" ht="15" hidden="false" customHeight="false" outlineLevel="0" collapsed="false">
      <c r="A1237" s="18" t="s">
        <v>203</v>
      </c>
      <c r="B1237" s="18" t="s">
        <v>204</v>
      </c>
      <c r="C1237" s="18"/>
      <c r="D1237" s="49" t="n">
        <v>46266</v>
      </c>
      <c r="E1237" s="18" t="s">
        <v>118</v>
      </c>
      <c r="F1237" s="18" t="s">
        <v>119</v>
      </c>
      <c r="G1237" s="18" t="s">
        <v>100</v>
      </c>
      <c r="H1237" s="18" t="s">
        <v>101</v>
      </c>
      <c r="I1237" s="18" t="s">
        <v>102</v>
      </c>
      <c r="J1237" s="18" t="s">
        <v>235</v>
      </c>
      <c r="K1237" s="18" t="s">
        <v>195</v>
      </c>
      <c r="L1237" s="64" t="n">
        <v>2317.83087066714</v>
      </c>
      <c r="M1237" s="64" t="n">
        <v>7.92</v>
      </c>
      <c r="N1237" s="18" t="s">
        <v>1428</v>
      </c>
      <c r="O1237" s="65" t="n">
        <v>18357.2205</v>
      </c>
      <c r="P1237" s="65"/>
      <c r="Q1237" s="65"/>
      <c r="R1237" s="65" t="s">
        <v>232</v>
      </c>
      <c r="S1237" s="66" t="n">
        <f aca="false">Model_Calc!AL210</f>
        <v>18357.2204956838</v>
      </c>
      <c r="T1237" s="66" t="n">
        <f aca="false">ROUND(S1237-O1237,4)</f>
        <v>0</v>
      </c>
    </row>
    <row r="1238" customFormat="false" ht="15" hidden="false" customHeight="false" outlineLevel="0" collapsed="false">
      <c r="A1238" s="18" t="s">
        <v>203</v>
      </c>
      <c r="B1238" s="18" t="s">
        <v>204</v>
      </c>
      <c r="C1238" s="18"/>
      <c r="D1238" s="49" t="n">
        <v>46266</v>
      </c>
      <c r="E1238" s="18" t="s">
        <v>118</v>
      </c>
      <c r="F1238" s="18" t="s">
        <v>119</v>
      </c>
      <c r="G1238" s="18" t="s">
        <v>100</v>
      </c>
      <c r="H1238" s="18" t="s">
        <v>101</v>
      </c>
      <c r="I1238" s="18" t="s">
        <v>102</v>
      </c>
      <c r="J1238" s="18" t="s">
        <v>237</v>
      </c>
      <c r="K1238" s="18" t="s">
        <v>195</v>
      </c>
      <c r="L1238" s="64" t="n">
        <v>871.237285632</v>
      </c>
      <c r="M1238" s="64" t="n">
        <v>7.92</v>
      </c>
      <c r="N1238" s="18" t="s">
        <v>1429</v>
      </c>
      <c r="O1238" s="65" t="n">
        <v>6900.1993</v>
      </c>
      <c r="P1238" s="65"/>
      <c r="Q1238" s="65"/>
      <c r="R1238" s="65" t="s">
        <v>232</v>
      </c>
      <c r="S1238" s="66" t="n">
        <f aca="false">Model_Calc!AQ210</f>
        <v>6900.19930220544</v>
      </c>
      <c r="T1238" s="66" t="n">
        <f aca="false">ROUND(S1238-O1238,4)</f>
        <v>0</v>
      </c>
    </row>
    <row r="1239" customFormat="false" ht="15" hidden="false" customHeight="false" outlineLevel="0" collapsed="false">
      <c r="A1239" s="18" t="s">
        <v>203</v>
      </c>
      <c r="B1239" s="18" t="s">
        <v>204</v>
      </c>
      <c r="C1239" s="18"/>
      <c r="D1239" s="49" t="n">
        <v>46266</v>
      </c>
      <c r="E1239" s="18" t="s">
        <v>118</v>
      </c>
      <c r="F1239" s="18" t="s">
        <v>119</v>
      </c>
      <c r="G1239" s="18" t="s">
        <v>100</v>
      </c>
      <c r="H1239" s="18" t="s">
        <v>101</v>
      </c>
      <c r="I1239" s="18" t="s">
        <v>102</v>
      </c>
      <c r="J1239" s="18" t="s">
        <v>239</v>
      </c>
      <c r="K1239" s="18" t="s">
        <v>199</v>
      </c>
      <c r="L1239" s="64" t="n">
        <v>794.88635904</v>
      </c>
      <c r="M1239" s="64" t="n">
        <v>9.15</v>
      </c>
      <c r="N1239" s="18" t="s">
        <v>1430</v>
      </c>
      <c r="O1239" s="65" t="n">
        <v>7273.2102</v>
      </c>
      <c r="P1239" s="65"/>
      <c r="Q1239" s="65"/>
      <c r="R1239" s="65" t="s">
        <v>232</v>
      </c>
      <c r="S1239" s="66" t="n">
        <f aca="false">Model_Calc!AV210</f>
        <v>7273.210185216</v>
      </c>
      <c r="T1239" s="66" t="n">
        <f aca="false">ROUND(S1239-O1239,4)</f>
        <v>0</v>
      </c>
    </row>
    <row r="1240" customFormat="false" ht="15" hidden="false" customHeight="false" outlineLevel="0" collapsed="false">
      <c r="A1240" s="18" t="s">
        <v>203</v>
      </c>
      <c r="B1240" s="18" t="s">
        <v>204</v>
      </c>
      <c r="C1240" s="18"/>
      <c r="D1240" s="49" t="n">
        <v>46266</v>
      </c>
      <c r="E1240" s="18" t="s">
        <v>118</v>
      </c>
      <c r="F1240" s="18" t="s">
        <v>119</v>
      </c>
      <c r="G1240" s="18" t="s">
        <v>100</v>
      </c>
      <c r="H1240" s="18" t="s">
        <v>101</v>
      </c>
      <c r="I1240" s="18" t="s">
        <v>102</v>
      </c>
      <c r="J1240" s="18" t="s">
        <v>241</v>
      </c>
      <c r="K1240" s="18" t="s">
        <v>199</v>
      </c>
      <c r="L1240" s="64" t="n">
        <v>128.81865580416</v>
      </c>
      <c r="M1240" s="64" t="n">
        <v>9.15</v>
      </c>
      <c r="N1240" s="18" t="s">
        <v>1431</v>
      </c>
      <c r="O1240" s="65" t="n">
        <v>1178.6907</v>
      </c>
      <c r="P1240" s="65"/>
      <c r="Q1240" s="65"/>
      <c r="R1240" s="65" t="s">
        <v>232</v>
      </c>
      <c r="S1240" s="66" t="n">
        <f aca="false">Model_Calc!BA210</f>
        <v>1178.69070060806</v>
      </c>
      <c r="T1240" s="66" t="n">
        <f aca="false">ROUND(S1240-O1240,4)</f>
        <v>0</v>
      </c>
    </row>
    <row r="1241" customFormat="false" ht="15" hidden="false" customHeight="false" outlineLevel="0" collapsed="false">
      <c r="A1241" s="18" t="s">
        <v>203</v>
      </c>
      <c r="B1241" s="18" t="s">
        <v>204</v>
      </c>
      <c r="C1241" s="18"/>
      <c r="D1241" s="49" t="n">
        <v>46266</v>
      </c>
      <c r="E1241" s="18" t="s">
        <v>122</v>
      </c>
      <c r="F1241" s="18" t="s">
        <v>119</v>
      </c>
      <c r="G1241" s="18" t="s">
        <v>100</v>
      </c>
      <c r="H1241" s="18" t="s">
        <v>107</v>
      </c>
      <c r="I1241" s="18" t="s">
        <v>102</v>
      </c>
      <c r="J1241" s="18" t="s">
        <v>230</v>
      </c>
      <c r="K1241" s="18" t="s">
        <v>199</v>
      </c>
      <c r="L1241" s="64" t="n">
        <v>5635.24573844736</v>
      </c>
      <c r="M1241" s="64" t="n">
        <v>9.15</v>
      </c>
      <c r="N1241" s="18" t="s">
        <v>1432</v>
      </c>
      <c r="O1241" s="65" t="n">
        <v>51562.4985</v>
      </c>
      <c r="P1241" s="65"/>
      <c r="Q1241" s="65"/>
      <c r="R1241" s="65" t="s">
        <v>232</v>
      </c>
      <c r="S1241" s="66" t="n">
        <f aca="false">Model_Calc!AF211</f>
        <v>51562.4985067933</v>
      </c>
      <c r="T1241" s="66" t="n">
        <f aca="false">ROUND(S1241-O1241,4)</f>
        <v>0</v>
      </c>
    </row>
    <row r="1242" customFormat="false" ht="15" hidden="false" customHeight="false" outlineLevel="0" collapsed="false">
      <c r="A1242" s="18" t="s">
        <v>203</v>
      </c>
      <c r="B1242" s="18" t="s">
        <v>204</v>
      </c>
      <c r="C1242" s="18"/>
      <c r="D1242" s="49" t="n">
        <v>46266</v>
      </c>
      <c r="E1242" s="18" t="s">
        <v>122</v>
      </c>
      <c r="F1242" s="18" t="s">
        <v>119</v>
      </c>
      <c r="G1242" s="18" t="s">
        <v>100</v>
      </c>
      <c r="H1242" s="18" t="s">
        <v>107</v>
      </c>
      <c r="I1242" s="18" t="s">
        <v>102</v>
      </c>
      <c r="J1242" s="18" t="s">
        <v>233</v>
      </c>
      <c r="K1242" s="18" t="s">
        <v>199</v>
      </c>
      <c r="L1242" s="64" t="n">
        <v>395.666190146304</v>
      </c>
      <c r="M1242" s="64" t="n">
        <v>9.15</v>
      </c>
      <c r="N1242" s="18" t="s">
        <v>1433</v>
      </c>
      <c r="O1242" s="65" t="n">
        <v>3620.3456</v>
      </c>
      <c r="P1242" s="65"/>
      <c r="Q1242" s="65"/>
      <c r="R1242" s="65" t="s">
        <v>232</v>
      </c>
      <c r="S1242" s="66" t="n">
        <f aca="false">Model_Calc!AG211</f>
        <v>3620.34563983868</v>
      </c>
      <c r="T1242" s="66" t="n">
        <f aca="false">ROUND(S1242-O1242,4)</f>
        <v>0</v>
      </c>
    </row>
    <row r="1243" customFormat="false" ht="15" hidden="false" customHeight="false" outlineLevel="0" collapsed="false">
      <c r="A1243" s="18" t="s">
        <v>203</v>
      </c>
      <c r="B1243" s="18" t="s">
        <v>204</v>
      </c>
      <c r="C1243" s="18"/>
      <c r="D1243" s="49" t="n">
        <v>46266</v>
      </c>
      <c r="E1243" s="18" t="s">
        <v>122</v>
      </c>
      <c r="F1243" s="18" t="s">
        <v>119</v>
      </c>
      <c r="G1243" s="18" t="s">
        <v>100</v>
      </c>
      <c r="H1243" s="18" t="s">
        <v>107</v>
      </c>
      <c r="I1243" s="18" t="s">
        <v>102</v>
      </c>
      <c r="J1243" s="18" t="s">
        <v>235</v>
      </c>
      <c r="K1243" s="18" t="s">
        <v>195</v>
      </c>
      <c r="L1243" s="64" t="n">
        <v>1313.43749337805</v>
      </c>
      <c r="M1243" s="64" t="n">
        <v>7.92</v>
      </c>
      <c r="N1243" s="18" t="s">
        <v>1434</v>
      </c>
      <c r="O1243" s="65" t="n">
        <v>10402.4249</v>
      </c>
      <c r="P1243" s="65"/>
      <c r="Q1243" s="65"/>
      <c r="R1243" s="65" t="s">
        <v>232</v>
      </c>
      <c r="S1243" s="66" t="n">
        <f aca="false">Model_Calc!AL211</f>
        <v>10402.4249475541</v>
      </c>
      <c r="T1243" s="66" t="n">
        <f aca="false">ROUND(S1243-O1243,4)</f>
        <v>0</v>
      </c>
    </row>
    <row r="1244" customFormat="false" ht="15" hidden="false" customHeight="false" outlineLevel="0" collapsed="false">
      <c r="A1244" s="18" t="s">
        <v>203</v>
      </c>
      <c r="B1244" s="18" t="s">
        <v>204</v>
      </c>
      <c r="C1244" s="18"/>
      <c r="D1244" s="49" t="n">
        <v>46266</v>
      </c>
      <c r="E1244" s="18" t="s">
        <v>122</v>
      </c>
      <c r="F1244" s="18" t="s">
        <v>119</v>
      </c>
      <c r="G1244" s="18" t="s">
        <v>100</v>
      </c>
      <c r="H1244" s="18" t="s">
        <v>107</v>
      </c>
      <c r="I1244" s="18" t="s">
        <v>102</v>
      </c>
      <c r="J1244" s="18" t="s">
        <v>237</v>
      </c>
      <c r="K1244" s="18" t="s">
        <v>195</v>
      </c>
      <c r="L1244" s="64" t="n">
        <v>493.7011285248</v>
      </c>
      <c r="M1244" s="64" t="n">
        <v>7.92</v>
      </c>
      <c r="N1244" s="18" t="s">
        <v>1435</v>
      </c>
      <c r="O1244" s="65" t="n">
        <v>3910.1129</v>
      </c>
      <c r="P1244" s="65"/>
      <c r="Q1244" s="65"/>
      <c r="R1244" s="65" t="s">
        <v>232</v>
      </c>
      <c r="S1244" s="66" t="n">
        <f aca="false">Model_Calc!AQ211</f>
        <v>3910.11293791642</v>
      </c>
      <c r="T1244" s="66" t="n">
        <f aca="false">ROUND(S1244-O1244,4)</f>
        <v>0</v>
      </c>
    </row>
    <row r="1245" customFormat="false" ht="15" hidden="false" customHeight="false" outlineLevel="0" collapsed="false">
      <c r="A1245" s="18" t="s">
        <v>203</v>
      </c>
      <c r="B1245" s="18" t="s">
        <v>204</v>
      </c>
      <c r="C1245" s="18"/>
      <c r="D1245" s="49" t="n">
        <v>46266</v>
      </c>
      <c r="E1245" s="18" t="s">
        <v>122</v>
      </c>
      <c r="F1245" s="18" t="s">
        <v>119</v>
      </c>
      <c r="G1245" s="18" t="s">
        <v>100</v>
      </c>
      <c r="H1245" s="18" t="s">
        <v>107</v>
      </c>
      <c r="I1245" s="18" t="s">
        <v>102</v>
      </c>
      <c r="J1245" s="18" t="s">
        <v>239</v>
      </c>
      <c r="K1245" s="18" t="s">
        <v>199</v>
      </c>
      <c r="L1245" s="64" t="n">
        <v>450.435603456</v>
      </c>
      <c r="M1245" s="64" t="n">
        <v>9.15</v>
      </c>
      <c r="N1245" s="18" t="s">
        <v>1436</v>
      </c>
      <c r="O1245" s="65" t="n">
        <v>4121.4858</v>
      </c>
      <c r="P1245" s="65"/>
      <c r="Q1245" s="65"/>
      <c r="R1245" s="65" t="s">
        <v>232</v>
      </c>
      <c r="S1245" s="66" t="n">
        <f aca="false">Model_Calc!AV211</f>
        <v>4121.4857716224</v>
      </c>
      <c r="T1245" s="66" t="n">
        <f aca="false">ROUND(S1245-O1245,4)</f>
        <v>0</v>
      </c>
    </row>
    <row r="1246" customFormat="false" ht="15" hidden="false" customHeight="false" outlineLevel="0" collapsed="false">
      <c r="A1246" s="18" t="s">
        <v>203</v>
      </c>
      <c r="B1246" s="18" t="s">
        <v>204</v>
      </c>
      <c r="C1246" s="18"/>
      <c r="D1246" s="49" t="n">
        <v>46266</v>
      </c>
      <c r="E1246" s="18" t="s">
        <v>122</v>
      </c>
      <c r="F1246" s="18" t="s">
        <v>119</v>
      </c>
      <c r="G1246" s="18" t="s">
        <v>100</v>
      </c>
      <c r="H1246" s="18" t="s">
        <v>107</v>
      </c>
      <c r="I1246" s="18" t="s">
        <v>102</v>
      </c>
      <c r="J1246" s="18" t="s">
        <v>241</v>
      </c>
      <c r="K1246" s="18" t="s">
        <v>199</v>
      </c>
      <c r="L1246" s="64" t="n">
        <v>54.07202836224</v>
      </c>
      <c r="M1246" s="64" t="n">
        <v>9.15</v>
      </c>
      <c r="N1246" s="18" t="s">
        <v>1437</v>
      </c>
      <c r="O1246" s="65" t="n">
        <v>494.7591</v>
      </c>
      <c r="P1246" s="65"/>
      <c r="Q1246" s="65"/>
      <c r="R1246" s="65" t="s">
        <v>232</v>
      </c>
      <c r="S1246" s="66" t="n">
        <f aca="false">Model_Calc!BA211</f>
        <v>494.759059514496</v>
      </c>
      <c r="T1246" s="66" t="n">
        <f aca="false">ROUND(S1246-O1246,4)</f>
        <v>0</v>
      </c>
    </row>
    <row r="1247" customFormat="false" ht="15" hidden="false" customHeight="false" outlineLevel="0" collapsed="false">
      <c r="A1247" s="18" t="s">
        <v>203</v>
      </c>
      <c r="B1247" s="18" t="s">
        <v>204</v>
      </c>
      <c r="C1247" s="18"/>
      <c r="D1247" s="49" t="n">
        <v>46266</v>
      </c>
      <c r="E1247" s="18" t="s">
        <v>124</v>
      </c>
      <c r="F1247" s="18" t="s">
        <v>119</v>
      </c>
      <c r="G1247" s="18" t="s">
        <v>100</v>
      </c>
      <c r="H1247" s="18" t="s">
        <v>107</v>
      </c>
      <c r="I1247" s="18" t="s">
        <v>125</v>
      </c>
      <c r="J1247" s="18" t="s">
        <v>230</v>
      </c>
      <c r="K1247" s="18" t="s">
        <v>199</v>
      </c>
      <c r="L1247" s="64" t="n">
        <v>10687.0778004437</v>
      </c>
      <c r="M1247" s="64" t="n">
        <v>9.15</v>
      </c>
      <c r="N1247" s="18" t="s">
        <v>1438</v>
      </c>
      <c r="O1247" s="65" t="n">
        <v>97786.7619</v>
      </c>
      <c r="P1247" s="65"/>
      <c r="Q1247" s="65"/>
      <c r="R1247" s="65" t="s">
        <v>232</v>
      </c>
      <c r="S1247" s="66" t="n">
        <f aca="false">Model_Calc!AF212</f>
        <v>97786.7618740598</v>
      </c>
      <c r="T1247" s="66" t="n">
        <f aca="false">ROUND(S1247-O1247,4)</f>
        <v>0</v>
      </c>
    </row>
    <row r="1248" customFormat="false" ht="15" hidden="false" customHeight="false" outlineLevel="0" collapsed="false">
      <c r="A1248" s="18" t="s">
        <v>203</v>
      </c>
      <c r="B1248" s="18" t="s">
        <v>204</v>
      </c>
      <c r="C1248" s="18"/>
      <c r="D1248" s="49" t="n">
        <v>46266</v>
      </c>
      <c r="E1248" s="18" t="s">
        <v>124</v>
      </c>
      <c r="F1248" s="18" t="s">
        <v>119</v>
      </c>
      <c r="G1248" s="18" t="s">
        <v>100</v>
      </c>
      <c r="H1248" s="18" t="s">
        <v>107</v>
      </c>
      <c r="I1248" s="18" t="s">
        <v>125</v>
      </c>
      <c r="J1248" s="18" t="s">
        <v>233</v>
      </c>
      <c r="K1248" s="18" t="s">
        <v>199</v>
      </c>
      <c r="L1248" s="64" t="n">
        <v>1322.91061260572</v>
      </c>
      <c r="M1248" s="64" t="n">
        <v>9.15</v>
      </c>
      <c r="N1248" s="18" t="s">
        <v>1439</v>
      </c>
      <c r="O1248" s="65" t="n">
        <v>12104.6321</v>
      </c>
      <c r="P1248" s="65"/>
      <c r="Q1248" s="65"/>
      <c r="R1248" s="65" t="s">
        <v>232</v>
      </c>
      <c r="S1248" s="66" t="n">
        <f aca="false">Model_Calc!AG212</f>
        <v>12104.6321053424</v>
      </c>
      <c r="T1248" s="66" t="n">
        <f aca="false">ROUND(S1248-O1248,4)</f>
        <v>0</v>
      </c>
    </row>
    <row r="1249" customFormat="false" ht="15" hidden="false" customHeight="false" outlineLevel="0" collapsed="false">
      <c r="A1249" s="18" t="s">
        <v>203</v>
      </c>
      <c r="B1249" s="18" t="s">
        <v>204</v>
      </c>
      <c r="C1249" s="18"/>
      <c r="D1249" s="49" t="n">
        <v>46266</v>
      </c>
      <c r="E1249" s="18" t="s">
        <v>124</v>
      </c>
      <c r="F1249" s="18" t="s">
        <v>119</v>
      </c>
      <c r="G1249" s="18" t="s">
        <v>100</v>
      </c>
      <c r="H1249" s="18" t="s">
        <v>107</v>
      </c>
      <c r="I1249" s="18" t="s">
        <v>125</v>
      </c>
      <c r="J1249" s="18" t="s">
        <v>235</v>
      </c>
      <c r="K1249" s="18" t="s">
        <v>195</v>
      </c>
      <c r="L1249" s="64" t="n">
        <v>1931.52572555595</v>
      </c>
      <c r="M1249" s="64" t="n">
        <v>7.92</v>
      </c>
      <c r="N1249" s="18" t="s">
        <v>1440</v>
      </c>
      <c r="O1249" s="65" t="n">
        <v>15297.6837</v>
      </c>
      <c r="P1249" s="65"/>
      <c r="Q1249" s="65"/>
      <c r="R1249" s="65" t="s">
        <v>232</v>
      </c>
      <c r="S1249" s="66" t="n">
        <f aca="false">Model_Calc!AL212</f>
        <v>15297.6837464031</v>
      </c>
      <c r="T1249" s="66" t="n">
        <f aca="false">ROUND(S1249-O1249,4)</f>
        <v>0</v>
      </c>
    </row>
    <row r="1250" customFormat="false" ht="15" hidden="false" customHeight="false" outlineLevel="0" collapsed="false">
      <c r="A1250" s="18" t="s">
        <v>203</v>
      </c>
      <c r="B1250" s="18" t="s">
        <v>204</v>
      </c>
      <c r="C1250" s="18"/>
      <c r="D1250" s="49" t="n">
        <v>46266</v>
      </c>
      <c r="E1250" s="18" t="s">
        <v>124</v>
      </c>
      <c r="F1250" s="18" t="s">
        <v>119</v>
      </c>
      <c r="G1250" s="18" t="s">
        <v>100</v>
      </c>
      <c r="H1250" s="18" t="s">
        <v>107</v>
      </c>
      <c r="I1250" s="18" t="s">
        <v>125</v>
      </c>
      <c r="J1250" s="18" t="s">
        <v>237</v>
      </c>
      <c r="K1250" s="18" t="s">
        <v>195</v>
      </c>
      <c r="L1250" s="64" t="n">
        <v>726.03107136</v>
      </c>
      <c r="M1250" s="64" t="n">
        <v>7.92</v>
      </c>
      <c r="N1250" s="18" t="s">
        <v>1441</v>
      </c>
      <c r="O1250" s="65" t="n">
        <v>5750.1661</v>
      </c>
      <c r="P1250" s="65"/>
      <c r="Q1250" s="65"/>
      <c r="R1250" s="65" t="s">
        <v>232</v>
      </c>
      <c r="S1250" s="66" t="n">
        <f aca="false">Model_Calc!AQ212</f>
        <v>5750.1660851712</v>
      </c>
      <c r="T1250" s="66" t="n">
        <f aca="false">ROUND(S1250-O1250,4)</f>
        <v>0</v>
      </c>
    </row>
    <row r="1251" customFormat="false" ht="15" hidden="false" customHeight="false" outlineLevel="0" collapsed="false">
      <c r="A1251" s="18" t="s">
        <v>203</v>
      </c>
      <c r="B1251" s="18" t="s">
        <v>204</v>
      </c>
      <c r="C1251" s="18"/>
      <c r="D1251" s="49" t="n">
        <v>46266</v>
      </c>
      <c r="E1251" s="18" t="s">
        <v>124</v>
      </c>
      <c r="F1251" s="18" t="s">
        <v>119</v>
      </c>
      <c r="G1251" s="18" t="s">
        <v>100</v>
      </c>
      <c r="H1251" s="18" t="s">
        <v>107</v>
      </c>
      <c r="I1251" s="18" t="s">
        <v>125</v>
      </c>
      <c r="J1251" s="18" t="s">
        <v>239</v>
      </c>
      <c r="K1251" s="18" t="s">
        <v>199</v>
      </c>
      <c r="L1251" s="64" t="n">
        <v>662.4052992</v>
      </c>
      <c r="M1251" s="64" t="n">
        <v>9.15</v>
      </c>
      <c r="N1251" s="18" t="s">
        <v>1442</v>
      </c>
      <c r="O1251" s="65" t="n">
        <v>6061.0085</v>
      </c>
      <c r="P1251" s="65"/>
      <c r="Q1251" s="65"/>
      <c r="R1251" s="65" t="s">
        <v>232</v>
      </c>
      <c r="S1251" s="66" t="n">
        <f aca="false">Model_Calc!AV212</f>
        <v>6061.00848768</v>
      </c>
      <c r="T1251" s="66" t="n">
        <f aca="false">ROUND(S1251-O1251,4)</f>
        <v>0</v>
      </c>
    </row>
    <row r="1252" customFormat="false" ht="15" hidden="false" customHeight="false" outlineLevel="0" collapsed="false">
      <c r="A1252" s="18" t="s">
        <v>203</v>
      </c>
      <c r="B1252" s="18" t="s">
        <v>204</v>
      </c>
      <c r="C1252" s="18"/>
      <c r="D1252" s="49" t="n">
        <v>46266</v>
      </c>
      <c r="E1252" s="18" t="s">
        <v>124</v>
      </c>
      <c r="F1252" s="18" t="s">
        <v>119</v>
      </c>
      <c r="G1252" s="18" t="s">
        <v>100</v>
      </c>
      <c r="H1252" s="18" t="s">
        <v>107</v>
      </c>
      <c r="I1252" s="18" t="s">
        <v>125</v>
      </c>
      <c r="J1252" s="18" t="s">
        <v>241</v>
      </c>
      <c r="K1252" s="18" t="s">
        <v>199</v>
      </c>
      <c r="L1252" s="64" t="n">
        <v>77.4433142784</v>
      </c>
      <c r="M1252" s="64" t="n">
        <v>9.15</v>
      </c>
      <c r="N1252" s="18" t="s">
        <v>1443</v>
      </c>
      <c r="O1252" s="65" t="n">
        <v>708.6063</v>
      </c>
      <c r="P1252" s="65"/>
      <c r="Q1252" s="65"/>
      <c r="R1252" s="65" t="s">
        <v>232</v>
      </c>
      <c r="S1252" s="66" t="n">
        <f aca="false">Model_Calc!BA212</f>
        <v>708.60632564736</v>
      </c>
      <c r="T1252" s="66" t="n">
        <f aca="false">ROUND(S1252-O1252,4)</f>
        <v>0</v>
      </c>
    </row>
    <row r="1253" customFormat="false" ht="15" hidden="false" customHeight="false" outlineLevel="0" collapsed="false">
      <c r="A1253" s="18" t="s">
        <v>203</v>
      </c>
      <c r="B1253" s="18" t="s">
        <v>204</v>
      </c>
      <c r="C1253" s="18"/>
      <c r="D1253" s="49" t="n">
        <v>46266</v>
      </c>
      <c r="E1253" s="18" t="s">
        <v>127</v>
      </c>
      <c r="F1253" s="18" t="s">
        <v>119</v>
      </c>
      <c r="G1253" s="18" t="s">
        <v>100</v>
      </c>
      <c r="H1253" s="18" t="s">
        <v>128</v>
      </c>
      <c r="I1253" s="18" t="s">
        <v>125</v>
      </c>
      <c r="J1253" s="18" t="s">
        <v>230</v>
      </c>
      <c r="K1253" s="18" t="s">
        <v>199</v>
      </c>
      <c r="L1253" s="64" t="n">
        <v>14443.7202161215</v>
      </c>
      <c r="M1253" s="64" t="n">
        <v>9.15</v>
      </c>
      <c r="N1253" s="18" t="s">
        <v>1444</v>
      </c>
      <c r="O1253" s="65" t="n">
        <v>132160.04</v>
      </c>
      <c r="P1253" s="65"/>
      <c r="Q1253" s="65"/>
      <c r="R1253" s="65" t="s">
        <v>232</v>
      </c>
      <c r="S1253" s="66" t="n">
        <f aca="false">Model_Calc!AF213</f>
        <v>132160.039977512</v>
      </c>
      <c r="T1253" s="66" t="n">
        <f aca="false">ROUND(S1253-O1253,4)</f>
        <v>0</v>
      </c>
    </row>
    <row r="1254" customFormat="false" ht="15" hidden="false" customHeight="false" outlineLevel="0" collapsed="false">
      <c r="A1254" s="18" t="s">
        <v>203</v>
      </c>
      <c r="B1254" s="18" t="s">
        <v>204</v>
      </c>
      <c r="C1254" s="18"/>
      <c r="D1254" s="49" t="n">
        <v>46266</v>
      </c>
      <c r="E1254" s="18" t="s">
        <v>127</v>
      </c>
      <c r="F1254" s="18" t="s">
        <v>119</v>
      </c>
      <c r="G1254" s="18" t="s">
        <v>100</v>
      </c>
      <c r="H1254" s="18" t="s">
        <v>128</v>
      </c>
      <c r="I1254" s="18" t="s">
        <v>125</v>
      </c>
      <c r="J1254" s="18" t="s">
        <v>233</v>
      </c>
      <c r="K1254" s="18" t="s">
        <v>199</v>
      </c>
      <c r="L1254" s="64" t="n">
        <v>1116.98103004673</v>
      </c>
      <c r="M1254" s="64" t="n">
        <v>9.15</v>
      </c>
      <c r="N1254" s="18" t="s">
        <v>1445</v>
      </c>
      <c r="O1254" s="65" t="n">
        <v>10220.3764</v>
      </c>
      <c r="P1254" s="65"/>
      <c r="Q1254" s="65"/>
      <c r="R1254" s="65" t="s">
        <v>232</v>
      </c>
      <c r="S1254" s="66" t="n">
        <f aca="false">Model_Calc!AG213</f>
        <v>10220.3764249276</v>
      </c>
      <c r="T1254" s="66" t="n">
        <f aca="false">ROUND(S1254-O1254,4)</f>
        <v>0</v>
      </c>
    </row>
    <row r="1255" customFormat="false" ht="15" hidden="false" customHeight="false" outlineLevel="0" collapsed="false">
      <c r="A1255" s="18" t="s">
        <v>203</v>
      </c>
      <c r="B1255" s="18" t="s">
        <v>204</v>
      </c>
      <c r="C1255" s="18"/>
      <c r="D1255" s="49" t="n">
        <v>46266</v>
      </c>
      <c r="E1255" s="18" t="s">
        <v>127</v>
      </c>
      <c r="F1255" s="18" t="s">
        <v>119</v>
      </c>
      <c r="G1255" s="18" t="s">
        <v>100</v>
      </c>
      <c r="H1255" s="18" t="s">
        <v>128</v>
      </c>
      <c r="I1255" s="18" t="s">
        <v>125</v>
      </c>
      <c r="J1255" s="18" t="s">
        <v>235</v>
      </c>
      <c r="K1255" s="18" t="s">
        <v>195</v>
      </c>
      <c r="L1255" s="64" t="n">
        <v>2163.30881262266</v>
      </c>
      <c r="M1255" s="64" t="n">
        <v>7.92</v>
      </c>
      <c r="N1255" s="18" t="s">
        <v>1446</v>
      </c>
      <c r="O1255" s="65" t="n">
        <v>17133.4058</v>
      </c>
      <c r="P1255" s="65"/>
      <c r="Q1255" s="65"/>
      <c r="R1255" s="65" t="s">
        <v>232</v>
      </c>
      <c r="S1255" s="66" t="n">
        <f aca="false">Model_Calc!AL213</f>
        <v>17133.4057959715</v>
      </c>
      <c r="T1255" s="66" t="n">
        <f aca="false">ROUND(S1255-O1255,4)</f>
        <v>0</v>
      </c>
    </row>
    <row r="1256" customFormat="false" ht="15" hidden="false" customHeight="false" outlineLevel="0" collapsed="false">
      <c r="A1256" s="18" t="s">
        <v>203</v>
      </c>
      <c r="B1256" s="18" t="s">
        <v>204</v>
      </c>
      <c r="C1256" s="18"/>
      <c r="D1256" s="49" t="n">
        <v>46266</v>
      </c>
      <c r="E1256" s="18" t="s">
        <v>127</v>
      </c>
      <c r="F1256" s="18" t="s">
        <v>119</v>
      </c>
      <c r="G1256" s="18" t="s">
        <v>100</v>
      </c>
      <c r="H1256" s="18" t="s">
        <v>128</v>
      </c>
      <c r="I1256" s="18" t="s">
        <v>125</v>
      </c>
      <c r="J1256" s="18" t="s">
        <v>237</v>
      </c>
      <c r="K1256" s="18" t="s">
        <v>195</v>
      </c>
      <c r="L1256" s="64" t="n">
        <v>813.1547999232</v>
      </c>
      <c r="M1256" s="64" t="n">
        <v>7.92</v>
      </c>
      <c r="N1256" s="18" t="s">
        <v>1447</v>
      </c>
      <c r="O1256" s="65" t="n">
        <v>6440.186</v>
      </c>
      <c r="P1256" s="65"/>
      <c r="Q1256" s="65"/>
      <c r="R1256" s="65" t="s">
        <v>232</v>
      </c>
      <c r="S1256" s="66" t="n">
        <f aca="false">Model_Calc!AQ213</f>
        <v>6440.18601539174</v>
      </c>
      <c r="T1256" s="66" t="n">
        <f aca="false">ROUND(S1256-O1256,4)</f>
        <v>0</v>
      </c>
    </row>
    <row r="1257" customFormat="false" ht="15" hidden="false" customHeight="false" outlineLevel="0" collapsed="false">
      <c r="A1257" s="18" t="s">
        <v>203</v>
      </c>
      <c r="B1257" s="18" t="s">
        <v>204</v>
      </c>
      <c r="C1257" s="18"/>
      <c r="D1257" s="49" t="n">
        <v>46266</v>
      </c>
      <c r="E1257" s="18" t="s">
        <v>127</v>
      </c>
      <c r="F1257" s="18" t="s">
        <v>119</v>
      </c>
      <c r="G1257" s="18" t="s">
        <v>100</v>
      </c>
      <c r="H1257" s="18" t="s">
        <v>128</v>
      </c>
      <c r="I1257" s="18" t="s">
        <v>125</v>
      </c>
      <c r="J1257" s="18" t="s">
        <v>239</v>
      </c>
      <c r="K1257" s="18" t="s">
        <v>199</v>
      </c>
      <c r="L1257" s="64" t="n">
        <v>741.893935104</v>
      </c>
      <c r="M1257" s="64" t="n">
        <v>9.15</v>
      </c>
      <c r="N1257" s="18" t="s">
        <v>1448</v>
      </c>
      <c r="O1257" s="65" t="n">
        <v>6788.3295</v>
      </c>
      <c r="P1257" s="65"/>
      <c r="Q1257" s="65"/>
      <c r="R1257" s="65" t="s">
        <v>232</v>
      </c>
      <c r="S1257" s="66" t="n">
        <f aca="false">Model_Calc!AV213</f>
        <v>6788.3295062016</v>
      </c>
      <c r="T1257" s="66" t="n">
        <f aca="false">ROUND(S1257-O1257,4)</f>
        <v>0</v>
      </c>
    </row>
    <row r="1258" customFormat="false" ht="15" hidden="false" customHeight="false" outlineLevel="0" collapsed="false">
      <c r="A1258" s="18" t="s">
        <v>203</v>
      </c>
      <c r="B1258" s="18" t="s">
        <v>204</v>
      </c>
      <c r="C1258" s="18"/>
      <c r="D1258" s="49" t="n">
        <v>46266</v>
      </c>
      <c r="E1258" s="18" t="s">
        <v>127</v>
      </c>
      <c r="F1258" s="18" t="s">
        <v>119</v>
      </c>
      <c r="G1258" s="18" t="s">
        <v>100</v>
      </c>
      <c r="H1258" s="18" t="s">
        <v>128</v>
      </c>
      <c r="I1258" s="18" t="s">
        <v>125</v>
      </c>
      <c r="J1258" s="18" t="s">
        <v>241</v>
      </c>
      <c r="K1258" s="18" t="s">
        <v>199</v>
      </c>
      <c r="L1258" s="64" t="n">
        <v>76.668881135616</v>
      </c>
      <c r="M1258" s="64" t="n">
        <v>9.15</v>
      </c>
      <c r="N1258" s="18" t="s">
        <v>1449</v>
      </c>
      <c r="O1258" s="65" t="n">
        <v>701.5203</v>
      </c>
      <c r="P1258" s="65"/>
      <c r="Q1258" s="65"/>
      <c r="R1258" s="65" t="s">
        <v>232</v>
      </c>
      <c r="S1258" s="66" t="n">
        <f aca="false">Model_Calc!BA213</f>
        <v>701.520262390886</v>
      </c>
      <c r="T1258" s="66" t="n">
        <f aca="false">ROUND(S1258-O1258,4)</f>
        <v>0</v>
      </c>
    </row>
    <row r="1259" customFormat="false" ht="15" hidden="false" customHeight="false" outlineLevel="0" collapsed="false">
      <c r="A1259" s="18" t="s">
        <v>203</v>
      </c>
      <c r="B1259" s="18" t="s">
        <v>204</v>
      </c>
      <c r="C1259" s="18"/>
      <c r="D1259" s="49" t="n">
        <v>46266</v>
      </c>
      <c r="E1259" s="18" t="s">
        <v>130</v>
      </c>
      <c r="F1259" s="18" t="s">
        <v>119</v>
      </c>
      <c r="G1259" s="18" t="s">
        <v>110</v>
      </c>
      <c r="H1259" s="18" t="s">
        <v>107</v>
      </c>
      <c r="I1259" s="18" t="s">
        <v>125</v>
      </c>
      <c r="J1259" s="18" t="s">
        <v>230</v>
      </c>
      <c r="K1259" s="18" t="s">
        <v>195</v>
      </c>
      <c r="L1259" s="64" t="n">
        <v>1742.2523168544</v>
      </c>
      <c r="M1259" s="64" t="n">
        <v>7.92</v>
      </c>
      <c r="N1259" s="18" t="s">
        <v>1450</v>
      </c>
      <c r="O1259" s="65" t="n">
        <v>13798.6383</v>
      </c>
      <c r="P1259" s="65"/>
      <c r="Q1259" s="65"/>
      <c r="R1259" s="65" t="s">
        <v>232</v>
      </c>
      <c r="S1259" s="66" t="n">
        <f aca="false">Model_Calc!AF214</f>
        <v>13798.6383494868</v>
      </c>
      <c r="T1259" s="66" t="n">
        <f aca="false">ROUND(S1259-O1259,4)</f>
        <v>0</v>
      </c>
    </row>
    <row r="1260" customFormat="false" ht="15" hidden="false" customHeight="false" outlineLevel="0" collapsed="false">
      <c r="A1260" s="18" t="s">
        <v>203</v>
      </c>
      <c r="B1260" s="18" t="s">
        <v>204</v>
      </c>
      <c r="C1260" s="18"/>
      <c r="D1260" s="49" t="n">
        <v>46266</v>
      </c>
      <c r="E1260" s="18" t="s">
        <v>130</v>
      </c>
      <c r="F1260" s="18" t="s">
        <v>119</v>
      </c>
      <c r="G1260" s="18" t="s">
        <v>110</v>
      </c>
      <c r="H1260" s="18" t="s">
        <v>107</v>
      </c>
      <c r="I1260" s="18" t="s">
        <v>125</v>
      </c>
      <c r="J1260" s="18" t="s">
        <v>233</v>
      </c>
      <c r="K1260" s="18" t="s">
        <v>195</v>
      </c>
      <c r="L1260" s="64" t="n">
        <v>189.339270534152</v>
      </c>
      <c r="M1260" s="64" t="n">
        <v>7.92</v>
      </c>
      <c r="N1260" s="18" t="s">
        <v>1451</v>
      </c>
      <c r="O1260" s="65" t="n">
        <v>1499.567</v>
      </c>
      <c r="P1260" s="65"/>
      <c r="Q1260" s="65"/>
      <c r="R1260" s="65" t="s">
        <v>232</v>
      </c>
      <c r="S1260" s="66" t="n">
        <f aca="false">Model_Calc!AG214</f>
        <v>1499.56702263048</v>
      </c>
      <c r="T1260" s="66" t="n">
        <f aca="false">ROUND(S1260-O1260,4)</f>
        <v>0</v>
      </c>
    </row>
    <row r="1261" customFormat="false" ht="15" hidden="false" customHeight="false" outlineLevel="0" collapsed="false">
      <c r="A1261" s="18" t="s">
        <v>203</v>
      </c>
      <c r="B1261" s="18" t="s">
        <v>204</v>
      </c>
      <c r="C1261" s="18"/>
      <c r="D1261" s="49" t="n">
        <v>46266</v>
      </c>
      <c r="E1261" s="18" t="s">
        <v>130</v>
      </c>
      <c r="F1261" s="18" t="s">
        <v>119</v>
      </c>
      <c r="G1261" s="18" t="s">
        <v>110</v>
      </c>
      <c r="H1261" s="18" t="s">
        <v>107</v>
      </c>
      <c r="I1261" s="18" t="s">
        <v>125</v>
      </c>
      <c r="J1261" s="18" t="s">
        <v>235</v>
      </c>
      <c r="K1261" s="18" t="s">
        <v>195</v>
      </c>
      <c r="L1261" s="64" t="n">
        <v>254.21256</v>
      </c>
      <c r="M1261" s="64" t="n">
        <v>7.92</v>
      </c>
      <c r="N1261" s="18" t="s">
        <v>1452</v>
      </c>
      <c r="O1261" s="65" t="n">
        <v>2013.3635</v>
      </c>
      <c r="P1261" s="65"/>
      <c r="Q1261" s="65"/>
      <c r="R1261" s="65" t="s">
        <v>232</v>
      </c>
      <c r="S1261" s="66" t="n">
        <f aca="false">Model_Calc!AL214</f>
        <v>2013.3634752</v>
      </c>
      <c r="T1261" s="66" t="n">
        <f aca="false">ROUND(S1261-O1261,4)</f>
        <v>0</v>
      </c>
    </row>
    <row r="1262" customFormat="false" ht="15" hidden="false" customHeight="false" outlineLevel="0" collapsed="false">
      <c r="A1262" s="18" t="s">
        <v>203</v>
      </c>
      <c r="B1262" s="18" t="s">
        <v>204</v>
      </c>
      <c r="C1262" s="18"/>
      <c r="D1262" s="49" t="n">
        <v>46266</v>
      </c>
      <c r="E1262" s="18" t="s">
        <v>130</v>
      </c>
      <c r="F1262" s="18" t="s">
        <v>119</v>
      </c>
      <c r="G1262" s="18" t="s">
        <v>110</v>
      </c>
      <c r="H1262" s="18" t="s">
        <v>107</v>
      </c>
      <c r="I1262" s="18" t="s">
        <v>125</v>
      </c>
      <c r="J1262" s="18" t="s">
        <v>237</v>
      </c>
      <c r="K1262" s="18" t="s">
        <v>195</v>
      </c>
      <c r="L1262" s="64" t="n">
        <v>107.64086112</v>
      </c>
      <c r="M1262" s="64" t="n">
        <v>7.92</v>
      </c>
      <c r="N1262" s="18" t="s">
        <v>1453</v>
      </c>
      <c r="O1262" s="65" t="n">
        <v>852.5156</v>
      </c>
      <c r="P1262" s="65"/>
      <c r="Q1262" s="65"/>
      <c r="R1262" s="65" t="s">
        <v>232</v>
      </c>
      <c r="S1262" s="66" t="n">
        <f aca="false">Model_Calc!AQ214</f>
        <v>852.5156200704</v>
      </c>
      <c r="T1262" s="66" t="n">
        <f aca="false">ROUND(S1262-O1262,4)</f>
        <v>0</v>
      </c>
    </row>
    <row r="1263" customFormat="false" ht="15" hidden="false" customHeight="false" outlineLevel="0" collapsed="false">
      <c r="A1263" s="18" t="s">
        <v>203</v>
      </c>
      <c r="B1263" s="18" t="s">
        <v>204</v>
      </c>
      <c r="C1263" s="18"/>
      <c r="D1263" s="49" t="n">
        <v>46266</v>
      </c>
      <c r="E1263" s="18" t="s">
        <v>130</v>
      </c>
      <c r="F1263" s="18" t="s">
        <v>119</v>
      </c>
      <c r="G1263" s="18" t="s">
        <v>110</v>
      </c>
      <c r="H1263" s="18" t="s">
        <v>107</v>
      </c>
      <c r="I1263" s="18" t="s">
        <v>125</v>
      </c>
      <c r="J1263" s="18" t="s">
        <v>239</v>
      </c>
      <c r="K1263" s="18" t="s">
        <v>195</v>
      </c>
      <c r="L1263" s="64" t="n">
        <v>119.6009568</v>
      </c>
      <c r="M1263" s="64" t="n">
        <v>7.92</v>
      </c>
      <c r="N1263" s="18" t="s">
        <v>1454</v>
      </c>
      <c r="O1263" s="65" t="n">
        <v>947.2396</v>
      </c>
      <c r="P1263" s="65"/>
      <c r="Q1263" s="65"/>
      <c r="R1263" s="65" t="s">
        <v>232</v>
      </c>
      <c r="S1263" s="66" t="n">
        <f aca="false">Model_Calc!AV214</f>
        <v>947.239577856</v>
      </c>
      <c r="T1263" s="66" t="n">
        <f aca="false">ROUND(S1263-O1263,4)</f>
        <v>0</v>
      </c>
    </row>
    <row r="1264" customFormat="false" ht="15" hidden="false" customHeight="false" outlineLevel="0" collapsed="false">
      <c r="A1264" s="18" t="s">
        <v>203</v>
      </c>
      <c r="B1264" s="18" t="s">
        <v>204</v>
      </c>
      <c r="C1264" s="18"/>
      <c r="D1264" s="49" t="n">
        <v>46266</v>
      </c>
      <c r="E1264" s="18" t="s">
        <v>130</v>
      </c>
      <c r="F1264" s="18" t="s">
        <v>119</v>
      </c>
      <c r="G1264" s="18" t="s">
        <v>110</v>
      </c>
      <c r="H1264" s="18" t="s">
        <v>107</v>
      </c>
      <c r="I1264" s="18" t="s">
        <v>125</v>
      </c>
      <c r="J1264" s="18" t="s">
        <v>241</v>
      </c>
      <c r="K1264" s="18" t="s">
        <v>195</v>
      </c>
      <c r="L1264" s="64" t="n">
        <v>11.1040046208</v>
      </c>
      <c r="M1264" s="64" t="n">
        <v>7.92</v>
      </c>
      <c r="N1264" s="18" t="s">
        <v>1455</v>
      </c>
      <c r="O1264" s="65" t="n">
        <v>87.9437</v>
      </c>
      <c r="P1264" s="65"/>
      <c r="Q1264" s="65"/>
      <c r="R1264" s="65" t="s">
        <v>232</v>
      </c>
      <c r="S1264" s="66" t="n">
        <f aca="false">Model_Calc!BA214</f>
        <v>87.943716596736</v>
      </c>
      <c r="T1264" s="66" t="n">
        <f aca="false">ROUND(S1264-O1264,4)</f>
        <v>0</v>
      </c>
    </row>
    <row r="1265" customFormat="false" ht="15" hidden="false" customHeight="false" outlineLevel="0" collapsed="false">
      <c r="A1265" s="18" t="s">
        <v>203</v>
      </c>
      <c r="B1265" s="18" t="s">
        <v>204</v>
      </c>
      <c r="C1265" s="18"/>
      <c r="D1265" s="49" t="n">
        <v>46296</v>
      </c>
      <c r="E1265" s="18" t="s">
        <v>98</v>
      </c>
      <c r="F1265" s="18" t="s">
        <v>99</v>
      </c>
      <c r="G1265" s="18" t="s">
        <v>100</v>
      </c>
      <c r="H1265" s="18" t="s">
        <v>101</v>
      </c>
      <c r="I1265" s="18" t="s">
        <v>102</v>
      </c>
      <c r="J1265" s="18" t="s">
        <v>230</v>
      </c>
      <c r="K1265" s="18" t="s">
        <v>195</v>
      </c>
      <c r="L1265" s="64" t="n">
        <v>7267.8309862158</v>
      </c>
      <c r="M1265" s="64" t="n">
        <v>7.9</v>
      </c>
      <c r="N1265" s="18" t="s">
        <v>1456</v>
      </c>
      <c r="O1265" s="65" t="n">
        <v>57415.8648</v>
      </c>
      <c r="P1265" s="65"/>
      <c r="Q1265" s="65"/>
      <c r="R1265" s="65" t="s">
        <v>232</v>
      </c>
      <c r="S1265" s="66" t="n">
        <f aca="false">Model_Calc!AF215</f>
        <v>57415.8647911048</v>
      </c>
      <c r="T1265" s="66" t="n">
        <f aca="false">ROUND(S1265-O1265,4)</f>
        <v>0</v>
      </c>
    </row>
    <row r="1266" customFormat="false" ht="15" hidden="false" customHeight="false" outlineLevel="0" collapsed="false">
      <c r="A1266" s="18" t="s">
        <v>203</v>
      </c>
      <c r="B1266" s="18" t="s">
        <v>204</v>
      </c>
      <c r="C1266" s="18"/>
      <c r="D1266" s="49" t="n">
        <v>46296</v>
      </c>
      <c r="E1266" s="18" t="s">
        <v>98</v>
      </c>
      <c r="F1266" s="18" t="s">
        <v>99</v>
      </c>
      <c r="G1266" s="18" t="s">
        <v>100</v>
      </c>
      <c r="H1266" s="18" t="s">
        <v>101</v>
      </c>
      <c r="I1266" s="18" t="s">
        <v>102</v>
      </c>
      <c r="J1266" s="18" t="s">
        <v>233</v>
      </c>
      <c r="K1266" s="18" t="s">
        <v>195</v>
      </c>
      <c r="L1266" s="64" t="n">
        <v>714.609481719669</v>
      </c>
      <c r="M1266" s="64" t="n">
        <v>7.9</v>
      </c>
      <c r="N1266" s="18" t="s">
        <v>1457</v>
      </c>
      <c r="O1266" s="65" t="n">
        <v>5645.4149</v>
      </c>
      <c r="P1266" s="65"/>
      <c r="Q1266" s="65"/>
      <c r="R1266" s="65" t="s">
        <v>232</v>
      </c>
      <c r="S1266" s="66" t="n">
        <f aca="false">Model_Calc!AG215</f>
        <v>5645.41490558538</v>
      </c>
      <c r="T1266" s="66" t="n">
        <f aca="false">ROUND(S1266-O1266,4)</f>
        <v>0</v>
      </c>
    </row>
    <row r="1267" customFormat="false" ht="15" hidden="false" customHeight="false" outlineLevel="0" collapsed="false">
      <c r="A1267" s="18" t="s">
        <v>203</v>
      </c>
      <c r="B1267" s="18" t="s">
        <v>204</v>
      </c>
      <c r="C1267" s="18"/>
      <c r="D1267" s="49" t="n">
        <v>46296</v>
      </c>
      <c r="E1267" s="18" t="s">
        <v>98</v>
      </c>
      <c r="F1267" s="18" t="s">
        <v>99</v>
      </c>
      <c r="G1267" s="18" t="s">
        <v>100</v>
      </c>
      <c r="H1267" s="18" t="s">
        <v>101</v>
      </c>
      <c r="I1267" s="18" t="s">
        <v>102</v>
      </c>
      <c r="J1267" s="18" t="s">
        <v>235</v>
      </c>
      <c r="K1267" s="18" t="s">
        <v>195</v>
      </c>
      <c r="L1267" s="64" t="n">
        <v>5239.94894393426</v>
      </c>
      <c r="M1267" s="64" t="n">
        <v>7.9</v>
      </c>
      <c r="N1267" s="18" t="s">
        <v>1458</v>
      </c>
      <c r="O1267" s="65" t="n">
        <v>41395.5967</v>
      </c>
      <c r="P1267" s="65"/>
      <c r="Q1267" s="65"/>
      <c r="R1267" s="65" t="s">
        <v>232</v>
      </c>
      <c r="S1267" s="66" t="n">
        <f aca="false">Model_Calc!AL215</f>
        <v>41395.5966570807</v>
      </c>
      <c r="T1267" s="66" t="n">
        <f aca="false">ROUND(S1267-O1267,4)</f>
        <v>0</v>
      </c>
    </row>
    <row r="1268" customFormat="false" ht="15" hidden="false" customHeight="false" outlineLevel="0" collapsed="false">
      <c r="A1268" s="18" t="s">
        <v>203</v>
      </c>
      <c r="B1268" s="18" t="s">
        <v>204</v>
      </c>
      <c r="C1268" s="18"/>
      <c r="D1268" s="49" t="n">
        <v>46296</v>
      </c>
      <c r="E1268" s="18" t="s">
        <v>98</v>
      </c>
      <c r="F1268" s="18" t="s">
        <v>99</v>
      </c>
      <c r="G1268" s="18" t="s">
        <v>100</v>
      </c>
      <c r="H1268" s="18" t="s">
        <v>101</v>
      </c>
      <c r="I1268" s="18" t="s">
        <v>102</v>
      </c>
      <c r="J1268" s="18" t="s">
        <v>237</v>
      </c>
      <c r="K1268" s="18" t="s">
        <v>195</v>
      </c>
      <c r="L1268" s="64" t="n">
        <v>1761.2274771</v>
      </c>
      <c r="M1268" s="64" t="n">
        <v>7.9</v>
      </c>
      <c r="N1268" s="18" t="s">
        <v>1459</v>
      </c>
      <c r="O1268" s="65" t="n">
        <v>13913.6971</v>
      </c>
      <c r="P1268" s="65"/>
      <c r="Q1268" s="65"/>
      <c r="R1268" s="65" t="s">
        <v>232</v>
      </c>
      <c r="S1268" s="66" t="n">
        <f aca="false">Model_Calc!AQ215</f>
        <v>13913.69706909</v>
      </c>
      <c r="T1268" s="66" t="n">
        <f aca="false">ROUND(S1268-O1268,4)</f>
        <v>0</v>
      </c>
    </row>
    <row r="1269" customFormat="false" ht="15" hidden="false" customHeight="false" outlineLevel="0" collapsed="false">
      <c r="A1269" s="18" t="s">
        <v>203</v>
      </c>
      <c r="B1269" s="18" t="s">
        <v>204</v>
      </c>
      <c r="C1269" s="18"/>
      <c r="D1269" s="49" t="n">
        <v>46296</v>
      </c>
      <c r="E1269" s="18" t="s">
        <v>98</v>
      </c>
      <c r="F1269" s="18" t="s">
        <v>99</v>
      </c>
      <c r="G1269" s="18" t="s">
        <v>100</v>
      </c>
      <c r="H1269" s="18" t="s">
        <v>101</v>
      </c>
      <c r="I1269" s="18" t="s">
        <v>102</v>
      </c>
      <c r="J1269" s="18" t="s">
        <v>239</v>
      </c>
      <c r="K1269" s="18" t="s">
        <v>195</v>
      </c>
      <c r="L1269" s="64" t="n">
        <v>638.994096</v>
      </c>
      <c r="M1269" s="64" t="n">
        <v>7.9</v>
      </c>
      <c r="N1269" s="18" t="s">
        <v>1460</v>
      </c>
      <c r="O1269" s="65" t="n">
        <v>5048.0534</v>
      </c>
      <c r="P1269" s="65"/>
      <c r="Q1269" s="65"/>
      <c r="R1269" s="65" t="s">
        <v>232</v>
      </c>
      <c r="S1269" s="66" t="n">
        <f aca="false">Model_Calc!AV215</f>
        <v>5048.0533584</v>
      </c>
      <c r="T1269" s="66" t="n">
        <f aca="false">ROUND(S1269-O1269,4)</f>
        <v>0</v>
      </c>
    </row>
    <row r="1270" customFormat="false" ht="15" hidden="false" customHeight="false" outlineLevel="0" collapsed="false">
      <c r="A1270" s="18" t="s">
        <v>203</v>
      </c>
      <c r="B1270" s="18" t="s">
        <v>204</v>
      </c>
      <c r="C1270" s="18"/>
      <c r="D1270" s="49" t="n">
        <v>46296</v>
      </c>
      <c r="E1270" s="18" t="s">
        <v>98</v>
      </c>
      <c r="F1270" s="18" t="s">
        <v>99</v>
      </c>
      <c r="G1270" s="18" t="s">
        <v>100</v>
      </c>
      <c r="H1270" s="18" t="s">
        <v>101</v>
      </c>
      <c r="I1270" s="18" t="s">
        <v>102</v>
      </c>
      <c r="J1270" s="18" t="s">
        <v>241</v>
      </c>
      <c r="K1270" s="18" t="s">
        <v>195</v>
      </c>
      <c r="L1270" s="64" t="n">
        <v>154.317074184</v>
      </c>
      <c r="M1270" s="64" t="n">
        <v>7.9</v>
      </c>
      <c r="N1270" s="18" t="s">
        <v>1461</v>
      </c>
      <c r="O1270" s="65" t="n">
        <v>1219.1049</v>
      </c>
      <c r="P1270" s="65"/>
      <c r="Q1270" s="65"/>
      <c r="R1270" s="65" t="s">
        <v>232</v>
      </c>
      <c r="S1270" s="66" t="n">
        <f aca="false">Model_Calc!BA215</f>
        <v>1219.1048860536</v>
      </c>
      <c r="T1270" s="66" t="n">
        <f aca="false">ROUND(S1270-O1270,4)</f>
        <v>0</v>
      </c>
    </row>
    <row r="1271" customFormat="false" ht="15" hidden="false" customHeight="false" outlineLevel="0" collapsed="false">
      <c r="A1271" s="18" t="s">
        <v>203</v>
      </c>
      <c r="B1271" s="18" t="s">
        <v>204</v>
      </c>
      <c r="C1271" s="18"/>
      <c r="D1271" s="49" t="n">
        <v>46296</v>
      </c>
      <c r="E1271" s="18" t="s">
        <v>106</v>
      </c>
      <c r="F1271" s="18" t="s">
        <v>99</v>
      </c>
      <c r="G1271" s="18" t="s">
        <v>100</v>
      </c>
      <c r="H1271" s="18" t="s">
        <v>107</v>
      </c>
      <c r="I1271" s="18" t="s">
        <v>102</v>
      </c>
      <c r="J1271" s="18" t="s">
        <v>230</v>
      </c>
      <c r="K1271" s="18" t="s">
        <v>195</v>
      </c>
      <c r="L1271" s="64" t="n">
        <v>6211.82135574</v>
      </c>
      <c r="M1271" s="64" t="n">
        <v>7.9</v>
      </c>
      <c r="N1271" s="18" t="s">
        <v>1462</v>
      </c>
      <c r="O1271" s="65" t="n">
        <v>49073.3887</v>
      </c>
      <c r="P1271" s="65"/>
      <c r="Q1271" s="65"/>
      <c r="R1271" s="65" t="s">
        <v>232</v>
      </c>
      <c r="S1271" s="66" t="n">
        <f aca="false">Model_Calc!AF216</f>
        <v>49073.388710346</v>
      </c>
      <c r="T1271" s="66" t="n">
        <f aca="false">ROUND(S1271-O1271,4)</f>
        <v>0</v>
      </c>
    </row>
    <row r="1272" customFormat="false" ht="15" hidden="false" customHeight="false" outlineLevel="0" collapsed="false">
      <c r="A1272" s="18" t="s">
        <v>203</v>
      </c>
      <c r="B1272" s="18" t="s">
        <v>204</v>
      </c>
      <c r="C1272" s="18"/>
      <c r="D1272" s="49" t="n">
        <v>46296</v>
      </c>
      <c r="E1272" s="18" t="s">
        <v>106</v>
      </c>
      <c r="F1272" s="18" t="s">
        <v>99</v>
      </c>
      <c r="G1272" s="18" t="s">
        <v>100</v>
      </c>
      <c r="H1272" s="18" t="s">
        <v>107</v>
      </c>
      <c r="I1272" s="18" t="s">
        <v>102</v>
      </c>
      <c r="J1272" s="18" t="s">
        <v>233</v>
      </c>
      <c r="K1272" s="18" t="s">
        <v>195</v>
      </c>
      <c r="L1272" s="64" t="n">
        <v>474.3572671656</v>
      </c>
      <c r="M1272" s="64" t="n">
        <v>7.9</v>
      </c>
      <c r="N1272" s="18" t="s">
        <v>1463</v>
      </c>
      <c r="O1272" s="65" t="n">
        <v>3747.4224</v>
      </c>
      <c r="P1272" s="65"/>
      <c r="Q1272" s="65"/>
      <c r="R1272" s="65" t="s">
        <v>232</v>
      </c>
      <c r="S1272" s="66" t="n">
        <f aca="false">Model_Calc!AG216</f>
        <v>3747.42241060824</v>
      </c>
      <c r="T1272" s="66" t="n">
        <f aca="false">ROUND(S1272-O1272,4)</f>
        <v>0</v>
      </c>
    </row>
    <row r="1273" customFormat="false" ht="15" hidden="false" customHeight="false" outlineLevel="0" collapsed="false">
      <c r="A1273" s="18" t="s">
        <v>203</v>
      </c>
      <c r="B1273" s="18" t="s">
        <v>204</v>
      </c>
      <c r="C1273" s="18"/>
      <c r="D1273" s="49" t="n">
        <v>46296</v>
      </c>
      <c r="E1273" s="18" t="s">
        <v>106</v>
      </c>
      <c r="F1273" s="18" t="s">
        <v>99</v>
      </c>
      <c r="G1273" s="18" t="s">
        <v>100</v>
      </c>
      <c r="H1273" s="18" t="s">
        <v>107</v>
      </c>
      <c r="I1273" s="18" t="s">
        <v>102</v>
      </c>
      <c r="J1273" s="18" t="s">
        <v>235</v>
      </c>
      <c r="K1273" s="18" t="s">
        <v>195</v>
      </c>
      <c r="L1273" s="64" t="n">
        <v>3493.29929595617</v>
      </c>
      <c r="M1273" s="64" t="n">
        <v>7.9</v>
      </c>
      <c r="N1273" s="18" t="s">
        <v>1464</v>
      </c>
      <c r="O1273" s="65" t="n">
        <v>27597.0644</v>
      </c>
      <c r="P1273" s="65"/>
      <c r="Q1273" s="65"/>
      <c r="R1273" s="65" t="s">
        <v>232</v>
      </c>
      <c r="S1273" s="66" t="n">
        <f aca="false">Model_Calc!AL216</f>
        <v>27597.0644380538</v>
      </c>
      <c r="T1273" s="66" t="n">
        <f aca="false">ROUND(S1273-O1273,4)</f>
        <v>0</v>
      </c>
    </row>
    <row r="1274" customFormat="false" ht="15" hidden="false" customHeight="false" outlineLevel="0" collapsed="false">
      <c r="A1274" s="18" t="s">
        <v>203</v>
      </c>
      <c r="B1274" s="18" t="s">
        <v>204</v>
      </c>
      <c r="C1274" s="18"/>
      <c r="D1274" s="49" t="n">
        <v>46296</v>
      </c>
      <c r="E1274" s="18" t="s">
        <v>106</v>
      </c>
      <c r="F1274" s="18" t="s">
        <v>99</v>
      </c>
      <c r="G1274" s="18" t="s">
        <v>100</v>
      </c>
      <c r="H1274" s="18" t="s">
        <v>107</v>
      </c>
      <c r="I1274" s="18" t="s">
        <v>102</v>
      </c>
      <c r="J1274" s="18" t="s">
        <v>237</v>
      </c>
      <c r="K1274" s="18" t="s">
        <v>195</v>
      </c>
      <c r="L1274" s="64" t="n">
        <v>1174.1516514</v>
      </c>
      <c r="M1274" s="64" t="n">
        <v>7.9</v>
      </c>
      <c r="N1274" s="18" t="s">
        <v>1465</v>
      </c>
      <c r="O1274" s="65" t="n">
        <v>9275.798</v>
      </c>
      <c r="P1274" s="65"/>
      <c r="Q1274" s="65"/>
      <c r="R1274" s="65" t="s">
        <v>232</v>
      </c>
      <c r="S1274" s="66" t="n">
        <f aca="false">Model_Calc!AQ216</f>
        <v>9275.79804606</v>
      </c>
      <c r="T1274" s="66" t="n">
        <f aca="false">ROUND(S1274-O1274,4)</f>
        <v>0</v>
      </c>
    </row>
    <row r="1275" customFormat="false" ht="15" hidden="false" customHeight="false" outlineLevel="0" collapsed="false">
      <c r="A1275" s="18" t="s">
        <v>203</v>
      </c>
      <c r="B1275" s="18" t="s">
        <v>204</v>
      </c>
      <c r="C1275" s="18"/>
      <c r="D1275" s="49" t="n">
        <v>46296</v>
      </c>
      <c r="E1275" s="18" t="s">
        <v>106</v>
      </c>
      <c r="F1275" s="18" t="s">
        <v>99</v>
      </c>
      <c r="G1275" s="18" t="s">
        <v>100</v>
      </c>
      <c r="H1275" s="18" t="s">
        <v>107</v>
      </c>
      <c r="I1275" s="18" t="s">
        <v>102</v>
      </c>
      <c r="J1275" s="18" t="s">
        <v>239</v>
      </c>
      <c r="K1275" s="18" t="s">
        <v>195</v>
      </c>
      <c r="L1275" s="64" t="n">
        <v>425.996064</v>
      </c>
      <c r="M1275" s="64" t="n">
        <v>7.9</v>
      </c>
      <c r="N1275" s="18" t="s">
        <v>1466</v>
      </c>
      <c r="O1275" s="65" t="n">
        <v>3365.3689</v>
      </c>
      <c r="P1275" s="65"/>
      <c r="Q1275" s="65"/>
      <c r="R1275" s="65" t="s">
        <v>232</v>
      </c>
      <c r="S1275" s="66" t="n">
        <f aca="false">Model_Calc!AV216</f>
        <v>3365.3689056</v>
      </c>
      <c r="T1275" s="66" t="n">
        <f aca="false">ROUND(S1275-O1275,4)</f>
        <v>0</v>
      </c>
    </row>
    <row r="1276" customFormat="false" ht="15" hidden="false" customHeight="false" outlineLevel="0" collapsed="false">
      <c r="A1276" s="18" t="s">
        <v>203</v>
      </c>
      <c r="B1276" s="18" t="s">
        <v>204</v>
      </c>
      <c r="C1276" s="18"/>
      <c r="D1276" s="49" t="n">
        <v>46296</v>
      </c>
      <c r="E1276" s="18" t="s">
        <v>106</v>
      </c>
      <c r="F1276" s="18" t="s">
        <v>99</v>
      </c>
      <c r="G1276" s="18" t="s">
        <v>100</v>
      </c>
      <c r="H1276" s="18" t="s">
        <v>107</v>
      </c>
      <c r="I1276" s="18" t="s">
        <v>102</v>
      </c>
      <c r="J1276" s="18" t="s">
        <v>241</v>
      </c>
      <c r="K1276" s="18" t="s">
        <v>195</v>
      </c>
      <c r="L1276" s="64" t="n">
        <v>83.588415183</v>
      </c>
      <c r="M1276" s="64" t="n">
        <v>7.9</v>
      </c>
      <c r="N1276" s="18" t="s">
        <v>1467</v>
      </c>
      <c r="O1276" s="65" t="n">
        <v>660.3485</v>
      </c>
      <c r="P1276" s="65"/>
      <c r="Q1276" s="65"/>
      <c r="R1276" s="65" t="s">
        <v>232</v>
      </c>
      <c r="S1276" s="66" t="n">
        <f aca="false">Model_Calc!BA216</f>
        <v>660.3484799457</v>
      </c>
      <c r="T1276" s="66" t="n">
        <f aca="false">ROUND(S1276-O1276,4)</f>
        <v>0</v>
      </c>
    </row>
    <row r="1277" customFormat="false" ht="15" hidden="false" customHeight="false" outlineLevel="0" collapsed="false">
      <c r="A1277" s="18" t="s">
        <v>203</v>
      </c>
      <c r="B1277" s="18" t="s">
        <v>204</v>
      </c>
      <c r="C1277" s="18"/>
      <c r="D1277" s="49" t="n">
        <v>46296</v>
      </c>
      <c r="E1277" s="18" t="s">
        <v>109</v>
      </c>
      <c r="F1277" s="18" t="s">
        <v>99</v>
      </c>
      <c r="G1277" s="18" t="s">
        <v>110</v>
      </c>
      <c r="H1277" s="18" t="s">
        <v>107</v>
      </c>
      <c r="I1277" s="18" t="s">
        <v>102</v>
      </c>
      <c r="J1277" s="18" t="s">
        <v>230</v>
      </c>
      <c r="K1277" s="18" t="s">
        <v>195</v>
      </c>
      <c r="L1277" s="64" t="n">
        <v>637.2834692796</v>
      </c>
      <c r="M1277" s="64" t="n">
        <v>7.9</v>
      </c>
      <c r="N1277" s="18" t="s">
        <v>1468</v>
      </c>
      <c r="O1277" s="65" t="n">
        <v>5034.5394</v>
      </c>
      <c r="P1277" s="65"/>
      <c r="Q1277" s="65"/>
      <c r="R1277" s="65" t="s">
        <v>232</v>
      </c>
      <c r="S1277" s="66" t="n">
        <f aca="false">Model_Calc!AF217</f>
        <v>5034.53940730884</v>
      </c>
      <c r="T1277" s="66" t="n">
        <f aca="false">ROUND(S1277-O1277,4)</f>
        <v>0</v>
      </c>
    </row>
    <row r="1278" customFormat="false" ht="15" hidden="false" customHeight="false" outlineLevel="0" collapsed="false">
      <c r="A1278" s="18" t="s">
        <v>203</v>
      </c>
      <c r="B1278" s="18" t="s">
        <v>204</v>
      </c>
      <c r="C1278" s="18"/>
      <c r="D1278" s="49" t="n">
        <v>46296</v>
      </c>
      <c r="E1278" s="18" t="s">
        <v>109</v>
      </c>
      <c r="F1278" s="18" t="s">
        <v>99</v>
      </c>
      <c r="G1278" s="18" t="s">
        <v>110</v>
      </c>
      <c r="H1278" s="18" t="s">
        <v>107</v>
      </c>
      <c r="I1278" s="18" t="s">
        <v>102</v>
      </c>
      <c r="J1278" s="18" t="s">
        <v>233</v>
      </c>
      <c r="K1278" s="18" t="s">
        <v>195</v>
      </c>
      <c r="L1278" s="64" t="n">
        <v>46.34788867488</v>
      </c>
      <c r="M1278" s="64" t="n">
        <v>7.9</v>
      </c>
      <c r="N1278" s="18" t="s">
        <v>1469</v>
      </c>
      <c r="O1278" s="65" t="n">
        <v>366.1483</v>
      </c>
      <c r="P1278" s="65"/>
      <c r="Q1278" s="65"/>
      <c r="R1278" s="65" t="s">
        <v>232</v>
      </c>
      <c r="S1278" s="66" t="n">
        <f aca="false">Model_Calc!AG217</f>
        <v>366.148320531552</v>
      </c>
      <c r="T1278" s="66" t="n">
        <f aca="false">ROUND(S1278-O1278,4)</f>
        <v>0</v>
      </c>
    </row>
    <row r="1279" customFormat="false" ht="15" hidden="false" customHeight="false" outlineLevel="0" collapsed="false">
      <c r="A1279" s="18" t="s">
        <v>203</v>
      </c>
      <c r="B1279" s="18" t="s">
        <v>204</v>
      </c>
      <c r="C1279" s="18"/>
      <c r="D1279" s="49" t="n">
        <v>46296</v>
      </c>
      <c r="E1279" s="18" t="s">
        <v>109</v>
      </c>
      <c r="F1279" s="18" t="s">
        <v>99</v>
      </c>
      <c r="G1279" s="18" t="s">
        <v>110</v>
      </c>
      <c r="H1279" s="18" t="s">
        <v>107</v>
      </c>
      <c r="I1279" s="18" t="s">
        <v>102</v>
      </c>
      <c r="J1279" s="18" t="s">
        <v>235</v>
      </c>
      <c r="K1279" s="18" t="s">
        <v>195</v>
      </c>
      <c r="L1279" s="64" t="n">
        <v>216.154575</v>
      </c>
      <c r="M1279" s="64" t="n">
        <v>7.9</v>
      </c>
      <c r="N1279" s="18" t="s">
        <v>1470</v>
      </c>
      <c r="O1279" s="65" t="n">
        <v>1707.6211</v>
      </c>
      <c r="P1279" s="65"/>
      <c r="Q1279" s="65"/>
      <c r="R1279" s="65" t="s">
        <v>232</v>
      </c>
      <c r="S1279" s="66" t="n">
        <f aca="false">Model_Calc!AL217</f>
        <v>1707.6211425</v>
      </c>
      <c r="T1279" s="66" t="n">
        <f aca="false">ROUND(S1279-O1279,4)</f>
        <v>0</v>
      </c>
    </row>
    <row r="1280" customFormat="false" ht="15" hidden="false" customHeight="false" outlineLevel="0" collapsed="false">
      <c r="A1280" s="18" t="s">
        <v>203</v>
      </c>
      <c r="B1280" s="18" t="s">
        <v>204</v>
      </c>
      <c r="C1280" s="18"/>
      <c r="D1280" s="49" t="n">
        <v>46296</v>
      </c>
      <c r="E1280" s="18" t="s">
        <v>109</v>
      </c>
      <c r="F1280" s="18" t="s">
        <v>99</v>
      </c>
      <c r="G1280" s="18" t="s">
        <v>110</v>
      </c>
      <c r="H1280" s="18" t="s">
        <v>107</v>
      </c>
      <c r="I1280" s="18" t="s">
        <v>102</v>
      </c>
      <c r="J1280" s="18" t="s">
        <v>237</v>
      </c>
      <c r="K1280" s="18" t="s">
        <v>195</v>
      </c>
      <c r="L1280" s="64" t="n">
        <v>84.4855596</v>
      </c>
      <c r="M1280" s="64" t="n">
        <v>7.9</v>
      </c>
      <c r="N1280" s="18" t="s">
        <v>1471</v>
      </c>
      <c r="O1280" s="65" t="n">
        <v>667.4359</v>
      </c>
      <c r="P1280" s="65"/>
      <c r="Q1280" s="65"/>
      <c r="R1280" s="65" t="s">
        <v>232</v>
      </c>
      <c r="S1280" s="66" t="n">
        <f aca="false">Model_Calc!AQ217</f>
        <v>667.43592084</v>
      </c>
      <c r="T1280" s="66" t="n">
        <f aca="false">ROUND(S1280-O1280,4)</f>
        <v>0</v>
      </c>
    </row>
    <row r="1281" customFormat="false" ht="15" hidden="false" customHeight="false" outlineLevel="0" collapsed="false">
      <c r="A1281" s="18" t="s">
        <v>203</v>
      </c>
      <c r="B1281" s="18" t="s">
        <v>204</v>
      </c>
      <c r="C1281" s="18"/>
      <c r="D1281" s="49" t="n">
        <v>46296</v>
      </c>
      <c r="E1281" s="18" t="s">
        <v>109</v>
      </c>
      <c r="F1281" s="18" t="s">
        <v>99</v>
      </c>
      <c r="G1281" s="18" t="s">
        <v>110</v>
      </c>
      <c r="H1281" s="18" t="s">
        <v>107</v>
      </c>
      <c r="I1281" s="18" t="s">
        <v>102</v>
      </c>
      <c r="J1281" s="18" t="s">
        <v>239</v>
      </c>
      <c r="K1281" s="18" t="s">
        <v>195</v>
      </c>
      <c r="L1281" s="64" t="n">
        <v>39.113685</v>
      </c>
      <c r="M1281" s="64" t="n">
        <v>7.9</v>
      </c>
      <c r="N1281" s="18" t="s">
        <v>1472</v>
      </c>
      <c r="O1281" s="65" t="n">
        <v>308.9981</v>
      </c>
      <c r="P1281" s="65"/>
      <c r="Q1281" s="65"/>
      <c r="R1281" s="65" t="s">
        <v>232</v>
      </c>
      <c r="S1281" s="66" t="n">
        <f aca="false">Model_Calc!AV217</f>
        <v>308.9981115</v>
      </c>
      <c r="T1281" s="66" t="n">
        <f aca="false">ROUND(S1281-O1281,4)</f>
        <v>0</v>
      </c>
    </row>
    <row r="1282" customFormat="false" ht="15" hidden="false" customHeight="false" outlineLevel="0" collapsed="false">
      <c r="A1282" s="18" t="s">
        <v>203</v>
      </c>
      <c r="B1282" s="18" t="s">
        <v>204</v>
      </c>
      <c r="C1282" s="18"/>
      <c r="D1282" s="49" t="n">
        <v>46296</v>
      </c>
      <c r="E1282" s="18" t="s">
        <v>109</v>
      </c>
      <c r="F1282" s="18" t="s">
        <v>99</v>
      </c>
      <c r="G1282" s="18" t="s">
        <v>110</v>
      </c>
      <c r="H1282" s="18" t="s">
        <v>107</v>
      </c>
      <c r="I1282" s="18" t="s">
        <v>102</v>
      </c>
      <c r="J1282" s="18" t="s">
        <v>241</v>
      </c>
      <c r="K1282" s="18" t="s">
        <v>195</v>
      </c>
      <c r="L1282" s="64" t="n">
        <v>7.159039524</v>
      </c>
      <c r="M1282" s="64" t="n">
        <v>7.9</v>
      </c>
      <c r="N1282" s="18" t="s">
        <v>1473</v>
      </c>
      <c r="O1282" s="65" t="n">
        <v>56.5564</v>
      </c>
      <c r="P1282" s="65"/>
      <c r="Q1282" s="65"/>
      <c r="R1282" s="65" t="s">
        <v>232</v>
      </c>
      <c r="S1282" s="66" t="n">
        <f aca="false">Model_Calc!BA217</f>
        <v>56.5564122396</v>
      </c>
      <c r="T1282" s="66" t="n">
        <f aca="false">ROUND(S1282-O1282,4)</f>
        <v>0</v>
      </c>
    </row>
    <row r="1283" customFormat="false" ht="15" hidden="false" customHeight="false" outlineLevel="0" collapsed="false">
      <c r="A1283" s="18" t="s">
        <v>203</v>
      </c>
      <c r="B1283" s="18" t="s">
        <v>204</v>
      </c>
      <c r="C1283" s="18"/>
      <c r="D1283" s="49" t="n">
        <v>46296</v>
      </c>
      <c r="E1283" s="18" t="s">
        <v>112</v>
      </c>
      <c r="F1283" s="18" t="s">
        <v>113</v>
      </c>
      <c r="G1283" s="18" t="s">
        <v>110</v>
      </c>
      <c r="H1283" s="18" t="s">
        <v>101</v>
      </c>
      <c r="I1283" s="18" t="s">
        <v>102</v>
      </c>
      <c r="J1283" s="18" t="s">
        <v>230</v>
      </c>
      <c r="K1283" s="18" t="s">
        <v>195</v>
      </c>
      <c r="L1283" s="64" t="n">
        <v>3620.96549451</v>
      </c>
      <c r="M1283" s="64" t="n">
        <v>7.9</v>
      </c>
      <c r="N1283" s="18" t="s">
        <v>1474</v>
      </c>
      <c r="O1283" s="65" t="n">
        <v>28605.6274</v>
      </c>
      <c r="P1283" s="65"/>
      <c r="Q1283" s="65"/>
      <c r="R1283" s="65" t="s">
        <v>232</v>
      </c>
      <c r="S1283" s="66" t="n">
        <f aca="false">Model_Calc!AF218</f>
        <v>28605.627406629</v>
      </c>
      <c r="T1283" s="66" t="n">
        <f aca="false">ROUND(S1283-O1283,4)</f>
        <v>0</v>
      </c>
    </row>
    <row r="1284" customFormat="false" ht="15" hidden="false" customHeight="false" outlineLevel="0" collapsed="false">
      <c r="A1284" s="18" t="s">
        <v>203</v>
      </c>
      <c r="B1284" s="18" t="s">
        <v>204</v>
      </c>
      <c r="C1284" s="18"/>
      <c r="D1284" s="49" t="n">
        <v>46296</v>
      </c>
      <c r="E1284" s="18" t="s">
        <v>112</v>
      </c>
      <c r="F1284" s="18" t="s">
        <v>113</v>
      </c>
      <c r="G1284" s="18" t="s">
        <v>110</v>
      </c>
      <c r="H1284" s="18" t="s">
        <v>101</v>
      </c>
      <c r="I1284" s="18" t="s">
        <v>102</v>
      </c>
      <c r="J1284" s="18" t="s">
        <v>233</v>
      </c>
      <c r="K1284" s="18" t="s">
        <v>195</v>
      </c>
      <c r="L1284" s="64" t="n">
        <v>337.292935813607</v>
      </c>
      <c r="M1284" s="64" t="n">
        <v>7.9</v>
      </c>
      <c r="N1284" s="18" t="s">
        <v>1475</v>
      </c>
      <c r="O1284" s="65" t="n">
        <v>2664.6142</v>
      </c>
      <c r="P1284" s="65"/>
      <c r="Q1284" s="65"/>
      <c r="R1284" s="65" t="s">
        <v>232</v>
      </c>
      <c r="S1284" s="66" t="n">
        <f aca="false">Model_Calc!AG218</f>
        <v>2664.61419292749</v>
      </c>
      <c r="T1284" s="66" t="n">
        <f aca="false">ROUND(S1284-O1284,4)</f>
        <v>0</v>
      </c>
    </row>
    <row r="1285" customFormat="false" ht="15" hidden="false" customHeight="false" outlineLevel="0" collapsed="false">
      <c r="A1285" s="18" t="s">
        <v>203</v>
      </c>
      <c r="B1285" s="18" t="s">
        <v>204</v>
      </c>
      <c r="C1285" s="18"/>
      <c r="D1285" s="49" t="n">
        <v>46296</v>
      </c>
      <c r="E1285" s="18" t="s">
        <v>112</v>
      </c>
      <c r="F1285" s="18" t="s">
        <v>113</v>
      </c>
      <c r="G1285" s="18" t="s">
        <v>110</v>
      </c>
      <c r="H1285" s="18" t="s">
        <v>101</v>
      </c>
      <c r="I1285" s="18" t="s">
        <v>102</v>
      </c>
      <c r="J1285" s="18" t="s">
        <v>235</v>
      </c>
      <c r="K1285" s="18" t="s">
        <v>195</v>
      </c>
      <c r="L1285" s="64" t="n">
        <v>2225.120625</v>
      </c>
      <c r="M1285" s="64" t="n">
        <v>7.9</v>
      </c>
      <c r="N1285" s="18" t="s">
        <v>1476</v>
      </c>
      <c r="O1285" s="65" t="n">
        <v>17578.4529</v>
      </c>
      <c r="P1285" s="65"/>
      <c r="Q1285" s="65"/>
      <c r="R1285" s="65" t="s">
        <v>232</v>
      </c>
      <c r="S1285" s="66" t="n">
        <f aca="false">Model_Calc!AL218</f>
        <v>17578.4529375</v>
      </c>
      <c r="T1285" s="66" t="n">
        <f aca="false">ROUND(S1285-O1285,4)</f>
        <v>0</v>
      </c>
    </row>
    <row r="1286" customFormat="false" ht="15" hidden="false" customHeight="false" outlineLevel="0" collapsed="false">
      <c r="A1286" s="18" t="s">
        <v>203</v>
      </c>
      <c r="B1286" s="18" t="s">
        <v>204</v>
      </c>
      <c r="C1286" s="18"/>
      <c r="D1286" s="49" t="n">
        <v>46296</v>
      </c>
      <c r="E1286" s="18" t="s">
        <v>112</v>
      </c>
      <c r="F1286" s="18" t="s">
        <v>113</v>
      </c>
      <c r="G1286" s="18" t="s">
        <v>110</v>
      </c>
      <c r="H1286" s="18" t="s">
        <v>101</v>
      </c>
      <c r="I1286" s="18" t="s">
        <v>102</v>
      </c>
      <c r="J1286" s="18" t="s">
        <v>237</v>
      </c>
      <c r="K1286" s="18" t="s">
        <v>195</v>
      </c>
      <c r="L1286" s="64" t="n">
        <v>853.598655</v>
      </c>
      <c r="M1286" s="64" t="n">
        <v>7.9</v>
      </c>
      <c r="N1286" s="18" t="s">
        <v>1477</v>
      </c>
      <c r="O1286" s="65" t="n">
        <v>6743.4294</v>
      </c>
      <c r="P1286" s="65"/>
      <c r="Q1286" s="65"/>
      <c r="R1286" s="65" t="s">
        <v>232</v>
      </c>
      <c r="S1286" s="66" t="n">
        <f aca="false">Model_Calc!AQ218</f>
        <v>6743.4293745</v>
      </c>
      <c r="T1286" s="66" t="n">
        <f aca="false">ROUND(S1286-O1286,4)</f>
        <v>0</v>
      </c>
    </row>
    <row r="1287" customFormat="false" ht="15" hidden="false" customHeight="false" outlineLevel="0" collapsed="false">
      <c r="A1287" s="18" t="s">
        <v>203</v>
      </c>
      <c r="B1287" s="18" t="s">
        <v>204</v>
      </c>
      <c r="C1287" s="18"/>
      <c r="D1287" s="49" t="n">
        <v>46296</v>
      </c>
      <c r="E1287" s="18" t="s">
        <v>112</v>
      </c>
      <c r="F1287" s="18" t="s">
        <v>113</v>
      </c>
      <c r="G1287" s="18" t="s">
        <v>110</v>
      </c>
      <c r="H1287" s="18" t="s">
        <v>101</v>
      </c>
      <c r="I1287" s="18" t="s">
        <v>102</v>
      </c>
      <c r="J1287" s="18" t="s">
        <v>239</v>
      </c>
      <c r="K1287" s="18" t="s">
        <v>195</v>
      </c>
      <c r="L1287" s="64" t="n">
        <v>381.44925</v>
      </c>
      <c r="M1287" s="64" t="n">
        <v>7.9</v>
      </c>
      <c r="N1287" s="18" t="s">
        <v>1478</v>
      </c>
      <c r="O1287" s="65" t="n">
        <v>3013.4491</v>
      </c>
      <c r="P1287" s="65"/>
      <c r="Q1287" s="65"/>
      <c r="R1287" s="65" t="s">
        <v>232</v>
      </c>
      <c r="S1287" s="66" t="n">
        <f aca="false">Model_Calc!AV218</f>
        <v>3013.449075</v>
      </c>
      <c r="T1287" s="66" t="n">
        <f aca="false">ROUND(S1287-O1287,4)</f>
        <v>0</v>
      </c>
    </row>
    <row r="1288" customFormat="false" ht="15" hidden="false" customHeight="false" outlineLevel="0" collapsed="false">
      <c r="A1288" s="18" t="s">
        <v>203</v>
      </c>
      <c r="B1288" s="18" t="s">
        <v>204</v>
      </c>
      <c r="C1288" s="18"/>
      <c r="D1288" s="49" t="n">
        <v>46296</v>
      </c>
      <c r="E1288" s="18" t="s">
        <v>112</v>
      </c>
      <c r="F1288" s="18" t="s">
        <v>113</v>
      </c>
      <c r="G1288" s="18" t="s">
        <v>110</v>
      </c>
      <c r="H1288" s="18" t="s">
        <v>101</v>
      </c>
      <c r="I1288" s="18" t="s">
        <v>102</v>
      </c>
      <c r="J1288" s="18" t="s">
        <v>241</v>
      </c>
      <c r="K1288" s="18" t="s">
        <v>195</v>
      </c>
      <c r="L1288" s="64" t="n">
        <v>87.830808975</v>
      </c>
      <c r="M1288" s="64" t="n">
        <v>7.9</v>
      </c>
      <c r="N1288" s="18" t="s">
        <v>1479</v>
      </c>
      <c r="O1288" s="65" t="n">
        <v>693.8634</v>
      </c>
      <c r="P1288" s="65"/>
      <c r="Q1288" s="65"/>
      <c r="R1288" s="65" t="s">
        <v>232</v>
      </c>
      <c r="S1288" s="66" t="n">
        <f aca="false">Model_Calc!BA218</f>
        <v>693.8633909025</v>
      </c>
      <c r="T1288" s="66" t="n">
        <f aca="false">ROUND(S1288-O1288,4)</f>
        <v>0</v>
      </c>
    </row>
    <row r="1289" customFormat="false" ht="15" hidden="false" customHeight="false" outlineLevel="0" collapsed="false">
      <c r="A1289" s="18" t="s">
        <v>203</v>
      </c>
      <c r="B1289" s="18" t="s">
        <v>204</v>
      </c>
      <c r="C1289" s="18"/>
      <c r="D1289" s="49" t="n">
        <v>46296</v>
      </c>
      <c r="E1289" s="18" t="s">
        <v>116</v>
      </c>
      <c r="F1289" s="18" t="s">
        <v>113</v>
      </c>
      <c r="G1289" s="18" t="s">
        <v>110</v>
      </c>
      <c r="H1289" s="18" t="s">
        <v>107</v>
      </c>
      <c r="I1289" s="18" t="s">
        <v>102</v>
      </c>
      <c r="J1289" s="18" t="s">
        <v>230</v>
      </c>
      <c r="K1289" s="18" t="s">
        <v>195</v>
      </c>
      <c r="L1289" s="64" t="n">
        <v>8654.405713785</v>
      </c>
      <c r="M1289" s="64" t="n">
        <v>7.9</v>
      </c>
      <c r="N1289" s="18" t="s">
        <v>1480</v>
      </c>
      <c r="O1289" s="65" t="n">
        <v>68369.8051</v>
      </c>
      <c r="P1289" s="65"/>
      <c r="Q1289" s="65"/>
      <c r="R1289" s="65" t="s">
        <v>232</v>
      </c>
      <c r="S1289" s="66" t="n">
        <f aca="false">Model_Calc!AF219</f>
        <v>68369.8051389015</v>
      </c>
      <c r="T1289" s="66" t="n">
        <f aca="false">ROUND(S1289-O1289,4)</f>
        <v>0</v>
      </c>
    </row>
    <row r="1290" customFormat="false" ht="15" hidden="false" customHeight="false" outlineLevel="0" collapsed="false">
      <c r="A1290" s="18" t="s">
        <v>203</v>
      </c>
      <c r="B1290" s="18" t="s">
        <v>204</v>
      </c>
      <c r="C1290" s="18"/>
      <c r="D1290" s="49" t="n">
        <v>46296</v>
      </c>
      <c r="E1290" s="18" t="s">
        <v>116</v>
      </c>
      <c r="F1290" s="18" t="s">
        <v>113</v>
      </c>
      <c r="G1290" s="18" t="s">
        <v>110</v>
      </c>
      <c r="H1290" s="18" t="s">
        <v>107</v>
      </c>
      <c r="I1290" s="18" t="s">
        <v>102</v>
      </c>
      <c r="J1290" s="18" t="s">
        <v>233</v>
      </c>
      <c r="K1290" s="18" t="s">
        <v>195</v>
      </c>
      <c r="L1290" s="64" t="n">
        <v>665.723516445</v>
      </c>
      <c r="M1290" s="64" t="n">
        <v>7.9</v>
      </c>
      <c r="N1290" s="18" t="s">
        <v>1481</v>
      </c>
      <c r="O1290" s="65" t="n">
        <v>5259.2158</v>
      </c>
      <c r="P1290" s="65"/>
      <c r="Q1290" s="65"/>
      <c r="R1290" s="65" t="s">
        <v>232</v>
      </c>
      <c r="S1290" s="66" t="n">
        <f aca="false">Model_Calc!AG219</f>
        <v>5259.2157799155</v>
      </c>
      <c r="T1290" s="66" t="n">
        <f aca="false">ROUND(S1290-O1290,4)</f>
        <v>0</v>
      </c>
    </row>
    <row r="1291" customFormat="false" ht="15" hidden="false" customHeight="false" outlineLevel="0" collapsed="false">
      <c r="A1291" s="18" t="s">
        <v>203</v>
      </c>
      <c r="B1291" s="18" t="s">
        <v>204</v>
      </c>
      <c r="C1291" s="18"/>
      <c r="D1291" s="49" t="n">
        <v>46296</v>
      </c>
      <c r="E1291" s="18" t="s">
        <v>116</v>
      </c>
      <c r="F1291" s="18" t="s">
        <v>113</v>
      </c>
      <c r="G1291" s="18" t="s">
        <v>110</v>
      </c>
      <c r="H1291" s="18" t="s">
        <v>107</v>
      </c>
      <c r="I1291" s="18" t="s">
        <v>102</v>
      </c>
      <c r="J1291" s="18" t="s">
        <v>235</v>
      </c>
      <c r="K1291" s="18" t="s">
        <v>195</v>
      </c>
      <c r="L1291" s="64" t="n">
        <v>4132.366875</v>
      </c>
      <c r="M1291" s="64" t="n">
        <v>7.9</v>
      </c>
      <c r="N1291" s="18" t="s">
        <v>1482</v>
      </c>
      <c r="O1291" s="65" t="n">
        <v>32645.6983</v>
      </c>
      <c r="P1291" s="65"/>
      <c r="Q1291" s="65"/>
      <c r="R1291" s="65" t="s">
        <v>232</v>
      </c>
      <c r="S1291" s="66" t="n">
        <f aca="false">Model_Calc!AL219</f>
        <v>32645.6983125</v>
      </c>
      <c r="T1291" s="66" t="n">
        <f aca="false">ROUND(S1291-O1291,4)</f>
        <v>0</v>
      </c>
    </row>
    <row r="1292" customFormat="false" ht="15" hidden="false" customHeight="false" outlineLevel="0" collapsed="false">
      <c r="A1292" s="18" t="s">
        <v>203</v>
      </c>
      <c r="B1292" s="18" t="s">
        <v>204</v>
      </c>
      <c r="C1292" s="18"/>
      <c r="D1292" s="49" t="n">
        <v>46296</v>
      </c>
      <c r="E1292" s="18" t="s">
        <v>116</v>
      </c>
      <c r="F1292" s="18" t="s">
        <v>113</v>
      </c>
      <c r="G1292" s="18" t="s">
        <v>110</v>
      </c>
      <c r="H1292" s="18" t="s">
        <v>107</v>
      </c>
      <c r="I1292" s="18" t="s">
        <v>102</v>
      </c>
      <c r="J1292" s="18" t="s">
        <v>237</v>
      </c>
      <c r="K1292" s="18" t="s">
        <v>195</v>
      </c>
      <c r="L1292" s="64" t="n">
        <v>1585.254645</v>
      </c>
      <c r="M1292" s="64" t="n">
        <v>7.9</v>
      </c>
      <c r="N1292" s="18" t="s">
        <v>1483</v>
      </c>
      <c r="O1292" s="65" t="n">
        <v>12523.5117</v>
      </c>
      <c r="P1292" s="65"/>
      <c r="Q1292" s="65"/>
      <c r="R1292" s="65" t="s">
        <v>232</v>
      </c>
      <c r="S1292" s="66" t="n">
        <f aca="false">Model_Calc!AQ219</f>
        <v>12523.5116955</v>
      </c>
      <c r="T1292" s="66" t="n">
        <f aca="false">ROUND(S1292-O1292,4)</f>
        <v>0</v>
      </c>
    </row>
    <row r="1293" customFormat="false" ht="15" hidden="false" customHeight="false" outlineLevel="0" collapsed="false">
      <c r="A1293" s="18" t="s">
        <v>203</v>
      </c>
      <c r="B1293" s="18" t="s">
        <v>204</v>
      </c>
      <c r="C1293" s="18"/>
      <c r="D1293" s="49" t="n">
        <v>46296</v>
      </c>
      <c r="E1293" s="18" t="s">
        <v>116</v>
      </c>
      <c r="F1293" s="18" t="s">
        <v>113</v>
      </c>
      <c r="G1293" s="18" t="s">
        <v>110</v>
      </c>
      <c r="H1293" s="18" t="s">
        <v>107</v>
      </c>
      <c r="I1293" s="18" t="s">
        <v>102</v>
      </c>
      <c r="J1293" s="18" t="s">
        <v>239</v>
      </c>
      <c r="K1293" s="18" t="s">
        <v>195</v>
      </c>
      <c r="L1293" s="64" t="n">
        <v>708.40575</v>
      </c>
      <c r="M1293" s="64" t="n">
        <v>7.9</v>
      </c>
      <c r="N1293" s="18" t="s">
        <v>1484</v>
      </c>
      <c r="O1293" s="65" t="n">
        <v>5596.4054</v>
      </c>
      <c r="P1293" s="65"/>
      <c r="Q1293" s="65"/>
      <c r="R1293" s="65" t="s">
        <v>232</v>
      </c>
      <c r="S1293" s="66" t="n">
        <f aca="false">Model_Calc!AV219</f>
        <v>5596.405425</v>
      </c>
      <c r="T1293" s="66" t="n">
        <f aca="false">ROUND(S1293-O1293,4)</f>
        <v>0</v>
      </c>
    </row>
    <row r="1294" customFormat="false" ht="15" hidden="false" customHeight="false" outlineLevel="0" collapsed="false">
      <c r="A1294" s="18" t="s">
        <v>203</v>
      </c>
      <c r="B1294" s="18" t="s">
        <v>204</v>
      </c>
      <c r="C1294" s="18"/>
      <c r="D1294" s="49" t="n">
        <v>46296</v>
      </c>
      <c r="E1294" s="18" t="s">
        <v>116</v>
      </c>
      <c r="F1294" s="18" t="s">
        <v>113</v>
      </c>
      <c r="G1294" s="18" t="s">
        <v>110</v>
      </c>
      <c r="H1294" s="18" t="s">
        <v>107</v>
      </c>
      <c r="I1294" s="18" t="s">
        <v>102</v>
      </c>
      <c r="J1294" s="18" t="s">
        <v>241</v>
      </c>
      <c r="K1294" s="18" t="s">
        <v>195</v>
      </c>
      <c r="L1294" s="64" t="n">
        <v>134.32947255</v>
      </c>
      <c r="M1294" s="64" t="n">
        <v>7.9</v>
      </c>
      <c r="N1294" s="18" t="s">
        <v>1485</v>
      </c>
      <c r="O1294" s="65" t="n">
        <v>1061.2028</v>
      </c>
      <c r="P1294" s="65"/>
      <c r="Q1294" s="65"/>
      <c r="R1294" s="65" t="s">
        <v>232</v>
      </c>
      <c r="S1294" s="66" t="n">
        <f aca="false">Model_Calc!BA219</f>
        <v>1061.202833145</v>
      </c>
      <c r="T1294" s="66" t="n">
        <f aca="false">ROUND(S1294-O1294,4)</f>
        <v>0</v>
      </c>
    </row>
    <row r="1295" customFormat="false" ht="15" hidden="false" customHeight="false" outlineLevel="0" collapsed="false">
      <c r="A1295" s="18" t="s">
        <v>203</v>
      </c>
      <c r="B1295" s="18" t="s">
        <v>204</v>
      </c>
      <c r="C1295" s="18"/>
      <c r="D1295" s="49" t="n">
        <v>46296</v>
      </c>
      <c r="E1295" s="18" t="s">
        <v>118</v>
      </c>
      <c r="F1295" s="18" t="s">
        <v>119</v>
      </c>
      <c r="G1295" s="18" t="s">
        <v>100</v>
      </c>
      <c r="H1295" s="18" t="s">
        <v>101</v>
      </c>
      <c r="I1295" s="18" t="s">
        <v>102</v>
      </c>
      <c r="J1295" s="18" t="s">
        <v>230</v>
      </c>
      <c r="K1295" s="18" t="s">
        <v>199</v>
      </c>
      <c r="L1295" s="64" t="n">
        <v>12348.6296583297</v>
      </c>
      <c r="M1295" s="64" t="n">
        <v>9.1</v>
      </c>
      <c r="N1295" s="18" t="s">
        <v>1486</v>
      </c>
      <c r="O1295" s="65" t="n">
        <v>112372.5299</v>
      </c>
      <c r="P1295" s="65"/>
      <c r="Q1295" s="65"/>
      <c r="R1295" s="65" t="s">
        <v>232</v>
      </c>
      <c r="S1295" s="66" t="n">
        <f aca="false">Model_Calc!AF220</f>
        <v>112372.5298908</v>
      </c>
      <c r="T1295" s="66" t="n">
        <f aca="false">ROUND(S1295-O1295,4)</f>
        <v>0</v>
      </c>
    </row>
    <row r="1296" customFormat="false" ht="15" hidden="false" customHeight="false" outlineLevel="0" collapsed="false">
      <c r="A1296" s="18" t="s">
        <v>203</v>
      </c>
      <c r="B1296" s="18" t="s">
        <v>204</v>
      </c>
      <c r="C1296" s="18"/>
      <c r="D1296" s="49" t="n">
        <v>46296</v>
      </c>
      <c r="E1296" s="18" t="s">
        <v>118</v>
      </c>
      <c r="F1296" s="18" t="s">
        <v>119</v>
      </c>
      <c r="G1296" s="18" t="s">
        <v>100</v>
      </c>
      <c r="H1296" s="18" t="s">
        <v>101</v>
      </c>
      <c r="I1296" s="18" t="s">
        <v>102</v>
      </c>
      <c r="J1296" s="18" t="s">
        <v>233</v>
      </c>
      <c r="K1296" s="18" t="s">
        <v>199</v>
      </c>
      <c r="L1296" s="64" t="n">
        <v>1278.08316963712</v>
      </c>
      <c r="M1296" s="64" t="n">
        <v>9.1</v>
      </c>
      <c r="N1296" s="18" t="s">
        <v>1487</v>
      </c>
      <c r="O1296" s="65" t="n">
        <v>11630.5568</v>
      </c>
      <c r="P1296" s="65"/>
      <c r="Q1296" s="65"/>
      <c r="R1296" s="65" t="s">
        <v>232</v>
      </c>
      <c r="S1296" s="66" t="n">
        <f aca="false">Model_Calc!AG220</f>
        <v>11630.5568436978</v>
      </c>
      <c r="T1296" s="66" t="n">
        <f aca="false">ROUND(S1296-O1296,4)</f>
        <v>0</v>
      </c>
    </row>
    <row r="1297" customFormat="false" ht="15" hidden="false" customHeight="false" outlineLevel="0" collapsed="false">
      <c r="A1297" s="18" t="s">
        <v>203</v>
      </c>
      <c r="B1297" s="18" t="s">
        <v>204</v>
      </c>
      <c r="C1297" s="18"/>
      <c r="D1297" s="49" t="n">
        <v>46296</v>
      </c>
      <c r="E1297" s="18" t="s">
        <v>118</v>
      </c>
      <c r="F1297" s="18" t="s">
        <v>119</v>
      </c>
      <c r="G1297" s="18" t="s">
        <v>100</v>
      </c>
      <c r="H1297" s="18" t="s">
        <v>101</v>
      </c>
      <c r="I1297" s="18" t="s">
        <v>102</v>
      </c>
      <c r="J1297" s="18" t="s">
        <v>235</v>
      </c>
      <c r="K1297" s="18" t="s">
        <v>195</v>
      </c>
      <c r="L1297" s="64" t="n">
        <v>3294.59009403944</v>
      </c>
      <c r="M1297" s="64" t="n">
        <v>7.9</v>
      </c>
      <c r="N1297" s="18" t="s">
        <v>1488</v>
      </c>
      <c r="O1297" s="65" t="n">
        <v>26027.2617</v>
      </c>
      <c r="P1297" s="65"/>
      <c r="Q1297" s="65"/>
      <c r="R1297" s="65" t="s">
        <v>232</v>
      </c>
      <c r="S1297" s="66" t="n">
        <f aca="false">Model_Calc!AL220</f>
        <v>26027.2617429116</v>
      </c>
      <c r="T1297" s="66" t="n">
        <f aca="false">ROUND(S1297-O1297,4)</f>
        <v>0</v>
      </c>
    </row>
    <row r="1298" customFormat="false" ht="15" hidden="false" customHeight="false" outlineLevel="0" collapsed="false">
      <c r="A1298" s="18" t="s">
        <v>203</v>
      </c>
      <c r="B1298" s="18" t="s">
        <v>204</v>
      </c>
      <c r="C1298" s="18"/>
      <c r="D1298" s="49" t="n">
        <v>46296</v>
      </c>
      <c r="E1298" s="18" t="s">
        <v>118</v>
      </c>
      <c r="F1298" s="18" t="s">
        <v>119</v>
      </c>
      <c r="G1298" s="18" t="s">
        <v>100</v>
      </c>
      <c r="H1298" s="18" t="s">
        <v>101</v>
      </c>
      <c r="I1298" s="18" t="s">
        <v>102</v>
      </c>
      <c r="J1298" s="18" t="s">
        <v>237</v>
      </c>
      <c r="K1298" s="18" t="s">
        <v>195</v>
      </c>
      <c r="L1298" s="64" t="n">
        <v>1233.918137088</v>
      </c>
      <c r="M1298" s="64" t="n">
        <v>7.9</v>
      </c>
      <c r="N1298" s="18" t="s">
        <v>1489</v>
      </c>
      <c r="O1298" s="65" t="n">
        <v>9747.9533</v>
      </c>
      <c r="P1298" s="65"/>
      <c r="Q1298" s="65"/>
      <c r="R1298" s="65" t="s">
        <v>232</v>
      </c>
      <c r="S1298" s="66" t="n">
        <f aca="false">Model_Calc!AQ220</f>
        <v>9747.9532829952</v>
      </c>
      <c r="T1298" s="66" t="n">
        <f aca="false">ROUND(S1298-O1298,4)</f>
        <v>0</v>
      </c>
    </row>
    <row r="1299" customFormat="false" ht="15" hidden="false" customHeight="false" outlineLevel="0" collapsed="false">
      <c r="A1299" s="18" t="s">
        <v>203</v>
      </c>
      <c r="B1299" s="18" t="s">
        <v>204</v>
      </c>
      <c r="C1299" s="18"/>
      <c r="D1299" s="49" t="n">
        <v>46296</v>
      </c>
      <c r="E1299" s="18" t="s">
        <v>118</v>
      </c>
      <c r="F1299" s="18" t="s">
        <v>119</v>
      </c>
      <c r="G1299" s="18" t="s">
        <v>100</v>
      </c>
      <c r="H1299" s="18" t="s">
        <v>101</v>
      </c>
      <c r="I1299" s="18" t="s">
        <v>102</v>
      </c>
      <c r="J1299" s="18" t="s">
        <v>239</v>
      </c>
      <c r="K1299" s="18" t="s">
        <v>199</v>
      </c>
      <c r="L1299" s="64" t="n">
        <v>1084.76319744</v>
      </c>
      <c r="M1299" s="64" t="n">
        <v>9.1</v>
      </c>
      <c r="N1299" s="18" t="s">
        <v>1490</v>
      </c>
      <c r="O1299" s="65" t="n">
        <v>9871.3451</v>
      </c>
      <c r="P1299" s="65"/>
      <c r="Q1299" s="65"/>
      <c r="R1299" s="65" t="s">
        <v>232</v>
      </c>
      <c r="S1299" s="66" t="n">
        <f aca="false">Model_Calc!AV220</f>
        <v>9871.345096704</v>
      </c>
      <c r="T1299" s="66" t="n">
        <f aca="false">ROUND(S1299-O1299,4)</f>
        <v>0</v>
      </c>
    </row>
    <row r="1300" customFormat="false" ht="15" hidden="false" customHeight="false" outlineLevel="0" collapsed="false">
      <c r="A1300" s="18" t="s">
        <v>203</v>
      </c>
      <c r="B1300" s="18" t="s">
        <v>204</v>
      </c>
      <c r="C1300" s="18"/>
      <c r="D1300" s="49" t="n">
        <v>46296</v>
      </c>
      <c r="E1300" s="18" t="s">
        <v>118</v>
      </c>
      <c r="F1300" s="18" t="s">
        <v>119</v>
      </c>
      <c r="G1300" s="18" t="s">
        <v>100</v>
      </c>
      <c r="H1300" s="18" t="s">
        <v>101</v>
      </c>
      <c r="I1300" s="18" t="s">
        <v>102</v>
      </c>
      <c r="J1300" s="18" t="s">
        <v>241</v>
      </c>
      <c r="K1300" s="18" t="s">
        <v>199</v>
      </c>
      <c r="L1300" s="64" t="n">
        <v>182.44361026944</v>
      </c>
      <c r="M1300" s="64" t="n">
        <v>9.1</v>
      </c>
      <c r="N1300" s="18" t="s">
        <v>1491</v>
      </c>
      <c r="O1300" s="65" t="n">
        <v>1660.2369</v>
      </c>
      <c r="P1300" s="65"/>
      <c r="Q1300" s="65"/>
      <c r="R1300" s="65" t="s">
        <v>232</v>
      </c>
      <c r="S1300" s="66" t="n">
        <f aca="false">Model_Calc!BA220</f>
        <v>1660.2368534519</v>
      </c>
      <c r="T1300" s="66" t="n">
        <f aca="false">ROUND(S1300-O1300,4)</f>
        <v>0</v>
      </c>
    </row>
    <row r="1301" customFormat="false" ht="15" hidden="false" customHeight="false" outlineLevel="0" collapsed="false">
      <c r="A1301" s="18" t="s">
        <v>203</v>
      </c>
      <c r="B1301" s="18" t="s">
        <v>204</v>
      </c>
      <c r="C1301" s="18"/>
      <c r="D1301" s="49" t="n">
        <v>46296</v>
      </c>
      <c r="E1301" s="18" t="s">
        <v>122</v>
      </c>
      <c r="F1301" s="18" t="s">
        <v>119</v>
      </c>
      <c r="G1301" s="18" t="s">
        <v>100</v>
      </c>
      <c r="H1301" s="18" t="s">
        <v>107</v>
      </c>
      <c r="I1301" s="18" t="s">
        <v>102</v>
      </c>
      <c r="J1301" s="18" t="s">
        <v>230</v>
      </c>
      <c r="K1301" s="18" t="s">
        <v>199</v>
      </c>
      <c r="L1301" s="64" t="n">
        <v>7902.85394800512</v>
      </c>
      <c r="M1301" s="64" t="n">
        <v>9.1</v>
      </c>
      <c r="N1301" s="18" t="s">
        <v>1492</v>
      </c>
      <c r="O1301" s="65" t="n">
        <v>71915.9709</v>
      </c>
      <c r="P1301" s="65"/>
      <c r="Q1301" s="65"/>
      <c r="R1301" s="65" t="s">
        <v>232</v>
      </c>
      <c r="S1301" s="66" t="n">
        <f aca="false">Model_Calc!AF221</f>
        <v>71915.9709268466</v>
      </c>
      <c r="T1301" s="66" t="n">
        <f aca="false">ROUND(S1301-O1301,4)</f>
        <v>0</v>
      </c>
    </row>
    <row r="1302" customFormat="false" ht="15" hidden="false" customHeight="false" outlineLevel="0" collapsed="false">
      <c r="A1302" s="18" t="s">
        <v>203</v>
      </c>
      <c r="B1302" s="18" t="s">
        <v>204</v>
      </c>
      <c r="C1302" s="18"/>
      <c r="D1302" s="49" t="n">
        <v>46296</v>
      </c>
      <c r="E1302" s="18" t="s">
        <v>122</v>
      </c>
      <c r="F1302" s="18" t="s">
        <v>119</v>
      </c>
      <c r="G1302" s="18" t="s">
        <v>100</v>
      </c>
      <c r="H1302" s="18" t="s">
        <v>107</v>
      </c>
      <c r="I1302" s="18" t="s">
        <v>102</v>
      </c>
      <c r="J1302" s="18" t="s">
        <v>233</v>
      </c>
      <c r="K1302" s="18" t="s">
        <v>199</v>
      </c>
      <c r="L1302" s="64" t="n">
        <v>554.881234647168</v>
      </c>
      <c r="M1302" s="64" t="n">
        <v>9.1</v>
      </c>
      <c r="N1302" s="18" t="s">
        <v>1493</v>
      </c>
      <c r="O1302" s="65" t="n">
        <v>5049.4192</v>
      </c>
      <c r="P1302" s="65"/>
      <c r="Q1302" s="65"/>
      <c r="R1302" s="65" t="s">
        <v>232</v>
      </c>
      <c r="S1302" s="66" t="n">
        <f aca="false">Model_Calc!AG221</f>
        <v>5049.41923528923</v>
      </c>
      <c r="T1302" s="66" t="n">
        <f aca="false">ROUND(S1302-O1302,4)</f>
        <v>0</v>
      </c>
    </row>
    <row r="1303" customFormat="false" ht="15" hidden="false" customHeight="false" outlineLevel="0" collapsed="false">
      <c r="A1303" s="18" t="s">
        <v>203</v>
      </c>
      <c r="B1303" s="18" t="s">
        <v>204</v>
      </c>
      <c r="C1303" s="18"/>
      <c r="D1303" s="49" t="n">
        <v>46296</v>
      </c>
      <c r="E1303" s="18" t="s">
        <v>122</v>
      </c>
      <c r="F1303" s="18" t="s">
        <v>119</v>
      </c>
      <c r="G1303" s="18" t="s">
        <v>100</v>
      </c>
      <c r="H1303" s="18" t="s">
        <v>107</v>
      </c>
      <c r="I1303" s="18" t="s">
        <v>102</v>
      </c>
      <c r="J1303" s="18" t="s">
        <v>235</v>
      </c>
      <c r="K1303" s="18" t="s">
        <v>195</v>
      </c>
      <c r="L1303" s="64" t="n">
        <v>1830.32783002191</v>
      </c>
      <c r="M1303" s="64" t="n">
        <v>7.9</v>
      </c>
      <c r="N1303" s="18" t="s">
        <v>1494</v>
      </c>
      <c r="O1303" s="65" t="n">
        <v>14459.5899</v>
      </c>
      <c r="P1303" s="65"/>
      <c r="Q1303" s="65"/>
      <c r="R1303" s="65" t="s">
        <v>232</v>
      </c>
      <c r="S1303" s="66" t="n">
        <f aca="false">Model_Calc!AL221</f>
        <v>14459.5898571731</v>
      </c>
      <c r="T1303" s="66" t="n">
        <f aca="false">ROUND(S1303-O1303,4)</f>
        <v>0</v>
      </c>
    </row>
    <row r="1304" customFormat="false" ht="15" hidden="false" customHeight="false" outlineLevel="0" collapsed="false">
      <c r="A1304" s="18" t="s">
        <v>203</v>
      </c>
      <c r="B1304" s="18" t="s">
        <v>204</v>
      </c>
      <c r="C1304" s="18"/>
      <c r="D1304" s="49" t="n">
        <v>46296</v>
      </c>
      <c r="E1304" s="18" t="s">
        <v>122</v>
      </c>
      <c r="F1304" s="18" t="s">
        <v>119</v>
      </c>
      <c r="G1304" s="18" t="s">
        <v>100</v>
      </c>
      <c r="H1304" s="18" t="s">
        <v>107</v>
      </c>
      <c r="I1304" s="18" t="s">
        <v>102</v>
      </c>
      <c r="J1304" s="18" t="s">
        <v>237</v>
      </c>
      <c r="K1304" s="18" t="s">
        <v>195</v>
      </c>
      <c r="L1304" s="64" t="n">
        <v>685.51007616</v>
      </c>
      <c r="M1304" s="64" t="n">
        <v>7.9</v>
      </c>
      <c r="N1304" s="18" t="s">
        <v>1495</v>
      </c>
      <c r="O1304" s="65" t="n">
        <v>5415.5296</v>
      </c>
      <c r="P1304" s="65"/>
      <c r="Q1304" s="65"/>
      <c r="R1304" s="65" t="s">
        <v>232</v>
      </c>
      <c r="S1304" s="66" t="n">
        <f aca="false">Model_Calc!AQ221</f>
        <v>5415.529601664</v>
      </c>
      <c r="T1304" s="66" t="n">
        <f aca="false">ROUND(S1304-O1304,4)</f>
        <v>0</v>
      </c>
    </row>
    <row r="1305" customFormat="false" ht="15" hidden="false" customHeight="false" outlineLevel="0" collapsed="false">
      <c r="A1305" s="18" t="s">
        <v>203</v>
      </c>
      <c r="B1305" s="18" t="s">
        <v>204</v>
      </c>
      <c r="C1305" s="18"/>
      <c r="D1305" s="49" t="n">
        <v>46296</v>
      </c>
      <c r="E1305" s="18" t="s">
        <v>122</v>
      </c>
      <c r="F1305" s="18" t="s">
        <v>119</v>
      </c>
      <c r="G1305" s="18" t="s">
        <v>100</v>
      </c>
      <c r="H1305" s="18" t="s">
        <v>107</v>
      </c>
      <c r="I1305" s="18" t="s">
        <v>102</v>
      </c>
      <c r="J1305" s="18" t="s">
        <v>239</v>
      </c>
      <c r="K1305" s="18" t="s">
        <v>199</v>
      </c>
      <c r="L1305" s="64" t="n">
        <v>602.6462208</v>
      </c>
      <c r="M1305" s="64" t="n">
        <v>9.1</v>
      </c>
      <c r="N1305" s="18" t="s">
        <v>1496</v>
      </c>
      <c r="O1305" s="65" t="n">
        <v>5484.0806</v>
      </c>
      <c r="P1305" s="65"/>
      <c r="Q1305" s="65"/>
      <c r="R1305" s="65" t="s">
        <v>232</v>
      </c>
      <c r="S1305" s="66" t="n">
        <f aca="false">Model_Calc!AV221</f>
        <v>5484.08060928</v>
      </c>
      <c r="T1305" s="66" t="n">
        <f aca="false">ROUND(S1305-O1305,4)</f>
        <v>0</v>
      </c>
    </row>
    <row r="1306" customFormat="false" ht="15" hidden="false" customHeight="false" outlineLevel="0" collapsed="false">
      <c r="A1306" s="18" t="s">
        <v>203</v>
      </c>
      <c r="B1306" s="18" t="s">
        <v>204</v>
      </c>
      <c r="C1306" s="18"/>
      <c r="D1306" s="49" t="n">
        <v>46296</v>
      </c>
      <c r="E1306" s="18" t="s">
        <v>122</v>
      </c>
      <c r="F1306" s="18" t="s">
        <v>119</v>
      </c>
      <c r="G1306" s="18" t="s">
        <v>100</v>
      </c>
      <c r="H1306" s="18" t="s">
        <v>107</v>
      </c>
      <c r="I1306" s="18" t="s">
        <v>102</v>
      </c>
      <c r="J1306" s="18" t="s">
        <v>241</v>
      </c>
      <c r="K1306" s="18" t="s">
        <v>199</v>
      </c>
      <c r="L1306" s="64" t="n">
        <v>75.079675008</v>
      </c>
      <c r="M1306" s="64" t="n">
        <v>9.1</v>
      </c>
      <c r="N1306" s="18" t="s">
        <v>1497</v>
      </c>
      <c r="O1306" s="65" t="n">
        <v>683.225</v>
      </c>
      <c r="P1306" s="65"/>
      <c r="Q1306" s="65"/>
      <c r="R1306" s="65" t="s">
        <v>232</v>
      </c>
      <c r="S1306" s="66" t="n">
        <f aca="false">Model_Calc!BA221</f>
        <v>683.2250425728</v>
      </c>
      <c r="T1306" s="66" t="n">
        <f aca="false">ROUND(S1306-O1306,4)</f>
        <v>0</v>
      </c>
    </row>
    <row r="1307" customFormat="false" ht="15" hidden="false" customHeight="false" outlineLevel="0" collapsed="false">
      <c r="A1307" s="18" t="s">
        <v>203</v>
      </c>
      <c r="B1307" s="18" t="s">
        <v>204</v>
      </c>
      <c r="C1307" s="18"/>
      <c r="D1307" s="49" t="n">
        <v>46296</v>
      </c>
      <c r="E1307" s="18" t="s">
        <v>124</v>
      </c>
      <c r="F1307" s="18" t="s">
        <v>119</v>
      </c>
      <c r="G1307" s="18" t="s">
        <v>100</v>
      </c>
      <c r="H1307" s="18" t="s">
        <v>107</v>
      </c>
      <c r="I1307" s="18" t="s">
        <v>125</v>
      </c>
      <c r="J1307" s="18" t="s">
        <v>230</v>
      </c>
      <c r="K1307" s="18" t="s">
        <v>199</v>
      </c>
      <c r="L1307" s="64" t="n">
        <v>12229.8245416169</v>
      </c>
      <c r="M1307" s="64" t="n">
        <v>9.1</v>
      </c>
      <c r="N1307" s="18" t="s">
        <v>1498</v>
      </c>
      <c r="O1307" s="65" t="n">
        <v>111291.4033</v>
      </c>
      <c r="P1307" s="65"/>
      <c r="Q1307" s="65"/>
      <c r="R1307" s="65" t="s">
        <v>232</v>
      </c>
      <c r="S1307" s="66" t="n">
        <f aca="false">Model_Calc!AF222</f>
        <v>111291.403328714</v>
      </c>
      <c r="T1307" s="66" t="n">
        <f aca="false">ROUND(S1307-O1307,4)</f>
        <v>0</v>
      </c>
    </row>
    <row r="1308" customFormat="false" ht="15" hidden="false" customHeight="false" outlineLevel="0" collapsed="false">
      <c r="A1308" s="18" t="s">
        <v>203</v>
      </c>
      <c r="B1308" s="18" t="s">
        <v>204</v>
      </c>
      <c r="C1308" s="18"/>
      <c r="D1308" s="49" t="n">
        <v>46296</v>
      </c>
      <c r="E1308" s="18" t="s">
        <v>124</v>
      </c>
      <c r="F1308" s="18" t="s">
        <v>119</v>
      </c>
      <c r="G1308" s="18" t="s">
        <v>100</v>
      </c>
      <c r="H1308" s="18" t="s">
        <v>107</v>
      </c>
      <c r="I1308" s="18" t="s">
        <v>125</v>
      </c>
      <c r="J1308" s="18" t="s">
        <v>233</v>
      </c>
      <c r="K1308" s="18" t="s">
        <v>199</v>
      </c>
      <c r="L1308" s="64" t="n">
        <v>1513.88106070859</v>
      </c>
      <c r="M1308" s="64" t="n">
        <v>9.1</v>
      </c>
      <c r="N1308" s="18" t="s">
        <v>1499</v>
      </c>
      <c r="O1308" s="65" t="n">
        <v>13776.3177</v>
      </c>
      <c r="P1308" s="65"/>
      <c r="Q1308" s="65"/>
      <c r="R1308" s="65" t="s">
        <v>232</v>
      </c>
      <c r="S1308" s="66" t="n">
        <f aca="false">Model_Calc!AG222</f>
        <v>13776.3176524481</v>
      </c>
      <c r="T1308" s="66" t="n">
        <f aca="false">ROUND(S1308-O1308,4)</f>
        <v>0</v>
      </c>
    </row>
    <row r="1309" customFormat="false" ht="15" hidden="false" customHeight="false" outlineLevel="0" collapsed="false">
      <c r="A1309" s="18" t="s">
        <v>203</v>
      </c>
      <c r="B1309" s="18" t="s">
        <v>204</v>
      </c>
      <c r="C1309" s="18"/>
      <c r="D1309" s="49" t="n">
        <v>46296</v>
      </c>
      <c r="E1309" s="18" t="s">
        <v>124</v>
      </c>
      <c r="F1309" s="18" t="s">
        <v>119</v>
      </c>
      <c r="G1309" s="18" t="s">
        <v>100</v>
      </c>
      <c r="H1309" s="18" t="s">
        <v>107</v>
      </c>
      <c r="I1309" s="18" t="s">
        <v>125</v>
      </c>
      <c r="J1309" s="18" t="s">
        <v>235</v>
      </c>
      <c r="K1309" s="18" t="s">
        <v>195</v>
      </c>
      <c r="L1309" s="64" t="n">
        <v>2196.3933960263</v>
      </c>
      <c r="M1309" s="64" t="n">
        <v>7.9</v>
      </c>
      <c r="N1309" s="18" t="s">
        <v>1500</v>
      </c>
      <c r="O1309" s="65" t="n">
        <v>17351.5078</v>
      </c>
      <c r="P1309" s="65"/>
      <c r="Q1309" s="65"/>
      <c r="R1309" s="65" t="s">
        <v>232</v>
      </c>
      <c r="S1309" s="66" t="n">
        <f aca="false">Model_Calc!AL222</f>
        <v>17351.5078286077</v>
      </c>
      <c r="T1309" s="66" t="n">
        <f aca="false">ROUND(S1309-O1309,4)</f>
        <v>0</v>
      </c>
    </row>
    <row r="1310" customFormat="false" ht="15" hidden="false" customHeight="false" outlineLevel="0" collapsed="false">
      <c r="A1310" s="18" t="s">
        <v>203</v>
      </c>
      <c r="B1310" s="18" t="s">
        <v>204</v>
      </c>
      <c r="C1310" s="18"/>
      <c r="D1310" s="49" t="n">
        <v>46296</v>
      </c>
      <c r="E1310" s="18" t="s">
        <v>124</v>
      </c>
      <c r="F1310" s="18" t="s">
        <v>119</v>
      </c>
      <c r="G1310" s="18" t="s">
        <v>100</v>
      </c>
      <c r="H1310" s="18" t="s">
        <v>107</v>
      </c>
      <c r="I1310" s="18" t="s">
        <v>125</v>
      </c>
      <c r="J1310" s="18" t="s">
        <v>237</v>
      </c>
      <c r="K1310" s="18" t="s">
        <v>195</v>
      </c>
      <c r="L1310" s="64" t="n">
        <v>822.612091392</v>
      </c>
      <c r="M1310" s="64" t="n">
        <v>7.9</v>
      </c>
      <c r="N1310" s="18" t="s">
        <v>1501</v>
      </c>
      <c r="O1310" s="65" t="n">
        <v>6498.6355</v>
      </c>
      <c r="P1310" s="65"/>
      <c r="Q1310" s="65"/>
      <c r="R1310" s="65" t="s">
        <v>232</v>
      </c>
      <c r="S1310" s="66" t="n">
        <f aca="false">Model_Calc!AQ222</f>
        <v>6498.6355219968</v>
      </c>
      <c r="T1310" s="66" t="n">
        <f aca="false">ROUND(S1310-O1310,4)</f>
        <v>0</v>
      </c>
    </row>
    <row r="1311" customFormat="false" ht="15" hidden="false" customHeight="false" outlineLevel="0" collapsed="false">
      <c r="A1311" s="18" t="s">
        <v>203</v>
      </c>
      <c r="B1311" s="18" t="s">
        <v>204</v>
      </c>
      <c r="C1311" s="18"/>
      <c r="D1311" s="49" t="n">
        <v>46296</v>
      </c>
      <c r="E1311" s="18" t="s">
        <v>124</v>
      </c>
      <c r="F1311" s="18" t="s">
        <v>119</v>
      </c>
      <c r="G1311" s="18" t="s">
        <v>100</v>
      </c>
      <c r="H1311" s="18" t="s">
        <v>107</v>
      </c>
      <c r="I1311" s="18" t="s">
        <v>125</v>
      </c>
      <c r="J1311" s="18" t="s">
        <v>239</v>
      </c>
      <c r="K1311" s="18" t="s">
        <v>199</v>
      </c>
      <c r="L1311" s="64" t="n">
        <v>723.17546496</v>
      </c>
      <c r="M1311" s="64" t="n">
        <v>9.1</v>
      </c>
      <c r="N1311" s="18" t="s">
        <v>1502</v>
      </c>
      <c r="O1311" s="65" t="n">
        <v>6580.8967</v>
      </c>
      <c r="P1311" s="65"/>
      <c r="Q1311" s="65"/>
      <c r="R1311" s="65" t="s">
        <v>232</v>
      </c>
      <c r="S1311" s="66" t="n">
        <f aca="false">Model_Calc!AV222</f>
        <v>6580.896731136</v>
      </c>
      <c r="T1311" s="66" t="n">
        <f aca="false">ROUND(S1311-O1311,4)</f>
        <v>0</v>
      </c>
    </row>
    <row r="1312" customFormat="false" ht="15" hidden="false" customHeight="false" outlineLevel="0" collapsed="false">
      <c r="A1312" s="18" t="s">
        <v>203</v>
      </c>
      <c r="B1312" s="18" t="s">
        <v>204</v>
      </c>
      <c r="C1312" s="18"/>
      <c r="D1312" s="49" t="n">
        <v>46296</v>
      </c>
      <c r="E1312" s="18" t="s">
        <v>124</v>
      </c>
      <c r="F1312" s="18" t="s">
        <v>119</v>
      </c>
      <c r="G1312" s="18" t="s">
        <v>100</v>
      </c>
      <c r="H1312" s="18" t="s">
        <v>107</v>
      </c>
      <c r="I1312" s="18" t="s">
        <v>125</v>
      </c>
      <c r="J1312" s="18" t="s">
        <v>241</v>
      </c>
      <c r="K1312" s="18" t="s">
        <v>199</v>
      </c>
      <c r="L1312" s="64" t="n">
        <v>87.74528974848</v>
      </c>
      <c r="M1312" s="64" t="n">
        <v>9.1</v>
      </c>
      <c r="N1312" s="18" t="s">
        <v>1503</v>
      </c>
      <c r="O1312" s="65" t="n">
        <v>798.4821</v>
      </c>
      <c r="P1312" s="65"/>
      <c r="Q1312" s="65"/>
      <c r="R1312" s="65" t="s">
        <v>232</v>
      </c>
      <c r="S1312" s="66" t="n">
        <f aca="false">Model_Calc!BA222</f>
        <v>798.482136711168</v>
      </c>
      <c r="T1312" s="66" t="n">
        <f aca="false">ROUND(S1312-O1312,4)</f>
        <v>0</v>
      </c>
    </row>
    <row r="1313" customFormat="false" ht="15" hidden="false" customHeight="false" outlineLevel="0" collapsed="false">
      <c r="A1313" s="18" t="s">
        <v>203</v>
      </c>
      <c r="B1313" s="18" t="s">
        <v>204</v>
      </c>
      <c r="C1313" s="18"/>
      <c r="D1313" s="49" t="n">
        <v>46296</v>
      </c>
      <c r="E1313" s="18" t="s">
        <v>127</v>
      </c>
      <c r="F1313" s="18" t="s">
        <v>119</v>
      </c>
      <c r="G1313" s="18" t="s">
        <v>100</v>
      </c>
      <c r="H1313" s="18" t="s">
        <v>128</v>
      </c>
      <c r="I1313" s="18" t="s">
        <v>125</v>
      </c>
      <c r="J1313" s="18" t="s">
        <v>230</v>
      </c>
      <c r="K1313" s="18" t="s">
        <v>199</v>
      </c>
      <c r="L1313" s="64" t="n">
        <v>12298.1859097254</v>
      </c>
      <c r="M1313" s="64" t="n">
        <v>9.1</v>
      </c>
      <c r="N1313" s="18" t="s">
        <v>1504</v>
      </c>
      <c r="O1313" s="65" t="n">
        <v>111913.4918</v>
      </c>
      <c r="P1313" s="65"/>
      <c r="Q1313" s="65"/>
      <c r="R1313" s="65" t="s">
        <v>232</v>
      </c>
      <c r="S1313" s="66" t="n">
        <f aca="false">Model_Calc!AF223</f>
        <v>111913.491778501</v>
      </c>
      <c r="T1313" s="66" t="n">
        <f aca="false">ROUND(S1313-O1313,4)</f>
        <v>0</v>
      </c>
    </row>
    <row r="1314" customFormat="false" ht="15" hidden="false" customHeight="false" outlineLevel="0" collapsed="false">
      <c r="A1314" s="18" t="s">
        <v>203</v>
      </c>
      <c r="B1314" s="18" t="s">
        <v>204</v>
      </c>
      <c r="C1314" s="18"/>
      <c r="D1314" s="49" t="n">
        <v>46296</v>
      </c>
      <c r="E1314" s="18" t="s">
        <v>127</v>
      </c>
      <c r="F1314" s="18" t="s">
        <v>119</v>
      </c>
      <c r="G1314" s="18" t="s">
        <v>100</v>
      </c>
      <c r="H1314" s="18" t="s">
        <v>128</v>
      </c>
      <c r="I1314" s="18" t="s">
        <v>125</v>
      </c>
      <c r="J1314" s="18" t="s">
        <v>233</v>
      </c>
      <c r="K1314" s="18" t="s">
        <v>199</v>
      </c>
      <c r="L1314" s="64" t="n">
        <v>951.059710352099</v>
      </c>
      <c r="M1314" s="64" t="n">
        <v>9.1</v>
      </c>
      <c r="N1314" s="18" t="s">
        <v>1505</v>
      </c>
      <c r="O1314" s="65" t="n">
        <v>8654.6434</v>
      </c>
      <c r="P1314" s="65"/>
      <c r="Q1314" s="65"/>
      <c r="R1314" s="65" t="s">
        <v>232</v>
      </c>
      <c r="S1314" s="66" t="n">
        <f aca="false">Model_Calc!AG223</f>
        <v>8654.6433642041</v>
      </c>
      <c r="T1314" s="66" t="n">
        <f aca="false">ROUND(S1314-O1314,4)</f>
        <v>0</v>
      </c>
    </row>
    <row r="1315" customFormat="false" ht="15" hidden="false" customHeight="false" outlineLevel="0" collapsed="false">
      <c r="A1315" s="18" t="s">
        <v>203</v>
      </c>
      <c r="B1315" s="18" t="s">
        <v>204</v>
      </c>
      <c r="C1315" s="18"/>
      <c r="D1315" s="49" t="n">
        <v>46296</v>
      </c>
      <c r="E1315" s="18" t="s">
        <v>127</v>
      </c>
      <c r="F1315" s="18" t="s">
        <v>119</v>
      </c>
      <c r="G1315" s="18" t="s">
        <v>100</v>
      </c>
      <c r="H1315" s="18" t="s">
        <v>128</v>
      </c>
      <c r="I1315" s="18" t="s">
        <v>125</v>
      </c>
      <c r="J1315" s="18" t="s">
        <v>235</v>
      </c>
      <c r="K1315" s="18" t="s">
        <v>195</v>
      </c>
      <c r="L1315" s="64" t="n">
        <v>1830.32783002191</v>
      </c>
      <c r="M1315" s="64" t="n">
        <v>7.9</v>
      </c>
      <c r="N1315" s="18" t="s">
        <v>1494</v>
      </c>
      <c r="O1315" s="65" t="n">
        <v>14459.5899</v>
      </c>
      <c r="P1315" s="65"/>
      <c r="Q1315" s="65"/>
      <c r="R1315" s="65" t="s">
        <v>232</v>
      </c>
      <c r="S1315" s="66" t="n">
        <f aca="false">Model_Calc!AL223</f>
        <v>14459.5898571731</v>
      </c>
      <c r="T1315" s="66" t="n">
        <f aca="false">ROUND(S1315-O1315,4)</f>
        <v>0</v>
      </c>
    </row>
    <row r="1316" customFormat="false" ht="15" hidden="false" customHeight="false" outlineLevel="0" collapsed="false">
      <c r="A1316" s="18" t="s">
        <v>203</v>
      </c>
      <c r="B1316" s="18" t="s">
        <v>204</v>
      </c>
      <c r="C1316" s="18"/>
      <c r="D1316" s="49" t="n">
        <v>46296</v>
      </c>
      <c r="E1316" s="18" t="s">
        <v>127</v>
      </c>
      <c r="F1316" s="18" t="s">
        <v>119</v>
      </c>
      <c r="G1316" s="18" t="s">
        <v>100</v>
      </c>
      <c r="H1316" s="18" t="s">
        <v>128</v>
      </c>
      <c r="I1316" s="18" t="s">
        <v>125</v>
      </c>
      <c r="J1316" s="18" t="s">
        <v>237</v>
      </c>
      <c r="K1316" s="18" t="s">
        <v>195</v>
      </c>
      <c r="L1316" s="64" t="n">
        <v>685.51007616</v>
      </c>
      <c r="M1316" s="64" t="n">
        <v>7.9</v>
      </c>
      <c r="N1316" s="18" t="s">
        <v>1495</v>
      </c>
      <c r="O1316" s="65" t="n">
        <v>5415.5296</v>
      </c>
      <c r="P1316" s="65"/>
      <c r="Q1316" s="65"/>
      <c r="R1316" s="65" t="s">
        <v>232</v>
      </c>
      <c r="S1316" s="66" t="n">
        <f aca="false">Model_Calc!AQ223</f>
        <v>5415.529601664</v>
      </c>
      <c r="T1316" s="66" t="n">
        <f aca="false">ROUND(S1316-O1316,4)</f>
        <v>0</v>
      </c>
    </row>
    <row r="1317" customFormat="false" ht="15" hidden="false" customHeight="false" outlineLevel="0" collapsed="false">
      <c r="A1317" s="18" t="s">
        <v>203</v>
      </c>
      <c r="B1317" s="18" t="s">
        <v>204</v>
      </c>
      <c r="C1317" s="18"/>
      <c r="D1317" s="49" t="n">
        <v>46296</v>
      </c>
      <c r="E1317" s="18" t="s">
        <v>127</v>
      </c>
      <c r="F1317" s="18" t="s">
        <v>119</v>
      </c>
      <c r="G1317" s="18" t="s">
        <v>100</v>
      </c>
      <c r="H1317" s="18" t="s">
        <v>128</v>
      </c>
      <c r="I1317" s="18" t="s">
        <v>125</v>
      </c>
      <c r="J1317" s="18" t="s">
        <v>239</v>
      </c>
      <c r="K1317" s="18" t="s">
        <v>199</v>
      </c>
      <c r="L1317" s="64" t="n">
        <v>602.6462208</v>
      </c>
      <c r="M1317" s="64" t="n">
        <v>9.1</v>
      </c>
      <c r="N1317" s="18" t="s">
        <v>1496</v>
      </c>
      <c r="O1317" s="65" t="n">
        <v>5484.0806</v>
      </c>
      <c r="P1317" s="65"/>
      <c r="Q1317" s="65"/>
      <c r="R1317" s="65" t="s">
        <v>232</v>
      </c>
      <c r="S1317" s="66" t="n">
        <f aca="false">Model_Calc!AV223</f>
        <v>5484.08060928</v>
      </c>
      <c r="T1317" s="66" t="n">
        <f aca="false">ROUND(S1317-O1317,4)</f>
        <v>0</v>
      </c>
    </row>
    <row r="1318" customFormat="false" ht="15" hidden="false" customHeight="false" outlineLevel="0" collapsed="false">
      <c r="A1318" s="18" t="s">
        <v>203</v>
      </c>
      <c r="B1318" s="18" t="s">
        <v>204</v>
      </c>
      <c r="C1318" s="18"/>
      <c r="D1318" s="49" t="n">
        <v>46296</v>
      </c>
      <c r="E1318" s="18" t="s">
        <v>127</v>
      </c>
      <c r="F1318" s="18" t="s">
        <v>119</v>
      </c>
      <c r="G1318" s="18" t="s">
        <v>100</v>
      </c>
      <c r="H1318" s="18" t="s">
        <v>128</v>
      </c>
      <c r="I1318" s="18" t="s">
        <v>125</v>
      </c>
      <c r="J1318" s="18" t="s">
        <v>241</v>
      </c>
      <c r="K1318" s="18" t="s">
        <v>199</v>
      </c>
      <c r="L1318" s="64" t="n">
        <v>64.6338071808</v>
      </c>
      <c r="M1318" s="64" t="n">
        <v>9.1</v>
      </c>
      <c r="N1318" s="18" t="s">
        <v>1506</v>
      </c>
      <c r="O1318" s="65" t="n">
        <v>588.1676</v>
      </c>
      <c r="P1318" s="65"/>
      <c r="Q1318" s="65"/>
      <c r="R1318" s="65" t="s">
        <v>232</v>
      </c>
      <c r="S1318" s="66" t="n">
        <f aca="false">Model_Calc!BA223</f>
        <v>588.16764534528</v>
      </c>
      <c r="T1318" s="66" t="n">
        <f aca="false">ROUND(S1318-O1318,4)</f>
        <v>0</v>
      </c>
    </row>
    <row r="1319" customFormat="false" ht="15" hidden="false" customHeight="false" outlineLevel="0" collapsed="false">
      <c r="A1319" s="18" t="s">
        <v>203</v>
      </c>
      <c r="B1319" s="18" t="s">
        <v>204</v>
      </c>
      <c r="C1319" s="18"/>
      <c r="D1319" s="49" t="n">
        <v>46296</v>
      </c>
      <c r="E1319" s="18" t="s">
        <v>130</v>
      </c>
      <c r="F1319" s="18" t="s">
        <v>119</v>
      </c>
      <c r="G1319" s="18" t="s">
        <v>110</v>
      </c>
      <c r="H1319" s="18" t="s">
        <v>107</v>
      </c>
      <c r="I1319" s="18" t="s">
        <v>125</v>
      </c>
      <c r="J1319" s="18" t="s">
        <v>230</v>
      </c>
      <c r="K1319" s="18" t="s">
        <v>195</v>
      </c>
      <c r="L1319" s="64" t="n">
        <v>2112.33197280456</v>
      </c>
      <c r="M1319" s="64" t="n">
        <v>7.9</v>
      </c>
      <c r="N1319" s="18" t="s">
        <v>1507</v>
      </c>
      <c r="O1319" s="65" t="n">
        <v>16687.4226</v>
      </c>
      <c r="P1319" s="65"/>
      <c r="Q1319" s="65"/>
      <c r="R1319" s="65" t="s">
        <v>232</v>
      </c>
      <c r="S1319" s="66" t="n">
        <f aca="false">Model_Calc!AF224</f>
        <v>16687.422585156</v>
      </c>
      <c r="T1319" s="66" t="n">
        <f aca="false">ROUND(S1319-O1319,4)</f>
        <v>0</v>
      </c>
    </row>
    <row r="1320" customFormat="false" ht="15" hidden="false" customHeight="false" outlineLevel="0" collapsed="false">
      <c r="A1320" s="18" t="s">
        <v>203</v>
      </c>
      <c r="B1320" s="18" t="s">
        <v>204</v>
      </c>
      <c r="C1320" s="18"/>
      <c r="D1320" s="49" t="n">
        <v>46296</v>
      </c>
      <c r="E1320" s="18" t="s">
        <v>130</v>
      </c>
      <c r="F1320" s="18" t="s">
        <v>119</v>
      </c>
      <c r="G1320" s="18" t="s">
        <v>110</v>
      </c>
      <c r="H1320" s="18" t="s">
        <v>107</v>
      </c>
      <c r="I1320" s="18" t="s">
        <v>125</v>
      </c>
      <c r="J1320" s="18" t="s">
        <v>233</v>
      </c>
      <c r="K1320" s="18" t="s">
        <v>195</v>
      </c>
      <c r="L1320" s="64" t="n">
        <v>229.557677144536</v>
      </c>
      <c r="M1320" s="64" t="n">
        <v>7.9</v>
      </c>
      <c r="N1320" s="18" t="s">
        <v>1508</v>
      </c>
      <c r="O1320" s="65" t="n">
        <v>1813.5056</v>
      </c>
      <c r="P1320" s="65"/>
      <c r="Q1320" s="65"/>
      <c r="R1320" s="65" t="s">
        <v>232</v>
      </c>
      <c r="S1320" s="66" t="n">
        <f aca="false">Model_Calc!AG224</f>
        <v>1813.50564944183</v>
      </c>
      <c r="T1320" s="66" t="n">
        <f aca="false">ROUND(S1320-O1320,4)</f>
        <v>0</v>
      </c>
    </row>
    <row r="1321" customFormat="false" ht="15" hidden="false" customHeight="false" outlineLevel="0" collapsed="false">
      <c r="A1321" s="18" t="s">
        <v>203</v>
      </c>
      <c r="B1321" s="18" t="s">
        <v>204</v>
      </c>
      <c r="C1321" s="18"/>
      <c r="D1321" s="49" t="n">
        <v>46296</v>
      </c>
      <c r="E1321" s="18" t="s">
        <v>130</v>
      </c>
      <c r="F1321" s="18" t="s">
        <v>119</v>
      </c>
      <c r="G1321" s="18" t="s">
        <v>110</v>
      </c>
      <c r="H1321" s="18" t="s">
        <v>107</v>
      </c>
      <c r="I1321" s="18" t="s">
        <v>125</v>
      </c>
      <c r="J1321" s="18" t="s">
        <v>235</v>
      </c>
      <c r="K1321" s="18" t="s">
        <v>195</v>
      </c>
      <c r="L1321" s="64" t="n">
        <v>305.1594</v>
      </c>
      <c r="M1321" s="64" t="n">
        <v>7.9</v>
      </c>
      <c r="N1321" s="18" t="s">
        <v>1509</v>
      </c>
      <c r="O1321" s="65" t="n">
        <v>2410.7593</v>
      </c>
      <c r="P1321" s="65"/>
      <c r="Q1321" s="65"/>
      <c r="R1321" s="65" t="s">
        <v>232</v>
      </c>
      <c r="S1321" s="66" t="n">
        <f aca="false">Model_Calc!AL224</f>
        <v>2410.75926</v>
      </c>
      <c r="T1321" s="66" t="n">
        <f aca="false">ROUND(S1321-O1321,4)</f>
        <v>0</v>
      </c>
    </row>
    <row r="1322" customFormat="false" ht="15" hidden="false" customHeight="false" outlineLevel="0" collapsed="false">
      <c r="A1322" s="18" t="s">
        <v>203</v>
      </c>
      <c r="B1322" s="18" t="s">
        <v>204</v>
      </c>
      <c r="C1322" s="18"/>
      <c r="D1322" s="49" t="n">
        <v>46296</v>
      </c>
      <c r="E1322" s="18" t="s">
        <v>130</v>
      </c>
      <c r="F1322" s="18" t="s">
        <v>119</v>
      </c>
      <c r="G1322" s="18" t="s">
        <v>110</v>
      </c>
      <c r="H1322" s="18" t="s">
        <v>107</v>
      </c>
      <c r="I1322" s="18" t="s">
        <v>125</v>
      </c>
      <c r="J1322" s="18" t="s">
        <v>237</v>
      </c>
      <c r="K1322" s="18" t="s">
        <v>195</v>
      </c>
      <c r="L1322" s="64" t="n">
        <v>129.2132088</v>
      </c>
      <c r="M1322" s="64" t="n">
        <v>7.9</v>
      </c>
      <c r="N1322" s="18" t="s">
        <v>1510</v>
      </c>
      <c r="O1322" s="65" t="n">
        <v>1020.7843</v>
      </c>
      <c r="P1322" s="65"/>
      <c r="Q1322" s="65"/>
      <c r="R1322" s="65" t="s">
        <v>232</v>
      </c>
      <c r="S1322" s="66" t="n">
        <f aca="false">Model_Calc!AQ224</f>
        <v>1020.78434952</v>
      </c>
      <c r="T1322" s="66" t="n">
        <f aca="false">ROUND(S1322-O1322,4)</f>
        <v>0</v>
      </c>
    </row>
    <row r="1323" customFormat="false" ht="15" hidden="false" customHeight="false" outlineLevel="0" collapsed="false">
      <c r="A1323" s="18" t="s">
        <v>203</v>
      </c>
      <c r="B1323" s="18" t="s">
        <v>204</v>
      </c>
      <c r="C1323" s="18"/>
      <c r="D1323" s="49" t="n">
        <v>46296</v>
      </c>
      <c r="E1323" s="18" t="s">
        <v>130</v>
      </c>
      <c r="F1323" s="18" t="s">
        <v>119</v>
      </c>
      <c r="G1323" s="18" t="s">
        <v>110</v>
      </c>
      <c r="H1323" s="18" t="s">
        <v>107</v>
      </c>
      <c r="I1323" s="18" t="s">
        <v>125</v>
      </c>
      <c r="J1323" s="18" t="s">
        <v>239</v>
      </c>
      <c r="K1323" s="18" t="s">
        <v>195</v>
      </c>
      <c r="L1323" s="64" t="n">
        <v>136.013904</v>
      </c>
      <c r="M1323" s="64" t="n">
        <v>7.9</v>
      </c>
      <c r="N1323" s="18" t="s">
        <v>1511</v>
      </c>
      <c r="O1323" s="65" t="n">
        <v>1074.5098</v>
      </c>
      <c r="P1323" s="65"/>
      <c r="Q1323" s="65"/>
      <c r="R1323" s="65" t="s">
        <v>232</v>
      </c>
      <c r="S1323" s="66" t="n">
        <f aca="false">Model_Calc!AV224</f>
        <v>1074.5098416</v>
      </c>
      <c r="T1323" s="66" t="n">
        <f aca="false">ROUND(S1323-O1323,4)</f>
        <v>0</v>
      </c>
    </row>
    <row r="1324" customFormat="false" ht="15" hidden="false" customHeight="false" outlineLevel="0" collapsed="false">
      <c r="A1324" s="18" t="s">
        <v>203</v>
      </c>
      <c r="B1324" s="18" t="s">
        <v>204</v>
      </c>
      <c r="C1324" s="18"/>
      <c r="D1324" s="49" t="n">
        <v>46296</v>
      </c>
      <c r="E1324" s="18" t="s">
        <v>130</v>
      </c>
      <c r="F1324" s="18" t="s">
        <v>119</v>
      </c>
      <c r="G1324" s="18" t="s">
        <v>110</v>
      </c>
      <c r="H1324" s="18" t="s">
        <v>107</v>
      </c>
      <c r="I1324" s="18" t="s">
        <v>125</v>
      </c>
      <c r="J1324" s="18" t="s">
        <v>241</v>
      </c>
      <c r="K1324" s="18" t="s">
        <v>195</v>
      </c>
      <c r="L1324" s="64" t="n">
        <v>13.329362592</v>
      </c>
      <c r="M1324" s="64" t="n">
        <v>7.9</v>
      </c>
      <c r="N1324" s="18" t="s">
        <v>1512</v>
      </c>
      <c r="O1324" s="65" t="n">
        <v>105.302</v>
      </c>
      <c r="P1324" s="65"/>
      <c r="Q1324" s="65"/>
      <c r="R1324" s="65" t="s">
        <v>232</v>
      </c>
      <c r="S1324" s="66" t="n">
        <f aca="false">Model_Calc!BA224</f>
        <v>105.3019644768</v>
      </c>
      <c r="T1324" s="66" t="n">
        <f aca="false">ROUND(S1324-O1324,4)</f>
        <v>0</v>
      </c>
    </row>
    <row r="1325" customFormat="false" ht="15" hidden="false" customHeight="false" outlineLevel="0" collapsed="false">
      <c r="A1325" s="18" t="s">
        <v>203</v>
      </c>
      <c r="B1325" s="18" t="s">
        <v>204</v>
      </c>
      <c r="C1325" s="18"/>
      <c r="D1325" s="49" t="n">
        <v>46327</v>
      </c>
      <c r="E1325" s="18" t="s">
        <v>98</v>
      </c>
      <c r="F1325" s="18" t="s">
        <v>99</v>
      </c>
      <c r="G1325" s="18" t="s">
        <v>100</v>
      </c>
      <c r="H1325" s="18" t="s">
        <v>101</v>
      </c>
      <c r="I1325" s="18" t="s">
        <v>102</v>
      </c>
      <c r="J1325" s="18" t="s">
        <v>230</v>
      </c>
      <c r="K1325" s="18" t="s">
        <v>195</v>
      </c>
      <c r="L1325" s="64" t="n">
        <v>8699.47310808576</v>
      </c>
      <c r="M1325" s="64" t="n">
        <v>7.88</v>
      </c>
      <c r="N1325" s="18" t="s">
        <v>1513</v>
      </c>
      <c r="O1325" s="65" t="n">
        <v>68551.8481</v>
      </c>
      <c r="P1325" s="65"/>
      <c r="Q1325" s="65"/>
      <c r="R1325" s="65" t="s">
        <v>232</v>
      </c>
      <c r="S1325" s="66" t="n">
        <f aca="false">Model_Calc!AF225</f>
        <v>68551.8480917158</v>
      </c>
      <c r="T1325" s="66" t="n">
        <f aca="false">ROUND(S1325-O1325,4)</f>
        <v>0</v>
      </c>
    </row>
    <row r="1326" customFormat="false" ht="15" hidden="false" customHeight="false" outlineLevel="0" collapsed="false">
      <c r="A1326" s="18" t="s">
        <v>203</v>
      </c>
      <c r="B1326" s="18" t="s">
        <v>204</v>
      </c>
      <c r="C1326" s="18"/>
      <c r="D1326" s="49" t="n">
        <v>46327</v>
      </c>
      <c r="E1326" s="18" t="s">
        <v>98</v>
      </c>
      <c r="F1326" s="18" t="s">
        <v>99</v>
      </c>
      <c r="G1326" s="18" t="s">
        <v>100</v>
      </c>
      <c r="H1326" s="18" t="s">
        <v>101</v>
      </c>
      <c r="I1326" s="18" t="s">
        <v>102</v>
      </c>
      <c r="J1326" s="18" t="s">
        <v>233</v>
      </c>
      <c r="K1326" s="18" t="s">
        <v>195</v>
      </c>
      <c r="L1326" s="64" t="n">
        <v>855.375693352532</v>
      </c>
      <c r="M1326" s="64" t="n">
        <v>7.88</v>
      </c>
      <c r="N1326" s="18" t="s">
        <v>1514</v>
      </c>
      <c r="O1326" s="65" t="n">
        <v>6740.3605</v>
      </c>
      <c r="P1326" s="65"/>
      <c r="Q1326" s="65"/>
      <c r="R1326" s="65" t="s">
        <v>232</v>
      </c>
      <c r="S1326" s="66" t="n">
        <f aca="false">Model_Calc!AG225</f>
        <v>6740.36046361795</v>
      </c>
      <c r="T1326" s="66" t="n">
        <f aca="false">ROUND(S1326-O1326,4)</f>
        <v>0</v>
      </c>
    </row>
    <row r="1327" customFormat="false" ht="15" hidden="false" customHeight="false" outlineLevel="0" collapsed="false">
      <c r="A1327" s="18" t="s">
        <v>203</v>
      </c>
      <c r="B1327" s="18" t="s">
        <v>204</v>
      </c>
      <c r="C1327" s="18"/>
      <c r="D1327" s="49" t="n">
        <v>46327</v>
      </c>
      <c r="E1327" s="18" t="s">
        <v>98</v>
      </c>
      <c r="F1327" s="18" t="s">
        <v>99</v>
      </c>
      <c r="G1327" s="18" t="s">
        <v>100</v>
      </c>
      <c r="H1327" s="18" t="s">
        <v>101</v>
      </c>
      <c r="I1327" s="18" t="s">
        <v>102</v>
      </c>
      <c r="J1327" s="18" t="s">
        <v>235</v>
      </c>
      <c r="K1327" s="18" t="s">
        <v>195</v>
      </c>
      <c r="L1327" s="64" t="n">
        <v>5858.45191105794</v>
      </c>
      <c r="M1327" s="64" t="n">
        <v>7.88</v>
      </c>
      <c r="N1327" s="18" t="s">
        <v>1515</v>
      </c>
      <c r="O1327" s="65" t="n">
        <v>46164.6011</v>
      </c>
      <c r="P1327" s="65"/>
      <c r="Q1327" s="65"/>
      <c r="R1327" s="65" t="s">
        <v>232</v>
      </c>
      <c r="S1327" s="66" t="n">
        <f aca="false">Model_Calc!AL225</f>
        <v>46164.6010591366</v>
      </c>
      <c r="T1327" s="66" t="n">
        <f aca="false">ROUND(S1327-O1327,4)</f>
        <v>0</v>
      </c>
    </row>
    <row r="1328" customFormat="false" ht="15" hidden="false" customHeight="false" outlineLevel="0" collapsed="false">
      <c r="A1328" s="18" t="s">
        <v>203</v>
      </c>
      <c r="B1328" s="18" t="s">
        <v>204</v>
      </c>
      <c r="C1328" s="18"/>
      <c r="D1328" s="49" t="n">
        <v>46327</v>
      </c>
      <c r="E1328" s="18" t="s">
        <v>98</v>
      </c>
      <c r="F1328" s="18" t="s">
        <v>99</v>
      </c>
      <c r="G1328" s="18" t="s">
        <v>100</v>
      </c>
      <c r="H1328" s="18" t="s">
        <v>101</v>
      </c>
      <c r="I1328" s="18" t="s">
        <v>102</v>
      </c>
      <c r="J1328" s="18" t="s">
        <v>237</v>
      </c>
      <c r="K1328" s="18" t="s">
        <v>195</v>
      </c>
      <c r="L1328" s="64" t="n">
        <v>2108.16006912</v>
      </c>
      <c r="M1328" s="64" t="n">
        <v>7.88</v>
      </c>
      <c r="N1328" s="18" t="s">
        <v>1516</v>
      </c>
      <c r="O1328" s="65" t="n">
        <v>16612.3013</v>
      </c>
      <c r="P1328" s="65"/>
      <c r="Q1328" s="65"/>
      <c r="R1328" s="65" t="s">
        <v>232</v>
      </c>
      <c r="S1328" s="66" t="n">
        <f aca="false">Model_Calc!AQ225</f>
        <v>16612.3013446656</v>
      </c>
      <c r="T1328" s="66" t="n">
        <f aca="false">ROUND(S1328-O1328,4)</f>
        <v>0</v>
      </c>
    </row>
    <row r="1329" customFormat="false" ht="15" hidden="false" customHeight="false" outlineLevel="0" collapsed="false">
      <c r="A1329" s="18" t="s">
        <v>203</v>
      </c>
      <c r="B1329" s="18" t="s">
        <v>204</v>
      </c>
      <c r="C1329" s="18"/>
      <c r="D1329" s="49" t="n">
        <v>46327</v>
      </c>
      <c r="E1329" s="18" t="s">
        <v>98</v>
      </c>
      <c r="F1329" s="18" t="s">
        <v>99</v>
      </c>
      <c r="G1329" s="18" t="s">
        <v>100</v>
      </c>
      <c r="H1329" s="18" t="s">
        <v>101</v>
      </c>
      <c r="I1329" s="18" t="s">
        <v>102</v>
      </c>
      <c r="J1329" s="18" t="s">
        <v>239</v>
      </c>
      <c r="K1329" s="18" t="s">
        <v>195</v>
      </c>
      <c r="L1329" s="64" t="n">
        <v>764.8653312</v>
      </c>
      <c r="M1329" s="64" t="n">
        <v>7.88</v>
      </c>
      <c r="N1329" s="18" t="s">
        <v>1517</v>
      </c>
      <c r="O1329" s="65" t="n">
        <v>6027.1388</v>
      </c>
      <c r="P1329" s="65"/>
      <c r="Q1329" s="65"/>
      <c r="R1329" s="65" t="s">
        <v>232</v>
      </c>
      <c r="S1329" s="66" t="n">
        <f aca="false">Model_Calc!AV225</f>
        <v>6027.138809856</v>
      </c>
      <c r="T1329" s="66" t="n">
        <f aca="false">ROUND(S1329-O1329,4)</f>
        <v>0</v>
      </c>
    </row>
    <row r="1330" customFormat="false" ht="15" hidden="false" customHeight="false" outlineLevel="0" collapsed="false">
      <c r="A1330" s="18" t="s">
        <v>203</v>
      </c>
      <c r="B1330" s="18" t="s">
        <v>204</v>
      </c>
      <c r="C1330" s="18"/>
      <c r="D1330" s="49" t="n">
        <v>46327</v>
      </c>
      <c r="E1330" s="18" t="s">
        <v>98</v>
      </c>
      <c r="F1330" s="18" t="s">
        <v>99</v>
      </c>
      <c r="G1330" s="18" t="s">
        <v>100</v>
      </c>
      <c r="H1330" s="18" t="s">
        <v>101</v>
      </c>
      <c r="I1330" s="18" t="s">
        <v>102</v>
      </c>
      <c r="J1330" s="18" t="s">
        <v>241</v>
      </c>
      <c r="K1330" s="18" t="s">
        <v>195</v>
      </c>
      <c r="L1330" s="64" t="n">
        <v>184.7149774848</v>
      </c>
      <c r="M1330" s="64" t="n">
        <v>7.88</v>
      </c>
      <c r="N1330" s="18" t="s">
        <v>1518</v>
      </c>
      <c r="O1330" s="65" t="n">
        <v>1455.554</v>
      </c>
      <c r="P1330" s="65"/>
      <c r="Q1330" s="65"/>
      <c r="R1330" s="65" t="s">
        <v>232</v>
      </c>
      <c r="S1330" s="66" t="n">
        <f aca="false">Model_Calc!BA225</f>
        <v>1455.55402258022</v>
      </c>
      <c r="T1330" s="66" t="n">
        <f aca="false">ROUND(S1330-O1330,4)</f>
        <v>0</v>
      </c>
    </row>
    <row r="1331" customFormat="false" ht="15" hidden="false" customHeight="false" outlineLevel="0" collapsed="false">
      <c r="A1331" s="18" t="s">
        <v>203</v>
      </c>
      <c r="B1331" s="18" t="s">
        <v>204</v>
      </c>
      <c r="C1331" s="18"/>
      <c r="D1331" s="49" t="n">
        <v>46327</v>
      </c>
      <c r="E1331" s="18" t="s">
        <v>106</v>
      </c>
      <c r="F1331" s="18" t="s">
        <v>99</v>
      </c>
      <c r="G1331" s="18" t="s">
        <v>100</v>
      </c>
      <c r="H1331" s="18" t="s">
        <v>107</v>
      </c>
      <c r="I1331" s="18" t="s">
        <v>102</v>
      </c>
      <c r="J1331" s="18" t="s">
        <v>230</v>
      </c>
      <c r="K1331" s="18" t="s">
        <v>195</v>
      </c>
      <c r="L1331" s="64" t="n">
        <v>7435.447100928</v>
      </c>
      <c r="M1331" s="64" t="n">
        <v>7.88</v>
      </c>
      <c r="N1331" s="18" t="s">
        <v>1519</v>
      </c>
      <c r="O1331" s="65" t="n">
        <v>58591.3232</v>
      </c>
      <c r="P1331" s="65"/>
      <c r="Q1331" s="65"/>
      <c r="R1331" s="65" t="s">
        <v>232</v>
      </c>
      <c r="S1331" s="66" t="n">
        <f aca="false">Model_Calc!AF226</f>
        <v>58591.3231553126</v>
      </c>
      <c r="T1331" s="66" t="n">
        <f aca="false">ROUND(S1331-O1331,4)</f>
        <v>0</v>
      </c>
    </row>
    <row r="1332" customFormat="false" ht="15" hidden="false" customHeight="false" outlineLevel="0" collapsed="false">
      <c r="A1332" s="18" t="s">
        <v>203</v>
      </c>
      <c r="B1332" s="18" t="s">
        <v>204</v>
      </c>
      <c r="C1332" s="18"/>
      <c r="D1332" s="49" t="n">
        <v>46327</v>
      </c>
      <c r="E1332" s="18" t="s">
        <v>106</v>
      </c>
      <c r="F1332" s="18" t="s">
        <v>99</v>
      </c>
      <c r="G1332" s="18" t="s">
        <v>100</v>
      </c>
      <c r="H1332" s="18" t="s">
        <v>107</v>
      </c>
      <c r="I1332" s="18" t="s">
        <v>102</v>
      </c>
      <c r="J1332" s="18" t="s">
        <v>233</v>
      </c>
      <c r="K1332" s="18" t="s">
        <v>195</v>
      </c>
      <c r="L1332" s="64" t="n">
        <v>567.79777861632</v>
      </c>
      <c r="M1332" s="64" t="n">
        <v>7.88</v>
      </c>
      <c r="N1332" s="18" t="s">
        <v>1520</v>
      </c>
      <c r="O1332" s="65" t="n">
        <v>4474.2465</v>
      </c>
      <c r="P1332" s="65"/>
      <c r="Q1332" s="65"/>
      <c r="R1332" s="65" t="s">
        <v>232</v>
      </c>
      <c r="S1332" s="66" t="n">
        <f aca="false">Model_Calc!AG226</f>
        <v>4474.2464954966</v>
      </c>
      <c r="T1332" s="66" t="n">
        <f aca="false">ROUND(S1332-O1332,4)</f>
        <v>0</v>
      </c>
    </row>
    <row r="1333" customFormat="false" ht="15" hidden="false" customHeight="false" outlineLevel="0" collapsed="false">
      <c r="A1333" s="18" t="s">
        <v>203</v>
      </c>
      <c r="B1333" s="18" t="s">
        <v>204</v>
      </c>
      <c r="C1333" s="18"/>
      <c r="D1333" s="49" t="n">
        <v>46327</v>
      </c>
      <c r="E1333" s="18" t="s">
        <v>106</v>
      </c>
      <c r="F1333" s="18" t="s">
        <v>99</v>
      </c>
      <c r="G1333" s="18" t="s">
        <v>100</v>
      </c>
      <c r="H1333" s="18" t="s">
        <v>107</v>
      </c>
      <c r="I1333" s="18" t="s">
        <v>102</v>
      </c>
      <c r="J1333" s="18" t="s">
        <v>235</v>
      </c>
      <c r="K1333" s="18" t="s">
        <v>195</v>
      </c>
      <c r="L1333" s="64" t="n">
        <v>3905.63460737196</v>
      </c>
      <c r="M1333" s="64" t="n">
        <v>7.88</v>
      </c>
      <c r="N1333" s="18" t="s">
        <v>1521</v>
      </c>
      <c r="O1333" s="65" t="n">
        <v>30776.4007</v>
      </c>
      <c r="P1333" s="65"/>
      <c r="Q1333" s="65"/>
      <c r="R1333" s="65" t="s">
        <v>232</v>
      </c>
      <c r="S1333" s="66" t="n">
        <f aca="false">Model_Calc!AL226</f>
        <v>30776.4007060911</v>
      </c>
      <c r="T1333" s="66" t="n">
        <f aca="false">ROUND(S1333-O1333,4)</f>
        <v>0</v>
      </c>
    </row>
    <row r="1334" customFormat="false" ht="15" hidden="false" customHeight="false" outlineLevel="0" collapsed="false">
      <c r="A1334" s="18" t="s">
        <v>203</v>
      </c>
      <c r="B1334" s="18" t="s">
        <v>204</v>
      </c>
      <c r="C1334" s="18"/>
      <c r="D1334" s="49" t="n">
        <v>46327</v>
      </c>
      <c r="E1334" s="18" t="s">
        <v>106</v>
      </c>
      <c r="F1334" s="18" t="s">
        <v>99</v>
      </c>
      <c r="G1334" s="18" t="s">
        <v>100</v>
      </c>
      <c r="H1334" s="18" t="s">
        <v>107</v>
      </c>
      <c r="I1334" s="18" t="s">
        <v>102</v>
      </c>
      <c r="J1334" s="18" t="s">
        <v>237</v>
      </c>
      <c r="K1334" s="18" t="s">
        <v>195</v>
      </c>
      <c r="L1334" s="64" t="n">
        <v>1405.44004608</v>
      </c>
      <c r="M1334" s="64" t="n">
        <v>7.88</v>
      </c>
      <c r="N1334" s="18" t="s">
        <v>1522</v>
      </c>
      <c r="O1334" s="65" t="n">
        <v>11074.8676</v>
      </c>
      <c r="P1334" s="65"/>
      <c r="Q1334" s="65"/>
      <c r="R1334" s="65" t="s">
        <v>232</v>
      </c>
      <c r="S1334" s="66" t="n">
        <f aca="false">Model_Calc!AQ226</f>
        <v>11074.8675631104</v>
      </c>
      <c r="T1334" s="66" t="n">
        <f aca="false">ROUND(S1334-O1334,4)</f>
        <v>0</v>
      </c>
    </row>
    <row r="1335" customFormat="false" ht="15" hidden="false" customHeight="false" outlineLevel="0" collapsed="false">
      <c r="A1335" s="18" t="s">
        <v>203</v>
      </c>
      <c r="B1335" s="18" t="s">
        <v>204</v>
      </c>
      <c r="C1335" s="18"/>
      <c r="D1335" s="49" t="n">
        <v>46327</v>
      </c>
      <c r="E1335" s="18" t="s">
        <v>106</v>
      </c>
      <c r="F1335" s="18" t="s">
        <v>99</v>
      </c>
      <c r="G1335" s="18" t="s">
        <v>100</v>
      </c>
      <c r="H1335" s="18" t="s">
        <v>107</v>
      </c>
      <c r="I1335" s="18" t="s">
        <v>102</v>
      </c>
      <c r="J1335" s="18" t="s">
        <v>239</v>
      </c>
      <c r="K1335" s="18" t="s">
        <v>195</v>
      </c>
      <c r="L1335" s="64" t="n">
        <v>509.9102208</v>
      </c>
      <c r="M1335" s="64" t="n">
        <v>7.88</v>
      </c>
      <c r="N1335" s="18" t="s">
        <v>1523</v>
      </c>
      <c r="O1335" s="65" t="n">
        <v>4018.0925</v>
      </c>
      <c r="P1335" s="65"/>
      <c r="Q1335" s="65"/>
      <c r="R1335" s="65" t="s">
        <v>232</v>
      </c>
      <c r="S1335" s="66" t="n">
        <f aca="false">Model_Calc!AV226</f>
        <v>4018.092539904</v>
      </c>
      <c r="T1335" s="66" t="n">
        <f aca="false">ROUND(S1335-O1335,4)</f>
        <v>0</v>
      </c>
    </row>
    <row r="1336" customFormat="false" ht="15" hidden="false" customHeight="false" outlineLevel="0" collapsed="false">
      <c r="A1336" s="18" t="s">
        <v>203</v>
      </c>
      <c r="B1336" s="18" t="s">
        <v>204</v>
      </c>
      <c r="C1336" s="18"/>
      <c r="D1336" s="49" t="n">
        <v>46327</v>
      </c>
      <c r="E1336" s="18" t="s">
        <v>106</v>
      </c>
      <c r="F1336" s="18" t="s">
        <v>99</v>
      </c>
      <c r="G1336" s="18" t="s">
        <v>100</v>
      </c>
      <c r="H1336" s="18" t="s">
        <v>107</v>
      </c>
      <c r="I1336" s="18" t="s">
        <v>102</v>
      </c>
      <c r="J1336" s="18" t="s">
        <v>241</v>
      </c>
      <c r="K1336" s="18" t="s">
        <v>195</v>
      </c>
      <c r="L1336" s="64" t="n">
        <v>100.0539461376</v>
      </c>
      <c r="M1336" s="64" t="n">
        <v>7.88</v>
      </c>
      <c r="N1336" s="18" t="s">
        <v>1524</v>
      </c>
      <c r="O1336" s="65" t="n">
        <v>788.4251</v>
      </c>
      <c r="P1336" s="65"/>
      <c r="Q1336" s="65"/>
      <c r="R1336" s="65" t="s">
        <v>232</v>
      </c>
      <c r="S1336" s="66" t="n">
        <f aca="false">Model_Calc!BA226</f>
        <v>788.425095564288</v>
      </c>
      <c r="T1336" s="66" t="n">
        <f aca="false">ROUND(S1336-O1336,4)</f>
        <v>0</v>
      </c>
    </row>
    <row r="1337" customFormat="false" ht="15" hidden="false" customHeight="false" outlineLevel="0" collapsed="false">
      <c r="A1337" s="18" t="s">
        <v>203</v>
      </c>
      <c r="B1337" s="18" t="s">
        <v>204</v>
      </c>
      <c r="C1337" s="18"/>
      <c r="D1337" s="49" t="n">
        <v>46327</v>
      </c>
      <c r="E1337" s="18" t="s">
        <v>109</v>
      </c>
      <c r="F1337" s="18" t="s">
        <v>99</v>
      </c>
      <c r="G1337" s="18" t="s">
        <v>110</v>
      </c>
      <c r="H1337" s="18" t="s">
        <v>107</v>
      </c>
      <c r="I1337" s="18" t="s">
        <v>102</v>
      </c>
      <c r="J1337" s="18" t="s">
        <v>230</v>
      </c>
      <c r="K1337" s="18" t="s">
        <v>195</v>
      </c>
      <c r="L1337" s="64" t="n">
        <v>762.81773939712</v>
      </c>
      <c r="M1337" s="64" t="n">
        <v>7.88</v>
      </c>
      <c r="N1337" s="18" t="s">
        <v>1525</v>
      </c>
      <c r="O1337" s="65" t="n">
        <v>6011.0038</v>
      </c>
      <c r="P1337" s="65"/>
      <c r="Q1337" s="65"/>
      <c r="R1337" s="65" t="s">
        <v>232</v>
      </c>
      <c r="S1337" s="66" t="n">
        <f aca="false">Model_Calc!AF227</f>
        <v>6011.00378644931</v>
      </c>
      <c r="T1337" s="66" t="n">
        <f aca="false">ROUND(S1337-O1337,4)</f>
        <v>0</v>
      </c>
    </row>
    <row r="1338" customFormat="false" ht="15" hidden="false" customHeight="false" outlineLevel="0" collapsed="false">
      <c r="A1338" s="18" t="s">
        <v>203</v>
      </c>
      <c r="B1338" s="18" t="s">
        <v>204</v>
      </c>
      <c r="C1338" s="18"/>
      <c r="D1338" s="49" t="n">
        <v>46327</v>
      </c>
      <c r="E1338" s="18" t="s">
        <v>109</v>
      </c>
      <c r="F1338" s="18" t="s">
        <v>99</v>
      </c>
      <c r="G1338" s="18" t="s">
        <v>110</v>
      </c>
      <c r="H1338" s="18" t="s">
        <v>107</v>
      </c>
      <c r="I1338" s="18" t="s">
        <v>102</v>
      </c>
      <c r="J1338" s="18" t="s">
        <v>233</v>
      </c>
      <c r="K1338" s="18" t="s">
        <v>195</v>
      </c>
      <c r="L1338" s="64" t="n">
        <v>55.477653774336</v>
      </c>
      <c r="M1338" s="64" t="n">
        <v>7.88</v>
      </c>
      <c r="N1338" s="18" t="s">
        <v>1526</v>
      </c>
      <c r="O1338" s="65" t="n">
        <v>437.1639</v>
      </c>
      <c r="P1338" s="65"/>
      <c r="Q1338" s="65"/>
      <c r="R1338" s="65" t="s">
        <v>232</v>
      </c>
      <c r="S1338" s="66" t="n">
        <f aca="false">Model_Calc!AG227</f>
        <v>437.163911741768</v>
      </c>
      <c r="T1338" s="66" t="n">
        <f aca="false">ROUND(S1338-O1338,4)</f>
        <v>0</v>
      </c>
    </row>
    <row r="1339" customFormat="false" ht="15" hidden="false" customHeight="false" outlineLevel="0" collapsed="false">
      <c r="A1339" s="18" t="s">
        <v>203</v>
      </c>
      <c r="B1339" s="18" t="s">
        <v>204</v>
      </c>
      <c r="C1339" s="18"/>
      <c r="D1339" s="49" t="n">
        <v>46327</v>
      </c>
      <c r="E1339" s="18" t="s">
        <v>109</v>
      </c>
      <c r="F1339" s="18" t="s">
        <v>99</v>
      </c>
      <c r="G1339" s="18" t="s">
        <v>110</v>
      </c>
      <c r="H1339" s="18" t="s">
        <v>107</v>
      </c>
      <c r="I1339" s="18" t="s">
        <v>102</v>
      </c>
      <c r="J1339" s="18" t="s">
        <v>235</v>
      </c>
      <c r="K1339" s="18" t="s">
        <v>195</v>
      </c>
      <c r="L1339" s="64" t="n">
        <v>258.73344</v>
      </c>
      <c r="M1339" s="64" t="n">
        <v>7.88</v>
      </c>
      <c r="N1339" s="18" t="s">
        <v>1527</v>
      </c>
      <c r="O1339" s="65" t="n">
        <v>2038.8195</v>
      </c>
      <c r="P1339" s="65"/>
      <c r="Q1339" s="65"/>
      <c r="R1339" s="65" t="s">
        <v>232</v>
      </c>
      <c r="S1339" s="66" t="n">
        <f aca="false">Model_Calc!AL227</f>
        <v>2038.8195072</v>
      </c>
      <c r="T1339" s="66" t="n">
        <f aca="false">ROUND(S1339-O1339,4)</f>
        <v>0</v>
      </c>
    </row>
    <row r="1340" customFormat="false" ht="15" hidden="false" customHeight="false" outlineLevel="0" collapsed="false">
      <c r="A1340" s="18" t="s">
        <v>203</v>
      </c>
      <c r="B1340" s="18" t="s">
        <v>204</v>
      </c>
      <c r="C1340" s="18"/>
      <c r="D1340" s="49" t="n">
        <v>46327</v>
      </c>
      <c r="E1340" s="18" t="s">
        <v>109</v>
      </c>
      <c r="F1340" s="18" t="s">
        <v>99</v>
      </c>
      <c r="G1340" s="18" t="s">
        <v>110</v>
      </c>
      <c r="H1340" s="18" t="s">
        <v>107</v>
      </c>
      <c r="I1340" s="18" t="s">
        <v>102</v>
      </c>
      <c r="J1340" s="18" t="s">
        <v>237</v>
      </c>
      <c r="K1340" s="18" t="s">
        <v>195</v>
      </c>
      <c r="L1340" s="64" t="n">
        <v>101.12781312</v>
      </c>
      <c r="M1340" s="64" t="n">
        <v>7.88</v>
      </c>
      <c r="N1340" s="18" t="s">
        <v>1528</v>
      </c>
      <c r="O1340" s="65" t="n">
        <v>796.8872</v>
      </c>
      <c r="P1340" s="65"/>
      <c r="Q1340" s="65"/>
      <c r="R1340" s="65" t="s">
        <v>232</v>
      </c>
      <c r="S1340" s="66" t="n">
        <f aca="false">Model_Calc!AQ227</f>
        <v>796.8871673856</v>
      </c>
      <c r="T1340" s="66" t="n">
        <f aca="false">ROUND(S1340-O1340,4)</f>
        <v>0</v>
      </c>
    </row>
    <row r="1341" customFormat="false" ht="15" hidden="false" customHeight="false" outlineLevel="0" collapsed="false">
      <c r="A1341" s="18" t="s">
        <v>203</v>
      </c>
      <c r="B1341" s="18" t="s">
        <v>204</v>
      </c>
      <c r="C1341" s="18"/>
      <c r="D1341" s="49" t="n">
        <v>46327</v>
      </c>
      <c r="E1341" s="18" t="s">
        <v>109</v>
      </c>
      <c r="F1341" s="18" t="s">
        <v>99</v>
      </c>
      <c r="G1341" s="18" t="s">
        <v>110</v>
      </c>
      <c r="H1341" s="18" t="s">
        <v>107</v>
      </c>
      <c r="I1341" s="18" t="s">
        <v>102</v>
      </c>
      <c r="J1341" s="18" t="s">
        <v>239</v>
      </c>
      <c r="K1341" s="18" t="s">
        <v>195</v>
      </c>
      <c r="L1341" s="64" t="n">
        <v>46.818432</v>
      </c>
      <c r="M1341" s="64" t="n">
        <v>7.88</v>
      </c>
      <c r="N1341" s="18" t="s">
        <v>1529</v>
      </c>
      <c r="O1341" s="65" t="n">
        <v>368.9292</v>
      </c>
      <c r="P1341" s="65"/>
      <c r="Q1341" s="65"/>
      <c r="R1341" s="65" t="s">
        <v>232</v>
      </c>
      <c r="S1341" s="66" t="n">
        <f aca="false">Model_Calc!AV227</f>
        <v>368.92924416</v>
      </c>
      <c r="T1341" s="66" t="n">
        <f aca="false">ROUND(S1341-O1341,4)</f>
        <v>0</v>
      </c>
    </row>
    <row r="1342" customFormat="false" ht="15" hidden="false" customHeight="false" outlineLevel="0" collapsed="false">
      <c r="A1342" s="18" t="s">
        <v>203</v>
      </c>
      <c r="B1342" s="18" t="s">
        <v>204</v>
      </c>
      <c r="C1342" s="18"/>
      <c r="D1342" s="49" t="n">
        <v>46327</v>
      </c>
      <c r="E1342" s="18" t="s">
        <v>109</v>
      </c>
      <c r="F1342" s="18" t="s">
        <v>99</v>
      </c>
      <c r="G1342" s="18" t="s">
        <v>110</v>
      </c>
      <c r="H1342" s="18" t="s">
        <v>107</v>
      </c>
      <c r="I1342" s="18" t="s">
        <v>102</v>
      </c>
      <c r="J1342" s="18" t="s">
        <v>241</v>
      </c>
      <c r="K1342" s="18" t="s">
        <v>195</v>
      </c>
      <c r="L1342" s="64" t="n">
        <v>8.5692515328</v>
      </c>
      <c r="M1342" s="64" t="n">
        <v>7.88</v>
      </c>
      <c r="N1342" s="18" t="s">
        <v>1530</v>
      </c>
      <c r="O1342" s="65" t="n">
        <v>67.5257</v>
      </c>
      <c r="P1342" s="65"/>
      <c r="Q1342" s="65"/>
      <c r="R1342" s="65" t="s">
        <v>232</v>
      </c>
      <c r="S1342" s="66" t="n">
        <f aca="false">Model_Calc!BA227</f>
        <v>67.525702078464</v>
      </c>
      <c r="T1342" s="66" t="n">
        <f aca="false">ROUND(S1342-O1342,4)</f>
        <v>0</v>
      </c>
    </row>
    <row r="1343" customFormat="false" ht="15" hidden="false" customHeight="false" outlineLevel="0" collapsed="false">
      <c r="A1343" s="18" t="s">
        <v>203</v>
      </c>
      <c r="B1343" s="18" t="s">
        <v>204</v>
      </c>
      <c r="C1343" s="18"/>
      <c r="D1343" s="49" t="n">
        <v>46327</v>
      </c>
      <c r="E1343" s="18" t="s">
        <v>112</v>
      </c>
      <c r="F1343" s="18" t="s">
        <v>113</v>
      </c>
      <c r="G1343" s="18" t="s">
        <v>110</v>
      </c>
      <c r="H1343" s="18" t="s">
        <v>101</v>
      </c>
      <c r="I1343" s="18" t="s">
        <v>102</v>
      </c>
      <c r="J1343" s="18" t="s">
        <v>230</v>
      </c>
      <c r="K1343" s="18" t="s">
        <v>195</v>
      </c>
      <c r="L1343" s="64" t="n">
        <v>4451.6211686352</v>
      </c>
      <c r="M1343" s="64" t="n">
        <v>7.88</v>
      </c>
      <c r="N1343" s="18" t="s">
        <v>1531</v>
      </c>
      <c r="O1343" s="65" t="n">
        <v>35078.7748</v>
      </c>
      <c r="P1343" s="65"/>
      <c r="Q1343" s="65"/>
      <c r="R1343" s="65" t="s">
        <v>232</v>
      </c>
      <c r="S1343" s="66" t="n">
        <f aca="false">Model_Calc!AF228</f>
        <v>35078.7748088454</v>
      </c>
      <c r="T1343" s="66" t="n">
        <f aca="false">ROUND(S1343-O1343,4)</f>
        <v>0</v>
      </c>
    </row>
    <row r="1344" customFormat="false" ht="15" hidden="false" customHeight="false" outlineLevel="0" collapsed="false">
      <c r="A1344" s="18" t="s">
        <v>203</v>
      </c>
      <c r="B1344" s="18" t="s">
        <v>204</v>
      </c>
      <c r="C1344" s="18"/>
      <c r="D1344" s="49" t="n">
        <v>46327</v>
      </c>
      <c r="E1344" s="18" t="s">
        <v>112</v>
      </c>
      <c r="F1344" s="18" t="s">
        <v>113</v>
      </c>
      <c r="G1344" s="18" t="s">
        <v>110</v>
      </c>
      <c r="H1344" s="18" t="s">
        <v>101</v>
      </c>
      <c r="I1344" s="18" t="s">
        <v>102</v>
      </c>
      <c r="J1344" s="18" t="s">
        <v>233</v>
      </c>
      <c r="K1344" s="18" t="s">
        <v>195</v>
      </c>
      <c r="L1344" s="64" t="n">
        <v>414.668511858369</v>
      </c>
      <c r="M1344" s="64" t="n">
        <v>7.88</v>
      </c>
      <c r="N1344" s="18" t="s">
        <v>1532</v>
      </c>
      <c r="O1344" s="65" t="n">
        <v>3267.5879</v>
      </c>
      <c r="P1344" s="65"/>
      <c r="Q1344" s="65"/>
      <c r="R1344" s="65" t="s">
        <v>232</v>
      </c>
      <c r="S1344" s="66" t="n">
        <f aca="false">Model_Calc!AG228</f>
        <v>3267.58787344395</v>
      </c>
      <c r="T1344" s="66" t="n">
        <f aca="false">ROUND(S1344-O1344,4)</f>
        <v>0</v>
      </c>
    </row>
    <row r="1345" customFormat="false" ht="15" hidden="false" customHeight="false" outlineLevel="0" collapsed="false">
      <c r="A1345" s="18" t="s">
        <v>203</v>
      </c>
      <c r="B1345" s="18" t="s">
        <v>204</v>
      </c>
      <c r="C1345" s="18"/>
      <c r="D1345" s="49" t="n">
        <v>46327</v>
      </c>
      <c r="E1345" s="18" t="s">
        <v>112</v>
      </c>
      <c r="F1345" s="18" t="s">
        <v>113</v>
      </c>
      <c r="G1345" s="18" t="s">
        <v>110</v>
      </c>
      <c r="H1345" s="18" t="s">
        <v>101</v>
      </c>
      <c r="I1345" s="18" t="s">
        <v>102</v>
      </c>
      <c r="J1345" s="18" t="s">
        <v>235</v>
      </c>
      <c r="K1345" s="18" t="s">
        <v>195</v>
      </c>
      <c r="L1345" s="64" t="n">
        <v>2735.5671</v>
      </c>
      <c r="M1345" s="64" t="n">
        <v>7.88</v>
      </c>
      <c r="N1345" s="18" t="s">
        <v>1533</v>
      </c>
      <c r="O1345" s="65" t="n">
        <v>21556.2687</v>
      </c>
      <c r="P1345" s="65"/>
      <c r="Q1345" s="65"/>
      <c r="R1345" s="65" t="s">
        <v>232</v>
      </c>
      <c r="S1345" s="66" t="n">
        <f aca="false">Model_Calc!AL228</f>
        <v>21556.268748</v>
      </c>
      <c r="T1345" s="66" t="n">
        <f aca="false">ROUND(S1345-O1345,4)</f>
        <v>0</v>
      </c>
    </row>
    <row r="1346" customFormat="false" ht="15" hidden="false" customHeight="false" outlineLevel="0" collapsed="false">
      <c r="A1346" s="18" t="s">
        <v>203</v>
      </c>
      <c r="B1346" s="18" t="s">
        <v>204</v>
      </c>
      <c r="C1346" s="18"/>
      <c r="D1346" s="49" t="n">
        <v>46327</v>
      </c>
      <c r="E1346" s="18" t="s">
        <v>112</v>
      </c>
      <c r="F1346" s="18" t="s">
        <v>113</v>
      </c>
      <c r="G1346" s="18" t="s">
        <v>110</v>
      </c>
      <c r="H1346" s="18" t="s">
        <v>101</v>
      </c>
      <c r="I1346" s="18" t="s">
        <v>102</v>
      </c>
      <c r="J1346" s="18" t="s">
        <v>237</v>
      </c>
      <c r="K1346" s="18" t="s">
        <v>195</v>
      </c>
      <c r="L1346" s="64" t="n">
        <v>1049.4156456</v>
      </c>
      <c r="M1346" s="64" t="n">
        <v>7.88</v>
      </c>
      <c r="N1346" s="18" t="s">
        <v>1534</v>
      </c>
      <c r="O1346" s="65" t="n">
        <v>8269.3953</v>
      </c>
      <c r="P1346" s="65"/>
      <c r="Q1346" s="65"/>
      <c r="R1346" s="65" t="s">
        <v>232</v>
      </c>
      <c r="S1346" s="66" t="n">
        <f aca="false">Model_Calc!AQ228</f>
        <v>8269.395287328</v>
      </c>
      <c r="T1346" s="66" t="n">
        <f aca="false">ROUND(S1346-O1346,4)</f>
        <v>0</v>
      </c>
    </row>
    <row r="1347" customFormat="false" ht="15" hidden="false" customHeight="false" outlineLevel="0" collapsed="false">
      <c r="A1347" s="18" t="s">
        <v>203</v>
      </c>
      <c r="B1347" s="18" t="s">
        <v>204</v>
      </c>
      <c r="C1347" s="18"/>
      <c r="D1347" s="49" t="n">
        <v>46327</v>
      </c>
      <c r="E1347" s="18" t="s">
        <v>112</v>
      </c>
      <c r="F1347" s="18" t="s">
        <v>113</v>
      </c>
      <c r="G1347" s="18" t="s">
        <v>110</v>
      </c>
      <c r="H1347" s="18" t="s">
        <v>101</v>
      </c>
      <c r="I1347" s="18" t="s">
        <v>102</v>
      </c>
      <c r="J1347" s="18" t="s">
        <v>239</v>
      </c>
      <c r="K1347" s="18" t="s">
        <v>195</v>
      </c>
      <c r="L1347" s="64" t="n">
        <v>468.95436</v>
      </c>
      <c r="M1347" s="64" t="n">
        <v>7.88</v>
      </c>
      <c r="N1347" s="18" t="s">
        <v>1535</v>
      </c>
      <c r="O1347" s="65" t="n">
        <v>3695.3604</v>
      </c>
      <c r="P1347" s="65"/>
      <c r="Q1347" s="65"/>
      <c r="R1347" s="65" t="s">
        <v>232</v>
      </c>
      <c r="S1347" s="66" t="n">
        <f aca="false">Model_Calc!AV228</f>
        <v>3695.3603568</v>
      </c>
      <c r="T1347" s="66" t="n">
        <f aca="false">ROUND(S1347-O1347,4)</f>
        <v>0</v>
      </c>
    </row>
    <row r="1348" customFormat="false" ht="15" hidden="false" customHeight="false" outlineLevel="0" collapsed="false">
      <c r="A1348" s="18" t="s">
        <v>203</v>
      </c>
      <c r="B1348" s="18" t="s">
        <v>204</v>
      </c>
      <c r="C1348" s="18"/>
      <c r="D1348" s="49" t="n">
        <v>46327</v>
      </c>
      <c r="E1348" s="18" t="s">
        <v>112</v>
      </c>
      <c r="F1348" s="18" t="s">
        <v>113</v>
      </c>
      <c r="G1348" s="18" t="s">
        <v>110</v>
      </c>
      <c r="H1348" s="18" t="s">
        <v>101</v>
      </c>
      <c r="I1348" s="18" t="s">
        <v>102</v>
      </c>
      <c r="J1348" s="18" t="s">
        <v>241</v>
      </c>
      <c r="K1348" s="18" t="s">
        <v>195</v>
      </c>
      <c r="L1348" s="64" t="n">
        <v>107.979346692</v>
      </c>
      <c r="M1348" s="64" t="n">
        <v>7.88</v>
      </c>
      <c r="N1348" s="18" t="s">
        <v>1536</v>
      </c>
      <c r="O1348" s="65" t="n">
        <v>850.8773</v>
      </c>
      <c r="P1348" s="65"/>
      <c r="Q1348" s="65"/>
      <c r="R1348" s="65" t="s">
        <v>232</v>
      </c>
      <c r="S1348" s="66" t="n">
        <f aca="false">Model_Calc!BA228</f>
        <v>850.87725193296</v>
      </c>
      <c r="T1348" s="66" t="n">
        <f aca="false">ROUND(S1348-O1348,4)</f>
        <v>0</v>
      </c>
    </row>
    <row r="1349" customFormat="false" ht="15" hidden="false" customHeight="false" outlineLevel="0" collapsed="false">
      <c r="A1349" s="18" t="s">
        <v>203</v>
      </c>
      <c r="B1349" s="18" t="s">
        <v>204</v>
      </c>
      <c r="C1349" s="18"/>
      <c r="D1349" s="49" t="n">
        <v>46327</v>
      </c>
      <c r="E1349" s="18" t="s">
        <v>116</v>
      </c>
      <c r="F1349" s="18" t="s">
        <v>113</v>
      </c>
      <c r="G1349" s="18" t="s">
        <v>110</v>
      </c>
      <c r="H1349" s="18" t="s">
        <v>107</v>
      </c>
      <c r="I1349" s="18" t="s">
        <v>102</v>
      </c>
      <c r="J1349" s="18" t="s">
        <v>230</v>
      </c>
      <c r="K1349" s="18" t="s">
        <v>195</v>
      </c>
      <c r="L1349" s="64" t="n">
        <v>10639.7411783832</v>
      </c>
      <c r="M1349" s="64" t="n">
        <v>7.88</v>
      </c>
      <c r="N1349" s="18" t="s">
        <v>1537</v>
      </c>
      <c r="O1349" s="65" t="n">
        <v>83841.1605</v>
      </c>
      <c r="P1349" s="65"/>
      <c r="Q1349" s="65"/>
      <c r="R1349" s="65" t="s">
        <v>232</v>
      </c>
      <c r="S1349" s="66" t="n">
        <f aca="false">Model_Calc!AF229</f>
        <v>83841.1604856596</v>
      </c>
      <c r="T1349" s="66" t="n">
        <f aca="false">ROUND(S1349-O1349,4)</f>
        <v>0</v>
      </c>
    </row>
    <row r="1350" customFormat="false" ht="15" hidden="false" customHeight="false" outlineLevel="0" collapsed="false">
      <c r="A1350" s="18" t="s">
        <v>203</v>
      </c>
      <c r="B1350" s="18" t="s">
        <v>204</v>
      </c>
      <c r="C1350" s="18"/>
      <c r="D1350" s="49" t="n">
        <v>46327</v>
      </c>
      <c r="E1350" s="18" t="s">
        <v>116</v>
      </c>
      <c r="F1350" s="18" t="s">
        <v>113</v>
      </c>
      <c r="G1350" s="18" t="s">
        <v>110</v>
      </c>
      <c r="H1350" s="18" t="s">
        <v>107</v>
      </c>
      <c r="I1350" s="18" t="s">
        <v>102</v>
      </c>
      <c r="J1350" s="18" t="s">
        <v>233</v>
      </c>
      <c r="K1350" s="18" t="s">
        <v>195</v>
      </c>
      <c r="L1350" s="64" t="n">
        <v>818.4416291064</v>
      </c>
      <c r="M1350" s="64" t="n">
        <v>7.88</v>
      </c>
      <c r="N1350" s="18" t="s">
        <v>1538</v>
      </c>
      <c r="O1350" s="65" t="n">
        <v>6449.32</v>
      </c>
      <c r="P1350" s="65"/>
      <c r="Q1350" s="65"/>
      <c r="R1350" s="65" t="s">
        <v>232</v>
      </c>
      <c r="S1350" s="66" t="n">
        <f aca="false">Model_Calc!AG229</f>
        <v>6449.32003735843</v>
      </c>
      <c r="T1350" s="66" t="n">
        <f aca="false">ROUND(S1350-O1350,4)</f>
        <v>0</v>
      </c>
    </row>
    <row r="1351" customFormat="false" ht="15" hidden="false" customHeight="false" outlineLevel="0" collapsed="false">
      <c r="A1351" s="18" t="s">
        <v>203</v>
      </c>
      <c r="B1351" s="18" t="s">
        <v>204</v>
      </c>
      <c r="C1351" s="18"/>
      <c r="D1351" s="49" t="n">
        <v>46327</v>
      </c>
      <c r="E1351" s="18" t="s">
        <v>116</v>
      </c>
      <c r="F1351" s="18" t="s">
        <v>113</v>
      </c>
      <c r="G1351" s="18" t="s">
        <v>110</v>
      </c>
      <c r="H1351" s="18" t="s">
        <v>107</v>
      </c>
      <c r="I1351" s="18" t="s">
        <v>102</v>
      </c>
      <c r="J1351" s="18" t="s">
        <v>235</v>
      </c>
      <c r="K1351" s="18" t="s">
        <v>195</v>
      </c>
      <c r="L1351" s="64" t="n">
        <v>5080.3389</v>
      </c>
      <c r="M1351" s="64" t="n">
        <v>7.88</v>
      </c>
      <c r="N1351" s="18" t="s">
        <v>1539</v>
      </c>
      <c r="O1351" s="65" t="n">
        <v>40033.0705</v>
      </c>
      <c r="P1351" s="65"/>
      <c r="Q1351" s="65"/>
      <c r="R1351" s="65" t="s">
        <v>232</v>
      </c>
      <c r="S1351" s="66" t="n">
        <f aca="false">Model_Calc!AL229</f>
        <v>40033.070532</v>
      </c>
      <c r="T1351" s="66" t="n">
        <f aca="false">ROUND(S1351-O1351,4)</f>
        <v>0</v>
      </c>
    </row>
    <row r="1352" customFormat="false" ht="15" hidden="false" customHeight="false" outlineLevel="0" collapsed="false">
      <c r="A1352" s="18" t="s">
        <v>203</v>
      </c>
      <c r="B1352" s="18" t="s">
        <v>204</v>
      </c>
      <c r="C1352" s="18"/>
      <c r="D1352" s="49" t="n">
        <v>46327</v>
      </c>
      <c r="E1352" s="18" t="s">
        <v>116</v>
      </c>
      <c r="F1352" s="18" t="s">
        <v>113</v>
      </c>
      <c r="G1352" s="18" t="s">
        <v>110</v>
      </c>
      <c r="H1352" s="18" t="s">
        <v>107</v>
      </c>
      <c r="I1352" s="18" t="s">
        <v>102</v>
      </c>
      <c r="J1352" s="18" t="s">
        <v>237</v>
      </c>
      <c r="K1352" s="18" t="s">
        <v>195</v>
      </c>
      <c r="L1352" s="64" t="n">
        <v>1948.9147704</v>
      </c>
      <c r="M1352" s="64" t="n">
        <v>7.88</v>
      </c>
      <c r="N1352" s="18" t="s">
        <v>1540</v>
      </c>
      <c r="O1352" s="65" t="n">
        <v>15357.4484</v>
      </c>
      <c r="P1352" s="65"/>
      <c r="Q1352" s="65"/>
      <c r="R1352" s="65" t="s">
        <v>232</v>
      </c>
      <c r="S1352" s="66" t="n">
        <f aca="false">Model_Calc!AQ229</f>
        <v>15357.448390752</v>
      </c>
      <c r="T1352" s="66" t="n">
        <f aca="false">ROUND(S1352-O1352,4)</f>
        <v>0</v>
      </c>
    </row>
    <row r="1353" customFormat="false" ht="15" hidden="false" customHeight="false" outlineLevel="0" collapsed="false">
      <c r="A1353" s="18" t="s">
        <v>203</v>
      </c>
      <c r="B1353" s="18" t="s">
        <v>204</v>
      </c>
      <c r="C1353" s="18"/>
      <c r="D1353" s="49" t="n">
        <v>46327</v>
      </c>
      <c r="E1353" s="18" t="s">
        <v>116</v>
      </c>
      <c r="F1353" s="18" t="s">
        <v>113</v>
      </c>
      <c r="G1353" s="18" t="s">
        <v>110</v>
      </c>
      <c r="H1353" s="18" t="s">
        <v>107</v>
      </c>
      <c r="I1353" s="18" t="s">
        <v>102</v>
      </c>
      <c r="J1353" s="18" t="s">
        <v>239</v>
      </c>
      <c r="K1353" s="18" t="s">
        <v>195</v>
      </c>
      <c r="L1353" s="64" t="n">
        <v>870.91524</v>
      </c>
      <c r="M1353" s="64" t="n">
        <v>7.88</v>
      </c>
      <c r="N1353" s="18" t="s">
        <v>1541</v>
      </c>
      <c r="O1353" s="65" t="n">
        <v>6862.8121</v>
      </c>
      <c r="P1353" s="65"/>
      <c r="Q1353" s="65"/>
      <c r="R1353" s="65" t="s">
        <v>232</v>
      </c>
      <c r="S1353" s="66" t="n">
        <f aca="false">Model_Calc!AV229</f>
        <v>6862.8120912</v>
      </c>
      <c r="T1353" s="66" t="n">
        <f aca="false">ROUND(S1353-O1353,4)</f>
        <v>0</v>
      </c>
    </row>
    <row r="1354" customFormat="false" ht="15" hidden="false" customHeight="false" outlineLevel="0" collapsed="false">
      <c r="A1354" s="18" t="s">
        <v>203</v>
      </c>
      <c r="B1354" s="18" t="s">
        <v>204</v>
      </c>
      <c r="C1354" s="18"/>
      <c r="D1354" s="49" t="n">
        <v>46327</v>
      </c>
      <c r="E1354" s="18" t="s">
        <v>116</v>
      </c>
      <c r="F1354" s="18" t="s">
        <v>113</v>
      </c>
      <c r="G1354" s="18" t="s">
        <v>110</v>
      </c>
      <c r="H1354" s="18" t="s">
        <v>107</v>
      </c>
      <c r="I1354" s="18" t="s">
        <v>102</v>
      </c>
      <c r="J1354" s="18" t="s">
        <v>241</v>
      </c>
      <c r="K1354" s="18" t="s">
        <v>195</v>
      </c>
      <c r="L1354" s="64" t="n">
        <v>165.144883176</v>
      </c>
      <c r="M1354" s="64" t="n">
        <v>7.88</v>
      </c>
      <c r="N1354" s="18" t="s">
        <v>1542</v>
      </c>
      <c r="O1354" s="65" t="n">
        <v>1301.3417</v>
      </c>
      <c r="P1354" s="65"/>
      <c r="Q1354" s="65"/>
      <c r="R1354" s="65" t="s">
        <v>232</v>
      </c>
      <c r="S1354" s="66" t="n">
        <f aca="false">Model_Calc!BA229</f>
        <v>1301.34167942688</v>
      </c>
      <c r="T1354" s="66" t="n">
        <f aca="false">ROUND(S1354-O1354,4)</f>
        <v>0</v>
      </c>
    </row>
    <row r="1355" customFormat="false" ht="15" hidden="false" customHeight="false" outlineLevel="0" collapsed="false">
      <c r="A1355" s="18" t="s">
        <v>203</v>
      </c>
      <c r="B1355" s="18" t="s">
        <v>204</v>
      </c>
      <c r="C1355" s="18"/>
      <c r="D1355" s="49" t="n">
        <v>46327</v>
      </c>
      <c r="E1355" s="18" t="s">
        <v>118</v>
      </c>
      <c r="F1355" s="18" t="s">
        <v>119</v>
      </c>
      <c r="G1355" s="18" t="s">
        <v>100</v>
      </c>
      <c r="H1355" s="18" t="s">
        <v>101</v>
      </c>
      <c r="I1355" s="18" t="s">
        <v>102</v>
      </c>
      <c r="J1355" s="18" t="s">
        <v>230</v>
      </c>
      <c r="K1355" s="18" t="s">
        <v>199</v>
      </c>
      <c r="L1355" s="64" t="n">
        <v>19849.27878413</v>
      </c>
      <c r="M1355" s="64" t="n">
        <v>9.05</v>
      </c>
      <c r="N1355" s="18" t="s">
        <v>1543</v>
      </c>
      <c r="O1355" s="65" t="n">
        <v>179635.973</v>
      </c>
      <c r="P1355" s="65"/>
      <c r="Q1355" s="65"/>
      <c r="R1355" s="65" t="s">
        <v>232</v>
      </c>
      <c r="S1355" s="66" t="n">
        <f aca="false">Model_Calc!AF230</f>
        <v>179635.972996376</v>
      </c>
      <c r="T1355" s="66" t="n">
        <f aca="false">ROUND(S1355-O1355,4)</f>
        <v>0</v>
      </c>
    </row>
    <row r="1356" customFormat="false" ht="15" hidden="false" customHeight="false" outlineLevel="0" collapsed="false">
      <c r="A1356" s="18" t="s">
        <v>203</v>
      </c>
      <c r="B1356" s="18" t="s">
        <v>204</v>
      </c>
      <c r="C1356" s="18"/>
      <c r="D1356" s="49" t="n">
        <v>46327</v>
      </c>
      <c r="E1356" s="18" t="s">
        <v>118</v>
      </c>
      <c r="F1356" s="18" t="s">
        <v>119</v>
      </c>
      <c r="G1356" s="18" t="s">
        <v>100</v>
      </c>
      <c r="H1356" s="18" t="s">
        <v>101</v>
      </c>
      <c r="I1356" s="18" t="s">
        <v>102</v>
      </c>
      <c r="J1356" s="18" t="s">
        <v>233</v>
      </c>
      <c r="K1356" s="18" t="s">
        <v>199</v>
      </c>
      <c r="L1356" s="64" t="n">
        <v>2054.40035415745</v>
      </c>
      <c r="M1356" s="64" t="n">
        <v>9.05</v>
      </c>
      <c r="N1356" s="18" t="s">
        <v>1544</v>
      </c>
      <c r="O1356" s="65" t="n">
        <v>18592.3232</v>
      </c>
      <c r="P1356" s="65"/>
      <c r="Q1356" s="65"/>
      <c r="R1356" s="65" t="s">
        <v>232</v>
      </c>
      <c r="S1356" s="66" t="n">
        <f aca="false">Model_Calc!AG230</f>
        <v>18592.3232051249</v>
      </c>
      <c r="T1356" s="66" t="n">
        <f aca="false">ROUND(S1356-O1356,4)</f>
        <v>0</v>
      </c>
    </row>
    <row r="1357" customFormat="false" ht="15" hidden="false" customHeight="false" outlineLevel="0" collapsed="false">
      <c r="A1357" s="18" t="s">
        <v>203</v>
      </c>
      <c r="B1357" s="18" t="s">
        <v>204</v>
      </c>
      <c r="C1357" s="18"/>
      <c r="D1357" s="49" t="n">
        <v>46327</v>
      </c>
      <c r="E1357" s="18" t="s">
        <v>118</v>
      </c>
      <c r="F1357" s="18" t="s">
        <v>119</v>
      </c>
      <c r="G1357" s="18" t="s">
        <v>100</v>
      </c>
      <c r="H1357" s="18" t="s">
        <v>101</v>
      </c>
      <c r="I1357" s="18" t="s">
        <v>102</v>
      </c>
      <c r="J1357" s="18" t="s">
        <v>235</v>
      </c>
      <c r="K1357" s="18" t="s">
        <v>195</v>
      </c>
      <c r="L1357" s="64" t="n">
        <v>4946.46609809944</v>
      </c>
      <c r="M1357" s="64" t="n">
        <v>7.88</v>
      </c>
      <c r="N1357" s="18" t="s">
        <v>1545</v>
      </c>
      <c r="O1357" s="65" t="n">
        <v>38978.1529</v>
      </c>
      <c r="P1357" s="65"/>
      <c r="Q1357" s="65"/>
      <c r="R1357" s="65" t="s">
        <v>232</v>
      </c>
      <c r="S1357" s="66" t="n">
        <f aca="false">Model_Calc!AL230</f>
        <v>38978.1528530236</v>
      </c>
      <c r="T1357" s="66" t="n">
        <f aca="false">ROUND(S1357-O1357,4)</f>
        <v>0</v>
      </c>
    </row>
    <row r="1358" customFormat="false" ht="15" hidden="false" customHeight="false" outlineLevel="0" collapsed="false">
      <c r="A1358" s="18" t="s">
        <v>203</v>
      </c>
      <c r="B1358" s="18" t="s">
        <v>204</v>
      </c>
      <c r="C1358" s="18"/>
      <c r="D1358" s="49" t="n">
        <v>46327</v>
      </c>
      <c r="E1358" s="18" t="s">
        <v>118</v>
      </c>
      <c r="F1358" s="18" t="s">
        <v>119</v>
      </c>
      <c r="G1358" s="18" t="s">
        <v>100</v>
      </c>
      <c r="H1358" s="18" t="s">
        <v>101</v>
      </c>
      <c r="I1358" s="18" t="s">
        <v>102</v>
      </c>
      <c r="J1358" s="18" t="s">
        <v>237</v>
      </c>
      <c r="K1358" s="18" t="s">
        <v>195</v>
      </c>
      <c r="L1358" s="64" t="n">
        <v>1983.4091536896</v>
      </c>
      <c r="M1358" s="64" t="n">
        <v>7.88</v>
      </c>
      <c r="N1358" s="18" t="s">
        <v>1546</v>
      </c>
      <c r="O1358" s="65" t="n">
        <v>15629.2641</v>
      </c>
      <c r="P1358" s="65"/>
      <c r="Q1358" s="65"/>
      <c r="R1358" s="65" t="s">
        <v>232</v>
      </c>
      <c r="S1358" s="66" t="n">
        <f aca="false">Model_Calc!AQ230</f>
        <v>15629.264131074</v>
      </c>
      <c r="T1358" s="66" t="n">
        <f aca="false">ROUND(S1358-O1358,4)</f>
        <v>0</v>
      </c>
    </row>
    <row r="1359" customFormat="false" ht="15" hidden="false" customHeight="false" outlineLevel="0" collapsed="false">
      <c r="A1359" s="18" t="s">
        <v>203</v>
      </c>
      <c r="B1359" s="18" t="s">
        <v>204</v>
      </c>
      <c r="C1359" s="18"/>
      <c r="D1359" s="49" t="n">
        <v>46327</v>
      </c>
      <c r="E1359" s="18" t="s">
        <v>118</v>
      </c>
      <c r="F1359" s="18" t="s">
        <v>119</v>
      </c>
      <c r="G1359" s="18" t="s">
        <v>100</v>
      </c>
      <c r="H1359" s="18" t="s">
        <v>101</v>
      </c>
      <c r="I1359" s="18" t="s">
        <v>102</v>
      </c>
      <c r="J1359" s="18" t="s">
        <v>239</v>
      </c>
      <c r="K1359" s="18" t="s">
        <v>199</v>
      </c>
      <c r="L1359" s="64" t="n">
        <v>1743.656398848</v>
      </c>
      <c r="M1359" s="64" t="n">
        <v>9.05</v>
      </c>
      <c r="N1359" s="18" t="s">
        <v>1547</v>
      </c>
      <c r="O1359" s="65" t="n">
        <v>15780.0904</v>
      </c>
      <c r="P1359" s="65"/>
      <c r="Q1359" s="65"/>
      <c r="R1359" s="65" t="s">
        <v>232</v>
      </c>
      <c r="S1359" s="66" t="n">
        <f aca="false">Model_Calc!AV230</f>
        <v>15780.0904095744</v>
      </c>
      <c r="T1359" s="66" t="n">
        <f aca="false">ROUND(S1359-O1359,4)</f>
        <v>0</v>
      </c>
    </row>
    <row r="1360" customFormat="false" ht="15" hidden="false" customHeight="false" outlineLevel="0" collapsed="false">
      <c r="A1360" s="18" t="s">
        <v>203</v>
      </c>
      <c r="B1360" s="18" t="s">
        <v>204</v>
      </c>
      <c r="C1360" s="18"/>
      <c r="D1360" s="49" t="n">
        <v>46327</v>
      </c>
      <c r="E1360" s="18" t="s">
        <v>118</v>
      </c>
      <c r="F1360" s="18" t="s">
        <v>119</v>
      </c>
      <c r="G1360" s="18" t="s">
        <v>100</v>
      </c>
      <c r="H1360" s="18" t="s">
        <v>101</v>
      </c>
      <c r="I1360" s="18" t="s">
        <v>102</v>
      </c>
      <c r="J1360" s="18" t="s">
        <v>241</v>
      </c>
      <c r="K1360" s="18" t="s">
        <v>199</v>
      </c>
      <c r="L1360" s="64" t="n">
        <v>293.261210581248</v>
      </c>
      <c r="M1360" s="64" t="n">
        <v>9.05</v>
      </c>
      <c r="N1360" s="18" t="s">
        <v>1548</v>
      </c>
      <c r="O1360" s="65" t="n">
        <v>2654.014</v>
      </c>
      <c r="P1360" s="65"/>
      <c r="Q1360" s="65"/>
      <c r="R1360" s="65" t="s">
        <v>232</v>
      </c>
      <c r="S1360" s="66" t="n">
        <f aca="false">Model_Calc!BA230</f>
        <v>2654.01395576029</v>
      </c>
      <c r="T1360" s="66" t="n">
        <f aca="false">ROUND(S1360-O1360,4)</f>
        <v>0</v>
      </c>
    </row>
    <row r="1361" customFormat="false" ht="15" hidden="false" customHeight="false" outlineLevel="0" collapsed="false">
      <c r="A1361" s="18" t="s">
        <v>203</v>
      </c>
      <c r="B1361" s="18" t="s">
        <v>204</v>
      </c>
      <c r="C1361" s="18"/>
      <c r="D1361" s="49" t="n">
        <v>46327</v>
      </c>
      <c r="E1361" s="18" t="s">
        <v>122</v>
      </c>
      <c r="F1361" s="18" t="s">
        <v>119</v>
      </c>
      <c r="G1361" s="18" t="s">
        <v>100</v>
      </c>
      <c r="H1361" s="18" t="s">
        <v>107</v>
      </c>
      <c r="I1361" s="18" t="s">
        <v>102</v>
      </c>
      <c r="J1361" s="18" t="s">
        <v>230</v>
      </c>
      <c r="K1361" s="18" t="s">
        <v>199</v>
      </c>
      <c r="L1361" s="64" t="n">
        <v>12521.6330331726</v>
      </c>
      <c r="M1361" s="64" t="n">
        <v>9.05</v>
      </c>
      <c r="N1361" s="18" t="s">
        <v>1549</v>
      </c>
      <c r="O1361" s="65" t="n">
        <v>113320.779</v>
      </c>
      <c r="P1361" s="65"/>
      <c r="Q1361" s="65"/>
      <c r="R1361" s="65" t="s">
        <v>232</v>
      </c>
      <c r="S1361" s="66" t="n">
        <f aca="false">Model_Calc!AF231</f>
        <v>113320.778950212</v>
      </c>
      <c r="T1361" s="66" t="n">
        <f aca="false">ROUND(S1361-O1361,4)</f>
        <v>0</v>
      </c>
    </row>
    <row r="1362" customFormat="false" ht="15" hidden="false" customHeight="false" outlineLevel="0" collapsed="false">
      <c r="A1362" s="18" t="s">
        <v>203</v>
      </c>
      <c r="B1362" s="18" t="s">
        <v>204</v>
      </c>
      <c r="C1362" s="18"/>
      <c r="D1362" s="49" t="n">
        <v>46327</v>
      </c>
      <c r="E1362" s="18" t="s">
        <v>122</v>
      </c>
      <c r="F1362" s="18" t="s">
        <v>119</v>
      </c>
      <c r="G1362" s="18" t="s">
        <v>100</v>
      </c>
      <c r="H1362" s="18" t="s">
        <v>107</v>
      </c>
      <c r="I1362" s="18" t="s">
        <v>102</v>
      </c>
      <c r="J1362" s="18" t="s">
        <v>233</v>
      </c>
      <c r="K1362" s="18" t="s">
        <v>199</v>
      </c>
      <c r="L1362" s="64" t="n">
        <v>879.17848956318</v>
      </c>
      <c r="M1362" s="64" t="n">
        <v>9.05</v>
      </c>
      <c r="N1362" s="18" t="s">
        <v>1550</v>
      </c>
      <c r="O1362" s="65" t="n">
        <v>7956.5653</v>
      </c>
      <c r="P1362" s="65"/>
      <c r="Q1362" s="65"/>
      <c r="R1362" s="65" t="s">
        <v>232</v>
      </c>
      <c r="S1362" s="66" t="n">
        <f aca="false">Model_Calc!AG231</f>
        <v>7956.56533054678</v>
      </c>
      <c r="T1362" s="66" t="n">
        <f aca="false">ROUND(S1362-O1362,4)</f>
        <v>0</v>
      </c>
    </row>
    <row r="1363" customFormat="false" ht="15" hidden="false" customHeight="false" outlineLevel="0" collapsed="false">
      <c r="A1363" s="18" t="s">
        <v>203</v>
      </c>
      <c r="B1363" s="18" t="s">
        <v>204</v>
      </c>
      <c r="C1363" s="18"/>
      <c r="D1363" s="49" t="n">
        <v>46327</v>
      </c>
      <c r="E1363" s="18" t="s">
        <v>122</v>
      </c>
      <c r="F1363" s="18" t="s">
        <v>119</v>
      </c>
      <c r="G1363" s="18" t="s">
        <v>100</v>
      </c>
      <c r="H1363" s="18" t="s">
        <v>107</v>
      </c>
      <c r="I1363" s="18" t="s">
        <v>102</v>
      </c>
      <c r="J1363" s="18" t="s">
        <v>235</v>
      </c>
      <c r="K1363" s="18" t="s">
        <v>195</v>
      </c>
      <c r="L1363" s="64" t="n">
        <v>2708.77905372112</v>
      </c>
      <c r="M1363" s="64" t="n">
        <v>7.88</v>
      </c>
      <c r="N1363" s="18" t="s">
        <v>1551</v>
      </c>
      <c r="O1363" s="65" t="n">
        <v>21345.1789</v>
      </c>
      <c r="P1363" s="65"/>
      <c r="Q1363" s="65"/>
      <c r="R1363" s="65" t="s">
        <v>232</v>
      </c>
      <c r="S1363" s="66" t="n">
        <f aca="false">Model_Calc!AL231</f>
        <v>21345.1789433224</v>
      </c>
      <c r="T1363" s="66" t="n">
        <f aca="false">ROUND(S1363-O1363,4)</f>
        <v>0</v>
      </c>
    </row>
    <row r="1364" customFormat="false" ht="15" hidden="false" customHeight="false" outlineLevel="0" collapsed="false">
      <c r="A1364" s="18" t="s">
        <v>203</v>
      </c>
      <c r="B1364" s="18" t="s">
        <v>204</v>
      </c>
      <c r="C1364" s="18"/>
      <c r="D1364" s="49" t="n">
        <v>46327</v>
      </c>
      <c r="E1364" s="18" t="s">
        <v>122</v>
      </c>
      <c r="F1364" s="18" t="s">
        <v>119</v>
      </c>
      <c r="G1364" s="18" t="s">
        <v>100</v>
      </c>
      <c r="H1364" s="18" t="s">
        <v>107</v>
      </c>
      <c r="I1364" s="18" t="s">
        <v>102</v>
      </c>
      <c r="J1364" s="18" t="s">
        <v>237</v>
      </c>
      <c r="K1364" s="18" t="s">
        <v>195</v>
      </c>
      <c r="L1364" s="64" t="n">
        <v>1086.1526317824</v>
      </c>
      <c r="M1364" s="64" t="n">
        <v>7.88</v>
      </c>
      <c r="N1364" s="18" t="s">
        <v>1552</v>
      </c>
      <c r="O1364" s="65" t="n">
        <v>8558.8827</v>
      </c>
      <c r="P1364" s="65"/>
      <c r="Q1364" s="65"/>
      <c r="R1364" s="65" t="s">
        <v>232</v>
      </c>
      <c r="S1364" s="66" t="n">
        <f aca="false">Model_Calc!AQ231</f>
        <v>8558.88273844531</v>
      </c>
      <c r="T1364" s="66" t="n">
        <f aca="false">ROUND(S1364-O1364,4)</f>
        <v>0</v>
      </c>
    </row>
    <row r="1365" customFormat="false" ht="15" hidden="false" customHeight="false" outlineLevel="0" collapsed="false">
      <c r="A1365" s="18" t="s">
        <v>203</v>
      </c>
      <c r="B1365" s="18" t="s">
        <v>204</v>
      </c>
      <c r="C1365" s="18"/>
      <c r="D1365" s="49" t="n">
        <v>46327</v>
      </c>
      <c r="E1365" s="18" t="s">
        <v>122</v>
      </c>
      <c r="F1365" s="18" t="s">
        <v>119</v>
      </c>
      <c r="G1365" s="18" t="s">
        <v>100</v>
      </c>
      <c r="H1365" s="18" t="s">
        <v>107</v>
      </c>
      <c r="I1365" s="18" t="s">
        <v>102</v>
      </c>
      <c r="J1365" s="18" t="s">
        <v>239</v>
      </c>
      <c r="K1365" s="18" t="s">
        <v>199</v>
      </c>
      <c r="L1365" s="64" t="n">
        <v>954.859456512</v>
      </c>
      <c r="M1365" s="64" t="n">
        <v>9.05</v>
      </c>
      <c r="N1365" s="18" t="s">
        <v>1553</v>
      </c>
      <c r="O1365" s="65" t="n">
        <v>8641.4781</v>
      </c>
      <c r="P1365" s="65"/>
      <c r="Q1365" s="65"/>
      <c r="R1365" s="65" t="s">
        <v>232</v>
      </c>
      <c r="S1365" s="66" t="n">
        <f aca="false">Model_Calc!AV231</f>
        <v>8641.4780814336</v>
      </c>
      <c r="T1365" s="66" t="n">
        <f aca="false">ROUND(S1365-O1365,4)</f>
        <v>0</v>
      </c>
    </row>
    <row r="1366" customFormat="false" ht="15" hidden="false" customHeight="false" outlineLevel="0" collapsed="false">
      <c r="A1366" s="18" t="s">
        <v>203</v>
      </c>
      <c r="B1366" s="18" t="s">
        <v>204</v>
      </c>
      <c r="C1366" s="18"/>
      <c r="D1366" s="49" t="n">
        <v>46327</v>
      </c>
      <c r="E1366" s="18" t="s">
        <v>122</v>
      </c>
      <c r="F1366" s="18" t="s">
        <v>119</v>
      </c>
      <c r="G1366" s="18" t="s">
        <v>100</v>
      </c>
      <c r="H1366" s="18" t="s">
        <v>107</v>
      </c>
      <c r="I1366" s="18" t="s">
        <v>102</v>
      </c>
      <c r="J1366" s="18" t="s">
        <v>241</v>
      </c>
      <c r="K1366" s="18" t="s">
        <v>199</v>
      </c>
      <c r="L1366" s="64" t="n">
        <v>118.95957395712</v>
      </c>
      <c r="M1366" s="64" t="n">
        <v>9.05</v>
      </c>
      <c r="N1366" s="18" t="s">
        <v>1554</v>
      </c>
      <c r="O1366" s="65" t="n">
        <v>1076.5841</v>
      </c>
      <c r="P1366" s="65"/>
      <c r="Q1366" s="65"/>
      <c r="R1366" s="65" t="s">
        <v>232</v>
      </c>
      <c r="S1366" s="66" t="n">
        <f aca="false">Model_Calc!BA231</f>
        <v>1076.58414431194</v>
      </c>
      <c r="T1366" s="66" t="n">
        <f aca="false">ROUND(S1366-O1366,4)</f>
        <v>0</v>
      </c>
    </row>
    <row r="1367" customFormat="false" ht="15" hidden="false" customHeight="false" outlineLevel="0" collapsed="false">
      <c r="A1367" s="18" t="s">
        <v>203</v>
      </c>
      <c r="B1367" s="18" t="s">
        <v>204</v>
      </c>
      <c r="C1367" s="18"/>
      <c r="D1367" s="49" t="n">
        <v>46327</v>
      </c>
      <c r="E1367" s="18" t="s">
        <v>124</v>
      </c>
      <c r="F1367" s="18" t="s">
        <v>119</v>
      </c>
      <c r="G1367" s="18" t="s">
        <v>100</v>
      </c>
      <c r="H1367" s="18" t="s">
        <v>107</v>
      </c>
      <c r="I1367" s="18" t="s">
        <v>125</v>
      </c>
      <c r="J1367" s="18" t="s">
        <v>230</v>
      </c>
      <c r="K1367" s="18" t="s">
        <v>199</v>
      </c>
      <c r="L1367" s="64" t="n">
        <v>15445.8154395976</v>
      </c>
      <c r="M1367" s="64" t="n">
        <v>9.05</v>
      </c>
      <c r="N1367" s="18" t="s">
        <v>1555</v>
      </c>
      <c r="O1367" s="65" t="n">
        <v>139784.6297</v>
      </c>
      <c r="P1367" s="65"/>
      <c r="Q1367" s="65"/>
      <c r="R1367" s="65" t="s">
        <v>232</v>
      </c>
      <c r="S1367" s="66" t="n">
        <f aca="false">Model_Calc!AF232</f>
        <v>139784.629728358</v>
      </c>
      <c r="T1367" s="66" t="n">
        <f aca="false">ROUND(S1367-O1367,4)</f>
        <v>0</v>
      </c>
    </row>
    <row r="1368" customFormat="false" ht="15" hidden="false" customHeight="false" outlineLevel="0" collapsed="false">
      <c r="A1368" s="18" t="s">
        <v>203</v>
      </c>
      <c r="B1368" s="18" t="s">
        <v>204</v>
      </c>
      <c r="C1368" s="18"/>
      <c r="D1368" s="49" t="n">
        <v>46327</v>
      </c>
      <c r="E1368" s="18" t="s">
        <v>124</v>
      </c>
      <c r="F1368" s="18" t="s">
        <v>119</v>
      </c>
      <c r="G1368" s="18" t="s">
        <v>100</v>
      </c>
      <c r="H1368" s="18" t="s">
        <v>107</v>
      </c>
      <c r="I1368" s="18" t="s">
        <v>125</v>
      </c>
      <c r="J1368" s="18" t="s">
        <v>233</v>
      </c>
      <c r="K1368" s="18" t="s">
        <v>199</v>
      </c>
      <c r="L1368" s="64" t="n">
        <v>1911.97571000603</v>
      </c>
      <c r="M1368" s="64" t="n">
        <v>9.05</v>
      </c>
      <c r="N1368" s="18" t="s">
        <v>1556</v>
      </c>
      <c r="O1368" s="65" t="n">
        <v>17303.3802</v>
      </c>
      <c r="P1368" s="65"/>
      <c r="Q1368" s="65"/>
      <c r="R1368" s="65" t="s">
        <v>232</v>
      </c>
      <c r="S1368" s="66" t="n">
        <f aca="false">Model_Calc!AG232</f>
        <v>17303.3801755546</v>
      </c>
      <c r="T1368" s="66" t="n">
        <f aca="false">ROUND(S1368-O1368,4)</f>
        <v>0</v>
      </c>
    </row>
    <row r="1369" customFormat="false" ht="15" hidden="false" customHeight="false" outlineLevel="0" collapsed="false">
      <c r="A1369" s="18" t="s">
        <v>203</v>
      </c>
      <c r="B1369" s="18" t="s">
        <v>204</v>
      </c>
      <c r="C1369" s="18"/>
      <c r="D1369" s="49" t="n">
        <v>46327</v>
      </c>
      <c r="E1369" s="18" t="s">
        <v>124</v>
      </c>
      <c r="F1369" s="18" t="s">
        <v>119</v>
      </c>
      <c r="G1369" s="18" t="s">
        <v>100</v>
      </c>
      <c r="H1369" s="18" t="s">
        <v>107</v>
      </c>
      <c r="I1369" s="18" t="s">
        <v>125</v>
      </c>
      <c r="J1369" s="18" t="s">
        <v>235</v>
      </c>
      <c r="K1369" s="18" t="s">
        <v>195</v>
      </c>
      <c r="L1369" s="64" t="n">
        <v>2591.00605138542</v>
      </c>
      <c r="M1369" s="64" t="n">
        <v>7.88</v>
      </c>
      <c r="N1369" s="18" t="s">
        <v>1557</v>
      </c>
      <c r="O1369" s="65" t="n">
        <v>20417.1277</v>
      </c>
      <c r="P1369" s="65"/>
      <c r="Q1369" s="65"/>
      <c r="R1369" s="65" t="s">
        <v>232</v>
      </c>
      <c r="S1369" s="66" t="n">
        <f aca="false">Model_Calc!AL232</f>
        <v>20417.1276849171</v>
      </c>
      <c r="T1369" s="66" t="n">
        <f aca="false">ROUND(S1369-O1369,4)</f>
        <v>0</v>
      </c>
    </row>
    <row r="1370" customFormat="false" ht="15" hidden="false" customHeight="false" outlineLevel="0" collapsed="false">
      <c r="A1370" s="18" t="s">
        <v>203</v>
      </c>
      <c r="B1370" s="18" t="s">
        <v>204</v>
      </c>
      <c r="C1370" s="18"/>
      <c r="D1370" s="49" t="n">
        <v>46327</v>
      </c>
      <c r="E1370" s="18" t="s">
        <v>124</v>
      </c>
      <c r="F1370" s="18" t="s">
        <v>119</v>
      </c>
      <c r="G1370" s="18" t="s">
        <v>100</v>
      </c>
      <c r="H1370" s="18" t="s">
        <v>107</v>
      </c>
      <c r="I1370" s="18" t="s">
        <v>125</v>
      </c>
      <c r="J1370" s="18" t="s">
        <v>237</v>
      </c>
      <c r="K1370" s="18" t="s">
        <v>195</v>
      </c>
      <c r="L1370" s="64" t="n">
        <v>1038.9286043136</v>
      </c>
      <c r="M1370" s="64" t="n">
        <v>7.88</v>
      </c>
      <c r="N1370" s="18" t="s">
        <v>1558</v>
      </c>
      <c r="O1370" s="65" t="n">
        <v>8186.7574</v>
      </c>
      <c r="P1370" s="65"/>
      <c r="Q1370" s="65"/>
      <c r="R1370" s="65" t="s">
        <v>232</v>
      </c>
      <c r="S1370" s="66" t="n">
        <f aca="false">Model_Calc!AQ232</f>
        <v>8186.75740199117</v>
      </c>
      <c r="T1370" s="66" t="n">
        <f aca="false">ROUND(S1370-O1370,4)</f>
        <v>0</v>
      </c>
    </row>
    <row r="1371" customFormat="false" ht="15" hidden="false" customHeight="false" outlineLevel="0" collapsed="false">
      <c r="A1371" s="18" t="s">
        <v>203</v>
      </c>
      <c r="B1371" s="18" t="s">
        <v>204</v>
      </c>
      <c r="C1371" s="18"/>
      <c r="D1371" s="49" t="n">
        <v>46327</v>
      </c>
      <c r="E1371" s="18" t="s">
        <v>124</v>
      </c>
      <c r="F1371" s="18" t="s">
        <v>119</v>
      </c>
      <c r="G1371" s="18" t="s">
        <v>100</v>
      </c>
      <c r="H1371" s="18" t="s">
        <v>107</v>
      </c>
      <c r="I1371" s="18" t="s">
        <v>125</v>
      </c>
      <c r="J1371" s="18" t="s">
        <v>239</v>
      </c>
      <c r="K1371" s="18" t="s">
        <v>199</v>
      </c>
      <c r="L1371" s="64" t="n">
        <v>913.343827968</v>
      </c>
      <c r="M1371" s="64" t="n">
        <v>9.05</v>
      </c>
      <c r="N1371" s="18" t="s">
        <v>1559</v>
      </c>
      <c r="O1371" s="65" t="n">
        <v>8265.7616</v>
      </c>
      <c r="P1371" s="65"/>
      <c r="Q1371" s="65"/>
      <c r="R1371" s="65" t="s">
        <v>232</v>
      </c>
      <c r="S1371" s="66" t="n">
        <f aca="false">Model_Calc!AV232</f>
        <v>8265.7616431104</v>
      </c>
      <c r="T1371" s="66" t="n">
        <f aca="false">ROUND(S1371-O1371,4)</f>
        <v>0</v>
      </c>
    </row>
    <row r="1372" customFormat="false" ht="15" hidden="false" customHeight="false" outlineLevel="0" collapsed="false">
      <c r="A1372" s="18" t="s">
        <v>203</v>
      </c>
      <c r="B1372" s="18" t="s">
        <v>204</v>
      </c>
      <c r="C1372" s="18"/>
      <c r="D1372" s="49" t="n">
        <v>46327</v>
      </c>
      <c r="E1372" s="18" t="s">
        <v>124</v>
      </c>
      <c r="F1372" s="18" t="s">
        <v>119</v>
      </c>
      <c r="G1372" s="18" t="s">
        <v>100</v>
      </c>
      <c r="H1372" s="18" t="s">
        <v>107</v>
      </c>
      <c r="I1372" s="18" t="s">
        <v>125</v>
      </c>
      <c r="J1372" s="18" t="s">
        <v>241</v>
      </c>
      <c r="K1372" s="18" t="s">
        <v>199</v>
      </c>
      <c r="L1372" s="64" t="n">
        <v>110.819051126784</v>
      </c>
      <c r="M1372" s="64" t="n">
        <v>9.05</v>
      </c>
      <c r="N1372" s="18" t="s">
        <v>1560</v>
      </c>
      <c r="O1372" s="65" t="n">
        <v>1002.9124</v>
      </c>
      <c r="P1372" s="65"/>
      <c r="Q1372" s="65"/>
      <c r="R1372" s="65" t="s">
        <v>232</v>
      </c>
      <c r="S1372" s="66" t="n">
        <f aca="false">Model_Calc!BA232</f>
        <v>1002.9124126974</v>
      </c>
      <c r="T1372" s="66" t="n">
        <f aca="false">ROUND(S1372-O1372,4)</f>
        <v>0</v>
      </c>
    </row>
    <row r="1373" customFormat="false" ht="15" hidden="false" customHeight="false" outlineLevel="0" collapsed="false">
      <c r="A1373" s="18" t="s">
        <v>203</v>
      </c>
      <c r="B1373" s="18" t="s">
        <v>204</v>
      </c>
      <c r="C1373" s="18"/>
      <c r="D1373" s="49" t="n">
        <v>46327</v>
      </c>
      <c r="E1373" s="18" t="s">
        <v>127</v>
      </c>
      <c r="F1373" s="18" t="s">
        <v>119</v>
      </c>
      <c r="G1373" s="18" t="s">
        <v>100</v>
      </c>
      <c r="H1373" s="18" t="s">
        <v>128</v>
      </c>
      <c r="I1373" s="18" t="s">
        <v>125</v>
      </c>
      <c r="J1373" s="18" t="s">
        <v>230</v>
      </c>
      <c r="K1373" s="18" t="s">
        <v>199</v>
      </c>
      <c r="L1373" s="64" t="n">
        <v>11013.7087147096</v>
      </c>
      <c r="M1373" s="64" t="n">
        <v>9.05</v>
      </c>
      <c r="N1373" s="18" t="s">
        <v>1561</v>
      </c>
      <c r="O1373" s="65" t="n">
        <v>99674.0639</v>
      </c>
      <c r="P1373" s="65"/>
      <c r="Q1373" s="65"/>
      <c r="R1373" s="65" t="s">
        <v>232</v>
      </c>
      <c r="S1373" s="66" t="n">
        <f aca="false">Model_Calc!AF233</f>
        <v>99674.0638681223</v>
      </c>
      <c r="T1373" s="66" t="n">
        <f aca="false">ROUND(S1373-O1373,4)</f>
        <v>0</v>
      </c>
    </row>
    <row r="1374" customFormat="false" ht="15" hidden="false" customHeight="false" outlineLevel="0" collapsed="false">
      <c r="A1374" s="18" t="s">
        <v>203</v>
      </c>
      <c r="B1374" s="18" t="s">
        <v>204</v>
      </c>
      <c r="C1374" s="18"/>
      <c r="D1374" s="49" t="n">
        <v>46327</v>
      </c>
      <c r="E1374" s="18" t="s">
        <v>127</v>
      </c>
      <c r="F1374" s="18" t="s">
        <v>119</v>
      </c>
      <c r="G1374" s="18" t="s">
        <v>100</v>
      </c>
      <c r="H1374" s="18" t="s">
        <v>128</v>
      </c>
      <c r="I1374" s="18" t="s">
        <v>125</v>
      </c>
      <c r="J1374" s="18" t="s">
        <v>233</v>
      </c>
      <c r="K1374" s="18" t="s">
        <v>199</v>
      </c>
      <c r="L1374" s="64" t="n">
        <v>851.72680727088</v>
      </c>
      <c r="M1374" s="64" t="n">
        <v>9.05</v>
      </c>
      <c r="N1374" s="18" t="s">
        <v>1562</v>
      </c>
      <c r="O1374" s="65" t="n">
        <v>7708.1276</v>
      </c>
      <c r="P1374" s="65"/>
      <c r="Q1374" s="65"/>
      <c r="R1374" s="65" t="s">
        <v>232</v>
      </c>
      <c r="S1374" s="66" t="n">
        <f aca="false">Model_Calc!AG233</f>
        <v>7708.12760580146</v>
      </c>
      <c r="T1374" s="66" t="n">
        <f aca="false">ROUND(S1374-O1374,4)</f>
        <v>0</v>
      </c>
    </row>
    <row r="1375" customFormat="false" ht="15" hidden="false" customHeight="false" outlineLevel="0" collapsed="false">
      <c r="A1375" s="18" t="s">
        <v>203</v>
      </c>
      <c r="B1375" s="18" t="s">
        <v>204</v>
      </c>
      <c r="C1375" s="18"/>
      <c r="D1375" s="49" t="n">
        <v>46327</v>
      </c>
      <c r="E1375" s="18" t="s">
        <v>127</v>
      </c>
      <c r="F1375" s="18" t="s">
        <v>119</v>
      </c>
      <c r="G1375" s="18" t="s">
        <v>100</v>
      </c>
      <c r="H1375" s="18" t="s">
        <v>128</v>
      </c>
      <c r="I1375" s="18" t="s">
        <v>125</v>
      </c>
      <c r="J1375" s="18" t="s">
        <v>235</v>
      </c>
      <c r="K1375" s="18" t="s">
        <v>195</v>
      </c>
      <c r="L1375" s="64" t="n">
        <v>1531.04903036411</v>
      </c>
      <c r="M1375" s="64" t="n">
        <v>7.88</v>
      </c>
      <c r="N1375" s="18" t="s">
        <v>1563</v>
      </c>
      <c r="O1375" s="65" t="n">
        <v>12064.6664</v>
      </c>
      <c r="P1375" s="65"/>
      <c r="Q1375" s="65"/>
      <c r="R1375" s="65" t="s">
        <v>232</v>
      </c>
      <c r="S1375" s="66" t="n">
        <f aca="false">Model_Calc!AL233</f>
        <v>12064.6663592692</v>
      </c>
      <c r="T1375" s="66" t="n">
        <f aca="false">ROUND(S1375-O1375,4)</f>
        <v>0</v>
      </c>
    </row>
    <row r="1376" customFormat="false" ht="15" hidden="false" customHeight="false" outlineLevel="0" collapsed="false">
      <c r="A1376" s="18" t="s">
        <v>203</v>
      </c>
      <c r="B1376" s="18" t="s">
        <v>204</v>
      </c>
      <c r="C1376" s="18"/>
      <c r="D1376" s="49" t="n">
        <v>46327</v>
      </c>
      <c r="E1376" s="18" t="s">
        <v>127</v>
      </c>
      <c r="F1376" s="18" t="s">
        <v>119</v>
      </c>
      <c r="G1376" s="18" t="s">
        <v>100</v>
      </c>
      <c r="H1376" s="18" t="s">
        <v>128</v>
      </c>
      <c r="I1376" s="18" t="s">
        <v>125</v>
      </c>
      <c r="J1376" s="18" t="s">
        <v>237</v>
      </c>
      <c r="K1376" s="18" t="s">
        <v>195</v>
      </c>
      <c r="L1376" s="64" t="n">
        <v>613.9123570944</v>
      </c>
      <c r="M1376" s="64" t="n">
        <v>7.88</v>
      </c>
      <c r="N1376" s="18" t="s">
        <v>1564</v>
      </c>
      <c r="O1376" s="65" t="n">
        <v>4837.6294</v>
      </c>
      <c r="P1376" s="65"/>
      <c r="Q1376" s="65"/>
      <c r="R1376" s="65" t="s">
        <v>232</v>
      </c>
      <c r="S1376" s="66" t="n">
        <f aca="false">Model_Calc!AQ233</f>
        <v>4837.62937390387</v>
      </c>
      <c r="T1376" s="66" t="n">
        <f aca="false">ROUND(S1376-O1376,4)</f>
        <v>0</v>
      </c>
    </row>
    <row r="1377" customFormat="false" ht="15" hidden="false" customHeight="false" outlineLevel="0" collapsed="false">
      <c r="A1377" s="18" t="s">
        <v>203</v>
      </c>
      <c r="B1377" s="18" t="s">
        <v>204</v>
      </c>
      <c r="C1377" s="18"/>
      <c r="D1377" s="49" t="n">
        <v>46327</v>
      </c>
      <c r="E1377" s="18" t="s">
        <v>127</v>
      </c>
      <c r="F1377" s="18" t="s">
        <v>119</v>
      </c>
      <c r="G1377" s="18" t="s">
        <v>100</v>
      </c>
      <c r="H1377" s="18" t="s">
        <v>128</v>
      </c>
      <c r="I1377" s="18" t="s">
        <v>125</v>
      </c>
      <c r="J1377" s="18" t="s">
        <v>239</v>
      </c>
      <c r="K1377" s="18" t="s">
        <v>199</v>
      </c>
      <c r="L1377" s="64" t="n">
        <v>539.703171072</v>
      </c>
      <c r="M1377" s="64" t="n">
        <v>9.05</v>
      </c>
      <c r="N1377" s="18" t="s">
        <v>1565</v>
      </c>
      <c r="O1377" s="65" t="n">
        <v>4884.3137</v>
      </c>
      <c r="P1377" s="65"/>
      <c r="Q1377" s="65"/>
      <c r="R1377" s="65" t="s">
        <v>232</v>
      </c>
      <c r="S1377" s="66" t="n">
        <f aca="false">Model_Calc!AV233</f>
        <v>4884.3136982016</v>
      </c>
      <c r="T1377" s="66" t="n">
        <f aca="false">ROUND(S1377-O1377,4)</f>
        <v>0</v>
      </c>
    </row>
    <row r="1378" customFormat="false" ht="15" hidden="false" customHeight="false" outlineLevel="0" collapsed="false">
      <c r="A1378" s="18" t="s">
        <v>203</v>
      </c>
      <c r="B1378" s="18" t="s">
        <v>204</v>
      </c>
      <c r="C1378" s="18"/>
      <c r="D1378" s="49" t="n">
        <v>46327</v>
      </c>
      <c r="E1378" s="18" t="s">
        <v>127</v>
      </c>
      <c r="F1378" s="18" t="s">
        <v>119</v>
      </c>
      <c r="G1378" s="18" t="s">
        <v>100</v>
      </c>
      <c r="H1378" s="18" t="s">
        <v>128</v>
      </c>
      <c r="I1378" s="18" t="s">
        <v>125</v>
      </c>
      <c r="J1378" s="18" t="s">
        <v>241</v>
      </c>
      <c r="K1378" s="18" t="s">
        <v>199</v>
      </c>
      <c r="L1378" s="64" t="n">
        <v>57.883165097472</v>
      </c>
      <c r="M1378" s="64" t="n">
        <v>9.05</v>
      </c>
      <c r="N1378" s="18" t="s">
        <v>1566</v>
      </c>
      <c r="O1378" s="65" t="n">
        <v>523.8426</v>
      </c>
      <c r="P1378" s="65"/>
      <c r="Q1378" s="65"/>
      <c r="R1378" s="65" t="s">
        <v>232</v>
      </c>
      <c r="S1378" s="66" t="n">
        <f aca="false">Model_Calc!BA233</f>
        <v>523.842644132122</v>
      </c>
      <c r="T1378" s="66" t="n">
        <f aca="false">ROUND(S1378-O1378,4)</f>
        <v>0</v>
      </c>
    </row>
    <row r="1379" customFormat="false" ht="15" hidden="false" customHeight="false" outlineLevel="0" collapsed="false">
      <c r="A1379" s="18" t="s">
        <v>203</v>
      </c>
      <c r="B1379" s="18" t="s">
        <v>204</v>
      </c>
      <c r="C1379" s="18"/>
      <c r="D1379" s="49" t="n">
        <v>46327</v>
      </c>
      <c r="E1379" s="18" t="s">
        <v>130</v>
      </c>
      <c r="F1379" s="18" t="s">
        <v>119</v>
      </c>
      <c r="G1379" s="18" t="s">
        <v>110</v>
      </c>
      <c r="H1379" s="18" t="s">
        <v>107</v>
      </c>
      <c r="I1379" s="18" t="s">
        <v>125</v>
      </c>
      <c r="J1379" s="18" t="s">
        <v>230</v>
      </c>
      <c r="K1379" s="18" t="s">
        <v>195</v>
      </c>
      <c r="L1379" s="64" t="n">
        <v>2910.32405141962</v>
      </c>
      <c r="M1379" s="64" t="n">
        <v>7.88</v>
      </c>
      <c r="N1379" s="18" t="s">
        <v>1567</v>
      </c>
      <c r="O1379" s="65" t="n">
        <v>22933.3535</v>
      </c>
      <c r="P1379" s="65"/>
      <c r="Q1379" s="65"/>
      <c r="R1379" s="65" t="s">
        <v>232</v>
      </c>
      <c r="S1379" s="66" t="n">
        <f aca="false">Model_Calc!AF234</f>
        <v>22933.3535251866</v>
      </c>
      <c r="T1379" s="66" t="n">
        <f aca="false">ROUND(S1379-O1379,4)</f>
        <v>0</v>
      </c>
    </row>
    <row r="1380" customFormat="false" ht="15" hidden="false" customHeight="false" outlineLevel="0" collapsed="false">
      <c r="A1380" s="18" t="s">
        <v>203</v>
      </c>
      <c r="B1380" s="18" t="s">
        <v>204</v>
      </c>
      <c r="C1380" s="18"/>
      <c r="D1380" s="49" t="n">
        <v>46327</v>
      </c>
      <c r="E1380" s="18" t="s">
        <v>130</v>
      </c>
      <c r="F1380" s="18" t="s">
        <v>119</v>
      </c>
      <c r="G1380" s="18" t="s">
        <v>110</v>
      </c>
      <c r="H1380" s="18" t="s">
        <v>107</v>
      </c>
      <c r="I1380" s="18" t="s">
        <v>125</v>
      </c>
      <c r="J1380" s="18" t="s">
        <v>233</v>
      </c>
      <c r="K1380" s="18" t="s">
        <v>195</v>
      </c>
      <c r="L1380" s="64" t="n">
        <v>316.279466288027</v>
      </c>
      <c r="M1380" s="64" t="n">
        <v>7.88</v>
      </c>
      <c r="N1380" s="18" t="s">
        <v>1568</v>
      </c>
      <c r="O1380" s="65" t="n">
        <v>2492.2822</v>
      </c>
      <c r="P1380" s="65"/>
      <c r="Q1380" s="65"/>
      <c r="R1380" s="65" t="s">
        <v>232</v>
      </c>
      <c r="S1380" s="66" t="n">
        <f aca="false">Model_Calc!AG234</f>
        <v>2492.28219434965</v>
      </c>
      <c r="T1380" s="66" t="n">
        <f aca="false">ROUND(S1380-O1380,4)</f>
        <v>0</v>
      </c>
    </row>
    <row r="1381" customFormat="false" ht="15" hidden="false" customHeight="false" outlineLevel="0" collapsed="false">
      <c r="A1381" s="18" t="s">
        <v>203</v>
      </c>
      <c r="B1381" s="18" t="s">
        <v>204</v>
      </c>
      <c r="C1381" s="18"/>
      <c r="D1381" s="49" t="n">
        <v>46327</v>
      </c>
      <c r="E1381" s="18" t="s">
        <v>130</v>
      </c>
      <c r="F1381" s="18" t="s">
        <v>119</v>
      </c>
      <c r="G1381" s="18" t="s">
        <v>110</v>
      </c>
      <c r="H1381" s="18" t="s">
        <v>107</v>
      </c>
      <c r="I1381" s="18" t="s">
        <v>125</v>
      </c>
      <c r="J1381" s="18" t="s">
        <v>235</v>
      </c>
      <c r="K1381" s="18" t="s">
        <v>195</v>
      </c>
      <c r="L1381" s="64" t="n">
        <v>420.44184</v>
      </c>
      <c r="M1381" s="64" t="n">
        <v>7.88</v>
      </c>
      <c r="N1381" s="18" t="s">
        <v>1569</v>
      </c>
      <c r="O1381" s="65" t="n">
        <v>3313.0817</v>
      </c>
      <c r="P1381" s="65"/>
      <c r="Q1381" s="65"/>
      <c r="R1381" s="65" t="s">
        <v>232</v>
      </c>
      <c r="S1381" s="66" t="n">
        <f aca="false">Model_Calc!AL234</f>
        <v>3313.0816992</v>
      </c>
      <c r="T1381" s="66" t="n">
        <f aca="false">ROUND(S1381-O1381,4)</f>
        <v>0</v>
      </c>
    </row>
    <row r="1382" customFormat="false" ht="15" hidden="false" customHeight="false" outlineLevel="0" collapsed="false">
      <c r="A1382" s="18" t="s">
        <v>203</v>
      </c>
      <c r="B1382" s="18" t="s">
        <v>204</v>
      </c>
      <c r="C1382" s="18"/>
      <c r="D1382" s="49" t="n">
        <v>46327</v>
      </c>
      <c r="E1382" s="18" t="s">
        <v>130</v>
      </c>
      <c r="F1382" s="18" t="s">
        <v>119</v>
      </c>
      <c r="G1382" s="18" t="s">
        <v>110</v>
      </c>
      <c r="H1382" s="18" t="s">
        <v>107</v>
      </c>
      <c r="I1382" s="18" t="s">
        <v>125</v>
      </c>
      <c r="J1382" s="18" t="s">
        <v>237</v>
      </c>
      <c r="K1382" s="18" t="s">
        <v>195</v>
      </c>
      <c r="L1382" s="64" t="n">
        <v>178.02708768</v>
      </c>
      <c r="M1382" s="64" t="n">
        <v>7.88</v>
      </c>
      <c r="N1382" s="18" t="s">
        <v>1570</v>
      </c>
      <c r="O1382" s="65" t="n">
        <v>1402.8535</v>
      </c>
      <c r="P1382" s="65"/>
      <c r="Q1382" s="65"/>
      <c r="R1382" s="65" t="s">
        <v>232</v>
      </c>
      <c r="S1382" s="66" t="n">
        <f aca="false">Model_Calc!AQ234</f>
        <v>1402.8534509184</v>
      </c>
      <c r="T1382" s="66" t="n">
        <f aca="false">ROUND(S1382-O1382,4)</f>
        <v>0</v>
      </c>
    </row>
    <row r="1383" customFormat="false" ht="15" hidden="false" customHeight="false" outlineLevel="0" collapsed="false">
      <c r="A1383" s="18" t="s">
        <v>203</v>
      </c>
      <c r="B1383" s="18" t="s">
        <v>204</v>
      </c>
      <c r="C1383" s="18"/>
      <c r="D1383" s="49" t="n">
        <v>46327</v>
      </c>
      <c r="E1383" s="18" t="s">
        <v>130</v>
      </c>
      <c r="F1383" s="18" t="s">
        <v>119</v>
      </c>
      <c r="G1383" s="18" t="s">
        <v>110</v>
      </c>
      <c r="H1383" s="18" t="s">
        <v>107</v>
      </c>
      <c r="I1383" s="18" t="s">
        <v>125</v>
      </c>
      <c r="J1383" s="18" t="s">
        <v>239</v>
      </c>
      <c r="K1383" s="18" t="s">
        <v>195</v>
      </c>
      <c r="L1383" s="64" t="n">
        <v>187.3969344</v>
      </c>
      <c r="M1383" s="64" t="n">
        <v>7.88</v>
      </c>
      <c r="N1383" s="18" t="s">
        <v>1571</v>
      </c>
      <c r="O1383" s="65" t="n">
        <v>1476.6878</v>
      </c>
      <c r="P1383" s="65"/>
      <c r="Q1383" s="65"/>
      <c r="R1383" s="65" t="s">
        <v>232</v>
      </c>
      <c r="S1383" s="66" t="n">
        <f aca="false">Model_Calc!AV234</f>
        <v>1476.687843072</v>
      </c>
      <c r="T1383" s="66" t="n">
        <f aca="false">ROUND(S1383-O1383,4)</f>
        <v>0</v>
      </c>
    </row>
    <row r="1384" customFormat="false" ht="15" hidden="false" customHeight="false" outlineLevel="0" collapsed="false">
      <c r="A1384" s="18" t="s">
        <v>203</v>
      </c>
      <c r="B1384" s="18" t="s">
        <v>204</v>
      </c>
      <c r="C1384" s="18"/>
      <c r="D1384" s="49" t="n">
        <v>46327</v>
      </c>
      <c r="E1384" s="18" t="s">
        <v>130</v>
      </c>
      <c r="F1384" s="18" t="s">
        <v>119</v>
      </c>
      <c r="G1384" s="18" t="s">
        <v>110</v>
      </c>
      <c r="H1384" s="18" t="s">
        <v>107</v>
      </c>
      <c r="I1384" s="18" t="s">
        <v>125</v>
      </c>
      <c r="J1384" s="18" t="s">
        <v>241</v>
      </c>
      <c r="K1384" s="18" t="s">
        <v>195</v>
      </c>
      <c r="L1384" s="64" t="n">
        <v>18.3648995712</v>
      </c>
      <c r="M1384" s="64" t="n">
        <v>7.88</v>
      </c>
      <c r="N1384" s="18" t="s">
        <v>1572</v>
      </c>
      <c r="O1384" s="65" t="n">
        <v>144.7154</v>
      </c>
      <c r="P1384" s="65"/>
      <c r="Q1384" s="65"/>
      <c r="R1384" s="65" t="s">
        <v>232</v>
      </c>
      <c r="S1384" s="66" t="n">
        <f aca="false">Model_Calc!BA234</f>
        <v>144.715408621056</v>
      </c>
      <c r="T1384" s="66" t="n">
        <f aca="false">ROUND(S1384-O1384,4)</f>
        <v>0</v>
      </c>
    </row>
    <row r="1385" customFormat="false" ht="15" hidden="false" customHeight="false" outlineLevel="0" collapsed="false">
      <c r="A1385" s="18" t="s">
        <v>203</v>
      </c>
      <c r="B1385" s="18" t="s">
        <v>204</v>
      </c>
      <c r="C1385" s="18"/>
      <c r="D1385" s="49" t="n">
        <v>46357</v>
      </c>
      <c r="E1385" s="18" t="s">
        <v>98</v>
      </c>
      <c r="F1385" s="18" t="s">
        <v>99</v>
      </c>
      <c r="G1385" s="18" t="s">
        <v>100</v>
      </c>
      <c r="H1385" s="18" t="s">
        <v>101</v>
      </c>
      <c r="I1385" s="18" t="s">
        <v>102</v>
      </c>
      <c r="J1385" s="18" t="s">
        <v>230</v>
      </c>
      <c r="K1385" s="18" t="s">
        <v>195</v>
      </c>
      <c r="L1385" s="64" t="n">
        <v>10032.4568907763</v>
      </c>
      <c r="M1385" s="64" t="n">
        <v>7.86</v>
      </c>
      <c r="N1385" s="18" t="s">
        <v>1573</v>
      </c>
      <c r="O1385" s="65" t="n">
        <v>78855.1112</v>
      </c>
      <c r="P1385" s="65"/>
      <c r="Q1385" s="65"/>
      <c r="R1385" s="65" t="s">
        <v>232</v>
      </c>
      <c r="S1385" s="66" t="n">
        <f aca="false">Model_Calc!AF235</f>
        <v>78855.1111615019</v>
      </c>
      <c r="T1385" s="66" t="n">
        <f aca="false">ROUND(S1385-O1385,4)</f>
        <v>0</v>
      </c>
    </row>
    <row r="1386" customFormat="false" ht="15" hidden="false" customHeight="false" outlineLevel="0" collapsed="false">
      <c r="A1386" s="18" t="s">
        <v>203</v>
      </c>
      <c r="B1386" s="18" t="s">
        <v>204</v>
      </c>
      <c r="C1386" s="18"/>
      <c r="D1386" s="49" t="n">
        <v>46357</v>
      </c>
      <c r="E1386" s="18" t="s">
        <v>98</v>
      </c>
      <c r="F1386" s="18" t="s">
        <v>99</v>
      </c>
      <c r="G1386" s="18" t="s">
        <v>100</v>
      </c>
      <c r="H1386" s="18" t="s">
        <v>101</v>
      </c>
      <c r="I1386" s="18" t="s">
        <v>102</v>
      </c>
      <c r="J1386" s="18" t="s">
        <v>233</v>
      </c>
      <c r="K1386" s="18" t="s">
        <v>195</v>
      </c>
      <c r="L1386" s="64" t="n">
        <v>986.441323785582</v>
      </c>
      <c r="M1386" s="64" t="n">
        <v>7.86</v>
      </c>
      <c r="N1386" s="18" t="s">
        <v>1574</v>
      </c>
      <c r="O1386" s="65" t="n">
        <v>7753.4288</v>
      </c>
      <c r="P1386" s="65"/>
      <c r="Q1386" s="65"/>
      <c r="R1386" s="65" t="s">
        <v>232</v>
      </c>
      <c r="S1386" s="66" t="n">
        <f aca="false">Model_Calc!AG235</f>
        <v>7753.42880495467</v>
      </c>
      <c r="T1386" s="66" t="n">
        <f aca="false">ROUND(S1386-O1386,4)</f>
        <v>0</v>
      </c>
    </row>
    <row r="1387" customFormat="false" ht="15" hidden="false" customHeight="false" outlineLevel="0" collapsed="false">
      <c r="A1387" s="18" t="s">
        <v>203</v>
      </c>
      <c r="B1387" s="18" t="s">
        <v>204</v>
      </c>
      <c r="C1387" s="18"/>
      <c r="D1387" s="49" t="n">
        <v>46357</v>
      </c>
      <c r="E1387" s="18" t="s">
        <v>98</v>
      </c>
      <c r="F1387" s="18" t="s">
        <v>99</v>
      </c>
      <c r="G1387" s="18" t="s">
        <v>100</v>
      </c>
      <c r="H1387" s="18" t="s">
        <v>101</v>
      </c>
      <c r="I1387" s="18" t="s">
        <v>102</v>
      </c>
      <c r="J1387" s="18" t="s">
        <v>235</v>
      </c>
      <c r="K1387" s="18" t="s">
        <v>195</v>
      </c>
      <c r="L1387" s="64" t="n">
        <v>6719.77269518157</v>
      </c>
      <c r="M1387" s="64" t="n">
        <v>7.86</v>
      </c>
      <c r="N1387" s="18" t="s">
        <v>1575</v>
      </c>
      <c r="O1387" s="65" t="n">
        <v>52817.4134</v>
      </c>
      <c r="P1387" s="65"/>
      <c r="Q1387" s="65"/>
      <c r="R1387" s="65" t="s">
        <v>232</v>
      </c>
      <c r="S1387" s="66" t="n">
        <f aca="false">Model_Calc!AL235</f>
        <v>52817.4133841271</v>
      </c>
      <c r="T1387" s="66" t="n">
        <f aca="false">ROUND(S1387-O1387,4)</f>
        <v>0</v>
      </c>
    </row>
    <row r="1388" customFormat="false" ht="15" hidden="false" customHeight="false" outlineLevel="0" collapsed="false">
      <c r="A1388" s="18" t="s">
        <v>203</v>
      </c>
      <c r="B1388" s="18" t="s">
        <v>204</v>
      </c>
      <c r="C1388" s="18"/>
      <c r="D1388" s="49" t="n">
        <v>46357</v>
      </c>
      <c r="E1388" s="18" t="s">
        <v>98</v>
      </c>
      <c r="F1388" s="18" t="s">
        <v>99</v>
      </c>
      <c r="G1388" s="18" t="s">
        <v>100</v>
      </c>
      <c r="H1388" s="18" t="s">
        <v>101</v>
      </c>
      <c r="I1388" s="18" t="s">
        <v>102</v>
      </c>
      <c r="J1388" s="18" t="s">
        <v>237</v>
      </c>
      <c r="K1388" s="18" t="s">
        <v>195</v>
      </c>
      <c r="L1388" s="64" t="n">
        <v>2431.18459584</v>
      </c>
      <c r="M1388" s="64" t="n">
        <v>7.86</v>
      </c>
      <c r="N1388" s="18" t="s">
        <v>1576</v>
      </c>
      <c r="O1388" s="65" t="n">
        <v>19109.1109</v>
      </c>
      <c r="P1388" s="65"/>
      <c r="Q1388" s="65"/>
      <c r="R1388" s="65" t="s">
        <v>232</v>
      </c>
      <c r="S1388" s="66" t="n">
        <f aca="false">Model_Calc!AQ235</f>
        <v>19109.1109233024</v>
      </c>
      <c r="T1388" s="66" t="n">
        <f aca="false">ROUND(S1388-O1388,4)</f>
        <v>0</v>
      </c>
    </row>
    <row r="1389" customFormat="false" ht="15" hidden="false" customHeight="false" outlineLevel="0" collapsed="false">
      <c r="A1389" s="18" t="s">
        <v>203</v>
      </c>
      <c r="B1389" s="18" t="s">
        <v>204</v>
      </c>
      <c r="C1389" s="18"/>
      <c r="D1389" s="49" t="n">
        <v>46357</v>
      </c>
      <c r="E1389" s="18" t="s">
        <v>98</v>
      </c>
      <c r="F1389" s="18" t="s">
        <v>99</v>
      </c>
      <c r="G1389" s="18" t="s">
        <v>100</v>
      </c>
      <c r="H1389" s="18" t="s">
        <v>101</v>
      </c>
      <c r="I1389" s="18" t="s">
        <v>102</v>
      </c>
      <c r="J1389" s="18" t="s">
        <v>239</v>
      </c>
      <c r="K1389" s="18" t="s">
        <v>195</v>
      </c>
      <c r="L1389" s="64" t="n">
        <v>882.0624384</v>
      </c>
      <c r="M1389" s="64" t="n">
        <v>7.86</v>
      </c>
      <c r="N1389" s="18" t="s">
        <v>1577</v>
      </c>
      <c r="O1389" s="65" t="n">
        <v>6933.0108</v>
      </c>
      <c r="P1389" s="65"/>
      <c r="Q1389" s="65"/>
      <c r="R1389" s="65" t="s">
        <v>232</v>
      </c>
      <c r="S1389" s="66" t="n">
        <f aca="false">Model_Calc!AV235</f>
        <v>6933.010765824</v>
      </c>
      <c r="T1389" s="66" t="n">
        <f aca="false">ROUND(S1389-O1389,4)</f>
        <v>0</v>
      </c>
    </row>
    <row r="1390" customFormat="false" ht="15" hidden="false" customHeight="false" outlineLevel="0" collapsed="false">
      <c r="A1390" s="18" t="s">
        <v>203</v>
      </c>
      <c r="B1390" s="18" t="s">
        <v>204</v>
      </c>
      <c r="C1390" s="18"/>
      <c r="D1390" s="49" t="n">
        <v>46357</v>
      </c>
      <c r="E1390" s="18" t="s">
        <v>98</v>
      </c>
      <c r="F1390" s="18" t="s">
        <v>99</v>
      </c>
      <c r="G1390" s="18" t="s">
        <v>100</v>
      </c>
      <c r="H1390" s="18" t="s">
        <v>101</v>
      </c>
      <c r="I1390" s="18" t="s">
        <v>102</v>
      </c>
      <c r="J1390" s="18" t="s">
        <v>241</v>
      </c>
      <c r="K1390" s="18" t="s">
        <v>195</v>
      </c>
      <c r="L1390" s="64" t="n">
        <v>213.0180788736</v>
      </c>
      <c r="M1390" s="64" t="n">
        <v>7.86</v>
      </c>
      <c r="N1390" s="18" t="s">
        <v>1578</v>
      </c>
      <c r="O1390" s="65" t="n">
        <v>1674.3221</v>
      </c>
      <c r="P1390" s="65"/>
      <c r="Q1390" s="65"/>
      <c r="R1390" s="65" t="s">
        <v>232</v>
      </c>
      <c r="S1390" s="66" t="n">
        <f aca="false">Model_Calc!BA235</f>
        <v>1674.3220999465</v>
      </c>
      <c r="T1390" s="66" t="n">
        <f aca="false">ROUND(S1390-O1390,4)</f>
        <v>0</v>
      </c>
    </row>
    <row r="1391" customFormat="false" ht="15" hidden="false" customHeight="false" outlineLevel="0" collapsed="false">
      <c r="A1391" s="18" t="s">
        <v>203</v>
      </c>
      <c r="B1391" s="18" t="s">
        <v>204</v>
      </c>
      <c r="C1391" s="18"/>
      <c r="D1391" s="49" t="n">
        <v>46357</v>
      </c>
      <c r="E1391" s="18" t="s">
        <v>106</v>
      </c>
      <c r="F1391" s="18" t="s">
        <v>99</v>
      </c>
      <c r="G1391" s="18" t="s">
        <v>100</v>
      </c>
      <c r="H1391" s="18" t="s">
        <v>107</v>
      </c>
      <c r="I1391" s="18" t="s">
        <v>102</v>
      </c>
      <c r="J1391" s="18" t="s">
        <v>230</v>
      </c>
      <c r="K1391" s="18" t="s">
        <v>195</v>
      </c>
      <c r="L1391" s="64" t="n">
        <v>8574.749479296</v>
      </c>
      <c r="M1391" s="64" t="n">
        <v>7.86</v>
      </c>
      <c r="N1391" s="18" t="s">
        <v>1579</v>
      </c>
      <c r="O1391" s="65" t="n">
        <v>67397.5309</v>
      </c>
      <c r="P1391" s="65"/>
      <c r="Q1391" s="65"/>
      <c r="R1391" s="65" t="s">
        <v>232</v>
      </c>
      <c r="S1391" s="66" t="n">
        <f aca="false">Model_Calc!AF236</f>
        <v>67397.5309072666</v>
      </c>
      <c r="T1391" s="66" t="n">
        <f aca="false">ROUND(S1391-O1391,4)</f>
        <v>0</v>
      </c>
    </row>
    <row r="1392" customFormat="false" ht="15" hidden="false" customHeight="false" outlineLevel="0" collapsed="false">
      <c r="A1392" s="18" t="s">
        <v>203</v>
      </c>
      <c r="B1392" s="18" t="s">
        <v>204</v>
      </c>
      <c r="C1392" s="18"/>
      <c r="D1392" s="49" t="n">
        <v>46357</v>
      </c>
      <c r="E1392" s="18" t="s">
        <v>106</v>
      </c>
      <c r="F1392" s="18" t="s">
        <v>99</v>
      </c>
      <c r="G1392" s="18" t="s">
        <v>100</v>
      </c>
      <c r="H1392" s="18" t="s">
        <v>107</v>
      </c>
      <c r="I1392" s="18" t="s">
        <v>102</v>
      </c>
      <c r="J1392" s="18" t="s">
        <v>233</v>
      </c>
      <c r="K1392" s="18" t="s">
        <v>195</v>
      </c>
      <c r="L1392" s="64" t="n">
        <v>654.79905114624</v>
      </c>
      <c r="M1392" s="64" t="n">
        <v>7.86</v>
      </c>
      <c r="N1392" s="18" t="s">
        <v>1580</v>
      </c>
      <c r="O1392" s="65" t="n">
        <v>5146.7205</v>
      </c>
      <c r="P1392" s="65"/>
      <c r="Q1392" s="65"/>
      <c r="R1392" s="65" t="s">
        <v>232</v>
      </c>
      <c r="S1392" s="66" t="n">
        <f aca="false">Model_Calc!AG236</f>
        <v>5146.72054200945</v>
      </c>
      <c r="T1392" s="66" t="n">
        <f aca="false">ROUND(S1392-O1392,4)</f>
        <v>0</v>
      </c>
    </row>
    <row r="1393" customFormat="false" ht="15" hidden="false" customHeight="false" outlineLevel="0" collapsed="false">
      <c r="A1393" s="18" t="s">
        <v>203</v>
      </c>
      <c r="B1393" s="18" t="s">
        <v>204</v>
      </c>
      <c r="C1393" s="18"/>
      <c r="D1393" s="49" t="n">
        <v>46357</v>
      </c>
      <c r="E1393" s="18" t="s">
        <v>106</v>
      </c>
      <c r="F1393" s="18" t="s">
        <v>99</v>
      </c>
      <c r="G1393" s="18" t="s">
        <v>100</v>
      </c>
      <c r="H1393" s="18" t="s">
        <v>107</v>
      </c>
      <c r="I1393" s="18" t="s">
        <v>102</v>
      </c>
      <c r="J1393" s="18" t="s">
        <v>235</v>
      </c>
      <c r="K1393" s="18" t="s">
        <v>195</v>
      </c>
      <c r="L1393" s="64" t="n">
        <v>4479.84846345438</v>
      </c>
      <c r="M1393" s="64" t="n">
        <v>7.86</v>
      </c>
      <c r="N1393" s="18" t="s">
        <v>1581</v>
      </c>
      <c r="O1393" s="65" t="n">
        <v>35211.6089</v>
      </c>
      <c r="P1393" s="65"/>
      <c r="Q1393" s="65"/>
      <c r="R1393" s="65" t="s">
        <v>232</v>
      </c>
      <c r="S1393" s="66" t="n">
        <f aca="false">Model_Calc!AL236</f>
        <v>35211.6089227514</v>
      </c>
      <c r="T1393" s="66" t="n">
        <f aca="false">ROUND(S1393-O1393,4)</f>
        <v>0</v>
      </c>
    </row>
    <row r="1394" customFormat="false" ht="15" hidden="false" customHeight="false" outlineLevel="0" collapsed="false">
      <c r="A1394" s="18" t="s">
        <v>203</v>
      </c>
      <c r="B1394" s="18" t="s">
        <v>204</v>
      </c>
      <c r="C1394" s="18"/>
      <c r="D1394" s="49" t="n">
        <v>46357</v>
      </c>
      <c r="E1394" s="18" t="s">
        <v>106</v>
      </c>
      <c r="F1394" s="18" t="s">
        <v>99</v>
      </c>
      <c r="G1394" s="18" t="s">
        <v>100</v>
      </c>
      <c r="H1394" s="18" t="s">
        <v>107</v>
      </c>
      <c r="I1394" s="18" t="s">
        <v>102</v>
      </c>
      <c r="J1394" s="18" t="s">
        <v>237</v>
      </c>
      <c r="K1394" s="18" t="s">
        <v>195</v>
      </c>
      <c r="L1394" s="64" t="n">
        <v>1620.78973056</v>
      </c>
      <c r="M1394" s="64" t="n">
        <v>7.86</v>
      </c>
      <c r="N1394" s="18" t="s">
        <v>1582</v>
      </c>
      <c r="O1394" s="65" t="n">
        <v>12739.4073</v>
      </c>
      <c r="P1394" s="65"/>
      <c r="Q1394" s="65"/>
      <c r="R1394" s="65" t="s">
        <v>232</v>
      </c>
      <c r="S1394" s="66" t="n">
        <f aca="false">Model_Calc!AQ236</f>
        <v>12739.4072822016</v>
      </c>
      <c r="T1394" s="66" t="n">
        <f aca="false">ROUND(S1394-O1394,4)</f>
        <v>0</v>
      </c>
    </row>
    <row r="1395" customFormat="false" ht="15" hidden="false" customHeight="false" outlineLevel="0" collapsed="false">
      <c r="A1395" s="18" t="s">
        <v>203</v>
      </c>
      <c r="B1395" s="18" t="s">
        <v>204</v>
      </c>
      <c r="C1395" s="18"/>
      <c r="D1395" s="49" t="n">
        <v>46357</v>
      </c>
      <c r="E1395" s="18" t="s">
        <v>106</v>
      </c>
      <c r="F1395" s="18" t="s">
        <v>99</v>
      </c>
      <c r="G1395" s="18" t="s">
        <v>100</v>
      </c>
      <c r="H1395" s="18" t="s">
        <v>107</v>
      </c>
      <c r="I1395" s="18" t="s">
        <v>102</v>
      </c>
      <c r="J1395" s="18" t="s">
        <v>239</v>
      </c>
      <c r="K1395" s="18" t="s">
        <v>195</v>
      </c>
      <c r="L1395" s="64" t="n">
        <v>588.0416256</v>
      </c>
      <c r="M1395" s="64" t="n">
        <v>7.86</v>
      </c>
      <c r="N1395" s="18" t="s">
        <v>1583</v>
      </c>
      <c r="O1395" s="65" t="n">
        <v>4622.0072</v>
      </c>
      <c r="P1395" s="65"/>
      <c r="Q1395" s="65"/>
      <c r="R1395" s="65" t="s">
        <v>232</v>
      </c>
      <c r="S1395" s="66" t="n">
        <f aca="false">Model_Calc!AV236</f>
        <v>4622.007177216</v>
      </c>
      <c r="T1395" s="66" t="n">
        <f aca="false">ROUND(S1395-O1395,4)</f>
        <v>0</v>
      </c>
    </row>
    <row r="1396" customFormat="false" ht="15" hidden="false" customHeight="false" outlineLevel="0" collapsed="false">
      <c r="A1396" s="18" t="s">
        <v>203</v>
      </c>
      <c r="B1396" s="18" t="s">
        <v>204</v>
      </c>
      <c r="C1396" s="18"/>
      <c r="D1396" s="49" t="n">
        <v>46357</v>
      </c>
      <c r="E1396" s="18" t="s">
        <v>106</v>
      </c>
      <c r="F1396" s="18" t="s">
        <v>99</v>
      </c>
      <c r="G1396" s="18" t="s">
        <v>100</v>
      </c>
      <c r="H1396" s="18" t="s">
        <v>107</v>
      </c>
      <c r="I1396" s="18" t="s">
        <v>102</v>
      </c>
      <c r="J1396" s="18" t="s">
        <v>241</v>
      </c>
      <c r="K1396" s="18" t="s">
        <v>195</v>
      </c>
      <c r="L1396" s="64" t="n">
        <v>115.3847927232</v>
      </c>
      <c r="M1396" s="64" t="n">
        <v>7.86</v>
      </c>
      <c r="N1396" s="18" t="s">
        <v>1584</v>
      </c>
      <c r="O1396" s="65" t="n">
        <v>906.9245</v>
      </c>
      <c r="P1396" s="65"/>
      <c r="Q1396" s="65"/>
      <c r="R1396" s="65" t="s">
        <v>232</v>
      </c>
      <c r="S1396" s="66" t="n">
        <f aca="false">Model_Calc!BA236</f>
        <v>906.924470804352</v>
      </c>
      <c r="T1396" s="66" t="n">
        <f aca="false">ROUND(S1396-O1396,4)</f>
        <v>0</v>
      </c>
    </row>
    <row r="1397" customFormat="false" ht="15" hidden="false" customHeight="false" outlineLevel="0" collapsed="false">
      <c r="A1397" s="18" t="s">
        <v>203</v>
      </c>
      <c r="B1397" s="18" t="s">
        <v>204</v>
      </c>
      <c r="C1397" s="18"/>
      <c r="D1397" s="49" t="n">
        <v>46357</v>
      </c>
      <c r="E1397" s="18" t="s">
        <v>109</v>
      </c>
      <c r="F1397" s="18" t="s">
        <v>99</v>
      </c>
      <c r="G1397" s="18" t="s">
        <v>110</v>
      </c>
      <c r="H1397" s="18" t="s">
        <v>107</v>
      </c>
      <c r="I1397" s="18" t="s">
        <v>102</v>
      </c>
      <c r="J1397" s="18" t="s">
        <v>230</v>
      </c>
      <c r="K1397" s="18" t="s">
        <v>195</v>
      </c>
      <c r="L1397" s="64" t="n">
        <v>879.70110269184</v>
      </c>
      <c r="M1397" s="64" t="n">
        <v>7.86</v>
      </c>
      <c r="N1397" s="18" t="s">
        <v>1585</v>
      </c>
      <c r="O1397" s="65" t="n">
        <v>6914.4507</v>
      </c>
      <c r="P1397" s="65"/>
      <c r="Q1397" s="65"/>
      <c r="R1397" s="65" t="s">
        <v>232</v>
      </c>
      <c r="S1397" s="66" t="n">
        <f aca="false">Model_Calc!AF237</f>
        <v>6914.45066715787</v>
      </c>
      <c r="T1397" s="66" t="n">
        <f aca="false">ROUND(S1397-O1397,4)</f>
        <v>0</v>
      </c>
    </row>
    <row r="1398" customFormat="false" ht="15" hidden="false" customHeight="false" outlineLevel="0" collapsed="false">
      <c r="A1398" s="18" t="s">
        <v>203</v>
      </c>
      <c r="B1398" s="18" t="s">
        <v>204</v>
      </c>
      <c r="C1398" s="18"/>
      <c r="D1398" s="49" t="n">
        <v>46357</v>
      </c>
      <c r="E1398" s="18" t="s">
        <v>109</v>
      </c>
      <c r="F1398" s="18" t="s">
        <v>99</v>
      </c>
      <c r="G1398" s="18" t="s">
        <v>110</v>
      </c>
      <c r="H1398" s="18" t="s">
        <v>107</v>
      </c>
      <c r="I1398" s="18" t="s">
        <v>102</v>
      </c>
      <c r="J1398" s="18" t="s">
        <v>233</v>
      </c>
      <c r="K1398" s="18" t="s">
        <v>195</v>
      </c>
      <c r="L1398" s="64" t="n">
        <v>63.978262013952</v>
      </c>
      <c r="M1398" s="64" t="n">
        <v>7.86</v>
      </c>
      <c r="N1398" s="18" t="s">
        <v>1586</v>
      </c>
      <c r="O1398" s="65" t="n">
        <v>502.8691</v>
      </c>
      <c r="P1398" s="65"/>
      <c r="Q1398" s="65"/>
      <c r="R1398" s="65" t="s">
        <v>232</v>
      </c>
      <c r="S1398" s="66" t="n">
        <f aca="false">Model_Calc!AG237</f>
        <v>502.869139429663</v>
      </c>
      <c r="T1398" s="66" t="n">
        <f aca="false">ROUND(S1398-O1398,4)</f>
        <v>0</v>
      </c>
    </row>
    <row r="1399" customFormat="false" ht="15" hidden="false" customHeight="false" outlineLevel="0" collapsed="false">
      <c r="A1399" s="18" t="s">
        <v>203</v>
      </c>
      <c r="B1399" s="18" t="s">
        <v>204</v>
      </c>
      <c r="C1399" s="18"/>
      <c r="D1399" s="49" t="n">
        <v>46357</v>
      </c>
      <c r="E1399" s="18" t="s">
        <v>109</v>
      </c>
      <c r="F1399" s="18" t="s">
        <v>99</v>
      </c>
      <c r="G1399" s="18" t="s">
        <v>110</v>
      </c>
      <c r="H1399" s="18" t="s">
        <v>107</v>
      </c>
      <c r="I1399" s="18" t="s">
        <v>102</v>
      </c>
      <c r="J1399" s="18" t="s">
        <v>235</v>
      </c>
      <c r="K1399" s="18" t="s">
        <v>195</v>
      </c>
      <c r="L1399" s="64" t="n">
        <v>298.37808</v>
      </c>
      <c r="M1399" s="64" t="n">
        <v>7.86</v>
      </c>
      <c r="N1399" s="18" t="s">
        <v>1587</v>
      </c>
      <c r="O1399" s="65" t="n">
        <v>2345.2517</v>
      </c>
      <c r="P1399" s="65"/>
      <c r="Q1399" s="65"/>
      <c r="R1399" s="65" t="s">
        <v>232</v>
      </c>
      <c r="S1399" s="66" t="n">
        <f aca="false">Model_Calc!AL237</f>
        <v>2345.2517088</v>
      </c>
      <c r="T1399" s="66" t="n">
        <f aca="false">ROUND(S1399-O1399,4)</f>
        <v>0</v>
      </c>
    </row>
    <row r="1400" customFormat="false" ht="15" hidden="false" customHeight="false" outlineLevel="0" collapsed="false">
      <c r="A1400" s="18" t="s">
        <v>203</v>
      </c>
      <c r="B1400" s="18" t="s">
        <v>204</v>
      </c>
      <c r="C1400" s="18"/>
      <c r="D1400" s="49" t="n">
        <v>46357</v>
      </c>
      <c r="E1400" s="18" t="s">
        <v>109</v>
      </c>
      <c r="F1400" s="18" t="s">
        <v>99</v>
      </c>
      <c r="G1400" s="18" t="s">
        <v>110</v>
      </c>
      <c r="H1400" s="18" t="s">
        <v>107</v>
      </c>
      <c r="I1400" s="18" t="s">
        <v>102</v>
      </c>
      <c r="J1400" s="18" t="s">
        <v>237</v>
      </c>
      <c r="K1400" s="18" t="s">
        <v>195</v>
      </c>
      <c r="L1400" s="64" t="n">
        <v>116.62320384</v>
      </c>
      <c r="M1400" s="64" t="n">
        <v>7.86</v>
      </c>
      <c r="N1400" s="18" t="s">
        <v>1588</v>
      </c>
      <c r="O1400" s="65" t="n">
        <v>916.6584</v>
      </c>
      <c r="P1400" s="65"/>
      <c r="Q1400" s="65"/>
      <c r="R1400" s="65" t="s">
        <v>232</v>
      </c>
      <c r="S1400" s="66" t="n">
        <f aca="false">Model_Calc!AQ237</f>
        <v>916.6583821824</v>
      </c>
      <c r="T1400" s="66" t="n">
        <f aca="false">ROUND(S1400-O1400,4)</f>
        <v>0</v>
      </c>
    </row>
    <row r="1401" customFormat="false" ht="15" hidden="false" customHeight="false" outlineLevel="0" collapsed="false">
      <c r="A1401" s="18" t="s">
        <v>203</v>
      </c>
      <c r="B1401" s="18" t="s">
        <v>204</v>
      </c>
      <c r="C1401" s="18"/>
      <c r="D1401" s="49" t="n">
        <v>46357</v>
      </c>
      <c r="E1401" s="18" t="s">
        <v>109</v>
      </c>
      <c r="F1401" s="18" t="s">
        <v>99</v>
      </c>
      <c r="G1401" s="18" t="s">
        <v>110</v>
      </c>
      <c r="H1401" s="18" t="s">
        <v>107</v>
      </c>
      <c r="I1401" s="18" t="s">
        <v>102</v>
      </c>
      <c r="J1401" s="18" t="s">
        <v>239</v>
      </c>
      <c r="K1401" s="18" t="s">
        <v>195</v>
      </c>
      <c r="L1401" s="64" t="n">
        <v>53.992224</v>
      </c>
      <c r="M1401" s="64" t="n">
        <v>7.86</v>
      </c>
      <c r="N1401" s="18" t="s">
        <v>1589</v>
      </c>
      <c r="O1401" s="65" t="n">
        <v>424.3789</v>
      </c>
      <c r="P1401" s="65"/>
      <c r="Q1401" s="65"/>
      <c r="R1401" s="65" t="s">
        <v>232</v>
      </c>
      <c r="S1401" s="66" t="n">
        <f aca="false">Model_Calc!AV237</f>
        <v>424.37888064</v>
      </c>
      <c r="T1401" s="66" t="n">
        <f aca="false">ROUND(S1401-O1401,4)</f>
        <v>0</v>
      </c>
    </row>
    <row r="1402" customFormat="false" ht="15" hidden="false" customHeight="false" outlineLevel="0" collapsed="false">
      <c r="A1402" s="18" t="s">
        <v>203</v>
      </c>
      <c r="B1402" s="18" t="s">
        <v>204</v>
      </c>
      <c r="C1402" s="18"/>
      <c r="D1402" s="49" t="n">
        <v>46357</v>
      </c>
      <c r="E1402" s="18" t="s">
        <v>109</v>
      </c>
      <c r="F1402" s="18" t="s">
        <v>99</v>
      </c>
      <c r="G1402" s="18" t="s">
        <v>110</v>
      </c>
      <c r="H1402" s="18" t="s">
        <v>107</v>
      </c>
      <c r="I1402" s="18" t="s">
        <v>102</v>
      </c>
      <c r="J1402" s="18" t="s">
        <v>241</v>
      </c>
      <c r="K1402" s="18" t="s">
        <v>195</v>
      </c>
      <c r="L1402" s="64" t="n">
        <v>9.8822820096</v>
      </c>
      <c r="M1402" s="64" t="n">
        <v>7.86</v>
      </c>
      <c r="N1402" s="18" t="s">
        <v>1590</v>
      </c>
      <c r="O1402" s="65" t="n">
        <v>77.6747</v>
      </c>
      <c r="P1402" s="65"/>
      <c r="Q1402" s="65"/>
      <c r="R1402" s="65" t="s">
        <v>232</v>
      </c>
      <c r="S1402" s="66" t="n">
        <f aca="false">Model_Calc!BA237</f>
        <v>77.674736595456</v>
      </c>
      <c r="T1402" s="66" t="n">
        <f aca="false">ROUND(S1402-O1402,4)</f>
        <v>0</v>
      </c>
    </row>
    <row r="1403" customFormat="false" ht="15" hidden="false" customHeight="false" outlineLevel="0" collapsed="false">
      <c r="A1403" s="18" t="s">
        <v>203</v>
      </c>
      <c r="B1403" s="18" t="s">
        <v>204</v>
      </c>
      <c r="C1403" s="18"/>
      <c r="D1403" s="49" t="n">
        <v>46357</v>
      </c>
      <c r="E1403" s="18" t="s">
        <v>112</v>
      </c>
      <c r="F1403" s="18" t="s">
        <v>113</v>
      </c>
      <c r="G1403" s="18" t="s">
        <v>110</v>
      </c>
      <c r="H1403" s="18" t="s">
        <v>101</v>
      </c>
      <c r="I1403" s="18" t="s">
        <v>102</v>
      </c>
      <c r="J1403" s="18" t="s">
        <v>230</v>
      </c>
      <c r="K1403" s="18" t="s">
        <v>195</v>
      </c>
      <c r="L1403" s="64" t="n">
        <v>4956.6994324848</v>
      </c>
      <c r="M1403" s="64" t="n">
        <v>7.86</v>
      </c>
      <c r="N1403" s="18" t="s">
        <v>1591</v>
      </c>
      <c r="O1403" s="65" t="n">
        <v>38959.6575</v>
      </c>
      <c r="P1403" s="65"/>
      <c r="Q1403" s="65"/>
      <c r="R1403" s="65" t="s">
        <v>232</v>
      </c>
      <c r="S1403" s="66" t="n">
        <f aca="false">Model_Calc!AF238</f>
        <v>38959.6575393305</v>
      </c>
      <c r="T1403" s="66" t="n">
        <f aca="false">ROUND(S1403-O1403,4)</f>
        <v>0</v>
      </c>
    </row>
    <row r="1404" customFormat="false" ht="15" hidden="false" customHeight="false" outlineLevel="0" collapsed="false">
      <c r="A1404" s="18" t="s">
        <v>203</v>
      </c>
      <c r="B1404" s="18" t="s">
        <v>204</v>
      </c>
      <c r="C1404" s="18"/>
      <c r="D1404" s="49" t="n">
        <v>46357</v>
      </c>
      <c r="E1404" s="18" t="s">
        <v>112</v>
      </c>
      <c r="F1404" s="18" t="s">
        <v>113</v>
      </c>
      <c r="G1404" s="18" t="s">
        <v>110</v>
      </c>
      <c r="H1404" s="18" t="s">
        <v>101</v>
      </c>
      <c r="I1404" s="18" t="s">
        <v>102</v>
      </c>
      <c r="J1404" s="18" t="s">
        <v>233</v>
      </c>
      <c r="K1404" s="18" t="s">
        <v>195</v>
      </c>
      <c r="L1404" s="64" t="n">
        <v>461.716552135959</v>
      </c>
      <c r="M1404" s="64" t="n">
        <v>7.86</v>
      </c>
      <c r="N1404" s="18" t="s">
        <v>1592</v>
      </c>
      <c r="O1404" s="65" t="n">
        <v>3629.0921</v>
      </c>
      <c r="P1404" s="65"/>
      <c r="Q1404" s="65"/>
      <c r="R1404" s="65" t="s">
        <v>232</v>
      </c>
      <c r="S1404" s="66" t="n">
        <f aca="false">Model_Calc!AG238</f>
        <v>3629.09209978864</v>
      </c>
      <c r="T1404" s="66" t="n">
        <f aca="false">ROUND(S1404-O1404,4)</f>
        <v>0</v>
      </c>
    </row>
    <row r="1405" customFormat="false" ht="15" hidden="false" customHeight="false" outlineLevel="0" collapsed="false">
      <c r="A1405" s="18" t="s">
        <v>203</v>
      </c>
      <c r="B1405" s="18" t="s">
        <v>204</v>
      </c>
      <c r="C1405" s="18"/>
      <c r="D1405" s="49" t="n">
        <v>46357</v>
      </c>
      <c r="E1405" s="18" t="s">
        <v>112</v>
      </c>
      <c r="F1405" s="18" t="s">
        <v>113</v>
      </c>
      <c r="G1405" s="18" t="s">
        <v>110</v>
      </c>
      <c r="H1405" s="18" t="s">
        <v>101</v>
      </c>
      <c r="I1405" s="18" t="s">
        <v>102</v>
      </c>
      <c r="J1405" s="18" t="s">
        <v>235</v>
      </c>
      <c r="K1405" s="18" t="s">
        <v>195</v>
      </c>
      <c r="L1405" s="64" t="n">
        <v>3045.9429</v>
      </c>
      <c r="M1405" s="64" t="n">
        <v>7.86</v>
      </c>
      <c r="N1405" s="18" t="s">
        <v>1593</v>
      </c>
      <c r="O1405" s="65" t="n">
        <v>23941.1112</v>
      </c>
      <c r="P1405" s="65"/>
      <c r="Q1405" s="65"/>
      <c r="R1405" s="65" t="s">
        <v>232</v>
      </c>
      <c r="S1405" s="66" t="n">
        <f aca="false">Model_Calc!AL238</f>
        <v>23941.111194</v>
      </c>
      <c r="T1405" s="66" t="n">
        <f aca="false">ROUND(S1405-O1405,4)</f>
        <v>0</v>
      </c>
    </row>
    <row r="1406" customFormat="false" ht="15" hidden="false" customHeight="false" outlineLevel="0" collapsed="false">
      <c r="A1406" s="18" t="s">
        <v>203</v>
      </c>
      <c r="B1406" s="18" t="s">
        <v>204</v>
      </c>
      <c r="C1406" s="18"/>
      <c r="D1406" s="49" t="n">
        <v>46357</v>
      </c>
      <c r="E1406" s="18" t="s">
        <v>112</v>
      </c>
      <c r="F1406" s="18" t="s">
        <v>113</v>
      </c>
      <c r="G1406" s="18" t="s">
        <v>110</v>
      </c>
      <c r="H1406" s="18" t="s">
        <v>101</v>
      </c>
      <c r="I1406" s="18" t="s">
        <v>102</v>
      </c>
      <c r="J1406" s="18" t="s">
        <v>237</v>
      </c>
      <c r="K1406" s="18" t="s">
        <v>195</v>
      </c>
      <c r="L1406" s="64" t="n">
        <v>1168.4817144</v>
      </c>
      <c r="M1406" s="64" t="n">
        <v>7.86</v>
      </c>
      <c r="N1406" s="18" t="s">
        <v>1594</v>
      </c>
      <c r="O1406" s="65" t="n">
        <v>9184.2663</v>
      </c>
      <c r="P1406" s="65"/>
      <c r="Q1406" s="65"/>
      <c r="R1406" s="65" t="s">
        <v>232</v>
      </c>
      <c r="S1406" s="66" t="n">
        <f aca="false">Model_Calc!AQ238</f>
        <v>9184.266275184</v>
      </c>
      <c r="T1406" s="66" t="n">
        <f aca="false">ROUND(S1406-O1406,4)</f>
        <v>0</v>
      </c>
    </row>
    <row r="1407" customFormat="false" ht="15" hidden="false" customHeight="false" outlineLevel="0" collapsed="false">
      <c r="A1407" s="18" t="s">
        <v>203</v>
      </c>
      <c r="B1407" s="18" t="s">
        <v>204</v>
      </c>
      <c r="C1407" s="18"/>
      <c r="D1407" s="49" t="n">
        <v>46357</v>
      </c>
      <c r="E1407" s="18" t="s">
        <v>112</v>
      </c>
      <c r="F1407" s="18" t="s">
        <v>113</v>
      </c>
      <c r="G1407" s="18" t="s">
        <v>110</v>
      </c>
      <c r="H1407" s="18" t="s">
        <v>101</v>
      </c>
      <c r="I1407" s="18" t="s">
        <v>102</v>
      </c>
      <c r="J1407" s="18" t="s">
        <v>239</v>
      </c>
      <c r="K1407" s="18" t="s">
        <v>195</v>
      </c>
      <c r="L1407" s="64" t="n">
        <v>522.16164</v>
      </c>
      <c r="M1407" s="64" t="n">
        <v>7.86</v>
      </c>
      <c r="N1407" s="18" t="s">
        <v>1595</v>
      </c>
      <c r="O1407" s="65" t="n">
        <v>4104.1905</v>
      </c>
      <c r="P1407" s="65"/>
      <c r="Q1407" s="65"/>
      <c r="R1407" s="65" t="s">
        <v>232</v>
      </c>
      <c r="S1407" s="66" t="n">
        <f aca="false">Model_Calc!AV238</f>
        <v>4104.1904904</v>
      </c>
      <c r="T1407" s="66" t="n">
        <f aca="false">ROUND(S1407-O1407,4)</f>
        <v>0</v>
      </c>
    </row>
    <row r="1408" customFormat="false" ht="15" hidden="false" customHeight="false" outlineLevel="0" collapsed="false">
      <c r="A1408" s="18" t="s">
        <v>203</v>
      </c>
      <c r="B1408" s="18" t="s">
        <v>204</v>
      </c>
      <c r="C1408" s="18"/>
      <c r="D1408" s="49" t="n">
        <v>46357</v>
      </c>
      <c r="E1408" s="18" t="s">
        <v>112</v>
      </c>
      <c r="F1408" s="18" t="s">
        <v>113</v>
      </c>
      <c r="G1408" s="18" t="s">
        <v>110</v>
      </c>
      <c r="H1408" s="18" t="s">
        <v>101</v>
      </c>
      <c r="I1408" s="18" t="s">
        <v>102</v>
      </c>
      <c r="J1408" s="18" t="s">
        <v>241</v>
      </c>
      <c r="K1408" s="18" t="s">
        <v>195</v>
      </c>
      <c r="L1408" s="64" t="n">
        <v>120.230618508</v>
      </c>
      <c r="M1408" s="64" t="n">
        <v>7.86</v>
      </c>
      <c r="N1408" s="18" t="s">
        <v>1596</v>
      </c>
      <c r="O1408" s="65" t="n">
        <v>945.0127</v>
      </c>
      <c r="P1408" s="65"/>
      <c r="Q1408" s="65"/>
      <c r="R1408" s="65" t="s">
        <v>232</v>
      </c>
      <c r="S1408" s="66" t="n">
        <f aca="false">Model_Calc!BA238</f>
        <v>945.01266147288</v>
      </c>
      <c r="T1408" s="66" t="n">
        <f aca="false">ROUND(S1408-O1408,4)</f>
        <v>0</v>
      </c>
    </row>
    <row r="1409" customFormat="false" ht="15" hidden="false" customHeight="false" outlineLevel="0" collapsed="false">
      <c r="A1409" s="18" t="s">
        <v>203</v>
      </c>
      <c r="B1409" s="18" t="s">
        <v>204</v>
      </c>
      <c r="C1409" s="18"/>
      <c r="D1409" s="49" t="n">
        <v>46357</v>
      </c>
      <c r="E1409" s="18" t="s">
        <v>116</v>
      </c>
      <c r="F1409" s="18" t="s">
        <v>113</v>
      </c>
      <c r="G1409" s="18" t="s">
        <v>110</v>
      </c>
      <c r="H1409" s="18" t="s">
        <v>107</v>
      </c>
      <c r="I1409" s="18" t="s">
        <v>102</v>
      </c>
      <c r="J1409" s="18" t="s">
        <v>230</v>
      </c>
      <c r="K1409" s="18" t="s">
        <v>195</v>
      </c>
      <c r="L1409" s="64" t="n">
        <v>11846.9198215368</v>
      </c>
      <c r="M1409" s="64" t="n">
        <v>7.86</v>
      </c>
      <c r="N1409" s="18" t="s">
        <v>1597</v>
      </c>
      <c r="O1409" s="65" t="n">
        <v>93116.7898</v>
      </c>
      <c r="P1409" s="65"/>
      <c r="Q1409" s="65"/>
      <c r="R1409" s="65" t="s">
        <v>232</v>
      </c>
      <c r="S1409" s="66" t="n">
        <f aca="false">Model_Calc!AF239</f>
        <v>93116.7897972793</v>
      </c>
      <c r="T1409" s="66" t="n">
        <f aca="false">ROUND(S1409-O1409,4)</f>
        <v>0</v>
      </c>
    </row>
    <row r="1410" customFormat="false" ht="15" hidden="false" customHeight="false" outlineLevel="0" collapsed="false">
      <c r="A1410" s="18" t="s">
        <v>203</v>
      </c>
      <c r="B1410" s="18" t="s">
        <v>204</v>
      </c>
      <c r="C1410" s="18"/>
      <c r="D1410" s="49" t="n">
        <v>46357</v>
      </c>
      <c r="E1410" s="18" t="s">
        <v>116</v>
      </c>
      <c r="F1410" s="18" t="s">
        <v>113</v>
      </c>
      <c r="G1410" s="18" t="s">
        <v>110</v>
      </c>
      <c r="H1410" s="18" t="s">
        <v>107</v>
      </c>
      <c r="I1410" s="18" t="s">
        <v>102</v>
      </c>
      <c r="J1410" s="18" t="s">
        <v>233</v>
      </c>
      <c r="K1410" s="18" t="s">
        <v>195</v>
      </c>
      <c r="L1410" s="64" t="n">
        <v>911.3015247336</v>
      </c>
      <c r="M1410" s="64" t="n">
        <v>7.86</v>
      </c>
      <c r="N1410" s="18" t="s">
        <v>1598</v>
      </c>
      <c r="O1410" s="65" t="n">
        <v>7162.83</v>
      </c>
      <c r="P1410" s="65"/>
      <c r="Q1410" s="65"/>
      <c r="R1410" s="65" t="s">
        <v>232</v>
      </c>
      <c r="S1410" s="66" t="n">
        <f aca="false">Model_Calc!AG239</f>
        <v>7162.8299844061</v>
      </c>
      <c r="T1410" s="66" t="n">
        <f aca="false">ROUND(S1410-O1410,4)</f>
        <v>0</v>
      </c>
    </row>
    <row r="1411" customFormat="false" ht="15" hidden="false" customHeight="false" outlineLevel="0" collapsed="false">
      <c r="A1411" s="18" t="s">
        <v>203</v>
      </c>
      <c r="B1411" s="18" t="s">
        <v>204</v>
      </c>
      <c r="C1411" s="18"/>
      <c r="D1411" s="49" t="n">
        <v>46357</v>
      </c>
      <c r="E1411" s="18" t="s">
        <v>116</v>
      </c>
      <c r="F1411" s="18" t="s">
        <v>113</v>
      </c>
      <c r="G1411" s="18" t="s">
        <v>110</v>
      </c>
      <c r="H1411" s="18" t="s">
        <v>107</v>
      </c>
      <c r="I1411" s="18" t="s">
        <v>102</v>
      </c>
      <c r="J1411" s="18" t="s">
        <v>235</v>
      </c>
      <c r="K1411" s="18" t="s">
        <v>195</v>
      </c>
      <c r="L1411" s="64" t="n">
        <v>5656.7511</v>
      </c>
      <c r="M1411" s="64" t="n">
        <v>7.86</v>
      </c>
      <c r="N1411" s="18" t="s">
        <v>1599</v>
      </c>
      <c r="O1411" s="65" t="n">
        <v>44462.0636</v>
      </c>
      <c r="P1411" s="65"/>
      <c r="Q1411" s="65"/>
      <c r="R1411" s="65" t="s">
        <v>232</v>
      </c>
      <c r="S1411" s="66" t="n">
        <f aca="false">Model_Calc!AL239</f>
        <v>44462.063646</v>
      </c>
      <c r="T1411" s="66" t="n">
        <f aca="false">ROUND(S1411-O1411,4)</f>
        <v>0</v>
      </c>
    </row>
    <row r="1412" customFormat="false" ht="15" hidden="false" customHeight="false" outlineLevel="0" collapsed="false">
      <c r="A1412" s="18" t="s">
        <v>203</v>
      </c>
      <c r="B1412" s="18" t="s">
        <v>204</v>
      </c>
      <c r="C1412" s="18"/>
      <c r="D1412" s="49" t="n">
        <v>46357</v>
      </c>
      <c r="E1412" s="18" t="s">
        <v>116</v>
      </c>
      <c r="F1412" s="18" t="s">
        <v>113</v>
      </c>
      <c r="G1412" s="18" t="s">
        <v>110</v>
      </c>
      <c r="H1412" s="18" t="s">
        <v>107</v>
      </c>
      <c r="I1412" s="18" t="s">
        <v>102</v>
      </c>
      <c r="J1412" s="18" t="s">
        <v>237</v>
      </c>
      <c r="K1412" s="18" t="s">
        <v>195</v>
      </c>
      <c r="L1412" s="64" t="n">
        <v>2170.0374696</v>
      </c>
      <c r="M1412" s="64" t="n">
        <v>7.86</v>
      </c>
      <c r="N1412" s="18" t="s">
        <v>1600</v>
      </c>
      <c r="O1412" s="65" t="n">
        <v>17056.4945</v>
      </c>
      <c r="P1412" s="65"/>
      <c r="Q1412" s="65"/>
      <c r="R1412" s="65" t="s">
        <v>232</v>
      </c>
      <c r="S1412" s="66" t="n">
        <f aca="false">Model_Calc!AQ239</f>
        <v>17056.494511056</v>
      </c>
      <c r="T1412" s="66" t="n">
        <f aca="false">ROUND(S1412-O1412,4)</f>
        <v>0</v>
      </c>
    </row>
    <row r="1413" customFormat="false" ht="15" hidden="false" customHeight="false" outlineLevel="0" collapsed="false">
      <c r="A1413" s="18" t="s">
        <v>203</v>
      </c>
      <c r="B1413" s="18" t="s">
        <v>204</v>
      </c>
      <c r="C1413" s="18"/>
      <c r="D1413" s="49" t="n">
        <v>46357</v>
      </c>
      <c r="E1413" s="18" t="s">
        <v>116</v>
      </c>
      <c r="F1413" s="18" t="s">
        <v>113</v>
      </c>
      <c r="G1413" s="18" t="s">
        <v>110</v>
      </c>
      <c r="H1413" s="18" t="s">
        <v>107</v>
      </c>
      <c r="I1413" s="18" t="s">
        <v>102</v>
      </c>
      <c r="J1413" s="18" t="s">
        <v>239</v>
      </c>
      <c r="K1413" s="18" t="s">
        <v>195</v>
      </c>
      <c r="L1413" s="64" t="n">
        <v>969.72876</v>
      </c>
      <c r="M1413" s="64" t="n">
        <v>7.86</v>
      </c>
      <c r="N1413" s="18" t="s">
        <v>1601</v>
      </c>
      <c r="O1413" s="65" t="n">
        <v>7622.0681</v>
      </c>
      <c r="P1413" s="65"/>
      <c r="Q1413" s="65"/>
      <c r="R1413" s="65" t="s">
        <v>232</v>
      </c>
      <c r="S1413" s="66" t="n">
        <f aca="false">Model_Calc!AV239</f>
        <v>7622.0680536</v>
      </c>
      <c r="T1413" s="66" t="n">
        <f aca="false">ROUND(S1413-O1413,4)</f>
        <v>0</v>
      </c>
    </row>
    <row r="1414" customFormat="false" ht="15" hidden="false" customHeight="false" outlineLevel="0" collapsed="false">
      <c r="A1414" s="18" t="s">
        <v>203</v>
      </c>
      <c r="B1414" s="18" t="s">
        <v>204</v>
      </c>
      <c r="C1414" s="18"/>
      <c r="D1414" s="49" t="n">
        <v>46357</v>
      </c>
      <c r="E1414" s="18" t="s">
        <v>116</v>
      </c>
      <c r="F1414" s="18" t="s">
        <v>113</v>
      </c>
      <c r="G1414" s="18" t="s">
        <v>110</v>
      </c>
      <c r="H1414" s="18" t="s">
        <v>107</v>
      </c>
      <c r="I1414" s="18" t="s">
        <v>102</v>
      </c>
      <c r="J1414" s="18" t="s">
        <v>241</v>
      </c>
      <c r="K1414" s="18" t="s">
        <v>195</v>
      </c>
      <c r="L1414" s="64" t="n">
        <v>183.882122424</v>
      </c>
      <c r="M1414" s="64" t="n">
        <v>7.86</v>
      </c>
      <c r="N1414" s="18" t="s">
        <v>1602</v>
      </c>
      <c r="O1414" s="65" t="n">
        <v>1445.3135</v>
      </c>
      <c r="P1414" s="65"/>
      <c r="Q1414" s="65"/>
      <c r="R1414" s="65" t="s">
        <v>232</v>
      </c>
      <c r="S1414" s="66" t="n">
        <f aca="false">Model_Calc!BA239</f>
        <v>1445.31348225264</v>
      </c>
      <c r="T1414" s="66" t="n">
        <f aca="false">ROUND(S1414-O1414,4)</f>
        <v>0</v>
      </c>
    </row>
    <row r="1415" customFormat="false" ht="15" hidden="false" customHeight="false" outlineLevel="0" collapsed="false">
      <c r="A1415" s="18" t="s">
        <v>203</v>
      </c>
      <c r="B1415" s="18" t="s">
        <v>204</v>
      </c>
      <c r="C1415" s="18"/>
      <c r="D1415" s="49" t="n">
        <v>46357</v>
      </c>
      <c r="E1415" s="18" t="s">
        <v>118</v>
      </c>
      <c r="F1415" s="18" t="s">
        <v>119</v>
      </c>
      <c r="G1415" s="18" t="s">
        <v>100</v>
      </c>
      <c r="H1415" s="18" t="s">
        <v>101</v>
      </c>
      <c r="I1415" s="18" t="s">
        <v>102</v>
      </c>
      <c r="J1415" s="18" t="s">
        <v>230</v>
      </c>
      <c r="K1415" s="18" t="s">
        <v>199</v>
      </c>
      <c r="L1415" s="64" t="n">
        <v>26831.5903687164</v>
      </c>
      <c r="M1415" s="64" t="n">
        <v>9</v>
      </c>
      <c r="N1415" s="18" t="s">
        <v>1603</v>
      </c>
      <c r="O1415" s="65" t="n">
        <v>241484.3133</v>
      </c>
      <c r="P1415" s="65"/>
      <c r="Q1415" s="65"/>
      <c r="R1415" s="65" t="s">
        <v>232</v>
      </c>
      <c r="S1415" s="66" t="n">
        <f aca="false">Model_Calc!AF240</f>
        <v>241484.313318448</v>
      </c>
      <c r="T1415" s="66" t="n">
        <f aca="false">ROUND(S1415-O1415,4)</f>
        <v>0</v>
      </c>
    </row>
    <row r="1416" customFormat="false" ht="15" hidden="false" customHeight="false" outlineLevel="0" collapsed="false">
      <c r="A1416" s="18" t="s">
        <v>203</v>
      </c>
      <c r="B1416" s="18" t="s">
        <v>204</v>
      </c>
      <c r="C1416" s="18"/>
      <c r="D1416" s="49" t="n">
        <v>46357</v>
      </c>
      <c r="E1416" s="18" t="s">
        <v>118</v>
      </c>
      <c r="F1416" s="18" t="s">
        <v>119</v>
      </c>
      <c r="G1416" s="18" t="s">
        <v>100</v>
      </c>
      <c r="H1416" s="18" t="s">
        <v>101</v>
      </c>
      <c r="I1416" s="18" t="s">
        <v>102</v>
      </c>
      <c r="J1416" s="18" t="s">
        <v>233</v>
      </c>
      <c r="K1416" s="18" t="s">
        <v>199</v>
      </c>
      <c r="L1416" s="64" t="n">
        <v>2777.06960316215</v>
      </c>
      <c r="M1416" s="64" t="n">
        <v>9</v>
      </c>
      <c r="N1416" s="18" t="s">
        <v>1604</v>
      </c>
      <c r="O1416" s="65" t="n">
        <v>24993.6264</v>
      </c>
      <c r="P1416" s="65"/>
      <c r="Q1416" s="65"/>
      <c r="R1416" s="65" t="s">
        <v>232</v>
      </c>
      <c r="S1416" s="66" t="n">
        <f aca="false">Model_Calc!AG240</f>
        <v>24993.6264284593</v>
      </c>
      <c r="T1416" s="66" t="n">
        <f aca="false">ROUND(S1416-O1416,4)</f>
        <v>0</v>
      </c>
    </row>
    <row r="1417" customFormat="false" ht="15" hidden="false" customHeight="false" outlineLevel="0" collapsed="false">
      <c r="A1417" s="18" t="s">
        <v>203</v>
      </c>
      <c r="B1417" s="18" t="s">
        <v>204</v>
      </c>
      <c r="C1417" s="18"/>
      <c r="D1417" s="49" t="n">
        <v>46357</v>
      </c>
      <c r="E1417" s="18" t="s">
        <v>118</v>
      </c>
      <c r="F1417" s="18" t="s">
        <v>119</v>
      </c>
      <c r="G1417" s="18" t="s">
        <v>100</v>
      </c>
      <c r="H1417" s="18" t="s">
        <v>101</v>
      </c>
      <c r="I1417" s="18" t="s">
        <v>102</v>
      </c>
      <c r="J1417" s="18" t="s">
        <v>235</v>
      </c>
      <c r="K1417" s="18" t="s">
        <v>195</v>
      </c>
      <c r="L1417" s="64" t="n">
        <v>6650.49668801475</v>
      </c>
      <c r="M1417" s="64" t="n">
        <v>7.86</v>
      </c>
      <c r="N1417" s="18" t="s">
        <v>1605</v>
      </c>
      <c r="O1417" s="65" t="n">
        <v>52272.904</v>
      </c>
      <c r="P1417" s="65"/>
      <c r="Q1417" s="65"/>
      <c r="R1417" s="65" t="s">
        <v>232</v>
      </c>
      <c r="S1417" s="66" t="n">
        <f aca="false">Model_Calc!AL240</f>
        <v>52272.9039677959</v>
      </c>
      <c r="T1417" s="66" t="n">
        <f aca="false">ROUND(S1417-O1417,4)</f>
        <v>0</v>
      </c>
    </row>
    <row r="1418" customFormat="false" ht="15" hidden="false" customHeight="false" outlineLevel="0" collapsed="false">
      <c r="A1418" s="18" t="s">
        <v>203</v>
      </c>
      <c r="B1418" s="18" t="s">
        <v>204</v>
      </c>
      <c r="C1418" s="18"/>
      <c r="D1418" s="49" t="n">
        <v>46357</v>
      </c>
      <c r="E1418" s="18" t="s">
        <v>118</v>
      </c>
      <c r="F1418" s="18" t="s">
        <v>119</v>
      </c>
      <c r="G1418" s="18" t="s">
        <v>100</v>
      </c>
      <c r="H1418" s="18" t="s">
        <v>101</v>
      </c>
      <c r="I1418" s="18" t="s">
        <v>102</v>
      </c>
      <c r="J1418" s="18" t="s">
        <v>237</v>
      </c>
      <c r="K1418" s="18" t="s">
        <v>195</v>
      </c>
      <c r="L1418" s="64" t="n">
        <v>2681.106075648</v>
      </c>
      <c r="M1418" s="64" t="n">
        <v>7.86</v>
      </c>
      <c r="N1418" s="18" t="s">
        <v>1606</v>
      </c>
      <c r="O1418" s="65" t="n">
        <v>21073.4938</v>
      </c>
      <c r="P1418" s="65"/>
      <c r="Q1418" s="65"/>
      <c r="R1418" s="65" t="s">
        <v>232</v>
      </c>
      <c r="S1418" s="66" t="n">
        <f aca="false">Model_Calc!AQ240</f>
        <v>21073.4937545933</v>
      </c>
      <c r="T1418" s="66" t="n">
        <f aca="false">ROUND(S1418-O1418,4)</f>
        <v>0</v>
      </c>
    </row>
    <row r="1419" customFormat="false" ht="15" hidden="false" customHeight="false" outlineLevel="0" collapsed="false">
      <c r="A1419" s="18" t="s">
        <v>203</v>
      </c>
      <c r="B1419" s="18" t="s">
        <v>204</v>
      </c>
      <c r="C1419" s="18"/>
      <c r="D1419" s="49" t="n">
        <v>46357</v>
      </c>
      <c r="E1419" s="18" t="s">
        <v>118</v>
      </c>
      <c r="F1419" s="18" t="s">
        <v>119</v>
      </c>
      <c r="G1419" s="18" t="s">
        <v>100</v>
      </c>
      <c r="H1419" s="18" t="s">
        <v>101</v>
      </c>
      <c r="I1419" s="18" t="s">
        <v>102</v>
      </c>
      <c r="J1419" s="18" t="s">
        <v>239</v>
      </c>
      <c r="K1419" s="18" t="s">
        <v>199</v>
      </c>
      <c r="L1419" s="64" t="n">
        <v>2357.01633024</v>
      </c>
      <c r="M1419" s="64" t="n">
        <v>9</v>
      </c>
      <c r="N1419" s="18" t="s">
        <v>1607</v>
      </c>
      <c r="O1419" s="65" t="n">
        <v>21213.147</v>
      </c>
      <c r="P1419" s="65"/>
      <c r="Q1419" s="65"/>
      <c r="R1419" s="65" t="s">
        <v>232</v>
      </c>
      <c r="S1419" s="66" t="n">
        <f aca="false">Model_Calc!AV240</f>
        <v>21213.14697216</v>
      </c>
      <c r="T1419" s="66" t="n">
        <f aca="false">ROUND(S1419-O1419,4)</f>
        <v>0</v>
      </c>
    </row>
    <row r="1420" customFormat="false" ht="15" hidden="false" customHeight="false" outlineLevel="0" collapsed="false">
      <c r="A1420" s="18" t="s">
        <v>203</v>
      </c>
      <c r="B1420" s="18" t="s">
        <v>204</v>
      </c>
      <c r="C1420" s="18"/>
      <c r="D1420" s="49" t="n">
        <v>46357</v>
      </c>
      <c r="E1420" s="18" t="s">
        <v>118</v>
      </c>
      <c r="F1420" s="18" t="s">
        <v>119</v>
      </c>
      <c r="G1420" s="18" t="s">
        <v>100</v>
      </c>
      <c r="H1420" s="18" t="s">
        <v>101</v>
      </c>
      <c r="I1420" s="18" t="s">
        <v>102</v>
      </c>
      <c r="J1420" s="18" t="s">
        <v>241</v>
      </c>
      <c r="K1420" s="18" t="s">
        <v>199</v>
      </c>
      <c r="L1420" s="64" t="n">
        <v>396.42068404224</v>
      </c>
      <c r="M1420" s="64" t="n">
        <v>9</v>
      </c>
      <c r="N1420" s="18" t="s">
        <v>1608</v>
      </c>
      <c r="O1420" s="65" t="n">
        <v>3567.7862</v>
      </c>
      <c r="P1420" s="65"/>
      <c r="Q1420" s="65"/>
      <c r="R1420" s="65" t="s">
        <v>232</v>
      </c>
      <c r="S1420" s="66" t="n">
        <f aca="false">Model_Calc!BA240</f>
        <v>3567.78615638016</v>
      </c>
      <c r="T1420" s="66" t="n">
        <f aca="false">ROUND(S1420-O1420,4)</f>
        <v>0</v>
      </c>
    </row>
    <row r="1421" customFormat="false" ht="15" hidden="false" customHeight="false" outlineLevel="0" collapsed="false">
      <c r="A1421" s="18" t="s">
        <v>203</v>
      </c>
      <c r="B1421" s="18" t="s">
        <v>204</v>
      </c>
      <c r="C1421" s="18"/>
      <c r="D1421" s="49" t="n">
        <v>46357</v>
      </c>
      <c r="E1421" s="18" t="s">
        <v>122</v>
      </c>
      <c r="F1421" s="18" t="s">
        <v>119</v>
      </c>
      <c r="G1421" s="18" t="s">
        <v>100</v>
      </c>
      <c r="H1421" s="18" t="s">
        <v>107</v>
      </c>
      <c r="I1421" s="18" t="s">
        <v>102</v>
      </c>
      <c r="J1421" s="18" t="s">
        <v>230</v>
      </c>
      <c r="K1421" s="18" t="s">
        <v>199</v>
      </c>
      <c r="L1421" s="64" t="n">
        <v>16098.4061903808</v>
      </c>
      <c r="M1421" s="64" t="n">
        <v>9</v>
      </c>
      <c r="N1421" s="18" t="s">
        <v>1609</v>
      </c>
      <c r="O1421" s="65" t="n">
        <v>144885.6557</v>
      </c>
      <c r="P1421" s="65"/>
      <c r="Q1421" s="65"/>
      <c r="R1421" s="65" t="s">
        <v>232</v>
      </c>
      <c r="S1421" s="66" t="n">
        <f aca="false">Model_Calc!AF241</f>
        <v>144885.655713427</v>
      </c>
      <c r="T1421" s="66" t="n">
        <f aca="false">ROUND(S1421-O1421,4)</f>
        <v>0</v>
      </c>
    </row>
    <row r="1422" customFormat="false" ht="15" hidden="false" customHeight="false" outlineLevel="0" collapsed="false">
      <c r="A1422" s="18" t="s">
        <v>203</v>
      </c>
      <c r="B1422" s="18" t="s">
        <v>204</v>
      </c>
      <c r="C1422" s="18"/>
      <c r="D1422" s="49" t="n">
        <v>46357</v>
      </c>
      <c r="E1422" s="18" t="s">
        <v>122</v>
      </c>
      <c r="F1422" s="18" t="s">
        <v>119</v>
      </c>
      <c r="G1422" s="18" t="s">
        <v>100</v>
      </c>
      <c r="H1422" s="18" t="s">
        <v>107</v>
      </c>
      <c r="I1422" s="18" t="s">
        <v>102</v>
      </c>
      <c r="J1422" s="18" t="s">
        <v>233</v>
      </c>
      <c r="K1422" s="18" t="s">
        <v>199</v>
      </c>
      <c r="L1422" s="64" t="n">
        <v>1130.31362613312</v>
      </c>
      <c r="M1422" s="64" t="n">
        <v>9</v>
      </c>
      <c r="N1422" s="18" t="s">
        <v>1610</v>
      </c>
      <c r="O1422" s="65" t="n">
        <v>10172.8226</v>
      </c>
      <c r="P1422" s="65"/>
      <c r="Q1422" s="65"/>
      <c r="R1422" s="65" t="s">
        <v>232</v>
      </c>
      <c r="S1422" s="66" t="n">
        <f aca="false">Model_Calc!AG241</f>
        <v>10172.8226351981</v>
      </c>
      <c r="T1422" s="66" t="n">
        <f aca="false">ROUND(S1422-O1422,4)</f>
        <v>0</v>
      </c>
    </row>
    <row r="1423" customFormat="false" ht="15" hidden="false" customHeight="false" outlineLevel="0" collapsed="false">
      <c r="A1423" s="18" t="s">
        <v>203</v>
      </c>
      <c r="B1423" s="18" t="s">
        <v>204</v>
      </c>
      <c r="C1423" s="18"/>
      <c r="D1423" s="49" t="n">
        <v>46357</v>
      </c>
      <c r="E1423" s="18" t="s">
        <v>122</v>
      </c>
      <c r="F1423" s="18" t="s">
        <v>119</v>
      </c>
      <c r="G1423" s="18" t="s">
        <v>100</v>
      </c>
      <c r="H1423" s="18" t="s">
        <v>107</v>
      </c>
      <c r="I1423" s="18" t="s">
        <v>102</v>
      </c>
      <c r="J1423" s="18" t="s">
        <v>235</v>
      </c>
      <c r="K1423" s="18" t="s">
        <v>195</v>
      </c>
      <c r="L1423" s="64" t="n">
        <v>3463.80035834101</v>
      </c>
      <c r="M1423" s="64" t="n">
        <v>7.86</v>
      </c>
      <c r="N1423" s="18" t="s">
        <v>1611</v>
      </c>
      <c r="O1423" s="65" t="n">
        <v>27225.4708</v>
      </c>
      <c r="P1423" s="65"/>
      <c r="Q1423" s="65"/>
      <c r="R1423" s="65" t="s">
        <v>232</v>
      </c>
      <c r="S1423" s="66" t="n">
        <f aca="false">Model_Calc!AL241</f>
        <v>27225.4708165604</v>
      </c>
      <c r="T1423" s="66" t="n">
        <f aca="false">ROUND(S1423-O1423,4)</f>
        <v>0</v>
      </c>
    </row>
    <row r="1424" customFormat="false" ht="15" hidden="false" customHeight="false" outlineLevel="0" collapsed="false">
      <c r="A1424" s="18" t="s">
        <v>203</v>
      </c>
      <c r="B1424" s="18" t="s">
        <v>204</v>
      </c>
      <c r="C1424" s="18"/>
      <c r="D1424" s="49" t="n">
        <v>46357</v>
      </c>
      <c r="E1424" s="18" t="s">
        <v>122</v>
      </c>
      <c r="F1424" s="18" t="s">
        <v>119</v>
      </c>
      <c r="G1424" s="18" t="s">
        <v>100</v>
      </c>
      <c r="H1424" s="18" t="s">
        <v>107</v>
      </c>
      <c r="I1424" s="18" t="s">
        <v>102</v>
      </c>
      <c r="J1424" s="18" t="s">
        <v>237</v>
      </c>
      <c r="K1424" s="18" t="s">
        <v>195</v>
      </c>
      <c r="L1424" s="64" t="n">
        <v>1396.4094144</v>
      </c>
      <c r="M1424" s="64" t="n">
        <v>7.86</v>
      </c>
      <c r="N1424" s="18" t="s">
        <v>1612</v>
      </c>
      <c r="O1424" s="65" t="n">
        <v>10975.778</v>
      </c>
      <c r="P1424" s="65"/>
      <c r="Q1424" s="65"/>
      <c r="R1424" s="65" t="s">
        <v>232</v>
      </c>
      <c r="S1424" s="66" t="n">
        <f aca="false">Model_Calc!AQ241</f>
        <v>10975.777997184</v>
      </c>
      <c r="T1424" s="66" t="n">
        <f aca="false">ROUND(S1424-O1424,4)</f>
        <v>0</v>
      </c>
    </row>
    <row r="1425" customFormat="false" ht="15" hidden="false" customHeight="false" outlineLevel="0" collapsed="false">
      <c r="A1425" s="18" t="s">
        <v>203</v>
      </c>
      <c r="B1425" s="18" t="s">
        <v>204</v>
      </c>
      <c r="C1425" s="18"/>
      <c r="D1425" s="49" t="n">
        <v>46357</v>
      </c>
      <c r="E1425" s="18" t="s">
        <v>122</v>
      </c>
      <c r="F1425" s="18" t="s">
        <v>119</v>
      </c>
      <c r="G1425" s="18" t="s">
        <v>100</v>
      </c>
      <c r="H1425" s="18" t="s">
        <v>107</v>
      </c>
      <c r="I1425" s="18" t="s">
        <v>102</v>
      </c>
      <c r="J1425" s="18" t="s">
        <v>239</v>
      </c>
      <c r="K1425" s="18" t="s">
        <v>199</v>
      </c>
      <c r="L1425" s="64" t="n">
        <v>1227.612672</v>
      </c>
      <c r="M1425" s="64" t="n">
        <v>9</v>
      </c>
      <c r="N1425" s="18" t="s">
        <v>1613</v>
      </c>
      <c r="O1425" s="65" t="n">
        <v>11048.514</v>
      </c>
      <c r="P1425" s="65"/>
      <c r="Q1425" s="65"/>
      <c r="R1425" s="65" t="s">
        <v>232</v>
      </c>
      <c r="S1425" s="66" t="n">
        <f aca="false">Model_Calc!AV241</f>
        <v>11048.514048</v>
      </c>
      <c r="T1425" s="66" t="n">
        <f aca="false">ROUND(S1425-O1425,4)</f>
        <v>0</v>
      </c>
    </row>
    <row r="1426" customFormat="false" ht="15" hidden="false" customHeight="false" outlineLevel="0" collapsed="false">
      <c r="A1426" s="18" t="s">
        <v>203</v>
      </c>
      <c r="B1426" s="18" t="s">
        <v>204</v>
      </c>
      <c r="C1426" s="18"/>
      <c r="D1426" s="49" t="n">
        <v>46357</v>
      </c>
      <c r="E1426" s="18" t="s">
        <v>122</v>
      </c>
      <c r="F1426" s="18" t="s">
        <v>119</v>
      </c>
      <c r="G1426" s="18" t="s">
        <v>100</v>
      </c>
      <c r="H1426" s="18" t="s">
        <v>107</v>
      </c>
      <c r="I1426" s="18" t="s">
        <v>102</v>
      </c>
      <c r="J1426" s="18" t="s">
        <v>241</v>
      </c>
      <c r="K1426" s="18" t="s">
        <v>199</v>
      </c>
      <c r="L1426" s="64" t="n">
        <v>152.94007872</v>
      </c>
      <c r="M1426" s="64" t="n">
        <v>9</v>
      </c>
      <c r="N1426" s="18" t="s">
        <v>1614</v>
      </c>
      <c r="O1426" s="65" t="n">
        <v>1376.4607</v>
      </c>
      <c r="P1426" s="65"/>
      <c r="Q1426" s="65"/>
      <c r="R1426" s="65" t="s">
        <v>232</v>
      </c>
      <c r="S1426" s="66" t="n">
        <f aca="false">Model_Calc!BA241</f>
        <v>1376.46070848</v>
      </c>
      <c r="T1426" s="66" t="n">
        <f aca="false">ROUND(S1426-O1426,4)</f>
        <v>0</v>
      </c>
    </row>
    <row r="1427" customFormat="false" ht="15" hidden="false" customHeight="false" outlineLevel="0" collapsed="false">
      <c r="A1427" s="18" t="s">
        <v>203</v>
      </c>
      <c r="B1427" s="18" t="s">
        <v>204</v>
      </c>
      <c r="C1427" s="18"/>
      <c r="D1427" s="49" t="n">
        <v>46357</v>
      </c>
      <c r="E1427" s="18" t="s">
        <v>124</v>
      </c>
      <c r="F1427" s="18" t="s">
        <v>119</v>
      </c>
      <c r="G1427" s="18" t="s">
        <v>100</v>
      </c>
      <c r="H1427" s="18" t="s">
        <v>107</v>
      </c>
      <c r="I1427" s="18" t="s">
        <v>125</v>
      </c>
      <c r="J1427" s="18" t="s">
        <v>230</v>
      </c>
      <c r="K1427" s="18" t="s">
        <v>199</v>
      </c>
      <c r="L1427" s="64" t="n">
        <v>15777.9835135675</v>
      </c>
      <c r="M1427" s="64" t="n">
        <v>9</v>
      </c>
      <c r="N1427" s="18" t="s">
        <v>1615</v>
      </c>
      <c r="O1427" s="65" t="n">
        <v>142001.8516</v>
      </c>
      <c r="P1427" s="65"/>
      <c r="Q1427" s="65"/>
      <c r="R1427" s="65" t="s">
        <v>232</v>
      </c>
      <c r="S1427" s="66" t="n">
        <f aca="false">Model_Calc!AF242</f>
        <v>142001.851622107</v>
      </c>
      <c r="T1427" s="66" t="n">
        <f aca="false">ROUND(S1427-O1427,4)</f>
        <v>0</v>
      </c>
    </row>
    <row r="1428" customFormat="false" ht="15" hidden="false" customHeight="false" outlineLevel="0" collapsed="false">
      <c r="A1428" s="18" t="s">
        <v>203</v>
      </c>
      <c r="B1428" s="18" t="s">
        <v>204</v>
      </c>
      <c r="C1428" s="18"/>
      <c r="D1428" s="49" t="n">
        <v>46357</v>
      </c>
      <c r="E1428" s="18" t="s">
        <v>124</v>
      </c>
      <c r="F1428" s="18" t="s">
        <v>119</v>
      </c>
      <c r="G1428" s="18" t="s">
        <v>100</v>
      </c>
      <c r="H1428" s="18" t="s">
        <v>107</v>
      </c>
      <c r="I1428" s="18" t="s">
        <v>125</v>
      </c>
      <c r="J1428" s="18" t="s">
        <v>233</v>
      </c>
      <c r="K1428" s="18" t="s">
        <v>199</v>
      </c>
      <c r="L1428" s="64" t="n">
        <v>1953.09346721046</v>
      </c>
      <c r="M1428" s="64" t="n">
        <v>9</v>
      </c>
      <c r="N1428" s="18" t="s">
        <v>1616</v>
      </c>
      <c r="O1428" s="65" t="n">
        <v>17577.8412</v>
      </c>
      <c r="P1428" s="65"/>
      <c r="Q1428" s="65"/>
      <c r="R1428" s="65" t="s">
        <v>232</v>
      </c>
      <c r="S1428" s="66" t="n">
        <f aca="false">Model_Calc!AG242</f>
        <v>17577.8412048942</v>
      </c>
      <c r="T1428" s="66" t="n">
        <f aca="false">ROUND(S1428-O1428,4)</f>
        <v>0</v>
      </c>
    </row>
    <row r="1429" customFormat="false" ht="15" hidden="false" customHeight="false" outlineLevel="0" collapsed="false">
      <c r="A1429" s="18" t="s">
        <v>203</v>
      </c>
      <c r="B1429" s="18" t="s">
        <v>204</v>
      </c>
      <c r="C1429" s="18"/>
      <c r="D1429" s="49" t="n">
        <v>46357</v>
      </c>
      <c r="E1429" s="18" t="s">
        <v>124</v>
      </c>
      <c r="F1429" s="18" t="s">
        <v>119</v>
      </c>
      <c r="G1429" s="18" t="s">
        <v>100</v>
      </c>
      <c r="H1429" s="18" t="s">
        <v>107</v>
      </c>
      <c r="I1429" s="18" t="s">
        <v>125</v>
      </c>
      <c r="J1429" s="18" t="s">
        <v>235</v>
      </c>
      <c r="K1429" s="18" t="s">
        <v>195</v>
      </c>
      <c r="L1429" s="64" t="n">
        <v>2632.48827233917</v>
      </c>
      <c r="M1429" s="64" t="n">
        <v>7.86</v>
      </c>
      <c r="N1429" s="18" t="s">
        <v>1617</v>
      </c>
      <c r="O1429" s="65" t="n">
        <v>20691.3578</v>
      </c>
      <c r="P1429" s="65"/>
      <c r="Q1429" s="65"/>
      <c r="R1429" s="65" t="s">
        <v>232</v>
      </c>
      <c r="S1429" s="66" t="n">
        <f aca="false">Model_Calc!AL242</f>
        <v>20691.3578205859</v>
      </c>
      <c r="T1429" s="66" t="n">
        <f aca="false">ROUND(S1429-O1429,4)</f>
        <v>0</v>
      </c>
    </row>
    <row r="1430" customFormat="false" ht="15" hidden="false" customHeight="false" outlineLevel="0" collapsed="false">
      <c r="A1430" s="18" t="s">
        <v>203</v>
      </c>
      <c r="B1430" s="18" t="s">
        <v>204</v>
      </c>
      <c r="C1430" s="18"/>
      <c r="D1430" s="49" t="n">
        <v>46357</v>
      </c>
      <c r="E1430" s="18" t="s">
        <v>124</v>
      </c>
      <c r="F1430" s="18" t="s">
        <v>119</v>
      </c>
      <c r="G1430" s="18" t="s">
        <v>100</v>
      </c>
      <c r="H1430" s="18" t="s">
        <v>107</v>
      </c>
      <c r="I1430" s="18" t="s">
        <v>125</v>
      </c>
      <c r="J1430" s="18" t="s">
        <v>237</v>
      </c>
      <c r="K1430" s="18" t="s">
        <v>195</v>
      </c>
      <c r="L1430" s="64" t="n">
        <v>1061.271154944</v>
      </c>
      <c r="M1430" s="64" t="n">
        <v>7.86</v>
      </c>
      <c r="N1430" s="18" t="s">
        <v>1618</v>
      </c>
      <c r="O1430" s="65" t="n">
        <v>8341.5913</v>
      </c>
      <c r="P1430" s="65"/>
      <c r="Q1430" s="65"/>
      <c r="R1430" s="65" t="s">
        <v>232</v>
      </c>
      <c r="S1430" s="66" t="n">
        <f aca="false">Model_Calc!AQ242</f>
        <v>8341.59127785984</v>
      </c>
      <c r="T1430" s="66" t="n">
        <f aca="false">ROUND(S1430-O1430,4)</f>
        <v>0</v>
      </c>
    </row>
    <row r="1431" customFormat="false" ht="15" hidden="false" customHeight="false" outlineLevel="0" collapsed="false">
      <c r="A1431" s="18" t="s">
        <v>203</v>
      </c>
      <c r="B1431" s="18" t="s">
        <v>204</v>
      </c>
      <c r="C1431" s="18"/>
      <c r="D1431" s="49" t="n">
        <v>46357</v>
      </c>
      <c r="E1431" s="18" t="s">
        <v>124</v>
      </c>
      <c r="F1431" s="18" t="s">
        <v>119</v>
      </c>
      <c r="G1431" s="18" t="s">
        <v>100</v>
      </c>
      <c r="H1431" s="18" t="s">
        <v>107</v>
      </c>
      <c r="I1431" s="18" t="s">
        <v>125</v>
      </c>
      <c r="J1431" s="18" t="s">
        <v>239</v>
      </c>
      <c r="K1431" s="18" t="s">
        <v>199</v>
      </c>
      <c r="L1431" s="64" t="n">
        <v>932.98563072</v>
      </c>
      <c r="M1431" s="64" t="n">
        <v>9</v>
      </c>
      <c r="N1431" s="18" t="s">
        <v>1619</v>
      </c>
      <c r="O1431" s="65" t="n">
        <v>8396.8707</v>
      </c>
      <c r="P1431" s="65"/>
      <c r="Q1431" s="65"/>
      <c r="R1431" s="65" t="s">
        <v>232</v>
      </c>
      <c r="S1431" s="66" t="n">
        <f aca="false">Model_Calc!AV242</f>
        <v>8396.87067648</v>
      </c>
      <c r="T1431" s="66" t="n">
        <f aca="false">ROUND(S1431-O1431,4)</f>
        <v>0</v>
      </c>
    </row>
    <row r="1432" customFormat="false" ht="15" hidden="false" customHeight="false" outlineLevel="0" collapsed="false">
      <c r="A1432" s="18" t="s">
        <v>203</v>
      </c>
      <c r="B1432" s="18" t="s">
        <v>204</v>
      </c>
      <c r="C1432" s="18"/>
      <c r="D1432" s="49" t="n">
        <v>46357</v>
      </c>
      <c r="E1432" s="18" t="s">
        <v>124</v>
      </c>
      <c r="F1432" s="18" t="s">
        <v>119</v>
      </c>
      <c r="G1432" s="18" t="s">
        <v>100</v>
      </c>
      <c r="H1432" s="18" t="s">
        <v>107</v>
      </c>
      <c r="I1432" s="18" t="s">
        <v>125</v>
      </c>
      <c r="J1432" s="18" t="s">
        <v>241</v>
      </c>
      <c r="K1432" s="18" t="s">
        <v>199</v>
      </c>
      <c r="L1432" s="64" t="n">
        <v>113.20225652736</v>
      </c>
      <c r="M1432" s="64" t="n">
        <v>9</v>
      </c>
      <c r="N1432" s="18" t="s">
        <v>1620</v>
      </c>
      <c r="O1432" s="65" t="n">
        <v>1018.8203</v>
      </c>
      <c r="P1432" s="65"/>
      <c r="Q1432" s="65"/>
      <c r="R1432" s="65" t="s">
        <v>232</v>
      </c>
      <c r="S1432" s="66" t="n">
        <f aca="false">Model_Calc!BA242</f>
        <v>1018.82030874624</v>
      </c>
      <c r="T1432" s="66" t="n">
        <f aca="false">ROUND(S1432-O1432,4)</f>
        <v>0</v>
      </c>
    </row>
    <row r="1433" customFormat="false" ht="15" hidden="false" customHeight="false" outlineLevel="0" collapsed="false">
      <c r="A1433" s="18" t="s">
        <v>203</v>
      </c>
      <c r="B1433" s="18" t="s">
        <v>204</v>
      </c>
      <c r="C1433" s="18"/>
      <c r="D1433" s="49" t="n">
        <v>46357</v>
      </c>
      <c r="E1433" s="18" t="s">
        <v>127</v>
      </c>
      <c r="F1433" s="18" t="s">
        <v>119</v>
      </c>
      <c r="G1433" s="18" t="s">
        <v>100</v>
      </c>
      <c r="H1433" s="18" t="s">
        <v>128</v>
      </c>
      <c r="I1433" s="18" t="s">
        <v>125</v>
      </c>
      <c r="J1433" s="18" t="s">
        <v>230</v>
      </c>
      <c r="K1433" s="18" t="s">
        <v>199</v>
      </c>
      <c r="L1433" s="64" t="n">
        <v>8016.59525967286</v>
      </c>
      <c r="M1433" s="64" t="n">
        <v>9</v>
      </c>
      <c r="N1433" s="18" t="s">
        <v>1621</v>
      </c>
      <c r="O1433" s="65" t="n">
        <v>72149.3573</v>
      </c>
      <c r="P1433" s="65"/>
      <c r="Q1433" s="65"/>
      <c r="R1433" s="65" t="s">
        <v>232</v>
      </c>
      <c r="S1433" s="66" t="n">
        <f aca="false">Model_Calc!AF243</f>
        <v>72149.3573370558</v>
      </c>
      <c r="T1433" s="66" t="n">
        <f aca="false">ROUND(S1433-O1433,4)</f>
        <v>0</v>
      </c>
    </row>
    <row r="1434" customFormat="false" ht="15" hidden="false" customHeight="false" outlineLevel="0" collapsed="false">
      <c r="A1434" s="18" t="s">
        <v>203</v>
      </c>
      <c r="B1434" s="18" t="s">
        <v>204</v>
      </c>
      <c r="C1434" s="18"/>
      <c r="D1434" s="49" t="n">
        <v>46357</v>
      </c>
      <c r="E1434" s="18" t="s">
        <v>127</v>
      </c>
      <c r="F1434" s="18" t="s">
        <v>119</v>
      </c>
      <c r="G1434" s="18" t="s">
        <v>100</v>
      </c>
      <c r="H1434" s="18" t="s">
        <v>128</v>
      </c>
      <c r="I1434" s="18" t="s">
        <v>125</v>
      </c>
      <c r="J1434" s="18" t="s">
        <v>233</v>
      </c>
      <c r="K1434" s="18" t="s">
        <v>199</v>
      </c>
      <c r="L1434" s="64" t="n">
        <v>619.950033414701</v>
      </c>
      <c r="M1434" s="64" t="n">
        <v>9</v>
      </c>
      <c r="N1434" s="18" t="s">
        <v>1622</v>
      </c>
      <c r="O1434" s="65" t="n">
        <v>5579.5503</v>
      </c>
      <c r="P1434" s="65"/>
      <c r="Q1434" s="65"/>
      <c r="R1434" s="65" t="s">
        <v>232</v>
      </c>
      <c r="S1434" s="66" t="n">
        <f aca="false">Model_Calc!AG243</f>
        <v>5579.55030073231</v>
      </c>
      <c r="T1434" s="66" t="n">
        <f aca="false">ROUND(S1434-O1434,4)</f>
        <v>0</v>
      </c>
    </row>
    <row r="1435" customFormat="false" ht="15" hidden="false" customHeight="false" outlineLevel="0" collapsed="false">
      <c r="A1435" s="18" t="s">
        <v>203</v>
      </c>
      <c r="B1435" s="18" t="s">
        <v>204</v>
      </c>
      <c r="C1435" s="18"/>
      <c r="D1435" s="49" t="n">
        <v>46357</v>
      </c>
      <c r="E1435" s="18" t="s">
        <v>127</v>
      </c>
      <c r="F1435" s="18" t="s">
        <v>119</v>
      </c>
      <c r="G1435" s="18" t="s">
        <v>100</v>
      </c>
      <c r="H1435" s="18" t="s">
        <v>128</v>
      </c>
      <c r="I1435" s="18" t="s">
        <v>125</v>
      </c>
      <c r="J1435" s="18" t="s">
        <v>235</v>
      </c>
      <c r="K1435" s="18" t="s">
        <v>195</v>
      </c>
      <c r="L1435" s="64" t="n">
        <v>1108.41611466912</v>
      </c>
      <c r="M1435" s="64" t="n">
        <v>7.86</v>
      </c>
      <c r="N1435" s="18" t="s">
        <v>1623</v>
      </c>
      <c r="O1435" s="65" t="n">
        <v>8712.1507</v>
      </c>
      <c r="P1435" s="65"/>
      <c r="Q1435" s="65"/>
      <c r="R1435" s="65" t="s">
        <v>232</v>
      </c>
      <c r="S1435" s="66" t="n">
        <f aca="false">Model_Calc!AL243</f>
        <v>8712.15066129932</v>
      </c>
      <c r="T1435" s="66" t="n">
        <f aca="false">ROUND(S1435-O1435,4)</f>
        <v>0</v>
      </c>
    </row>
    <row r="1436" customFormat="false" ht="15" hidden="false" customHeight="false" outlineLevel="0" collapsed="false">
      <c r="A1436" s="18" t="s">
        <v>203</v>
      </c>
      <c r="B1436" s="18" t="s">
        <v>204</v>
      </c>
      <c r="C1436" s="18"/>
      <c r="D1436" s="49" t="n">
        <v>46357</v>
      </c>
      <c r="E1436" s="18" t="s">
        <v>127</v>
      </c>
      <c r="F1436" s="18" t="s">
        <v>119</v>
      </c>
      <c r="G1436" s="18" t="s">
        <v>100</v>
      </c>
      <c r="H1436" s="18" t="s">
        <v>128</v>
      </c>
      <c r="I1436" s="18" t="s">
        <v>125</v>
      </c>
      <c r="J1436" s="18" t="s">
        <v>237</v>
      </c>
      <c r="K1436" s="18" t="s">
        <v>195</v>
      </c>
      <c r="L1436" s="64" t="n">
        <v>446.851012608</v>
      </c>
      <c r="M1436" s="64" t="n">
        <v>7.86</v>
      </c>
      <c r="N1436" s="18" t="s">
        <v>1624</v>
      </c>
      <c r="O1436" s="65" t="n">
        <v>3512.249</v>
      </c>
      <c r="P1436" s="65"/>
      <c r="Q1436" s="65"/>
      <c r="R1436" s="65" t="s">
        <v>232</v>
      </c>
      <c r="S1436" s="66" t="n">
        <f aca="false">Model_Calc!AQ243</f>
        <v>3512.24895909888</v>
      </c>
      <c r="T1436" s="66" t="n">
        <f aca="false">ROUND(S1436-O1436,4)</f>
        <v>0</v>
      </c>
    </row>
    <row r="1437" customFormat="false" ht="15" hidden="false" customHeight="false" outlineLevel="0" collapsed="false">
      <c r="A1437" s="18" t="s">
        <v>203</v>
      </c>
      <c r="B1437" s="18" t="s">
        <v>204</v>
      </c>
      <c r="C1437" s="18"/>
      <c r="D1437" s="49" t="n">
        <v>46357</v>
      </c>
      <c r="E1437" s="18" t="s">
        <v>127</v>
      </c>
      <c r="F1437" s="18" t="s">
        <v>119</v>
      </c>
      <c r="G1437" s="18" t="s">
        <v>100</v>
      </c>
      <c r="H1437" s="18" t="s">
        <v>128</v>
      </c>
      <c r="I1437" s="18" t="s">
        <v>125</v>
      </c>
      <c r="J1437" s="18" t="s">
        <v>239</v>
      </c>
      <c r="K1437" s="18" t="s">
        <v>199</v>
      </c>
      <c r="L1437" s="64" t="n">
        <v>392.83605504</v>
      </c>
      <c r="M1437" s="64" t="n">
        <v>9</v>
      </c>
      <c r="N1437" s="18" t="s">
        <v>1625</v>
      </c>
      <c r="O1437" s="65" t="n">
        <v>3535.5245</v>
      </c>
      <c r="P1437" s="65"/>
      <c r="Q1437" s="65"/>
      <c r="R1437" s="65" t="s">
        <v>232</v>
      </c>
      <c r="S1437" s="66" t="n">
        <f aca="false">Model_Calc!AV243</f>
        <v>3535.52449536</v>
      </c>
      <c r="T1437" s="66" t="n">
        <f aca="false">ROUND(S1437-O1437,4)</f>
        <v>0</v>
      </c>
    </row>
    <row r="1438" customFormat="false" ht="15" hidden="false" customHeight="false" outlineLevel="0" collapsed="false">
      <c r="A1438" s="18" t="s">
        <v>203</v>
      </c>
      <c r="B1438" s="18" t="s">
        <v>204</v>
      </c>
      <c r="C1438" s="18"/>
      <c r="D1438" s="49" t="n">
        <v>46357</v>
      </c>
      <c r="E1438" s="18" t="s">
        <v>127</v>
      </c>
      <c r="F1438" s="18" t="s">
        <v>119</v>
      </c>
      <c r="G1438" s="18" t="s">
        <v>100</v>
      </c>
      <c r="H1438" s="18" t="s">
        <v>128</v>
      </c>
      <c r="I1438" s="18" t="s">
        <v>125</v>
      </c>
      <c r="J1438" s="18" t="s">
        <v>241</v>
      </c>
      <c r="K1438" s="18" t="s">
        <v>199</v>
      </c>
      <c r="L1438" s="64" t="n">
        <v>42.13166690304</v>
      </c>
      <c r="M1438" s="64" t="n">
        <v>9</v>
      </c>
      <c r="N1438" s="18" t="s">
        <v>1626</v>
      </c>
      <c r="O1438" s="65" t="n">
        <v>379.185</v>
      </c>
      <c r="P1438" s="65"/>
      <c r="Q1438" s="65"/>
      <c r="R1438" s="65" t="s">
        <v>232</v>
      </c>
      <c r="S1438" s="66" t="n">
        <f aca="false">Model_Calc!BA243</f>
        <v>379.18500212736</v>
      </c>
      <c r="T1438" s="66" t="n">
        <f aca="false">ROUND(S1438-O1438,4)</f>
        <v>0</v>
      </c>
    </row>
    <row r="1439" customFormat="false" ht="15" hidden="false" customHeight="false" outlineLevel="0" collapsed="false">
      <c r="A1439" s="18" t="s">
        <v>203</v>
      </c>
      <c r="B1439" s="18" t="s">
        <v>204</v>
      </c>
      <c r="C1439" s="18"/>
      <c r="D1439" s="49" t="n">
        <v>46357</v>
      </c>
      <c r="E1439" s="18" t="s">
        <v>130</v>
      </c>
      <c r="F1439" s="18" t="s">
        <v>119</v>
      </c>
      <c r="G1439" s="18" t="s">
        <v>110</v>
      </c>
      <c r="H1439" s="18" t="s">
        <v>107</v>
      </c>
      <c r="I1439" s="18" t="s">
        <v>125</v>
      </c>
      <c r="J1439" s="18" t="s">
        <v>230</v>
      </c>
      <c r="K1439" s="18" t="s">
        <v>195</v>
      </c>
      <c r="L1439" s="64" t="n">
        <v>3442.31877049632</v>
      </c>
      <c r="M1439" s="64" t="n">
        <v>7.86</v>
      </c>
      <c r="N1439" s="18" t="s">
        <v>1627</v>
      </c>
      <c r="O1439" s="65" t="n">
        <v>27056.6255</v>
      </c>
      <c r="P1439" s="65"/>
      <c r="Q1439" s="65"/>
      <c r="R1439" s="65" t="s">
        <v>232</v>
      </c>
      <c r="S1439" s="66" t="n">
        <f aca="false">Model_Calc!AF244</f>
        <v>27056.6255361011</v>
      </c>
      <c r="T1439" s="66" t="n">
        <f aca="false">ROUND(S1439-O1439,4)</f>
        <v>0</v>
      </c>
    </row>
    <row r="1440" customFormat="false" ht="15" hidden="false" customHeight="false" outlineLevel="0" collapsed="false">
      <c r="A1440" s="18" t="s">
        <v>203</v>
      </c>
      <c r="B1440" s="18" t="s">
        <v>204</v>
      </c>
      <c r="C1440" s="18"/>
      <c r="D1440" s="49" t="n">
        <v>46357</v>
      </c>
      <c r="E1440" s="18" t="s">
        <v>130</v>
      </c>
      <c r="F1440" s="18" t="s">
        <v>119</v>
      </c>
      <c r="G1440" s="18" t="s">
        <v>110</v>
      </c>
      <c r="H1440" s="18" t="s">
        <v>107</v>
      </c>
      <c r="I1440" s="18" t="s">
        <v>125</v>
      </c>
      <c r="J1440" s="18" t="s">
        <v>233</v>
      </c>
      <c r="K1440" s="18" t="s">
        <v>195</v>
      </c>
      <c r="L1440" s="64" t="n">
        <v>374.093992383688</v>
      </c>
      <c r="M1440" s="64" t="n">
        <v>7.86</v>
      </c>
      <c r="N1440" s="18" t="s">
        <v>1628</v>
      </c>
      <c r="O1440" s="65" t="n">
        <v>2940.3788</v>
      </c>
      <c r="P1440" s="65"/>
      <c r="Q1440" s="65"/>
      <c r="R1440" s="65" t="s">
        <v>232</v>
      </c>
      <c r="S1440" s="66" t="n">
        <f aca="false">Model_Calc!AG244</f>
        <v>2940.37878013578</v>
      </c>
      <c r="T1440" s="66" t="n">
        <f aca="false">ROUND(S1440-O1440,4)</f>
        <v>0</v>
      </c>
    </row>
    <row r="1441" customFormat="false" ht="15" hidden="false" customHeight="false" outlineLevel="0" collapsed="false">
      <c r="A1441" s="18" t="s">
        <v>203</v>
      </c>
      <c r="B1441" s="18" t="s">
        <v>204</v>
      </c>
      <c r="C1441" s="18"/>
      <c r="D1441" s="49" t="n">
        <v>46357</v>
      </c>
      <c r="E1441" s="18" t="s">
        <v>130</v>
      </c>
      <c r="F1441" s="18" t="s">
        <v>119</v>
      </c>
      <c r="G1441" s="18" t="s">
        <v>110</v>
      </c>
      <c r="H1441" s="18" t="s">
        <v>107</v>
      </c>
      <c r="I1441" s="18" t="s">
        <v>125</v>
      </c>
      <c r="J1441" s="18" t="s">
        <v>235</v>
      </c>
      <c r="K1441" s="18" t="s">
        <v>195</v>
      </c>
      <c r="L1441" s="64" t="n">
        <v>497.2968</v>
      </c>
      <c r="M1441" s="64" t="n">
        <v>7.86</v>
      </c>
      <c r="N1441" s="18" t="s">
        <v>1629</v>
      </c>
      <c r="O1441" s="65" t="n">
        <v>3908.7528</v>
      </c>
      <c r="P1441" s="65"/>
      <c r="Q1441" s="65"/>
      <c r="R1441" s="65" t="s">
        <v>232</v>
      </c>
      <c r="S1441" s="66" t="n">
        <f aca="false">Model_Calc!AL244</f>
        <v>3908.752848</v>
      </c>
      <c r="T1441" s="66" t="n">
        <f aca="false">ROUND(S1441-O1441,4)</f>
        <v>0</v>
      </c>
    </row>
    <row r="1442" customFormat="false" ht="15" hidden="false" customHeight="false" outlineLevel="0" collapsed="false">
      <c r="A1442" s="18" t="s">
        <v>203</v>
      </c>
      <c r="B1442" s="18" t="s">
        <v>204</v>
      </c>
      <c r="C1442" s="18"/>
      <c r="D1442" s="49" t="n">
        <v>46357</v>
      </c>
      <c r="E1442" s="18" t="s">
        <v>130</v>
      </c>
      <c r="F1442" s="18" t="s">
        <v>119</v>
      </c>
      <c r="G1442" s="18" t="s">
        <v>110</v>
      </c>
      <c r="H1442" s="18" t="s">
        <v>107</v>
      </c>
      <c r="I1442" s="18" t="s">
        <v>125</v>
      </c>
      <c r="J1442" s="18" t="s">
        <v>237</v>
      </c>
      <c r="K1442" s="18" t="s">
        <v>195</v>
      </c>
      <c r="L1442" s="64" t="n">
        <v>210.5696736</v>
      </c>
      <c r="M1442" s="64" t="n">
        <v>7.86</v>
      </c>
      <c r="N1442" s="18" t="s">
        <v>1630</v>
      </c>
      <c r="O1442" s="65" t="n">
        <v>1655.0776</v>
      </c>
      <c r="P1442" s="65"/>
      <c r="Q1442" s="65"/>
      <c r="R1442" s="65" t="s">
        <v>232</v>
      </c>
      <c r="S1442" s="66" t="n">
        <f aca="false">Model_Calc!AQ244</f>
        <v>1655.077634496</v>
      </c>
      <c r="T1442" s="66" t="n">
        <f aca="false">ROUND(S1442-O1442,4)</f>
        <v>0</v>
      </c>
    </row>
    <row r="1443" customFormat="false" ht="15" hidden="false" customHeight="false" outlineLevel="0" collapsed="false">
      <c r="A1443" s="18" t="s">
        <v>203</v>
      </c>
      <c r="B1443" s="18" t="s">
        <v>204</v>
      </c>
      <c r="C1443" s="18"/>
      <c r="D1443" s="49" t="n">
        <v>46357</v>
      </c>
      <c r="E1443" s="18" t="s">
        <v>130</v>
      </c>
      <c r="F1443" s="18" t="s">
        <v>119</v>
      </c>
      <c r="G1443" s="18" t="s">
        <v>110</v>
      </c>
      <c r="H1443" s="18" t="s">
        <v>107</v>
      </c>
      <c r="I1443" s="18" t="s">
        <v>125</v>
      </c>
      <c r="J1443" s="18" t="s">
        <v>239</v>
      </c>
      <c r="K1443" s="18" t="s">
        <v>195</v>
      </c>
      <c r="L1443" s="64" t="n">
        <v>221.652288</v>
      </c>
      <c r="M1443" s="64" t="n">
        <v>7.86</v>
      </c>
      <c r="N1443" s="18" t="s">
        <v>1631</v>
      </c>
      <c r="O1443" s="65" t="n">
        <v>1742.187</v>
      </c>
      <c r="P1443" s="65"/>
      <c r="Q1443" s="65"/>
      <c r="R1443" s="65" t="s">
        <v>232</v>
      </c>
      <c r="S1443" s="66" t="n">
        <f aca="false">Model_Calc!AV244</f>
        <v>1742.18698368</v>
      </c>
      <c r="T1443" s="66" t="n">
        <f aca="false">ROUND(S1443-O1443,4)</f>
        <v>0</v>
      </c>
    </row>
    <row r="1444" customFormat="false" ht="15" hidden="false" customHeight="false" outlineLevel="0" collapsed="false">
      <c r="A1444" s="18" t="s">
        <v>203</v>
      </c>
      <c r="B1444" s="18" t="s">
        <v>204</v>
      </c>
      <c r="C1444" s="18"/>
      <c r="D1444" s="49" t="n">
        <v>46357</v>
      </c>
      <c r="E1444" s="18" t="s">
        <v>130</v>
      </c>
      <c r="F1444" s="18" t="s">
        <v>119</v>
      </c>
      <c r="G1444" s="18" t="s">
        <v>110</v>
      </c>
      <c r="H1444" s="18" t="s">
        <v>107</v>
      </c>
      <c r="I1444" s="18" t="s">
        <v>125</v>
      </c>
      <c r="J1444" s="18" t="s">
        <v>241</v>
      </c>
      <c r="K1444" s="18" t="s">
        <v>195</v>
      </c>
      <c r="L1444" s="64" t="n">
        <v>21.721924224</v>
      </c>
      <c r="M1444" s="64" t="n">
        <v>7.86</v>
      </c>
      <c r="N1444" s="18" t="s">
        <v>1632</v>
      </c>
      <c r="O1444" s="65" t="n">
        <v>170.7343</v>
      </c>
      <c r="P1444" s="65"/>
      <c r="Q1444" s="65"/>
      <c r="R1444" s="65" t="s">
        <v>232</v>
      </c>
      <c r="S1444" s="66" t="n">
        <f aca="false">Model_Calc!BA244</f>
        <v>170.73432440064</v>
      </c>
      <c r="T1444" s="66" t="n">
        <f aca="false">ROUND(S1444-O1444,4)</f>
        <v>0</v>
      </c>
    </row>
    <row r="1445" customFormat="false" ht="15" hidden="false" customHeight="false" outlineLevel="0" collapsed="false">
      <c r="A1445" s="18" t="s">
        <v>206</v>
      </c>
      <c r="B1445" s="18" t="s">
        <v>207</v>
      </c>
      <c r="C1445" s="18" t="s">
        <v>208</v>
      </c>
      <c r="D1445" s="49" t="n">
        <v>46266</v>
      </c>
      <c r="E1445" s="18" t="s">
        <v>98</v>
      </c>
      <c r="F1445" s="18" t="s">
        <v>99</v>
      </c>
      <c r="G1445" s="18" t="s">
        <v>100</v>
      </c>
      <c r="H1445" s="18" t="s">
        <v>101</v>
      </c>
      <c r="I1445" s="18" t="s">
        <v>102</v>
      </c>
      <c r="J1445" s="18" t="s">
        <v>230</v>
      </c>
      <c r="K1445" s="18" t="s">
        <v>195</v>
      </c>
      <c r="L1445" s="64" t="n">
        <v>6720.488847072</v>
      </c>
      <c r="M1445" s="64" t="n">
        <v>7.92</v>
      </c>
      <c r="N1445" s="18" t="s">
        <v>1396</v>
      </c>
      <c r="O1445" s="65" t="n">
        <v>53226.2717</v>
      </c>
      <c r="P1445" s="65"/>
      <c r="Q1445" s="65"/>
      <c r="R1445" s="65" t="s">
        <v>232</v>
      </c>
      <c r="S1445" s="66" t="n">
        <f aca="false">Model_Calc!AF245</f>
        <v>53226.2716688102</v>
      </c>
      <c r="T1445" s="66" t="n">
        <f aca="false">ROUND(S1445-O1445,4)</f>
        <v>0</v>
      </c>
    </row>
    <row r="1446" customFormat="false" ht="15" hidden="false" customHeight="false" outlineLevel="0" collapsed="false">
      <c r="A1446" s="18" t="s">
        <v>206</v>
      </c>
      <c r="B1446" s="18" t="s">
        <v>207</v>
      </c>
      <c r="C1446" s="18" t="s">
        <v>208</v>
      </c>
      <c r="D1446" s="49" t="n">
        <v>46266</v>
      </c>
      <c r="E1446" s="18" t="s">
        <v>98</v>
      </c>
      <c r="F1446" s="18" t="s">
        <v>99</v>
      </c>
      <c r="G1446" s="18" t="s">
        <v>100</v>
      </c>
      <c r="H1446" s="18" t="s">
        <v>101</v>
      </c>
      <c r="I1446" s="18" t="s">
        <v>102</v>
      </c>
      <c r="J1446" s="18" t="s">
        <v>233</v>
      </c>
      <c r="K1446" s="18" t="s">
        <v>195</v>
      </c>
      <c r="L1446" s="64" t="n">
        <v>660.792065888354</v>
      </c>
      <c r="M1446" s="64" t="n">
        <v>7.92</v>
      </c>
      <c r="N1446" s="18" t="s">
        <v>1397</v>
      </c>
      <c r="O1446" s="65" t="n">
        <v>5233.4732</v>
      </c>
      <c r="P1446" s="65"/>
      <c r="Q1446" s="65"/>
      <c r="R1446" s="65" t="s">
        <v>232</v>
      </c>
      <c r="S1446" s="66" t="n">
        <f aca="false">Model_Calc!AG245</f>
        <v>5233.47316183577</v>
      </c>
      <c r="T1446" s="66" t="n">
        <f aca="false">ROUND(S1446-O1446,4)</f>
        <v>0</v>
      </c>
    </row>
    <row r="1447" customFormat="false" ht="15" hidden="false" customHeight="false" outlineLevel="0" collapsed="false">
      <c r="A1447" s="18" t="s">
        <v>206</v>
      </c>
      <c r="B1447" s="18" t="s">
        <v>207</v>
      </c>
      <c r="C1447" s="18" t="s">
        <v>208</v>
      </c>
      <c r="D1447" s="49" t="n">
        <v>46266</v>
      </c>
      <c r="E1447" s="18" t="s">
        <v>98</v>
      </c>
      <c r="F1447" s="18" t="s">
        <v>99</v>
      </c>
      <c r="G1447" s="18" t="s">
        <v>100</v>
      </c>
      <c r="H1447" s="18" t="s">
        <v>101</v>
      </c>
      <c r="I1447" s="18" t="s">
        <v>102</v>
      </c>
      <c r="J1447" s="18" t="s">
        <v>235</v>
      </c>
      <c r="K1447" s="18" t="s">
        <v>195</v>
      </c>
      <c r="L1447" s="64" t="n">
        <v>4959.47634826572</v>
      </c>
      <c r="M1447" s="64" t="n">
        <v>7.92</v>
      </c>
      <c r="N1447" s="18" t="s">
        <v>1398</v>
      </c>
      <c r="O1447" s="65" t="n">
        <v>39279.0527</v>
      </c>
      <c r="P1447" s="65"/>
      <c r="Q1447" s="65"/>
      <c r="R1447" s="65" t="s">
        <v>232</v>
      </c>
      <c r="S1447" s="66" t="n">
        <f aca="false">Model_Calc!AL245</f>
        <v>39279.0526782645</v>
      </c>
      <c r="T1447" s="66" t="n">
        <f aca="false">ROUND(S1447-O1447,4)</f>
        <v>0</v>
      </c>
    </row>
    <row r="1448" customFormat="false" ht="15" hidden="false" customHeight="false" outlineLevel="0" collapsed="false">
      <c r="A1448" s="18" t="s">
        <v>206</v>
      </c>
      <c r="B1448" s="18" t="s">
        <v>207</v>
      </c>
      <c r="C1448" s="18" t="s">
        <v>208</v>
      </c>
      <c r="D1448" s="49" t="n">
        <v>46266</v>
      </c>
      <c r="E1448" s="18" t="s">
        <v>98</v>
      </c>
      <c r="F1448" s="18" t="s">
        <v>99</v>
      </c>
      <c r="G1448" s="18" t="s">
        <v>100</v>
      </c>
      <c r="H1448" s="18" t="s">
        <v>101</v>
      </c>
      <c r="I1448" s="18" t="s">
        <v>102</v>
      </c>
      <c r="J1448" s="18" t="s">
        <v>237</v>
      </c>
      <c r="K1448" s="18" t="s">
        <v>195</v>
      </c>
      <c r="L1448" s="64" t="n">
        <v>1644.87489264</v>
      </c>
      <c r="M1448" s="64" t="n">
        <v>7.92</v>
      </c>
      <c r="N1448" s="18" t="s">
        <v>1399</v>
      </c>
      <c r="O1448" s="65" t="n">
        <v>13027.4091</v>
      </c>
      <c r="P1448" s="65"/>
      <c r="Q1448" s="65"/>
      <c r="R1448" s="65" t="s">
        <v>232</v>
      </c>
      <c r="S1448" s="66" t="n">
        <f aca="false">Model_Calc!AQ245</f>
        <v>13027.4091497088</v>
      </c>
      <c r="T1448" s="66" t="n">
        <f aca="false">ROUND(S1448-O1448,4)</f>
        <v>0</v>
      </c>
    </row>
    <row r="1449" customFormat="false" ht="15" hidden="false" customHeight="false" outlineLevel="0" collapsed="false">
      <c r="A1449" s="18" t="s">
        <v>206</v>
      </c>
      <c r="B1449" s="18" t="s">
        <v>207</v>
      </c>
      <c r="C1449" s="18" t="s">
        <v>208</v>
      </c>
      <c r="D1449" s="49" t="n">
        <v>46266</v>
      </c>
      <c r="E1449" s="18" t="s">
        <v>98</v>
      </c>
      <c r="F1449" s="18" t="s">
        <v>99</v>
      </c>
      <c r="G1449" s="18" t="s">
        <v>100</v>
      </c>
      <c r="H1449" s="18" t="s">
        <v>101</v>
      </c>
      <c r="I1449" s="18" t="s">
        <v>102</v>
      </c>
      <c r="J1449" s="18" t="s">
        <v>239</v>
      </c>
      <c r="K1449" s="18" t="s">
        <v>195</v>
      </c>
      <c r="L1449" s="64" t="n">
        <v>596.7800064</v>
      </c>
      <c r="M1449" s="64" t="n">
        <v>7.92</v>
      </c>
      <c r="N1449" s="18" t="s">
        <v>1400</v>
      </c>
      <c r="O1449" s="65" t="n">
        <v>4726.4977</v>
      </c>
      <c r="P1449" s="65"/>
      <c r="Q1449" s="65"/>
      <c r="R1449" s="65" t="s">
        <v>232</v>
      </c>
      <c r="S1449" s="66" t="n">
        <f aca="false">Model_Calc!AV245</f>
        <v>4726.497650688</v>
      </c>
      <c r="T1449" s="66" t="n">
        <f aca="false">ROUND(S1449-O1449,4)</f>
        <v>0</v>
      </c>
    </row>
    <row r="1450" customFormat="false" ht="15" hidden="false" customHeight="false" outlineLevel="0" collapsed="false">
      <c r="A1450" s="18" t="s">
        <v>206</v>
      </c>
      <c r="B1450" s="18" t="s">
        <v>207</v>
      </c>
      <c r="C1450" s="18" t="s">
        <v>208</v>
      </c>
      <c r="D1450" s="49" t="n">
        <v>46266</v>
      </c>
      <c r="E1450" s="18" t="s">
        <v>98</v>
      </c>
      <c r="F1450" s="18" t="s">
        <v>99</v>
      </c>
      <c r="G1450" s="18" t="s">
        <v>100</v>
      </c>
      <c r="H1450" s="18" t="s">
        <v>101</v>
      </c>
      <c r="I1450" s="18" t="s">
        <v>102</v>
      </c>
      <c r="J1450" s="18" t="s">
        <v>241</v>
      </c>
      <c r="K1450" s="18" t="s">
        <v>195</v>
      </c>
      <c r="L1450" s="64" t="n">
        <v>144.1223715456</v>
      </c>
      <c r="M1450" s="64" t="n">
        <v>7.92</v>
      </c>
      <c r="N1450" s="18" t="s">
        <v>1401</v>
      </c>
      <c r="O1450" s="65" t="n">
        <v>1141.4492</v>
      </c>
      <c r="P1450" s="65"/>
      <c r="Q1450" s="65"/>
      <c r="R1450" s="65" t="s">
        <v>232</v>
      </c>
      <c r="S1450" s="66" t="n">
        <f aca="false">Model_Calc!BA245</f>
        <v>1141.44918264115</v>
      </c>
      <c r="T1450" s="66" t="n">
        <f aca="false">ROUND(S1450-O1450,4)</f>
        <v>0</v>
      </c>
    </row>
    <row r="1451" customFormat="false" ht="15" hidden="false" customHeight="false" outlineLevel="0" collapsed="false">
      <c r="A1451" s="18" t="s">
        <v>206</v>
      </c>
      <c r="B1451" s="18" t="s">
        <v>207</v>
      </c>
      <c r="C1451" s="18" t="s">
        <v>208</v>
      </c>
      <c r="D1451" s="49" t="n">
        <v>46266</v>
      </c>
      <c r="E1451" s="18" t="s">
        <v>106</v>
      </c>
      <c r="F1451" s="18" t="s">
        <v>99</v>
      </c>
      <c r="G1451" s="18" t="s">
        <v>100</v>
      </c>
      <c r="H1451" s="18" t="s">
        <v>107</v>
      </c>
      <c r="I1451" s="18" t="s">
        <v>102</v>
      </c>
      <c r="J1451" s="18" t="s">
        <v>230</v>
      </c>
      <c r="K1451" s="18" t="s">
        <v>195</v>
      </c>
      <c r="L1451" s="64" t="n">
        <v>5744.0075616</v>
      </c>
      <c r="M1451" s="64" t="n">
        <v>7.92</v>
      </c>
      <c r="N1451" s="18" t="s">
        <v>1402</v>
      </c>
      <c r="O1451" s="65" t="n">
        <v>45492.5399</v>
      </c>
      <c r="P1451" s="65"/>
      <c r="Q1451" s="65"/>
      <c r="R1451" s="65" t="s">
        <v>232</v>
      </c>
      <c r="S1451" s="66" t="n">
        <f aca="false">Model_Calc!AF246</f>
        <v>45492.539887872</v>
      </c>
      <c r="T1451" s="66" t="n">
        <f aca="false">ROUND(S1451-O1451,4)</f>
        <v>0</v>
      </c>
    </row>
    <row r="1452" customFormat="false" ht="15" hidden="false" customHeight="false" outlineLevel="0" collapsed="false">
      <c r="A1452" s="18" t="s">
        <v>206</v>
      </c>
      <c r="B1452" s="18" t="s">
        <v>207</v>
      </c>
      <c r="C1452" s="18" t="s">
        <v>208</v>
      </c>
      <c r="D1452" s="49" t="n">
        <v>46266</v>
      </c>
      <c r="E1452" s="18" t="s">
        <v>106</v>
      </c>
      <c r="F1452" s="18" t="s">
        <v>99</v>
      </c>
      <c r="G1452" s="18" t="s">
        <v>100</v>
      </c>
      <c r="H1452" s="18" t="s">
        <v>107</v>
      </c>
      <c r="I1452" s="18" t="s">
        <v>102</v>
      </c>
      <c r="J1452" s="18" t="s">
        <v>233</v>
      </c>
      <c r="K1452" s="18" t="s">
        <v>195</v>
      </c>
      <c r="L1452" s="64" t="n">
        <v>438.633304704</v>
      </c>
      <c r="M1452" s="64" t="n">
        <v>7.92</v>
      </c>
      <c r="N1452" s="18" t="s">
        <v>1403</v>
      </c>
      <c r="O1452" s="65" t="n">
        <v>3473.9758</v>
      </c>
      <c r="P1452" s="65"/>
      <c r="Q1452" s="65"/>
      <c r="R1452" s="65" t="s">
        <v>232</v>
      </c>
      <c r="S1452" s="66" t="n">
        <f aca="false">Model_Calc!AG246</f>
        <v>3473.97577325568</v>
      </c>
      <c r="T1452" s="66" t="n">
        <f aca="false">ROUND(S1452-O1452,4)</f>
        <v>0</v>
      </c>
    </row>
    <row r="1453" customFormat="false" ht="15" hidden="false" customHeight="false" outlineLevel="0" collapsed="false">
      <c r="A1453" s="18" t="s">
        <v>206</v>
      </c>
      <c r="B1453" s="18" t="s">
        <v>207</v>
      </c>
      <c r="C1453" s="18" t="s">
        <v>208</v>
      </c>
      <c r="D1453" s="49" t="n">
        <v>46266</v>
      </c>
      <c r="E1453" s="18" t="s">
        <v>106</v>
      </c>
      <c r="F1453" s="18" t="s">
        <v>99</v>
      </c>
      <c r="G1453" s="18" t="s">
        <v>100</v>
      </c>
      <c r="H1453" s="18" t="s">
        <v>107</v>
      </c>
      <c r="I1453" s="18" t="s">
        <v>102</v>
      </c>
      <c r="J1453" s="18" t="s">
        <v>235</v>
      </c>
      <c r="K1453" s="18" t="s">
        <v>195</v>
      </c>
      <c r="L1453" s="64" t="n">
        <v>3306.31756551048</v>
      </c>
      <c r="M1453" s="64" t="n">
        <v>7.92</v>
      </c>
      <c r="N1453" s="18" t="s">
        <v>1404</v>
      </c>
      <c r="O1453" s="65" t="n">
        <v>26186.0351</v>
      </c>
      <c r="P1453" s="65"/>
      <c r="Q1453" s="65"/>
      <c r="R1453" s="65" t="s">
        <v>232</v>
      </c>
      <c r="S1453" s="66" t="n">
        <f aca="false">Model_Calc!AL246</f>
        <v>26186.035118843</v>
      </c>
      <c r="T1453" s="66" t="n">
        <f aca="false">ROUND(S1453-O1453,4)</f>
        <v>0</v>
      </c>
    </row>
    <row r="1454" customFormat="false" ht="15" hidden="false" customHeight="false" outlineLevel="0" collapsed="false">
      <c r="A1454" s="18" t="s">
        <v>206</v>
      </c>
      <c r="B1454" s="18" t="s">
        <v>207</v>
      </c>
      <c r="C1454" s="18" t="s">
        <v>208</v>
      </c>
      <c r="D1454" s="49" t="n">
        <v>46266</v>
      </c>
      <c r="E1454" s="18" t="s">
        <v>106</v>
      </c>
      <c r="F1454" s="18" t="s">
        <v>99</v>
      </c>
      <c r="G1454" s="18" t="s">
        <v>100</v>
      </c>
      <c r="H1454" s="18" t="s">
        <v>107</v>
      </c>
      <c r="I1454" s="18" t="s">
        <v>102</v>
      </c>
      <c r="J1454" s="18" t="s">
        <v>237</v>
      </c>
      <c r="K1454" s="18" t="s">
        <v>195</v>
      </c>
      <c r="L1454" s="64" t="n">
        <v>1096.58326176</v>
      </c>
      <c r="M1454" s="64" t="n">
        <v>7.92</v>
      </c>
      <c r="N1454" s="18" t="s">
        <v>1405</v>
      </c>
      <c r="O1454" s="65" t="n">
        <v>8684.9394</v>
      </c>
      <c r="P1454" s="65"/>
      <c r="Q1454" s="65"/>
      <c r="R1454" s="65" t="s">
        <v>232</v>
      </c>
      <c r="S1454" s="66" t="n">
        <f aca="false">Model_Calc!AQ246</f>
        <v>8684.9394331392</v>
      </c>
      <c r="T1454" s="66" t="n">
        <f aca="false">ROUND(S1454-O1454,4)</f>
        <v>0</v>
      </c>
    </row>
    <row r="1455" customFormat="false" ht="15" hidden="false" customHeight="false" outlineLevel="0" collapsed="false">
      <c r="A1455" s="18" t="s">
        <v>206</v>
      </c>
      <c r="B1455" s="18" t="s">
        <v>207</v>
      </c>
      <c r="C1455" s="18" t="s">
        <v>208</v>
      </c>
      <c r="D1455" s="49" t="n">
        <v>46266</v>
      </c>
      <c r="E1455" s="18" t="s">
        <v>106</v>
      </c>
      <c r="F1455" s="18" t="s">
        <v>99</v>
      </c>
      <c r="G1455" s="18" t="s">
        <v>100</v>
      </c>
      <c r="H1455" s="18" t="s">
        <v>107</v>
      </c>
      <c r="I1455" s="18" t="s">
        <v>102</v>
      </c>
      <c r="J1455" s="18" t="s">
        <v>239</v>
      </c>
      <c r="K1455" s="18" t="s">
        <v>195</v>
      </c>
      <c r="L1455" s="64" t="n">
        <v>397.8533376</v>
      </c>
      <c r="M1455" s="64" t="n">
        <v>7.92</v>
      </c>
      <c r="N1455" s="18" t="s">
        <v>1406</v>
      </c>
      <c r="O1455" s="65" t="n">
        <v>3150.9984</v>
      </c>
      <c r="P1455" s="65"/>
      <c r="Q1455" s="65"/>
      <c r="R1455" s="65" t="s">
        <v>232</v>
      </c>
      <c r="S1455" s="66" t="n">
        <f aca="false">Model_Calc!AV246</f>
        <v>3150.998433792</v>
      </c>
      <c r="T1455" s="66" t="n">
        <f aca="false">ROUND(S1455-O1455,4)</f>
        <v>0</v>
      </c>
    </row>
    <row r="1456" customFormat="false" ht="15" hidden="false" customHeight="false" outlineLevel="0" collapsed="false">
      <c r="A1456" s="18" t="s">
        <v>206</v>
      </c>
      <c r="B1456" s="18" t="s">
        <v>207</v>
      </c>
      <c r="C1456" s="18" t="s">
        <v>208</v>
      </c>
      <c r="D1456" s="49" t="n">
        <v>46266</v>
      </c>
      <c r="E1456" s="18" t="s">
        <v>106</v>
      </c>
      <c r="F1456" s="18" t="s">
        <v>99</v>
      </c>
      <c r="G1456" s="18" t="s">
        <v>100</v>
      </c>
      <c r="H1456" s="18" t="s">
        <v>107</v>
      </c>
      <c r="I1456" s="18" t="s">
        <v>102</v>
      </c>
      <c r="J1456" s="18" t="s">
        <v>241</v>
      </c>
      <c r="K1456" s="18" t="s">
        <v>195</v>
      </c>
      <c r="L1456" s="64" t="n">
        <v>78.0662845872</v>
      </c>
      <c r="M1456" s="64" t="n">
        <v>7.92</v>
      </c>
      <c r="N1456" s="18" t="s">
        <v>1407</v>
      </c>
      <c r="O1456" s="65" t="n">
        <v>618.285</v>
      </c>
      <c r="P1456" s="65"/>
      <c r="Q1456" s="65"/>
      <c r="R1456" s="65" t="s">
        <v>232</v>
      </c>
      <c r="S1456" s="66" t="n">
        <f aca="false">Model_Calc!BA246</f>
        <v>618.284973930624</v>
      </c>
      <c r="T1456" s="66" t="n">
        <f aca="false">ROUND(S1456-O1456,4)</f>
        <v>0</v>
      </c>
    </row>
    <row r="1457" customFormat="false" ht="15" hidden="false" customHeight="false" outlineLevel="0" collapsed="false">
      <c r="A1457" s="18" t="s">
        <v>206</v>
      </c>
      <c r="B1457" s="18" t="s">
        <v>207</v>
      </c>
      <c r="C1457" s="18" t="s">
        <v>208</v>
      </c>
      <c r="D1457" s="49" t="n">
        <v>46266</v>
      </c>
      <c r="E1457" s="18" t="s">
        <v>109</v>
      </c>
      <c r="F1457" s="18" t="s">
        <v>99</v>
      </c>
      <c r="G1457" s="18" t="s">
        <v>110</v>
      </c>
      <c r="H1457" s="18" t="s">
        <v>107</v>
      </c>
      <c r="I1457" s="18" t="s">
        <v>102</v>
      </c>
      <c r="J1457" s="18" t="s">
        <v>230</v>
      </c>
      <c r="K1457" s="18" t="s">
        <v>195</v>
      </c>
      <c r="L1457" s="64" t="n">
        <v>589.289494464</v>
      </c>
      <c r="M1457" s="64" t="n">
        <v>7.92</v>
      </c>
      <c r="N1457" s="18" t="s">
        <v>1408</v>
      </c>
      <c r="O1457" s="65" t="n">
        <v>4667.1728</v>
      </c>
      <c r="P1457" s="65"/>
      <c r="Q1457" s="65"/>
      <c r="R1457" s="65" t="s">
        <v>232</v>
      </c>
      <c r="S1457" s="66" t="n">
        <f aca="false">Model_Calc!AF247</f>
        <v>4667.17279615488</v>
      </c>
      <c r="T1457" s="66" t="n">
        <f aca="false">ROUND(S1457-O1457,4)</f>
        <v>0</v>
      </c>
    </row>
    <row r="1458" customFormat="false" ht="15" hidden="false" customHeight="false" outlineLevel="0" collapsed="false">
      <c r="A1458" s="18" t="s">
        <v>206</v>
      </c>
      <c r="B1458" s="18" t="s">
        <v>207</v>
      </c>
      <c r="C1458" s="18" t="s">
        <v>208</v>
      </c>
      <c r="D1458" s="49" t="n">
        <v>46266</v>
      </c>
      <c r="E1458" s="18" t="s">
        <v>109</v>
      </c>
      <c r="F1458" s="18" t="s">
        <v>99</v>
      </c>
      <c r="G1458" s="18" t="s">
        <v>110</v>
      </c>
      <c r="H1458" s="18" t="s">
        <v>107</v>
      </c>
      <c r="I1458" s="18" t="s">
        <v>102</v>
      </c>
      <c r="J1458" s="18" t="s">
        <v>233</v>
      </c>
      <c r="K1458" s="18" t="s">
        <v>195</v>
      </c>
      <c r="L1458" s="64" t="n">
        <v>42.8574177792</v>
      </c>
      <c r="M1458" s="64" t="n">
        <v>7.92</v>
      </c>
      <c r="N1458" s="18" t="s">
        <v>1409</v>
      </c>
      <c r="O1458" s="65" t="n">
        <v>339.4307</v>
      </c>
      <c r="P1458" s="65"/>
      <c r="Q1458" s="65"/>
      <c r="R1458" s="65" t="s">
        <v>232</v>
      </c>
      <c r="S1458" s="66" t="n">
        <f aca="false">Model_Calc!AG247</f>
        <v>339.430748811264</v>
      </c>
      <c r="T1458" s="66" t="n">
        <f aca="false">ROUND(S1458-O1458,4)</f>
        <v>0</v>
      </c>
    </row>
    <row r="1459" customFormat="false" ht="15" hidden="false" customHeight="false" outlineLevel="0" collapsed="false">
      <c r="A1459" s="18" t="s">
        <v>206</v>
      </c>
      <c r="B1459" s="18" t="s">
        <v>207</v>
      </c>
      <c r="C1459" s="18" t="s">
        <v>208</v>
      </c>
      <c r="D1459" s="49" t="n">
        <v>46266</v>
      </c>
      <c r="E1459" s="18" t="s">
        <v>109</v>
      </c>
      <c r="F1459" s="18" t="s">
        <v>99</v>
      </c>
      <c r="G1459" s="18" t="s">
        <v>110</v>
      </c>
      <c r="H1459" s="18" t="s">
        <v>107</v>
      </c>
      <c r="I1459" s="18" t="s">
        <v>102</v>
      </c>
      <c r="J1459" s="18" t="s">
        <v>235</v>
      </c>
      <c r="K1459" s="18" t="s">
        <v>195</v>
      </c>
      <c r="L1459" s="64" t="n">
        <v>201.87468</v>
      </c>
      <c r="M1459" s="64" t="n">
        <v>7.92</v>
      </c>
      <c r="N1459" s="18" t="s">
        <v>1410</v>
      </c>
      <c r="O1459" s="65" t="n">
        <v>1598.8475</v>
      </c>
      <c r="P1459" s="65"/>
      <c r="Q1459" s="65"/>
      <c r="R1459" s="65" t="s">
        <v>232</v>
      </c>
      <c r="S1459" s="66" t="n">
        <f aca="false">Model_Calc!AL247</f>
        <v>1598.8474656</v>
      </c>
      <c r="T1459" s="66" t="n">
        <f aca="false">ROUND(S1459-O1459,4)</f>
        <v>0</v>
      </c>
    </row>
    <row r="1460" customFormat="false" ht="15" hidden="false" customHeight="false" outlineLevel="0" collapsed="false">
      <c r="A1460" s="18" t="s">
        <v>206</v>
      </c>
      <c r="B1460" s="18" t="s">
        <v>207</v>
      </c>
      <c r="C1460" s="18" t="s">
        <v>208</v>
      </c>
      <c r="D1460" s="49" t="n">
        <v>46266</v>
      </c>
      <c r="E1460" s="18" t="s">
        <v>109</v>
      </c>
      <c r="F1460" s="18" t="s">
        <v>99</v>
      </c>
      <c r="G1460" s="18" t="s">
        <v>110</v>
      </c>
      <c r="H1460" s="18" t="s">
        <v>107</v>
      </c>
      <c r="I1460" s="18" t="s">
        <v>102</v>
      </c>
      <c r="J1460" s="18" t="s">
        <v>237</v>
      </c>
      <c r="K1460" s="18" t="s">
        <v>195</v>
      </c>
      <c r="L1460" s="64" t="n">
        <v>78.90416064</v>
      </c>
      <c r="M1460" s="64" t="n">
        <v>7.92</v>
      </c>
      <c r="N1460" s="18" t="s">
        <v>1411</v>
      </c>
      <c r="O1460" s="65" t="n">
        <v>624.921</v>
      </c>
      <c r="P1460" s="65"/>
      <c r="Q1460" s="65"/>
      <c r="R1460" s="65" t="s">
        <v>232</v>
      </c>
      <c r="S1460" s="66" t="n">
        <f aca="false">Model_Calc!AQ247</f>
        <v>624.9209522688</v>
      </c>
      <c r="T1460" s="66" t="n">
        <f aca="false">ROUND(S1460-O1460,4)</f>
        <v>0</v>
      </c>
    </row>
    <row r="1461" customFormat="false" ht="15" hidden="false" customHeight="false" outlineLevel="0" collapsed="false">
      <c r="A1461" s="18" t="s">
        <v>206</v>
      </c>
      <c r="B1461" s="18" t="s">
        <v>207</v>
      </c>
      <c r="C1461" s="18" t="s">
        <v>208</v>
      </c>
      <c r="D1461" s="49" t="n">
        <v>46266</v>
      </c>
      <c r="E1461" s="18" t="s">
        <v>109</v>
      </c>
      <c r="F1461" s="18" t="s">
        <v>99</v>
      </c>
      <c r="G1461" s="18" t="s">
        <v>110</v>
      </c>
      <c r="H1461" s="18" t="s">
        <v>107</v>
      </c>
      <c r="I1461" s="18" t="s">
        <v>102</v>
      </c>
      <c r="J1461" s="18" t="s">
        <v>239</v>
      </c>
      <c r="K1461" s="18" t="s">
        <v>195</v>
      </c>
      <c r="L1461" s="64" t="n">
        <v>36.529704</v>
      </c>
      <c r="M1461" s="64" t="n">
        <v>7.92</v>
      </c>
      <c r="N1461" s="18" t="s">
        <v>1412</v>
      </c>
      <c r="O1461" s="65" t="n">
        <v>289.3153</v>
      </c>
      <c r="P1461" s="65"/>
      <c r="Q1461" s="65"/>
      <c r="R1461" s="65" t="s">
        <v>232</v>
      </c>
      <c r="S1461" s="66" t="n">
        <f aca="false">Model_Calc!AV247</f>
        <v>289.31525568</v>
      </c>
      <c r="T1461" s="66" t="n">
        <f aca="false">ROUND(S1461-O1461,4)</f>
        <v>0</v>
      </c>
    </row>
    <row r="1462" customFormat="false" ht="15" hidden="false" customHeight="false" outlineLevel="0" collapsed="false">
      <c r="A1462" s="18" t="s">
        <v>206</v>
      </c>
      <c r="B1462" s="18" t="s">
        <v>207</v>
      </c>
      <c r="C1462" s="18" t="s">
        <v>208</v>
      </c>
      <c r="D1462" s="49" t="n">
        <v>46266</v>
      </c>
      <c r="E1462" s="18" t="s">
        <v>109</v>
      </c>
      <c r="F1462" s="18" t="s">
        <v>99</v>
      </c>
      <c r="G1462" s="18" t="s">
        <v>110</v>
      </c>
      <c r="H1462" s="18" t="s">
        <v>107</v>
      </c>
      <c r="I1462" s="18" t="s">
        <v>102</v>
      </c>
      <c r="J1462" s="18" t="s">
        <v>241</v>
      </c>
      <c r="K1462" s="18" t="s">
        <v>195</v>
      </c>
      <c r="L1462" s="64" t="n">
        <v>6.6860894016</v>
      </c>
      <c r="M1462" s="64" t="n">
        <v>7.92</v>
      </c>
      <c r="N1462" s="18" t="s">
        <v>1413</v>
      </c>
      <c r="O1462" s="65" t="n">
        <v>52.9538</v>
      </c>
      <c r="P1462" s="65"/>
      <c r="Q1462" s="65"/>
      <c r="R1462" s="65" t="s">
        <v>232</v>
      </c>
      <c r="S1462" s="66" t="n">
        <f aca="false">Model_Calc!BA247</f>
        <v>52.953828060672</v>
      </c>
      <c r="T1462" s="66" t="n">
        <f aca="false">ROUND(S1462-O1462,4)</f>
        <v>0</v>
      </c>
    </row>
    <row r="1463" customFormat="false" ht="15" hidden="false" customHeight="false" outlineLevel="0" collapsed="false">
      <c r="A1463" s="18" t="s">
        <v>206</v>
      </c>
      <c r="B1463" s="18" t="s">
        <v>207</v>
      </c>
      <c r="C1463" s="18" t="s">
        <v>208</v>
      </c>
      <c r="D1463" s="49" t="n">
        <v>46266</v>
      </c>
      <c r="E1463" s="18" t="s">
        <v>112</v>
      </c>
      <c r="F1463" s="18" t="s">
        <v>113</v>
      </c>
      <c r="G1463" s="18" t="s">
        <v>110</v>
      </c>
      <c r="H1463" s="18" t="s">
        <v>101</v>
      </c>
      <c r="I1463" s="18" t="s">
        <v>102</v>
      </c>
      <c r="J1463" s="18" t="s">
        <v>230</v>
      </c>
      <c r="K1463" s="18" t="s">
        <v>195</v>
      </c>
      <c r="L1463" s="64" t="n">
        <v>3162.2547096</v>
      </c>
      <c r="M1463" s="64" t="n">
        <v>7.92</v>
      </c>
      <c r="N1463" s="18" t="s">
        <v>1414</v>
      </c>
      <c r="O1463" s="65" t="n">
        <v>25045.0573</v>
      </c>
      <c r="P1463" s="65"/>
      <c r="Q1463" s="65"/>
      <c r="R1463" s="65" t="s">
        <v>232</v>
      </c>
      <c r="S1463" s="66" t="n">
        <f aca="false">Model_Calc!AF248</f>
        <v>25045.057300032</v>
      </c>
      <c r="T1463" s="66" t="n">
        <f aca="false">ROUND(S1463-O1463,4)</f>
        <v>0</v>
      </c>
    </row>
    <row r="1464" customFormat="false" ht="15" hidden="false" customHeight="false" outlineLevel="0" collapsed="false">
      <c r="A1464" s="18" t="s">
        <v>206</v>
      </c>
      <c r="B1464" s="18" t="s">
        <v>207</v>
      </c>
      <c r="C1464" s="18" t="s">
        <v>208</v>
      </c>
      <c r="D1464" s="49" t="n">
        <v>46266</v>
      </c>
      <c r="E1464" s="18" t="s">
        <v>112</v>
      </c>
      <c r="F1464" s="18" t="s">
        <v>113</v>
      </c>
      <c r="G1464" s="18" t="s">
        <v>110</v>
      </c>
      <c r="H1464" s="18" t="s">
        <v>101</v>
      </c>
      <c r="I1464" s="18" t="s">
        <v>102</v>
      </c>
      <c r="J1464" s="18" t="s">
        <v>233</v>
      </c>
      <c r="K1464" s="18" t="s">
        <v>195</v>
      </c>
      <c r="L1464" s="64" t="n">
        <v>294.56402619924</v>
      </c>
      <c r="M1464" s="64" t="n">
        <v>7.92</v>
      </c>
      <c r="N1464" s="18" t="s">
        <v>1415</v>
      </c>
      <c r="O1464" s="65" t="n">
        <v>2332.9471</v>
      </c>
      <c r="P1464" s="65"/>
      <c r="Q1464" s="65"/>
      <c r="R1464" s="65" t="s">
        <v>232</v>
      </c>
      <c r="S1464" s="66" t="n">
        <f aca="false">Model_Calc!AG248</f>
        <v>2332.94708749798</v>
      </c>
      <c r="T1464" s="66" t="n">
        <f aca="false">ROUND(S1464-O1464,4)</f>
        <v>0</v>
      </c>
    </row>
    <row r="1465" customFormat="false" ht="15" hidden="false" customHeight="false" outlineLevel="0" collapsed="false">
      <c r="A1465" s="18" t="s">
        <v>206</v>
      </c>
      <c r="B1465" s="18" t="s">
        <v>207</v>
      </c>
      <c r="C1465" s="18" t="s">
        <v>208</v>
      </c>
      <c r="D1465" s="49" t="n">
        <v>46266</v>
      </c>
      <c r="E1465" s="18" t="s">
        <v>112</v>
      </c>
      <c r="F1465" s="18" t="s">
        <v>113</v>
      </c>
      <c r="G1465" s="18" t="s">
        <v>110</v>
      </c>
      <c r="H1465" s="18" t="s">
        <v>101</v>
      </c>
      <c r="I1465" s="18" t="s">
        <v>102</v>
      </c>
      <c r="J1465" s="18" t="s">
        <v>235</v>
      </c>
      <c r="K1465" s="18" t="s">
        <v>195</v>
      </c>
      <c r="L1465" s="64" t="n">
        <v>1962.6705</v>
      </c>
      <c r="M1465" s="64" t="n">
        <v>7.92</v>
      </c>
      <c r="N1465" s="18" t="s">
        <v>1416</v>
      </c>
      <c r="O1465" s="65" t="n">
        <v>15544.3504</v>
      </c>
      <c r="P1465" s="65"/>
      <c r="Q1465" s="65"/>
      <c r="R1465" s="65" t="s">
        <v>232</v>
      </c>
      <c r="S1465" s="66" t="n">
        <f aca="false">Model_Calc!AL248</f>
        <v>15544.35036</v>
      </c>
      <c r="T1465" s="66" t="n">
        <f aca="false">ROUND(S1465-O1465,4)</f>
        <v>0</v>
      </c>
    </row>
    <row r="1466" customFormat="false" ht="15" hidden="false" customHeight="false" outlineLevel="0" collapsed="false">
      <c r="A1466" s="18" t="s">
        <v>206</v>
      </c>
      <c r="B1466" s="18" t="s">
        <v>207</v>
      </c>
      <c r="C1466" s="18" t="s">
        <v>208</v>
      </c>
      <c r="D1466" s="49" t="n">
        <v>46266</v>
      </c>
      <c r="E1466" s="18" t="s">
        <v>112</v>
      </c>
      <c r="F1466" s="18" t="s">
        <v>113</v>
      </c>
      <c r="G1466" s="18" t="s">
        <v>110</v>
      </c>
      <c r="H1466" s="18" t="s">
        <v>101</v>
      </c>
      <c r="I1466" s="18" t="s">
        <v>102</v>
      </c>
      <c r="J1466" s="18" t="s">
        <v>237</v>
      </c>
      <c r="K1466" s="18" t="s">
        <v>195</v>
      </c>
      <c r="L1466" s="64" t="n">
        <v>752.917788</v>
      </c>
      <c r="M1466" s="64" t="n">
        <v>7.92</v>
      </c>
      <c r="N1466" s="18" t="s">
        <v>1417</v>
      </c>
      <c r="O1466" s="65" t="n">
        <v>5963.1089</v>
      </c>
      <c r="P1466" s="65"/>
      <c r="Q1466" s="65"/>
      <c r="R1466" s="65" t="s">
        <v>232</v>
      </c>
      <c r="S1466" s="66" t="n">
        <f aca="false">Model_Calc!AQ248</f>
        <v>5963.10888096</v>
      </c>
      <c r="T1466" s="66" t="n">
        <f aca="false">ROUND(S1466-O1466,4)</f>
        <v>0</v>
      </c>
    </row>
    <row r="1467" customFormat="false" ht="15" hidden="false" customHeight="false" outlineLevel="0" collapsed="false">
      <c r="A1467" s="18" t="s">
        <v>206</v>
      </c>
      <c r="B1467" s="18" t="s">
        <v>207</v>
      </c>
      <c r="C1467" s="18" t="s">
        <v>208</v>
      </c>
      <c r="D1467" s="49" t="n">
        <v>46266</v>
      </c>
      <c r="E1467" s="18" t="s">
        <v>112</v>
      </c>
      <c r="F1467" s="18" t="s">
        <v>113</v>
      </c>
      <c r="G1467" s="18" t="s">
        <v>110</v>
      </c>
      <c r="H1467" s="18" t="s">
        <v>101</v>
      </c>
      <c r="I1467" s="18" t="s">
        <v>102</v>
      </c>
      <c r="J1467" s="18" t="s">
        <v>239</v>
      </c>
      <c r="K1467" s="18" t="s">
        <v>195</v>
      </c>
      <c r="L1467" s="64" t="n">
        <v>336.4578</v>
      </c>
      <c r="M1467" s="64" t="n">
        <v>7.92</v>
      </c>
      <c r="N1467" s="18" t="s">
        <v>1418</v>
      </c>
      <c r="O1467" s="65" t="n">
        <v>2664.7458</v>
      </c>
      <c r="P1467" s="65"/>
      <c r="Q1467" s="65"/>
      <c r="R1467" s="65" t="s">
        <v>232</v>
      </c>
      <c r="S1467" s="66" t="n">
        <f aca="false">Model_Calc!AV248</f>
        <v>2664.745776</v>
      </c>
      <c r="T1467" s="66" t="n">
        <f aca="false">ROUND(S1467-O1467,4)</f>
        <v>0</v>
      </c>
    </row>
    <row r="1468" customFormat="false" ht="15" hidden="false" customHeight="false" outlineLevel="0" collapsed="false">
      <c r="A1468" s="18" t="s">
        <v>206</v>
      </c>
      <c r="B1468" s="18" t="s">
        <v>207</v>
      </c>
      <c r="C1468" s="18" t="s">
        <v>208</v>
      </c>
      <c r="D1468" s="49" t="n">
        <v>46266</v>
      </c>
      <c r="E1468" s="18" t="s">
        <v>112</v>
      </c>
      <c r="F1468" s="18" t="s">
        <v>113</v>
      </c>
      <c r="G1468" s="18" t="s">
        <v>110</v>
      </c>
      <c r="H1468" s="18" t="s">
        <v>101</v>
      </c>
      <c r="I1468" s="18" t="s">
        <v>102</v>
      </c>
      <c r="J1468" s="18" t="s">
        <v>241</v>
      </c>
      <c r="K1468" s="18" t="s">
        <v>195</v>
      </c>
      <c r="L1468" s="64" t="n">
        <v>77.47127766</v>
      </c>
      <c r="M1468" s="64" t="n">
        <v>7.92</v>
      </c>
      <c r="N1468" s="18" t="s">
        <v>1419</v>
      </c>
      <c r="O1468" s="65" t="n">
        <v>613.5725</v>
      </c>
      <c r="P1468" s="65"/>
      <c r="Q1468" s="65"/>
      <c r="R1468" s="65" t="s">
        <v>232</v>
      </c>
      <c r="S1468" s="66" t="n">
        <f aca="false">Model_Calc!BA248</f>
        <v>613.5725190672</v>
      </c>
      <c r="T1468" s="66" t="n">
        <f aca="false">ROUND(S1468-O1468,4)</f>
        <v>0</v>
      </c>
    </row>
    <row r="1469" customFormat="false" ht="15" hidden="false" customHeight="false" outlineLevel="0" collapsed="false">
      <c r="A1469" s="18" t="s">
        <v>206</v>
      </c>
      <c r="B1469" s="18" t="s">
        <v>207</v>
      </c>
      <c r="C1469" s="18" t="s">
        <v>208</v>
      </c>
      <c r="D1469" s="49" t="n">
        <v>46266</v>
      </c>
      <c r="E1469" s="18" t="s">
        <v>116</v>
      </c>
      <c r="F1469" s="18" t="s">
        <v>113</v>
      </c>
      <c r="G1469" s="18" t="s">
        <v>110</v>
      </c>
      <c r="H1469" s="18" t="s">
        <v>107</v>
      </c>
      <c r="I1469" s="18" t="s">
        <v>102</v>
      </c>
      <c r="J1469" s="18" t="s">
        <v>230</v>
      </c>
      <c r="K1469" s="18" t="s">
        <v>195</v>
      </c>
      <c r="L1469" s="64" t="n">
        <v>7558.0491636</v>
      </c>
      <c r="M1469" s="64" t="n">
        <v>7.92</v>
      </c>
      <c r="N1469" s="18" t="s">
        <v>1420</v>
      </c>
      <c r="O1469" s="65" t="n">
        <v>59859.7494</v>
      </c>
      <c r="P1469" s="65"/>
      <c r="Q1469" s="65"/>
      <c r="R1469" s="65" t="s">
        <v>232</v>
      </c>
      <c r="S1469" s="66" t="n">
        <f aca="false">Model_Calc!AF249</f>
        <v>59859.749375712</v>
      </c>
      <c r="T1469" s="66" t="n">
        <f aca="false">ROUND(S1469-O1469,4)</f>
        <v>0</v>
      </c>
    </row>
    <row r="1470" customFormat="false" ht="15" hidden="false" customHeight="false" outlineLevel="0" collapsed="false">
      <c r="A1470" s="18" t="s">
        <v>206</v>
      </c>
      <c r="B1470" s="18" t="s">
        <v>207</v>
      </c>
      <c r="C1470" s="18" t="s">
        <v>208</v>
      </c>
      <c r="D1470" s="49" t="n">
        <v>46266</v>
      </c>
      <c r="E1470" s="18" t="s">
        <v>116</v>
      </c>
      <c r="F1470" s="18" t="s">
        <v>113</v>
      </c>
      <c r="G1470" s="18" t="s">
        <v>110</v>
      </c>
      <c r="H1470" s="18" t="s">
        <v>107</v>
      </c>
      <c r="I1470" s="18" t="s">
        <v>102</v>
      </c>
      <c r="J1470" s="18" t="s">
        <v>233</v>
      </c>
      <c r="K1470" s="18" t="s">
        <v>195</v>
      </c>
      <c r="L1470" s="64" t="n">
        <v>581.3883972</v>
      </c>
      <c r="M1470" s="64" t="n">
        <v>7.92</v>
      </c>
      <c r="N1470" s="18" t="s">
        <v>1421</v>
      </c>
      <c r="O1470" s="65" t="n">
        <v>4604.5961</v>
      </c>
      <c r="P1470" s="65"/>
      <c r="Q1470" s="65"/>
      <c r="R1470" s="65" t="s">
        <v>232</v>
      </c>
      <c r="S1470" s="66" t="n">
        <f aca="false">Model_Calc!AG249</f>
        <v>4604.596105824</v>
      </c>
      <c r="T1470" s="66" t="n">
        <f aca="false">ROUND(S1470-O1470,4)</f>
        <v>0</v>
      </c>
    </row>
    <row r="1471" customFormat="false" ht="15" hidden="false" customHeight="false" outlineLevel="0" collapsed="false">
      <c r="A1471" s="18" t="s">
        <v>206</v>
      </c>
      <c r="B1471" s="18" t="s">
        <v>207</v>
      </c>
      <c r="C1471" s="18" t="s">
        <v>208</v>
      </c>
      <c r="D1471" s="49" t="n">
        <v>46266</v>
      </c>
      <c r="E1471" s="18" t="s">
        <v>116</v>
      </c>
      <c r="F1471" s="18" t="s">
        <v>113</v>
      </c>
      <c r="G1471" s="18" t="s">
        <v>110</v>
      </c>
      <c r="H1471" s="18" t="s">
        <v>107</v>
      </c>
      <c r="I1471" s="18" t="s">
        <v>102</v>
      </c>
      <c r="J1471" s="18" t="s">
        <v>235</v>
      </c>
      <c r="K1471" s="18" t="s">
        <v>195</v>
      </c>
      <c r="L1471" s="64" t="n">
        <v>3644.9595</v>
      </c>
      <c r="M1471" s="64" t="n">
        <v>7.92</v>
      </c>
      <c r="N1471" s="18" t="s">
        <v>1422</v>
      </c>
      <c r="O1471" s="65" t="n">
        <v>28868.0792</v>
      </c>
      <c r="P1471" s="65"/>
      <c r="Q1471" s="65"/>
      <c r="R1471" s="65" t="s">
        <v>232</v>
      </c>
      <c r="S1471" s="66" t="n">
        <f aca="false">Model_Calc!AL249</f>
        <v>28868.07924</v>
      </c>
      <c r="T1471" s="66" t="n">
        <f aca="false">ROUND(S1471-O1471,4)</f>
        <v>0</v>
      </c>
    </row>
    <row r="1472" customFormat="false" ht="15" hidden="false" customHeight="false" outlineLevel="0" collapsed="false">
      <c r="A1472" s="18" t="s">
        <v>206</v>
      </c>
      <c r="B1472" s="18" t="s">
        <v>207</v>
      </c>
      <c r="C1472" s="18" t="s">
        <v>208</v>
      </c>
      <c r="D1472" s="49" t="n">
        <v>46266</v>
      </c>
      <c r="E1472" s="18" t="s">
        <v>116</v>
      </c>
      <c r="F1472" s="18" t="s">
        <v>113</v>
      </c>
      <c r="G1472" s="18" t="s">
        <v>110</v>
      </c>
      <c r="H1472" s="18" t="s">
        <v>107</v>
      </c>
      <c r="I1472" s="18" t="s">
        <v>102</v>
      </c>
      <c r="J1472" s="18" t="s">
        <v>237</v>
      </c>
      <c r="K1472" s="18" t="s">
        <v>195</v>
      </c>
      <c r="L1472" s="64" t="n">
        <v>1398.275892</v>
      </c>
      <c r="M1472" s="64" t="n">
        <v>7.92</v>
      </c>
      <c r="N1472" s="18" t="s">
        <v>1423</v>
      </c>
      <c r="O1472" s="65" t="n">
        <v>11074.3451</v>
      </c>
      <c r="P1472" s="65"/>
      <c r="Q1472" s="65"/>
      <c r="R1472" s="65" t="s">
        <v>232</v>
      </c>
      <c r="S1472" s="66" t="n">
        <f aca="false">Model_Calc!AQ249</f>
        <v>11074.34506464</v>
      </c>
      <c r="T1472" s="66" t="n">
        <f aca="false">ROUND(S1472-O1472,4)</f>
        <v>0</v>
      </c>
    </row>
    <row r="1473" customFormat="false" ht="15" hidden="false" customHeight="false" outlineLevel="0" collapsed="false">
      <c r="A1473" s="18" t="s">
        <v>206</v>
      </c>
      <c r="B1473" s="18" t="s">
        <v>207</v>
      </c>
      <c r="C1473" s="18" t="s">
        <v>208</v>
      </c>
      <c r="D1473" s="49" t="n">
        <v>46266</v>
      </c>
      <c r="E1473" s="18" t="s">
        <v>116</v>
      </c>
      <c r="F1473" s="18" t="s">
        <v>113</v>
      </c>
      <c r="G1473" s="18" t="s">
        <v>110</v>
      </c>
      <c r="H1473" s="18" t="s">
        <v>107</v>
      </c>
      <c r="I1473" s="18" t="s">
        <v>102</v>
      </c>
      <c r="J1473" s="18" t="s">
        <v>239</v>
      </c>
      <c r="K1473" s="18" t="s">
        <v>195</v>
      </c>
      <c r="L1473" s="64" t="n">
        <v>624.8502</v>
      </c>
      <c r="M1473" s="64" t="n">
        <v>7.92</v>
      </c>
      <c r="N1473" s="18" t="s">
        <v>1424</v>
      </c>
      <c r="O1473" s="65" t="n">
        <v>4948.8136</v>
      </c>
      <c r="P1473" s="65"/>
      <c r="Q1473" s="65"/>
      <c r="R1473" s="65" t="s">
        <v>232</v>
      </c>
      <c r="S1473" s="66" t="n">
        <f aca="false">Model_Calc!AV249</f>
        <v>4948.813584</v>
      </c>
      <c r="T1473" s="66" t="n">
        <f aca="false">ROUND(S1473-O1473,4)</f>
        <v>0</v>
      </c>
    </row>
    <row r="1474" customFormat="false" ht="15" hidden="false" customHeight="false" outlineLevel="0" collapsed="false">
      <c r="A1474" s="18" t="s">
        <v>206</v>
      </c>
      <c r="B1474" s="18" t="s">
        <v>207</v>
      </c>
      <c r="C1474" s="18" t="s">
        <v>208</v>
      </c>
      <c r="D1474" s="49" t="n">
        <v>46266</v>
      </c>
      <c r="E1474" s="18" t="s">
        <v>116</v>
      </c>
      <c r="F1474" s="18" t="s">
        <v>113</v>
      </c>
      <c r="G1474" s="18" t="s">
        <v>110</v>
      </c>
      <c r="H1474" s="18" t="s">
        <v>107</v>
      </c>
      <c r="I1474" s="18" t="s">
        <v>102</v>
      </c>
      <c r="J1474" s="18" t="s">
        <v>241</v>
      </c>
      <c r="K1474" s="18" t="s">
        <v>195</v>
      </c>
      <c r="L1474" s="64" t="n">
        <v>118.48548348</v>
      </c>
      <c r="M1474" s="64" t="n">
        <v>7.92</v>
      </c>
      <c r="N1474" s="18" t="s">
        <v>1425</v>
      </c>
      <c r="O1474" s="65" t="n">
        <v>938.405</v>
      </c>
      <c r="P1474" s="65"/>
      <c r="Q1474" s="65"/>
      <c r="R1474" s="65" t="s">
        <v>232</v>
      </c>
      <c r="S1474" s="66" t="n">
        <f aca="false">Model_Calc!BA249</f>
        <v>938.4050291616</v>
      </c>
      <c r="T1474" s="66" t="n">
        <f aca="false">ROUND(S1474-O1474,4)</f>
        <v>0</v>
      </c>
    </row>
    <row r="1475" customFormat="false" ht="15" hidden="false" customHeight="false" outlineLevel="0" collapsed="false">
      <c r="A1475" s="18" t="s">
        <v>206</v>
      </c>
      <c r="B1475" s="18" t="s">
        <v>207</v>
      </c>
      <c r="C1475" s="18" t="s">
        <v>208</v>
      </c>
      <c r="D1475" s="49" t="n">
        <v>46266</v>
      </c>
      <c r="E1475" s="18" t="s">
        <v>118</v>
      </c>
      <c r="F1475" s="18" t="s">
        <v>119</v>
      </c>
      <c r="G1475" s="18" t="s">
        <v>100</v>
      </c>
      <c r="H1475" s="18" t="s">
        <v>101</v>
      </c>
      <c r="I1475" s="18" t="s">
        <v>102</v>
      </c>
      <c r="J1475" s="18" t="s">
        <v>230</v>
      </c>
      <c r="K1475" s="18" t="s">
        <v>199</v>
      </c>
      <c r="L1475" s="64" t="n">
        <v>8632.71687591936</v>
      </c>
      <c r="M1475" s="64" t="n">
        <v>9.15</v>
      </c>
      <c r="N1475" s="18" t="s">
        <v>1426</v>
      </c>
      <c r="O1475" s="65" t="n">
        <v>78989.3594</v>
      </c>
      <c r="P1475" s="65"/>
      <c r="Q1475" s="65"/>
      <c r="R1475" s="65" t="s">
        <v>232</v>
      </c>
      <c r="S1475" s="66" t="n">
        <f aca="false">Model_Calc!AF250</f>
        <v>78989.3594146621</v>
      </c>
      <c r="T1475" s="66" t="n">
        <f aca="false">ROUND(S1475-O1475,4)</f>
        <v>0</v>
      </c>
    </row>
    <row r="1476" customFormat="false" ht="15" hidden="false" customHeight="false" outlineLevel="0" collapsed="false">
      <c r="A1476" s="18" t="s">
        <v>206</v>
      </c>
      <c r="B1476" s="18" t="s">
        <v>207</v>
      </c>
      <c r="C1476" s="18" t="s">
        <v>208</v>
      </c>
      <c r="D1476" s="49" t="n">
        <v>46266</v>
      </c>
      <c r="E1476" s="18" t="s">
        <v>118</v>
      </c>
      <c r="F1476" s="18" t="s">
        <v>119</v>
      </c>
      <c r="G1476" s="18" t="s">
        <v>100</v>
      </c>
      <c r="H1476" s="18" t="s">
        <v>101</v>
      </c>
      <c r="I1476" s="18" t="s">
        <v>102</v>
      </c>
      <c r="J1476" s="18" t="s">
        <v>233</v>
      </c>
      <c r="K1476" s="18" t="s">
        <v>199</v>
      </c>
      <c r="L1476" s="64" t="n">
        <v>893.486196657654</v>
      </c>
      <c r="M1476" s="64" t="n">
        <v>9.15</v>
      </c>
      <c r="N1476" s="18" t="s">
        <v>1427</v>
      </c>
      <c r="O1476" s="65" t="n">
        <v>8175.3987</v>
      </c>
      <c r="P1476" s="65"/>
      <c r="Q1476" s="65"/>
      <c r="R1476" s="65" t="s">
        <v>232</v>
      </c>
      <c r="S1476" s="66" t="n">
        <f aca="false">Model_Calc!AG250</f>
        <v>8175.39869941753</v>
      </c>
      <c r="T1476" s="66" t="n">
        <f aca="false">ROUND(S1476-O1476,4)</f>
        <v>0</v>
      </c>
    </row>
    <row r="1477" customFormat="false" ht="15" hidden="false" customHeight="false" outlineLevel="0" collapsed="false">
      <c r="A1477" s="18" t="s">
        <v>206</v>
      </c>
      <c r="B1477" s="18" t="s">
        <v>207</v>
      </c>
      <c r="C1477" s="18" t="s">
        <v>208</v>
      </c>
      <c r="D1477" s="49" t="n">
        <v>46266</v>
      </c>
      <c r="E1477" s="18" t="s">
        <v>118</v>
      </c>
      <c r="F1477" s="18" t="s">
        <v>119</v>
      </c>
      <c r="G1477" s="18" t="s">
        <v>100</v>
      </c>
      <c r="H1477" s="18" t="s">
        <v>101</v>
      </c>
      <c r="I1477" s="18" t="s">
        <v>102</v>
      </c>
      <c r="J1477" s="18" t="s">
        <v>235</v>
      </c>
      <c r="K1477" s="18" t="s">
        <v>195</v>
      </c>
      <c r="L1477" s="64" t="n">
        <v>2317.83087066714</v>
      </c>
      <c r="M1477" s="64" t="n">
        <v>7.92</v>
      </c>
      <c r="N1477" s="18" t="s">
        <v>1428</v>
      </c>
      <c r="O1477" s="65" t="n">
        <v>18357.2205</v>
      </c>
      <c r="P1477" s="65"/>
      <c r="Q1477" s="65"/>
      <c r="R1477" s="65" t="s">
        <v>232</v>
      </c>
      <c r="S1477" s="66" t="n">
        <f aca="false">Model_Calc!AL250</f>
        <v>18357.2204956838</v>
      </c>
      <c r="T1477" s="66" t="n">
        <f aca="false">ROUND(S1477-O1477,4)</f>
        <v>0</v>
      </c>
    </row>
    <row r="1478" customFormat="false" ht="15" hidden="false" customHeight="false" outlineLevel="0" collapsed="false">
      <c r="A1478" s="18" t="s">
        <v>206</v>
      </c>
      <c r="B1478" s="18" t="s">
        <v>207</v>
      </c>
      <c r="C1478" s="18" t="s">
        <v>208</v>
      </c>
      <c r="D1478" s="49" t="n">
        <v>46266</v>
      </c>
      <c r="E1478" s="18" t="s">
        <v>118</v>
      </c>
      <c r="F1478" s="18" t="s">
        <v>119</v>
      </c>
      <c r="G1478" s="18" t="s">
        <v>100</v>
      </c>
      <c r="H1478" s="18" t="s">
        <v>101</v>
      </c>
      <c r="I1478" s="18" t="s">
        <v>102</v>
      </c>
      <c r="J1478" s="18" t="s">
        <v>237</v>
      </c>
      <c r="K1478" s="18" t="s">
        <v>195</v>
      </c>
      <c r="L1478" s="64" t="n">
        <v>871.237285632</v>
      </c>
      <c r="M1478" s="64" t="n">
        <v>7.92</v>
      </c>
      <c r="N1478" s="18" t="s">
        <v>1429</v>
      </c>
      <c r="O1478" s="65" t="n">
        <v>6900.1993</v>
      </c>
      <c r="P1478" s="65"/>
      <c r="Q1478" s="65"/>
      <c r="R1478" s="65" t="s">
        <v>232</v>
      </c>
      <c r="S1478" s="66" t="n">
        <f aca="false">Model_Calc!AQ250</f>
        <v>6900.19930220544</v>
      </c>
      <c r="T1478" s="66" t="n">
        <f aca="false">ROUND(S1478-O1478,4)</f>
        <v>0</v>
      </c>
    </row>
    <row r="1479" customFormat="false" ht="15" hidden="false" customHeight="false" outlineLevel="0" collapsed="false">
      <c r="A1479" s="18" t="s">
        <v>206</v>
      </c>
      <c r="B1479" s="18" t="s">
        <v>207</v>
      </c>
      <c r="C1479" s="18" t="s">
        <v>208</v>
      </c>
      <c r="D1479" s="49" t="n">
        <v>46266</v>
      </c>
      <c r="E1479" s="18" t="s">
        <v>118</v>
      </c>
      <c r="F1479" s="18" t="s">
        <v>119</v>
      </c>
      <c r="G1479" s="18" t="s">
        <v>100</v>
      </c>
      <c r="H1479" s="18" t="s">
        <v>101</v>
      </c>
      <c r="I1479" s="18" t="s">
        <v>102</v>
      </c>
      <c r="J1479" s="18" t="s">
        <v>239</v>
      </c>
      <c r="K1479" s="18" t="s">
        <v>199</v>
      </c>
      <c r="L1479" s="64" t="n">
        <v>794.88635904</v>
      </c>
      <c r="M1479" s="64" t="n">
        <v>9.15</v>
      </c>
      <c r="N1479" s="18" t="s">
        <v>1430</v>
      </c>
      <c r="O1479" s="65" t="n">
        <v>7273.2102</v>
      </c>
      <c r="P1479" s="65"/>
      <c r="Q1479" s="65"/>
      <c r="R1479" s="65" t="s">
        <v>232</v>
      </c>
      <c r="S1479" s="66" t="n">
        <f aca="false">Model_Calc!AV250</f>
        <v>7273.210185216</v>
      </c>
      <c r="T1479" s="66" t="n">
        <f aca="false">ROUND(S1479-O1479,4)</f>
        <v>0</v>
      </c>
    </row>
    <row r="1480" customFormat="false" ht="15" hidden="false" customHeight="false" outlineLevel="0" collapsed="false">
      <c r="A1480" s="18" t="s">
        <v>206</v>
      </c>
      <c r="B1480" s="18" t="s">
        <v>207</v>
      </c>
      <c r="C1480" s="18" t="s">
        <v>208</v>
      </c>
      <c r="D1480" s="49" t="n">
        <v>46266</v>
      </c>
      <c r="E1480" s="18" t="s">
        <v>118</v>
      </c>
      <c r="F1480" s="18" t="s">
        <v>119</v>
      </c>
      <c r="G1480" s="18" t="s">
        <v>100</v>
      </c>
      <c r="H1480" s="18" t="s">
        <v>101</v>
      </c>
      <c r="I1480" s="18" t="s">
        <v>102</v>
      </c>
      <c r="J1480" s="18" t="s">
        <v>241</v>
      </c>
      <c r="K1480" s="18" t="s">
        <v>199</v>
      </c>
      <c r="L1480" s="64" t="n">
        <v>128.81865580416</v>
      </c>
      <c r="M1480" s="64" t="n">
        <v>9.15</v>
      </c>
      <c r="N1480" s="18" t="s">
        <v>1431</v>
      </c>
      <c r="O1480" s="65" t="n">
        <v>1178.6907</v>
      </c>
      <c r="P1480" s="65"/>
      <c r="Q1480" s="65"/>
      <c r="R1480" s="65" t="s">
        <v>232</v>
      </c>
      <c r="S1480" s="66" t="n">
        <f aca="false">Model_Calc!BA250</f>
        <v>1178.69070060806</v>
      </c>
      <c r="T1480" s="66" t="n">
        <f aca="false">ROUND(S1480-O1480,4)</f>
        <v>0</v>
      </c>
    </row>
    <row r="1481" customFormat="false" ht="15" hidden="false" customHeight="false" outlineLevel="0" collapsed="false">
      <c r="A1481" s="18" t="s">
        <v>206</v>
      </c>
      <c r="B1481" s="18" t="s">
        <v>207</v>
      </c>
      <c r="C1481" s="18" t="s">
        <v>208</v>
      </c>
      <c r="D1481" s="49" t="n">
        <v>46266</v>
      </c>
      <c r="E1481" s="18" t="s">
        <v>122</v>
      </c>
      <c r="F1481" s="18" t="s">
        <v>119</v>
      </c>
      <c r="G1481" s="18" t="s">
        <v>100</v>
      </c>
      <c r="H1481" s="18" t="s">
        <v>107</v>
      </c>
      <c r="I1481" s="18" t="s">
        <v>102</v>
      </c>
      <c r="J1481" s="18" t="s">
        <v>230</v>
      </c>
      <c r="K1481" s="18" t="s">
        <v>199</v>
      </c>
      <c r="L1481" s="64" t="n">
        <v>5635.24573844736</v>
      </c>
      <c r="M1481" s="64" t="n">
        <v>9.15</v>
      </c>
      <c r="N1481" s="18" t="s">
        <v>1432</v>
      </c>
      <c r="O1481" s="65" t="n">
        <v>51562.4985</v>
      </c>
      <c r="P1481" s="65"/>
      <c r="Q1481" s="65"/>
      <c r="R1481" s="65" t="s">
        <v>232</v>
      </c>
      <c r="S1481" s="66" t="n">
        <f aca="false">Model_Calc!AF251</f>
        <v>51562.4985067933</v>
      </c>
      <c r="T1481" s="66" t="n">
        <f aca="false">ROUND(S1481-O1481,4)</f>
        <v>0</v>
      </c>
    </row>
    <row r="1482" customFormat="false" ht="15" hidden="false" customHeight="false" outlineLevel="0" collapsed="false">
      <c r="A1482" s="18" t="s">
        <v>206</v>
      </c>
      <c r="B1482" s="18" t="s">
        <v>207</v>
      </c>
      <c r="C1482" s="18" t="s">
        <v>208</v>
      </c>
      <c r="D1482" s="49" t="n">
        <v>46266</v>
      </c>
      <c r="E1482" s="18" t="s">
        <v>122</v>
      </c>
      <c r="F1482" s="18" t="s">
        <v>119</v>
      </c>
      <c r="G1482" s="18" t="s">
        <v>100</v>
      </c>
      <c r="H1482" s="18" t="s">
        <v>107</v>
      </c>
      <c r="I1482" s="18" t="s">
        <v>102</v>
      </c>
      <c r="J1482" s="18" t="s">
        <v>233</v>
      </c>
      <c r="K1482" s="18" t="s">
        <v>199</v>
      </c>
      <c r="L1482" s="64" t="n">
        <v>395.666190146304</v>
      </c>
      <c r="M1482" s="64" t="n">
        <v>9.15</v>
      </c>
      <c r="N1482" s="18" t="s">
        <v>1433</v>
      </c>
      <c r="O1482" s="65" t="n">
        <v>3620.3456</v>
      </c>
      <c r="P1482" s="65"/>
      <c r="Q1482" s="65"/>
      <c r="R1482" s="65" t="s">
        <v>232</v>
      </c>
      <c r="S1482" s="66" t="n">
        <f aca="false">Model_Calc!AG251</f>
        <v>3620.34563983868</v>
      </c>
      <c r="T1482" s="66" t="n">
        <f aca="false">ROUND(S1482-O1482,4)</f>
        <v>0</v>
      </c>
    </row>
    <row r="1483" customFormat="false" ht="15" hidden="false" customHeight="false" outlineLevel="0" collapsed="false">
      <c r="A1483" s="18" t="s">
        <v>206</v>
      </c>
      <c r="B1483" s="18" t="s">
        <v>207</v>
      </c>
      <c r="C1483" s="18" t="s">
        <v>208</v>
      </c>
      <c r="D1483" s="49" t="n">
        <v>46266</v>
      </c>
      <c r="E1483" s="18" t="s">
        <v>122</v>
      </c>
      <c r="F1483" s="18" t="s">
        <v>119</v>
      </c>
      <c r="G1483" s="18" t="s">
        <v>100</v>
      </c>
      <c r="H1483" s="18" t="s">
        <v>107</v>
      </c>
      <c r="I1483" s="18" t="s">
        <v>102</v>
      </c>
      <c r="J1483" s="18" t="s">
        <v>235</v>
      </c>
      <c r="K1483" s="18" t="s">
        <v>195</v>
      </c>
      <c r="L1483" s="64" t="n">
        <v>1313.43749337805</v>
      </c>
      <c r="M1483" s="64" t="n">
        <v>7.92</v>
      </c>
      <c r="N1483" s="18" t="s">
        <v>1434</v>
      </c>
      <c r="O1483" s="65" t="n">
        <v>10402.4249</v>
      </c>
      <c r="P1483" s="65"/>
      <c r="Q1483" s="65"/>
      <c r="R1483" s="65" t="s">
        <v>232</v>
      </c>
      <c r="S1483" s="66" t="n">
        <f aca="false">Model_Calc!AL251</f>
        <v>10402.4249475541</v>
      </c>
      <c r="T1483" s="66" t="n">
        <f aca="false">ROUND(S1483-O1483,4)</f>
        <v>0</v>
      </c>
    </row>
    <row r="1484" customFormat="false" ht="15" hidden="false" customHeight="false" outlineLevel="0" collapsed="false">
      <c r="A1484" s="18" t="s">
        <v>206</v>
      </c>
      <c r="B1484" s="18" t="s">
        <v>207</v>
      </c>
      <c r="C1484" s="18" t="s">
        <v>208</v>
      </c>
      <c r="D1484" s="49" t="n">
        <v>46266</v>
      </c>
      <c r="E1484" s="18" t="s">
        <v>122</v>
      </c>
      <c r="F1484" s="18" t="s">
        <v>119</v>
      </c>
      <c r="G1484" s="18" t="s">
        <v>100</v>
      </c>
      <c r="H1484" s="18" t="s">
        <v>107</v>
      </c>
      <c r="I1484" s="18" t="s">
        <v>102</v>
      </c>
      <c r="J1484" s="18" t="s">
        <v>237</v>
      </c>
      <c r="K1484" s="18" t="s">
        <v>195</v>
      </c>
      <c r="L1484" s="64" t="n">
        <v>493.7011285248</v>
      </c>
      <c r="M1484" s="64" t="n">
        <v>7.92</v>
      </c>
      <c r="N1484" s="18" t="s">
        <v>1435</v>
      </c>
      <c r="O1484" s="65" t="n">
        <v>3910.1129</v>
      </c>
      <c r="P1484" s="65"/>
      <c r="Q1484" s="65"/>
      <c r="R1484" s="65" t="s">
        <v>232</v>
      </c>
      <c r="S1484" s="66" t="n">
        <f aca="false">Model_Calc!AQ251</f>
        <v>3910.11293791642</v>
      </c>
      <c r="T1484" s="66" t="n">
        <f aca="false">ROUND(S1484-O1484,4)</f>
        <v>0</v>
      </c>
    </row>
    <row r="1485" customFormat="false" ht="15" hidden="false" customHeight="false" outlineLevel="0" collapsed="false">
      <c r="A1485" s="18" t="s">
        <v>206</v>
      </c>
      <c r="B1485" s="18" t="s">
        <v>207</v>
      </c>
      <c r="C1485" s="18" t="s">
        <v>208</v>
      </c>
      <c r="D1485" s="49" t="n">
        <v>46266</v>
      </c>
      <c r="E1485" s="18" t="s">
        <v>122</v>
      </c>
      <c r="F1485" s="18" t="s">
        <v>119</v>
      </c>
      <c r="G1485" s="18" t="s">
        <v>100</v>
      </c>
      <c r="H1485" s="18" t="s">
        <v>107</v>
      </c>
      <c r="I1485" s="18" t="s">
        <v>102</v>
      </c>
      <c r="J1485" s="18" t="s">
        <v>239</v>
      </c>
      <c r="K1485" s="18" t="s">
        <v>199</v>
      </c>
      <c r="L1485" s="64" t="n">
        <v>450.435603456</v>
      </c>
      <c r="M1485" s="64" t="n">
        <v>9.15</v>
      </c>
      <c r="N1485" s="18" t="s">
        <v>1436</v>
      </c>
      <c r="O1485" s="65" t="n">
        <v>4121.4858</v>
      </c>
      <c r="P1485" s="65"/>
      <c r="Q1485" s="65"/>
      <c r="R1485" s="65" t="s">
        <v>232</v>
      </c>
      <c r="S1485" s="66" t="n">
        <f aca="false">Model_Calc!AV251</f>
        <v>4121.4857716224</v>
      </c>
      <c r="T1485" s="66" t="n">
        <f aca="false">ROUND(S1485-O1485,4)</f>
        <v>0</v>
      </c>
    </row>
    <row r="1486" customFormat="false" ht="15" hidden="false" customHeight="false" outlineLevel="0" collapsed="false">
      <c r="A1486" s="18" t="s">
        <v>206</v>
      </c>
      <c r="B1486" s="18" t="s">
        <v>207</v>
      </c>
      <c r="C1486" s="18" t="s">
        <v>208</v>
      </c>
      <c r="D1486" s="49" t="n">
        <v>46266</v>
      </c>
      <c r="E1486" s="18" t="s">
        <v>122</v>
      </c>
      <c r="F1486" s="18" t="s">
        <v>119</v>
      </c>
      <c r="G1486" s="18" t="s">
        <v>100</v>
      </c>
      <c r="H1486" s="18" t="s">
        <v>107</v>
      </c>
      <c r="I1486" s="18" t="s">
        <v>102</v>
      </c>
      <c r="J1486" s="18" t="s">
        <v>241</v>
      </c>
      <c r="K1486" s="18" t="s">
        <v>199</v>
      </c>
      <c r="L1486" s="64" t="n">
        <v>54.07202836224</v>
      </c>
      <c r="M1486" s="64" t="n">
        <v>9.15</v>
      </c>
      <c r="N1486" s="18" t="s">
        <v>1437</v>
      </c>
      <c r="O1486" s="65" t="n">
        <v>494.7591</v>
      </c>
      <c r="P1486" s="65"/>
      <c r="Q1486" s="65"/>
      <c r="R1486" s="65" t="s">
        <v>232</v>
      </c>
      <c r="S1486" s="66" t="n">
        <f aca="false">Model_Calc!BA251</f>
        <v>494.759059514496</v>
      </c>
      <c r="T1486" s="66" t="n">
        <f aca="false">ROUND(S1486-O1486,4)</f>
        <v>0</v>
      </c>
    </row>
    <row r="1487" customFormat="false" ht="15" hidden="false" customHeight="false" outlineLevel="0" collapsed="false">
      <c r="A1487" s="18" t="s">
        <v>206</v>
      </c>
      <c r="B1487" s="18" t="s">
        <v>207</v>
      </c>
      <c r="C1487" s="18" t="s">
        <v>208</v>
      </c>
      <c r="D1487" s="49" t="n">
        <v>46266</v>
      </c>
      <c r="E1487" s="18" t="s">
        <v>124</v>
      </c>
      <c r="F1487" s="18" t="s">
        <v>119</v>
      </c>
      <c r="G1487" s="18" t="s">
        <v>100</v>
      </c>
      <c r="H1487" s="18" t="s">
        <v>107</v>
      </c>
      <c r="I1487" s="18" t="s">
        <v>125</v>
      </c>
      <c r="J1487" s="18" t="s">
        <v>230</v>
      </c>
      <c r="K1487" s="18" t="s">
        <v>199</v>
      </c>
      <c r="L1487" s="64" t="n">
        <v>10687.0778004437</v>
      </c>
      <c r="M1487" s="64" t="n">
        <v>9.15</v>
      </c>
      <c r="N1487" s="18" t="s">
        <v>1438</v>
      </c>
      <c r="O1487" s="65" t="n">
        <v>97786.7619</v>
      </c>
      <c r="P1487" s="65"/>
      <c r="Q1487" s="65"/>
      <c r="R1487" s="65" t="s">
        <v>232</v>
      </c>
      <c r="S1487" s="66" t="n">
        <f aca="false">Model_Calc!AF252</f>
        <v>97786.7618740598</v>
      </c>
      <c r="T1487" s="66" t="n">
        <f aca="false">ROUND(S1487-O1487,4)</f>
        <v>0</v>
      </c>
    </row>
    <row r="1488" customFormat="false" ht="15" hidden="false" customHeight="false" outlineLevel="0" collapsed="false">
      <c r="A1488" s="18" t="s">
        <v>206</v>
      </c>
      <c r="B1488" s="18" t="s">
        <v>207</v>
      </c>
      <c r="C1488" s="18" t="s">
        <v>208</v>
      </c>
      <c r="D1488" s="49" t="n">
        <v>46266</v>
      </c>
      <c r="E1488" s="18" t="s">
        <v>124</v>
      </c>
      <c r="F1488" s="18" t="s">
        <v>119</v>
      </c>
      <c r="G1488" s="18" t="s">
        <v>100</v>
      </c>
      <c r="H1488" s="18" t="s">
        <v>107</v>
      </c>
      <c r="I1488" s="18" t="s">
        <v>125</v>
      </c>
      <c r="J1488" s="18" t="s">
        <v>233</v>
      </c>
      <c r="K1488" s="18" t="s">
        <v>199</v>
      </c>
      <c r="L1488" s="64" t="n">
        <v>1322.91061260572</v>
      </c>
      <c r="M1488" s="64" t="n">
        <v>9.15</v>
      </c>
      <c r="N1488" s="18" t="s">
        <v>1439</v>
      </c>
      <c r="O1488" s="65" t="n">
        <v>12104.6321</v>
      </c>
      <c r="P1488" s="65"/>
      <c r="Q1488" s="65"/>
      <c r="R1488" s="65" t="s">
        <v>232</v>
      </c>
      <c r="S1488" s="66" t="n">
        <f aca="false">Model_Calc!AG252</f>
        <v>12104.6321053424</v>
      </c>
      <c r="T1488" s="66" t="n">
        <f aca="false">ROUND(S1488-O1488,4)</f>
        <v>0</v>
      </c>
    </row>
    <row r="1489" customFormat="false" ht="15" hidden="false" customHeight="false" outlineLevel="0" collapsed="false">
      <c r="A1489" s="18" t="s">
        <v>206</v>
      </c>
      <c r="B1489" s="18" t="s">
        <v>207</v>
      </c>
      <c r="C1489" s="18" t="s">
        <v>208</v>
      </c>
      <c r="D1489" s="49" t="n">
        <v>46266</v>
      </c>
      <c r="E1489" s="18" t="s">
        <v>124</v>
      </c>
      <c r="F1489" s="18" t="s">
        <v>119</v>
      </c>
      <c r="G1489" s="18" t="s">
        <v>100</v>
      </c>
      <c r="H1489" s="18" t="s">
        <v>107</v>
      </c>
      <c r="I1489" s="18" t="s">
        <v>125</v>
      </c>
      <c r="J1489" s="18" t="s">
        <v>235</v>
      </c>
      <c r="K1489" s="18" t="s">
        <v>195</v>
      </c>
      <c r="L1489" s="64" t="n">
        <v>1931.52572555595</v>
      </c>
      <c r="M1489" s="64" t="n">
        <v>7.92</v>
      </c>
      <c r="N1489" s="18" t="s">
        <v>1440</v>
      </c>
      <c r="O1489" s="65" t="n">
        <v>15297.6837</v>
      </c>
      <c r="P1489" s="65"/>
      <c r="Q1489" s="65"/>
      <c r="R1489" s="65" t="s">
        <v>232</v>
      </c>
      <c r="S1489" s="66" t="n">
        <f aca="false">Model_Calc!AL252</f>
        <v>15297.6837464031</v>
      </c>
      <c r="T1489" s="66" t="n">
        <f aca="false">ROUND(S1489-O1489,4)</f>
        <v>0</v>
      </c>
    </row>
    <row r="1490" customFormat="false" ht="15" hidden="false" customHeight="false" outlineLevel="0" collapsed="false">
      <c r="A1490" s="18" t="s">
        <v>206</v>
      </c>
      <c r="B1490" s="18" t="s">
        <v>207</v>
      </c>
      <c r="C1490" s="18" t="s">
        <v>208</v>
      </c>
      <c r="D1490" s="49" t="n">
        <v>46266</v>
      </c>
      <c r="E1490" s="18" t="s">
        <v>124</v>
      </c>
      <c r="F1490" s="18" t="s">
        <v>119</v>
      </c>
      <c r="G1490" s="18" t="s">
        <v>100</v>
      </c>
      <c r="H1490" s="18" t="s">
        <v>107</v>
      </c>
      <c r="I1490" s="18" t="s">
        <v>125</v>
      </c>
      <c r="J1490" s="18" t="s">
        <v>237</v>
      </c>
      <c r="K1490" s="18" t="s">
        <v>195</v>
      </c>
      <c r="L1490" s="64" t="n">
        <v>726.03107136</v>
      </c>
      <c r="M1490" s="64" t="n">
        <v>7.92</v>
      </c>
      <c r="N1490" s="18" t="s">
        <v>1441</v>
      </c>
      <c r="O1490" s="65" t="n">
        <v>5750.1661</v>
      </c>
      <c r="P1490" s="65"/>
      <c r="Q1490" s="65"/>
      <c r="R1490" s="65" t="s">
        <v>232</v>
      </c>
      <c r="S1490" s="66" t="n">
        <f aca="false">Model_Calc!AQ252</f>
        <v>5750.1660851712</v>
      </c>
      <c r="T1490" s="66" t="n">
        <f aca="false">ROUND(S1490-O1490,4)</f>
        <v>0</v>
      </c>
    </row>
    <row r="1491" customFormat="false" ht="15" hidden="false" customHeight="false" outlineLevel="0" collapsed="false">
      <c r="A1491" s="18" t="s">
        <v>206</v>
      </c>
      <c r="B1491" s="18" t="s">
        <v>207</v>
      </c>
      <c r="C1491" s="18" t="s">
        <v>208</v>
      </c>
      <c r="D1491" s="49" t="n">
        <v>46266</v>
      </c>
      <c r="E1491" s="18" t="s">
        <v>124</v>
      </c>
      <c r="F1491" s="18" t="s">
        <v>119</v>
      </c>
      <c r="G1491" s="18" t="s">
        <v>100</v>
      </c>
      <c r="H1491" s="18" t="s">
        <v>107</v>
      </c>
      <c r="I1491" s="18" t="s">
        <v>125</v>
      </c>
      <c r="J1491" s="18" t="s">
        <v>239</v>
      </c>
      <c r="K1491" s="18" t="s">
        <v>199</v>
      </c>
      <c r="L1491" s="64" t="n">
        <v>662.4052992</v>
      </c>
      <c r="M1491" s="64" t="n">
        <v>9.15</v>
      </c>
      <c r="N1491" s="18" t="s">
        <v>1442</v>
      </c>
      <c r="O1491" s="65" t="n">
        <v>6061.0085</v>
      </c>
      <c r="P1491" s="65"/>
      <c r="Q1491" s="65"/>
      <c r="R1491" s="65" t="s">
        <v>232</v>
      </c>
      <c r="S1491" s="66" t="n">
        <f aca="false">Model_Calc!AV252</f>
        <v>6061.00848768</v>
      </c>
      <c r="T1491" s="66" t="n">
        <f aca="false">ROUND(S1491-O1491,4)</f>
        <v>0</v>
      </c>
    </row>
    <row r="1492" customFormat="false" ht="15" hidden="false" customHeight="false" outlineLevel="0" collapsed="false">
      <c r="A1492" s="18" t="s">
        <v>206</v>
      </c>
      <c r="B1492" s="18" t="s">
        <v>207</v>
      </c>
      <c r="C1492" s="18" t="s">
        <v>208</v>
      </c>
      <c r="D1492" s="49" t="n">
        <v>46266</v>
      </c>
      <c r="E1492" s="18" t="s">
        <v>124</v>
      </c>
      <c r="F1492" s="18" t="s">
        <v>119</v>
      </c>
      <c r="G1492" s="18" t="s">
        <v>100</v>
      </c>
      <c r="H1492" s="18" t="s">
        <v>107</v>
      </c>
      <c r="I1492" s="18" t="s">
        <v>125</v>
      </c>
      <c r="J1492" s="18" t="s">
        <v>241</v>
      </c>
      <c r="K1492" s="18" t="s">
        <v>199</v>
      </c>
      <c r="L1492" s="64" t="n">
        <v>77.4433142784</v>
      </c>
      <c r="M1492" s="64" t="n">
        <v>9.15</v>
      </c>
      <c r="N1492" s="18" t="s">
        <v>1443</v>
      </c>
      <c r="O1492" s="65" t="n">
        <v>708.6063</v>
      </c>
      <c r="P1492" s="65"/>
      <c r="Q1492" s="65"/>
      <c r="R1492" s="65" t="s">
        <v>232</v>
      </c>
      <c r="S1492" s="66" t="n">
        <f aca="false">Model_Calc!BA252</f>
        <v>708.60632564736</v>
      </c>
      <c r="T1492" s="66" t="n">
        <f aca="false">ROUND(S1492-O1492,4)</f>
        <v>0</v>
      </c>
    </row>
    <row r="1493" customFormat="false" ht="15" hidden="false" customHeight="false" outlineLevel="0" collapsed="false">
      <c r="A1493" s="18" t="s">
        <v>206</v>
      </c>
      <c r="B1493" s="18" t="s">
        <v>207</v>
      </c>
      <c r="C1493" s="18" t="s">
        <v>208</v>
      </c>
      <c r="D1493" s="49" t="n">
        <v>46266</v>
      </c>
      <c r="E1493" s="18" t="s">
        <v>127</v>
      </c>
      <c r="F1493" s="18" t="s">
        <v>119</v>
      </c>
      <c r="G1493" s="18" t="s">
        <v>100</v>
      </c>
      <c r="H1493" s="18" t="s">
        <v>128</v>
      </c>
      <c r="I1493" s="18" t="s">
        <v>125</v>
      </c>
      <c r="J1493" s="18" t="s">
        <v>230</v>
      </c>
      <c r="K1493" s="18" t="s">
        <v>199</v>
      </c>
      <c r="L1493" s="64" t="n">
        <v>14443.7202161215</v>
      </c>
      <c r="M1493" s="64" t="n">
        <v>9.15</v>
      </c>
      <c r="N1493" s="18" t="s">
        <v>1444</v>
      </c>
      <c r="O1493" s="65" t="n">
        <v>132160.04</v>
      </c>
      <c r="P1493" s="65"/>
      <c r="Q1493" s="65"/>
      <c r="R1493" s="65" t="s">
        <v>232</v>
      </c>
      <c r="S1493" s="66" t="n">
        <f aca="false">Model_Calc!AF253</f>
        <v>132160.039977512</v>
      </c>
      <c r="T1493" s="66" t="n">
        <f aca="false">ROUND(S1493-O1493,4)</f>
        <v>0</v>
      </c>
    </row>
    <row r="1494" customFormat="false" ht="15" hidden="false" customHeight="false" outlineLevel="0" collapsed="false">
      <c r="A1494" s="18" t="s">
        <v>206</v>
      </c>
      <c r="B1494" s="18" t="s">
        <v>207</v>
      </c>
      <c r="C1494" s="18" t="s">
        <v>208</v>
      </c>
      <c r="D1494" s="49" t="n">
        <v>46266</v>
      </c>
      <c r="E1494" s="18" t="s">
        <v>127</v>
      </c>
      <c r="F1494" s="18" t="s">
        <v>119</v>
      </c>
      <c r="G1494" s="18" t="s">
        <v>100</v>
      </c>
      <c r="H1494" s="18" t="s">
        <v>128</v>
      </c>
      <c r="I1494" s="18" t="s">
        <v>125</v>
      </c>
      <c r="J1494" s="18" t="s">
        <v>233</v>
      </c>
      <c r="K1494" s="18" t="s">
        <v>199</v>
      </c>
      <c r="L1494" s="64" t="n">
        <v>1116.98103004673</v>
      </c>
      <c r="M1494" s="64" t="n">
        <v>9.15</v>
      </c>
      <c r="N1494" s="18" t="s">
        <v>1445</v>
      </c>
      <c r="O1494" s="65" t="n">
        <v>10220.3764</v>
      </c>
      <c r="P1494" s="65"/>
      <c r="Q1494" s="65"/>
      <c r="R1494" s="65" t="s">
        <v>232</v>
      </c>
      <c r="S1494" s="66" t="n">
        <f aca="false">Model_Calc!AG253</f>
        <v>10220.3764249276</v>
      </c>
      <c r="T1494" s="66" t="n">
        <f aca="false">ROUND(S1494-O1494,4)</f>
        <v>0</v>
      </c>
    </row>
    <row r="1495" customFormat="false" ht="15" hidden="false" customHeight="false" outlineLevel="0" collapsed="false">
      <c r="A1495" s="18" t="s">
        <v>206</v>
      </c>
      <c r="B1495" s="18" t="s">
        <v>207</v>
      </c>
      <c r="C1495" s="18" t="s">
        <v>208</v>
      </c>
      <c r="D1495" s="49" t="n">
        <v>46266</v>
      </c>
      <c r="E1495" s="18" t="s">
        <v>127</v>
      </c>
      <c r="F1495" s="18" t="s">
        <v>119</v>
      </c>
      <c r="G1495" s="18" t="s">
        <v>100</v>
      </c>
      <c r="H1495" s="18" t="s">
        <v>128</v>
      </c>
      <c r="I1495" s="18" t="s">
        <v>125</v>
      </c>
      <c r="J1495" s="18" t="s">
        <v>235</v>
      </c>
      <c r="K1495" s="18" t="s">
        <v>195</v>
      </c>
      <c r="L1495" s="64" t="n">
        <v>2163.30881262266</v>
      </c>
      <c r="M1495" s="64" t="n">
        <v>7.92</v>
      </c>
      <c r="N1495" s="18" t="s">
        <v>1446</v>
      </c>
      <c r="O1495" s="65" t="n">
        <v>17133.4058</v>
      </c>
      <c r="P1495" s="65"/>
      <c r="Q1495" s="65"/>
      <c r="R1495" s="65" t="s">
        <v>232</v>
      </c>
      <c r="S1495" s="66" t="n">
        <f aca="false">Model_Calc!AL253</f>
        <v>17133.4057959715</v>
      </c>
      <c r="T1495" s="66" t="n">
        <f aca="false">ROUND(S1495-O1495,4)</f>
        <v>0</v>
      </c>
    </row>
    <row r="1496" customFormat="false" ht="15" hidden="false" customHeight="false" outlineLevel="0" collapsed="false">
      <c r="A1496" s="18" t="s">
        <v>206</v>
      </c>
      <c r="B1496" s="18" t="s">
        <v>207</v>
      </c>
      <c r="C1496" s="18" t="s">
        <v>208</v>
      </c>
      <c r="D1496" s="49" t="n">
        <v>46266</v>
      </c>
      <c r="E1496" s="18" t="s">
        <v>127</v>
      </c>
      <c r="F1496" s="18" t="s">
        <v>119</v>
      </c>
      <c r="G1496" s="18" t="s">
        <v>100</v>
      </c>
      <c r="H1496" s="18" t="s">
        <v>128</v>
      </c>
      <c r="I1496" s="18" t="s">
        <v>125</v>
      </c>
      <c r="J1496" s="18" t="s">
        <v>237</v>
      </c>
      <c r="K1496" s="18" t="s">
        <v>195</v>
      </c>
      <c r="L1496" s="64" t="n">
        <v>813.1547999232</v>
      </c>
      <c r="M1496" s="64" t="n">
        <v>7.92</v>
      </c>
      <c r="N1496" s="18" t="s">
        <v>1447</v>
      </c>
      <c r="O1496" s="65" t="n">
        <v>6440.186</v>
      </c>
      <c r="P1496" s="65"/>
      <c r="Q1496" s="65"/>
      <c r="R1496" s="65" t="s">
        <v>232</v>
      </c>
      <c r="S1496" s="66" t="n">
        <f aca="false">Model_Calc!AQ253</f>
        <v>6440.18601539174</v>
      </c>
      <c r="T1496" s="66" t="n">
        <f aca="false">ROUND(S1496-O1496,4)</f>
        <v>0</v>
      </c>
    </row>
    <row r="1497" customFormat="false" ht="15" hidden="false" customHeight="false" outlineLevel="0" collapsed="false">
      <c r="A1497" s="18" t="s">
        <v>206</v>
      </c>
      <c r="B1497" s="18" t="s">
        <v>207</v>
      </c>
      <c r="C1497" s="18" t="s">
        <v>208</v>
      </c>
      <c r="D1497" s="49" t="n">
        <v>46266</v>
      </c>
      <c r="E1497" s="18" t="s">
        <v>127</v>
      </c>
      <c r="F1497" s="18" t="s">
        <v>119</v>
      </c>
      <c r="G1497" s="18" t="s">
        <v>100</v>
      </c>
      <c r="H1497" s="18" t="s">
        <v>128</v>
      </c>
      <c r="I1497" s="18" t="s">
        <v>125</v>
      </c>
      <c r="J1497" s="18" t="s">
        <v>239</v>
      </c>
      <c r="K1497" s="18" t="s">
        <v>199</v>
      </c>
      <c r="L1497" s="64" t="n">
        <v>741.893935104</v>
      </c>
      <c r="M1497" s="64" t="n">
        <v>9.15</v>
      </c>
      <c r="N1497" s="18" t="s">
        <v>1448</v>
      </c>
      <c r="O1497" s="65" t="n">
        <v>6788.3295</v>
      </c>
      <c r="P1497" s="65"/>
      <c r="Q1497" s="65"/>
      <c r="R1497" s="65" t="s">
        <v>232</v>
      </c>
      <c r="S1497" s="66" t="n">
        <f aca="false">Model_Calc!AV253</f>
        <v>6788.3295062016</v>
      </c>
      <c r="T1497" s="66" t="n">
        <f aca="false">ROUND(S1497-O1497,4)</f>
        <v>0</v>
      </c>
    </row>
    <row r="1498" customFormat="false" ht="15" hidden="false" customHeight="false" outlineLevel="0" collapsed="false">
      <c r="A1498" s="18" t="s">
        <v>206</v>
      </c>
      <c r="B1498" s="18" t="s">
        <v>207</v>
      </c>
      <c r="C1498" s="18" t="s">
        <v>208</v>
      </c>
      <c r="D1498" s="49" t="n">
        <v>46266</v>
      </c>
      <c r="E1498" s="18" t="s">
        <v>127</v>
      </c>
      <c r="F1498" s="18" t="s">
        <v>119</v>
      </c>
      <c r="G1498" s="18" t="s">
        <v>100</v>
      </c>
      <c r="H1498" s="18" t="s">
        <v>128</v>
      </c>
      <c r="I1498" s="18" t="s">
        <v>125</v>
      </c>
      <c r="J1498" s="18" t="s">
        <v>241</v>
      </c>
      <c r="K1498" s="18" t="s">
        <v>199</v>
      </c>
      <c r="L1498" s="64" t="n">
        <v>76.668881135616</v>
      </c>
      <c r="M1498" s="64" t="n">
        <v>9.15</v>
      </c>
      <c r="N1498" s="18" t="s">
        <v>1449</v>
      </c>
      <c r="O1498" s="65" t="n">
        <v>701.5203</v>
      </c>
      <c r="P1498" s="65"/>
      <c r="Q1498" s="65"/>
      <c r="R1498" s="65" t="s">
        <v>232</v>
      </c>
      <c r="S1498" s="66" t="n">
        <f aca="false">Model_Calc!BA253</f>
        <v>701.520262390886</v>
      </c>
      <c r="T1498" s="66" t="n">
        <f aca="false">ROUND(S1498-O1498,4)</f>
        <v>0</v>
      </c>
    </row>
    <row r="1499" customFormat="false" ht="15" hidden="false" customHeight="false" outlineLevel="0" collapsed="false">
      <c r="A1499" s="18" t="s">
        <v>206</v>
      </c>
      <c r="B1499" s="18" t="s">
        <v>207</v>
      </c>
      <c r="C1499" s="18" t="s">
        <v>208</v>
      </c>
      <c r="D1499" s="49" t="n">
        <v>46266</v>
      </c>
      <c r="E1499" s="18" t="s">
        <v>130</v>
      </c>
      <c r="F1499" s="18" t="s">
        <v>119</v>
      </c>
      <c r="G1499" s="18" t="s">
        <v>110</v>
      </c>
      <c r="H1499" s="18" t="s">
        <v>107</v>
      </c>
      <c r="I1499" s="18" t="s">
        <v>125</v>
      </c>
      <c r="J1499" s="18" t="s">
        <v>230</v>
      </c>
      <c r="K1499" s="18" t="s">
        <v>195</v>
      </c>
      <c r="L1499" s="64" t="n">
        <v>1742.2523168544</v>
      </c>
      <c r="M1499" s="64" t="n">
        <v>7.92</v>
      </c>
      <c r="N1499" s="18" t="s">
        <v>1450</v>
      </c>
      <c r="O1499" s="65" t="n">
        <v>13798.6383</v>
      </c>
      <c r="P1499" s="65"/>
      <c r="Q1499" s="65"/>
      <c r="R1499" s="65" t="s">
        <v>232</v>
      </c>
      <c r="S1499" s="66" t="n">
        <f aca="false">Model_Calc!AF254</f>
        <v>13798.6383494868</v>
      </c>
      <c r="T1499" s="66" t="n">
        <f aca="false">ROUND(S1499-O1499,4)</f>
        <v>0</v>
      </c>
    </row>
    <row r="1500" customFormat="false" ht="15" hidden="false" customHeight="false" outlineLevel="0" collapsed="false">
      <c r="A1500" s="18" t="s">
        <v>206</v>
      </c>
      <c r="B1500" s="18" t="s">
        <v>207</v>
      </c>
      <c r="C1500" s="18" t="s">
        <v>208</v>
      </c>
      <c r="D1500" s="49" t="n">
        <v>46266</v>
      </c>
      <c r="E1500" s="18" t="s">
        <v>130</v>
      </c>
      <c r="F1500" s="18" t="s">
        <v>119</v>
      </c>
      <c r="G1500" s="18" t="s">
        <v>110</v>
      </c>
      <c r="H1500" s="18" t="s">
        <v>107</v>
      </c>
      <c r="I1500" s="18" t="s">
        <v>125</v>
      </c>
      <c r="J1500" s="18" t="s">
        <v>233</v>
      </c>
      <c r="K1500" s="18" t="s">
        <v>195</v>
      </c>
      <c r="L1500" s="64" t="n">
        <v>189.339270534152</v>
      </c>
      <c r="M1500" s="64" t="n">
        <v>7.92</v>
      </c>
      <c r="N1500" s="18" t="s">
        <v>1451</v>
      </c>
      <c r="O1500" s="65" t="n">
        <v>1499.567</v>
      </c>
      <c r="P1500" s="65"/>
      <c r="Q1500" s="65"/>
      <c r="R1500" s="65" t="s">
        <v>232</v>
      </c>
      <c r="S1500" s="66" t="n">
        <f aca="false">Model_Calc!AG254</f>
        <v>1499.56702263048</v>
      </c>
      <c r="T1500" s="66" t="n">
        <f aca="false">ROUND(S1500-O1500,4)</f>
        <v>0</v>
      </c>
    </row>
    <row r="1501" customFormat="false" ht="15" hidden="false" customHeight="false" outlineLevel="0" collapsed="false">
      <c r="A1501" s="18" t="s">
        <v>206</v>
      </c>
      <c r="B1501" s="18" t="s">
        <v>207</v>
      </c>
      <c r="C1501" s="18" t="s">
        <v>208</v>
      </c>
      <c r="D1501" s="49" t="n">
        <v>46266</v>
      </c>
      <c r="E1501" s="18" t="s">
        <v>130</v>
      </c>
      <c r="F1501" s="18" t="s">
        <v>119</v>
      </c>
      <c r="G1501" s="18" t="s">
        <v>110</v>
      </c>
      <c r="H1501" s="18" t="s">
        <v>107</v>
      </c>
      <c r="I1501" s="18" t="s">
        <v>125</v>
      </c>
      <c r="J1501" s="18" t="s">
        <v>235</v>
      </c>
      <c r="K1501" s="18" t="s">
        <v>195</v>
      </c>
      <c r="L1501" s="64" t="n">
        <v>254.21256</v>
      </c>
      <c r="M1501" s="64" t="n">
        <v>7.92</v>
      </c>
      <c r="N1501" s="18" t="s">
        <v>1452</v>
      </c>
      <c r="O1501" s="65" t="n">
        <v>2013.3635</v>
      </c>
      <c r="P1501" s="65"/>
      <c r="Q1501" s="65"/>
      <c r="R1501" s="65" t="s">
        <v>232</v>
      </c>
      <c r="S1501" s="66" t="n">
        <f aca="false">Model_Calc!AL254</f>
        <v>2013.3634752</v>
      </c>
      <c r="T1501" s="66" t="n">
        <f aca="false">ROUND(S1501-O1501,4)</f>
        <v>0</v>
      </c>
    </row>
    <row r="1502" customFormat="false" ht="15" hidden="false" customHeight="false" outlineLevel="0" collapsed="false">
      <c r="A1502" s="18" t="s">
        <v>206</v>
      </c>
      <c r="B1502" s="18" t="s">
        <v>207</v>
      </c>
      <c r="C1502" s="18" t="s">
        <v>208</v>
      </c>
      <c r="D1502" s="49" t="n">
        <v>46266</v>
      </c>
      <c r="E1502" s="18" t="s">
        <v>130</v>
      </c>
      <c r="F1502" s="18" t="s">
        <v>119</v>
      </c>
      <c r="G1502" s="18" t="s">
        <v>110</v>
      </c>
      <c r="H1502" s="18" t="s">
        <v>107</v>
      </c>
      <c r="I1502" s="18" t="s">
        <v>125</v>
      </c>
      <c r="J1502" s="18" t="s">
        <v>237</v>
      </c>
      <c r="K1502" s="18" t="s">
        <v>195</v>
      </c>
      <c r="L1502" s="64" t="n">
        <v>107.64086112</v>
      </c>
      <c r="M1502" s="64" t="n">
        <v>7.92</v>
      </c>
      <c r="N1502" s="18" t="s">
        <v>1453</v>
      </c>
      <c r="O1502" s="65" t="n">
        <v>852.5156</v>
      </c>
      <c r="P1502" s="65"/>
      <c r="Q1502" s="65"/>
      <c r="R1502" s="65" t="s">
        <v>232</v>
      </c>
      <c r="S1502" s="66" t="n">
        <f aca="false">Model_Calc!AQ254</f>
        <v>852.5156200704</v>
      </c>
      <c r="T1502" s="66" t="n">
        <f aca="false">ROUND(S1502-O1502,4)</f>
        <v>0</v>
      </c>
    </row>
    <row r="1503" customFormat="false" ht="15" hidden="false" customHeight="false" outlineLevel="0" collapsed="false">
      <c r="A1503" s="18" t="s">
        <v>206</v>
      </c>
      <c r="B1503" s="18" t="s">
        <v>207</v>
      </c>
      <c r="C1503" s="18" t="s">
        <v>208</v>
      </c>
      <c r="D1503" s="49" t="n">
        <v>46266</v>
      </c>
      <c r="E1503" s="18" t="s">
        <v>130</v>
      </c>
      <c r="F1503" s="18" t="s">
        <v>119</v>
      </c>
      <c r="G1503" s="18" t="s">
        <v>110</v>
      </c>
      <c r="H1503" s="18" t="s">
        <v>107</v>
      </c>
      <c r="I1503" s="18" t="s">
        <v>125</v>
      </c>
      <c r="J1503" s="18" t="s">
        <v>239</v>
      </c>
      <c r="K1503" s="18" t="s">
        <v>195</v>
      </c>
      <c r="L1503" s="64" t="n">
        <v>119.6009568</v>
      </c>
      <c r="M1503" s="64" t="n">
        <v>7.92</v>
      </c>
      <c r="N1503" s="18" t="s">
        <v>1454</v>
      </c>
      <c r="O1503" s="65" t="n">
        <v>947.2396</v>
      </c>
      <c r="P1503" s="65"/>
      <c r="Q1503" s="65"/>
      <c r="R1503" s="65" t="s">
        <v>232</v>
      </c>
      <c r="S1503" s="66" t="n">
        <f aca="false">Model_Calc!AV254</f>
        <v>947.239577856</v>
      </c>
      <c r="T1503" s="66" t="n">
        <f aca="false">ROUND(S1503-O1503,4)</f>
        <v>0</v>
      </c>
    </row>
    <row r="1504" customFormat="false" ht="15" hidden="false" customHeight="false" outlineLevel="0" collapsed="false">
      <c r="A1504" s="18" t="s">
        <v>206</v>
      </c>
      <c r="B1504" s="18" t="s">
        <v>207</v>
      </c>
      <c r="C1504" s="18" t="s">
        <v>208</v>
      </c>
      <c r="D1504" s="49" t="n">
        <v>46266</v>
      </c>
      <c r="E1504" s="18" t="s">
        <v>130</v>
      </c>
      <c r="F1504" s="18" t="s">
        <v>119</v>
      </c>
      <c r="G1504" s="18" t="s">
        <v>110</v>
      </c>
      <c r="H1504" s="18" t="s">
        <v>107</v>
      </c>
      <c r="I1504" s="18" t="s">
        <v>125</v>
      </c>
      <c r="J1504" s="18" t="s">
        <v>241</v>
      </c>
      <c r="K1504" s="18" t="s">
        <v>195</v>
      </c>
      <c r="L1504" s="64" t="n">
        <v>11.1040046208</v>
      </c>
      <c r="M1504" s="64" t="n">
        <v>7.92</v>
      </c>
      <c r="N1504" s="18" t="s">
        <v>1455</v>
      </c>
      <c r="O1504" s="65" t="n">
        <v>87.9437</v>
      </c>
      <c r="P1504" s="65"/>
      <c r="Q1504" s="65"/>
      <c r="R1504" s="65" t="s">
        <v>232</v>
      </c>
      <c r="S1504" s="66" t="n">
        <f aca="false">Model_Calc!BA254</f>
        <v>87.943716596736</v>
      </c>
      <c r="T1504" s="66" t="n">
        <f aca="false">ROUND(S1504-O1504,4)</f>
        <v>0</v>
      </c>
    </row>
    <row r="1505" customFormat="false" ht="15" hidden="false" customHeight="false" outlineLevel="0" collapsed="false">
      <c r="A1505" s="18" t="s">
        <v>206</v>
      </c>
      <c r="B1505" s="18" t="s">
        <v>207</v>
      </c>
      <c r="C1505" s="18" t="s">
        <v>208</v>
      </c>
      <c r="D1505" s="49" t="n">
        <v>46296</v>
      </c>
      <c r="E1505" s="18" t="s">
        <v>98</v>
      </c>
      <c r="F1505" s="18" t="s">
        <v>99</v>
      </c>
      <c r="G1505" s="18" t="s">
        <v>100</v>
      </c>
      <c r="H1505" s="18" t="s">
        <v>101</v>
      </c>
      <c r="I1505" s="18" t="s">
        <v>102</v>
      </c>
      <c r="J1505" s="18" t="s">
        <v>230</v>
      </c>
      <c r="K1505" s="18" t="s">
        <v>195</v>
      </c>
      <c r="L1505" s="64" t="n">
        <v>7267.8309862158</v>
      </c>
      <c r="M1505" s="64" t="n">
        <v>7.9</v>
      </c>
      <c r="N1505" s="18" t="s">
        <v>1456</v>
      </c>
      <c r="O1505" s="65" t="n">
        <v>57415.8648</v>
      </c>
      <c r="P1505" s="65"/>
      <c r="Q1505" s="65"/>
      <c r="R1505" s="65" t="s">
        <v>232</v>
      </c>
      <c r="S1505" s="66" t="n">
        <f aca="false">Model_Calc!AF255</f>
        <v>57415.8647911048</v>
      </c>
      <c r="T1505" s="66" t="n">
        <f aca="false">ROUND(S1505-O1505,4)</f>
        <v>0</v>
      </c>
    </row>
    <row r="1506" customFormat="false" ht="15" hidden="false" customHeight="false" outlineLevel="0" collapsed="false">
      <c r="A1506" s="18" t="s">
        <v>206</v>
      </c>
      <c r="B1506" s="18" t="s">
        <v>207</v>
      </c>
      <c r="C1506" s="18" t="s">
        <v>208</v>
      </c>
      <c r="D1506" s="49" t="n">
        <v>46296</v>
      </c>
      <c r="E1506" s="18" t="s">
        <v>98</v>
      </c>
      <c r="F1506" s="18" t="s">
        <v>99</v>
      </c>
      <c r="G1506" s="18" t="s">
        <v>100</v>
      </c>
      <c r="H1506" s="18" t="s">
        <v>101</v>
      </c>
      <c r="I1506" s="18" t="s">
        <v>102</v>
      </c>
      <c r="J1506" s="18" t="s">
        <v>233</v>
      </c>
      <c r="K1506" s="18" t="s">
        <v>195</v>
      </c>
      <c r="L1506" s="64" t="n">
        <v>714.609481719669</v>
      </c>
      <c r="M1506" s="64" t="n">
        <v>7.9</v>
      </c>
      <c r="N1506" s="18" t="s">
        <v>1457</v>
      </c>
      <c r="O1506" s="65" t="n">
        <v>5645.4149</v>
      </c>
      <c r="P1506" s="65"/>
      <c r="Q1506" s="65"/>
      <c r="R1506" s="65" t="s">
        <v>232</v>
      </c>
      <c r="S1506" s="66" t="n">
        <f aca="false">Model_Calc!AG255</f>
        <v>5645.41490558538</v>
      </c>
      <c r="T1506" s="66" t="n">
        <f aca="false">ROUND(S1506-O1506,4)</f>
        <v>0</v>
      </c>
    </row>
    <row r="1507" customFormat="false" ht="15" hidden="false" customHeight="false" outlineLevel="0" collapsed="false">
      <c r="A1507" s="18" t="s">
        <v>206</v>
      </c>
      <c r="B1507" s="18" t="s">
        <v>207</v>
      </c>
      <c r="C1507" s="18" t="s">
        <v>208</v>
      </c>
      <c r="D1507" s="49" t="n">
        <v>46296</v>
      </c>
      <c r="E1507" s="18" t="s">
        <v>98</v>
      </c>
      <c r="F1507" s="18" t="s">
        <v>99</v>
      </c>
      <c r="G1507" s="18" t="s">
        <v>100</v>
      </c>
      <c r="H1507" s="18" t="s">
        <v>101</v>
      </c>
      <c r="I1507" s="18" t="s">
        <v>102</v>
      </c>
      <c r="J1507" s="18" t="s">
        <v>235</v>
      </c>
      <c r="K1507" s="18" t="s">
        <v>195</v>
      </c>
      <c r="L1507" s="64" t="n">
        <v>5239.94894393426</v>
      </c>
      <c r="M1507" s="64" t="n">
        <v>7.9</v>
      </c>
      <c r="N1507" s="18" t="s">
        <v>1458</v>
      </c>
      <c r="O1507" s="65" t="n">
        <v>41395.5967</v>
      </c>
      <c r="P1507" s="65"/>
      <c r="Q1507" s="65"/>
      <c r="R1507" s="65" t="s">
        <v>232</v>
      </c>
      <c r="S1507" s="66" t="n">
        <f aca="false">Model_Calc!AL255</f>
        <v>41395.5966570807</v>
      </c>
      <c r="T1507" s="66" t="n">
        <f aca="false">ROUND(S1507-O1507,4)</f>
        <v>0</v>
      </c>
    </row>
    <row r="1508" customFormat="false" ht="15" hidden="false" customHeight="false" outlineLevel="0" collapsed="false">
      <c r="A1508" s="18" t="s">
        <v>206</v>
      </c>
      <c r="B1508" s="18" t="s">
        <v>207</v>
      </c>
      <c r="C1508" s="18" t="s">
        <v>208</v>
      </c>
      <c r="D1508" s="49" t="n">
        <v>46296</v>
      </c>
      <c r="E1508" s="18" t="s">
        <v>98</v>
      </c>
      <c r="F1508" s="18" t="s">
        <v>99</v>
      </c>
      <c r="G1508" s="18" t="s">
        <v>100</v>
      </c>
      <c r="H1508" s="18" t="s">
        <v>101</v>
      </c>
      <c r="I1508" s="18" t="s">
        <v>102</v>
      </c>
      <c r="J1508" s="18" t="s">
        <v>237</v>
      </c>
      <c r="K1508" s="18" t="s">
        <v>195</v>
      </c>
      <c r="L1508" s="64" t="n">
        <v>1761.2274771</v>
      </c>
      <c r="M1508" s="64" t="n">
        <v>7.9</v>
      </c>
      <c r="N1508" s="18" t="s">
        <v>1459</v>
      </c>
      <c r="O1508" s="65" t="n">
        <v>13913.6971</v>
      </c>
      <c r="P1508" s="65"/>
      <c r="Q1508" s="65"/>
      <c r="R1508" s="65" t="s">
        <v>232</v>
      </c>
      <c r="S1508" s="66" t="n">
        <f aca="false">Model_Calc!AQ255</f>
        <v>13913.69706909</v>
      </c>
      <c r="T1508" s="66" t="n">
        <f aca="false">ROUND(S1508-O1508,4)</f>
        <v>0</v>
      </c>
    </row>
    <row r="1509" customFormat="false" ht="15" hidden="false" customHeight="false" outlineLevel="0" collapsed="false">
      <c r="A1509" s="18" t="s">
        <v>206</v>
      </c>
      <c r="B1509" s="18" t="s">
        <v>207</v>
      </c>
      <c r="C1509" s="18" t="s">
        <v>208</v>
      </c>
      <c r="D1509" s="49" t="n">
        <v>46296</v>
      </c>
      <c r="E1509" s="18" t="s">
        <v>98</v>
      </c>
      <c r="F1509" s="18" t="s">
        <v>99</v>
      </c>
      <c r="G1509" s="18" t="s">
        <v>100</v>
      </c>
      <c r="H1509" s="18" t="s">
        <v>101</v>
      </c>
      <c r="I1509" s="18" t="s">
        <v>102</v>
      </c>
      <c r="J1509" s="18" t="s">
        <v>239</v>
      </c>
      <c r="K1509" s="18" t="s">
        <v>195</v>
      </c>
      <c r="L1509" s="64" t="n">
        <v>638.994096</v>
      </c>
      <c r="M1509" s="64" t="n">
        <v>7.9</v>
      </c>
      <c r="N1509" s="18" t="s">
        <v>1460</v>
      </c>
      <c r="O1509" s="65" t="n">
        <v>5048.0534</v>
      </c>
      <c r="P1509" s="65"/>
      <c r="Q1509" s="65"/>
      <c r="R1509" s="65" t="s">
        <v>232</v>
      </c>
      <c r="S1509" s="66" t="n">
        <f aca="false">Model_Calc!AV255</f>
        <v>5048.0533584</v>
      </c>
      <c r="T1509" s="66" t="n">
        <f aca="false">ROUND(S1509-O1509,4)</f>
        <v>0</v>
      </c>
    </row>
    <row r="1510" customFormat="false" ht="15" hidden="false" customHeight="false" outlineLevel="0" collapsed="false">
      <c r="A1510" s="18" t="s">
        <v>206</v>
      </c>
      <c r="B1510" s="18" t="s">
        <v>207</v>
      </c>
      <c r="C1510" s="18" t="s">
        <v>208</v>
      </c>
      <c r="D1510" s="49" t="n">
        <v>46296</v>
      </c>
      <c r="E1510" s="18" t="s">
        <v>98</v>
      </c>
      <c r="F1510" s="18" t="s">
        <v>99</v>
      </c>
      <c r="G1510" s="18" t="s">
        <v>100</v>
      </c>
      <c r="H1510" s="18" t="s">
        <v>101</v>
      </c>
      <c r="I1510" s="18" t="s">
        <v>102</v>
      </c>
      <c r="J1510" s="18" t="s">
        <v>241</v>
      </c>
      <c r="K1510" s="18" t="s">
        <v>195</v>
      </c>
      <c r="L1510" s="64" t="n">
        <v>154.317074184</v>
      </c>
      <c r="M1510" s="64" t="n">
        <v>7.9</v>
      </c>
      <c r="N1510" s="18" t="s">
        <v>1461</v>
      </c>
      <c r="O1510" s="65" t="n">
        <v>1219.1049</v>
      </c>
      <c r="P1510" s="65"/>
      <c r="Q1510" s="65"/>
      <c r="R1510" s="65" t="s">
        <v>232</v>
      </c>
      <c r="S1510" s="66" t="n">
        <f aca="false">Model_Calc!BA255</f>
        <v>1219.1048860536</v>
      </c>
      <c r="T1510" s="66" t="n">
        <f aca="false">ROUND(S1510-O1510,4)</f>
        <v>0</v>
      </c>
    </row>
    <row r="1511" customFormat="false" ht="15" hidden="false" customHeight="false" outlineLevel="0" collapsed="false">
      <c r="A1511" s="18" t="s">
        <v>206</v>
      </c>
      <c r="B1511" s="18" t="s">
        <v>207</v>
      </c>
      <c r="C1511" s="18" t="s">
        <v>208</v>
      </c>
      <c r="D1511" s="49" t="n">
        <v>46296</v>
      </c>
      <c r="E1511" s="18" t="s">
        <v>106</v>
      </c>
      <c r="F1511" s="18" t="s">
        <v>99</v>
      </c>
      <c r="G1511" s="18" t="s">
        <v>100</v>
      </c>
      <c r="H1511" s="18" t="s">
        <v>107</v>
      </c>
      <c r="I1511" s="18" t="s">
        <v>102</v>
      </c>
      <c r="J1511" s="18" t="s">
        <v>230</v>
      </c>
      <c r="K1511" s="18" t="s">
        <v>195</v>
      </c>
      <c r="L1511" s="64" t="n">
        <v>6211.82135574</v>
      </c>
      <c r="M1511" s="64" t="n">
        <v>7.9</v>
      </c>
      <c r="N1511" s="18" t="s">
        <v>1462</v>
      </c>
      <c r="O1511" s="65" t="n">
        <v>49073.3887</v>
      </c>
      <c r="P1511" s="65"/>
      <c r="Q1511" s="65"/>
      <c r="R1511" s="65" t="s">
        <v>232</v>
      </c>
      <c r="S1511" s="66" t="n">
        <f aca="false">Model_Calc!AF256</f>
        <v>49073.388710346</v>
      </c>
      <c r="T1511" s="66" t="n">
        <f aca="false">ROUND(S1511-O1511,4)</f>
        <v>0</v>
      </c>
    </row>
    <row r="1512" customFormat="false" ht="15" hidden="false" customHeight="false" outlineLevel="0" collapsed="false">
      <c r="A1512" s="18" t="s">
        <v>206</v>
      </c>
      <c r="B1512" s="18" t="s">
        <v>207</v>
      </c>
      <c r="C1512" s="18" t="s">
        <v>208</v>
      </c>
      <c r="D1512" s="49" t="n">
        <v>46296</v>
      </c>
      <c r="E1512" s="18" t="s">
        <v>106</v>
      </c>
      <c r="F1512" s="18" t="s">
        <v>99</v>
      </c>
      <c r="G1512" s="18" t="s">
        <v>100</v>
      </c>
      <c r="H1512" s="18" t="s">
        <v>107</v>
      </c>
      <c r="I1512" s="18" t="s">
        <v>102</v>
      </c>
      <c r="J1512" s="18" t="s">
        <v>233</v>
      </c>
      <c r="K1512" s="18" t="s">
        <v>195</v>
      </c>
      <c r="L1512" s="64" t="n">
        <v>474.3572671656</v>
      </c>
      <c r="M1512" s="64" t="n">
        <v>7.9</v>
      </c>
      <c r="N1512" s="18" t="s">
        <v>1463</v>
      </c>
      <c r="O1512" s="65" t="n">
        <v>3747.4224</v>
      </c>
      <c r="P1512" s="65"/>
      <c r="Q1512" s="65"/>
      <c r="R1512" s="65" t="s">
        <v>232</v>
      </c>
      <c r="S1512" s="66" t="n">
        <f aca="false">Model_Calc!AG256</f>
        <v>3747.42241060824</v>
      </c>
      <c r="T1512" s="66" t="n">
        <f aca="false">ROUND(S1512-O1512,4)</f>
        <v>0</v>
      </c>
    </row>
    <row r="1513" customFormat="false" ht="15" hidden="false" customHeight="false" outlineLevel="0" collapsed="false">
      <c r="A1513" s="18" t="s">
        <v>206</v>
      </c>
      <c r="B1513" s="18" t="s">
        <v>207</v>
      </c>
      <c r="C1513" s="18" t="s">
        <v>208</v>
      </c>
      <c r="D1513" s="49" t="n">
        <v>46296</v>
      </c>
      <c r="E1513" s="18" t="s">
        <v>106</v>
      </c>
      <c r="F1513" s="18" t="s">
        <v>99</v>
      </c>
      <c r="G1513" s="18" t="s">
        <v>100</v>
      </c>
      <c r="H1513" s="18" t="s">
        <v>107</v>
      </c>
      <c r="I1513" s="18" t="s">
        <v>102</v>
      </c>
      <c r="J1513" s="18" t="s">
        <v>235</v>
      </c>
      <c r="K1513" s="18" t="s">
        <v>195</v>
      </c>
      <c r="L1513" s="64" t="n">
        <v>3493.29929595617</v>
      </c>
      <c r="M1513" s="64" t="n">
        <v>7.9</v>
      </c>
      <c r="N1513" s="18" t="s">
        <v>1464</v>
      </c>
      <c r="O1513" s="65" t="n">
        <v>27597.0644</v>
      </c>
      <c r="P1513" s="65"/>
      <c r="Q1513" s="65"/>
      <c r="R1513" s="65" t="s">
        <v>232</v>
      </c>
      <c r="S1513" s="66" t="n">
        <f aca="false">Model_Calc!AL256</f>
        <v>27597.0644380538</v>
      </c>
      <c r="T1513" s="66" t="n">
        <f aca="false">ROUND(S1513-O1513,4)</f>
        <v>0</v>
      </c>
    </row>
    <row r="1514" customFormat="false" ht="15" hidden="false" customHeight="false" outlineLevel="0" collapsed="false">
      <c r="A1514" s="18" t="s">
        <v>206</v>
      </c>
      <c r="B1514" s="18" t="s">
        <v>207</v>
      </c>
      <c r="C1514" s="18" t="s">
        <v>208</v>
      </c>
      <c r="D1514" s="49" t="n">
        <v>46296</v>
      </c>
      <c r="E1514" s="18" t="s">
        <v>106</v>
      </c>
      <c r="F1514" s="18" t="s">
        <v>99</v>
      </c>
      <c r="G1514" s="18" t="s">
        <v>100</v>
      </c>
      <c r="H1514" s="18" t="s">
        <v>107</v>
      </c>
      <c r="I1514" s="18" t="s">
        <v>102</v>
      </c>
      <c r="J1514" s="18" t="s">
        <v>237</v>
      </c>
      <c r="K1514" s="18" t="s">
        <v>195</v>
      </c>
      <c r="L1514" s="64" t="n">
        <v>1174.1516514</v>
      </c>
      <c r="M1514" s="64" t="n">
        <v>7.9</v>
      </c>
      <c r="N1514" s="18" t="s">
        <v>1465</v>
      </c>
      <c r="O1514" s="65" t="n">
        <v>9275.798</v>
      </c>
      <c r="P1514" s="65"/>
      <c r="Q1514" s="65"/>
      <c r="R1514" s="65" t="s">
        <v>232</v>
      </c>
      <c r="S1514" s="66" t="n">
        <f aca="false">Model_Calc!AQ256</f>
        <v>9275.79804606</v>
      </c>
      <c r="T1514" s="66" t="n">
        <f aca="false">ROUND(S1514-O1514,4)</f>
        <v>0</v>
      </c>
    </row>
    <row r="1515" customFormat="false" ht="15" hidden="false" customHeight="false" outlineLevel="0" collapsed="false">
      <c r="A1515" s="18" t="s">
        <v>206</v>
      </c>
      <c r="B1515" s="18" t="s">
        <v>207</v>
      </c>
      <c r="C1515" s="18" t="s">
        <v>208</v>
      </c>
      <c r="D1515" s="49" t="n">
        <v>46296</v>
      </c>
      <c r="E1515" s="18" t="s">
        <v>106</v>
      </c>
      <c r="F1515" s="18" t="s">
        <v>99</v>
      </c>
      <c r="G1515" s="18" t="s">
        <v>100</v>
      </c>
      <c r="H1515" s="18" t="s">
        <v>107</v>
      </c>
      <c r="I1515" s="18" t="s">
        <v>102</v>
      </c>
      <c r="J1515" s="18" t="s">
        <v>239</v>
      </c>
      <c r="K1515" s="18" t="s">
        <v>195</v>
      </c>
      <c r="L1515" s="64" t="n">
        <v>425.996064</v>
      </c>
      <c r="M1515" s="64" t="n">
        <v>7.9</v>
      </c>
      <c r="N1515" s="18" t="s">
        <v>1466</v>
      </c>
      <c r="O1515" s="65" t="n">
        <v>3365.3689</v>
      </c>
      <c r="P1515" s="65"/>
      <c r="Q1515" s="65"/>
      <c r="R1515" s="65" t="s">
        <v>232</v>
      </c>
      <c r="S1515" s="66" t="n">
        <f aca="false">Model_Calc!AV256</f>
        <v>3365.3689056</v>
      </c>
      <c r="T1515" s="66" t="n">
        <f aca="false">ROUND(S1515-O1515,4)</f>
        <v>0</v>
      </c>
    </row>
    <row r="1516" customFormat="false" ht="15" hidden="false" customHeight="false" outlineLevel="0" collapsed="false">
      <c r="A1516" s="18" t="s">
        <v>206</v>
      </c>
      <c r="B1516" s="18" t="s">
        <v>207</v>
      </c>
      <c r="C1516" s="18" t="s">
        <v>208</v>
      </c>
      <c r="D1516" s="49" t="n">
        <v>46296</v>
      </c>
      <c r="E1516" s="18" t="s">
        <v>106</v>
      </c>
      <c r="F1516" s="18" t="s">
        <v>99</v>
      </c>
      <c r="G1516" s="18" t="s">
        <v>100</v>
      </c>
      <c r="H1516" s="18" t="s">
        <v>107</v>
      </c>
      <c r="I1516" s="18" t="s">
        <v>102</v>
      </c>
      <c r="J1516" s="18" t="s">
        <v>241</v>
      </c>
      <c r="K1516" s="18" t="s">
        <v>195</v>
      </c>
      <c r="L1516" s="64" t="n">
        <v>83.588415183</v>
      </c>
      <c r="M1516" s="64" t="n">
        <v>7.9</v>
      </c>
      <c r="N1516" s="18" t="s">
        <v>1467</v>
      </c>
      <c r="O1516" s="65" t="n">
        <v>660.3485</v>
      </c>
      <c r="P1516" s="65"/>
      <c r="Q1516" s="65"/>
      <c r="R1516" s="65" t="s">
        <v>232</v>
      </c>
      <c r="S1516" s="66" t="n">
        <f aca="false">Model_Calc!BA256</f>
        <v>660.3484799457</v>
      </c>
      <c r="T1516" s="66" t="n">
        <f aca="false">ROUND(S1516-O1516,4)</f>
        <v>0</v>
      </c>
    </row>
    <row r="1517" customFormat="false" ht="15" hidden="false" customHeight="false" outlineLevel="0" collapsed="false">
      <c r="A1517" s="18" t="s">
        <v>206</v>
      </c>
      <c r="B1517" s="18" t="s">
        <v>207</v>
      </c>
      <c r="C1517" s="18" t="s">
        <v>208</v>
      </c>
      <c r="D1517" s="49" t="n">
        <v>46296</v>
      </c>
      <c r="E1517" s="18" t="s">
        <v>109</v>
      </c>
      <c r="F1517" s="18" t="s">
        <v>99</v>
      </c>
      <c r="G1517" s="18" t="s">
        <v>110</v>
      </c>
      <c r="H1517" s="18" t="s">
        <v>107</v>
      </c>
      <c r="I1517" s="18" t="s">
        <v>102</v>
      </c>
      <c r="J1517" s="18" t="s">
        <v>230</v>
      </c>
      <c r="K1517" s="18" t="s">
        <v>195</v>
      </c>
      <c r="L1517" s="64" t="n">
        <v>637.2834692796</v>
      </c>
      <c r="M1517" s="64" t="n">
        <v>7.9</v>
      </c>
      <c r="N1517" s="18" t="s">
        <v>1468</v>
      </c>
      <c r="O1517" s="65" t="n">
        <v>5034.5394</v>
      </c>
      <c r="P1517" s="65"/>
      <c r="Q1517" s="65"/>
      <c r="R1517" s="65" t="s">
        <v>232</v>
      </c>
      <c r="S1517" s="66" t="n">
        <f aca="false">Model_Calc!AF257</f>
        <v>5034.53940730884</v>
      </c>
      <c r="T1517" s="66" t="n">
        <f aca="false">ROUND(S1517-O1517,4)</f>
        <v>0</v>
      </c>
    </row>
    <row r="1518" customFormat="false" ht="15" hidden="false" customHeight="false" outlineLevel="0" collapsed="false">
      <c r="A1518" s="18" t="s">
        <v>206</v>
      </c>
      <c r="B1518" s="18" t="s">
        <v>207</v>
      </c>
      <c r="C1518" s="18" t="s">
        <v>208</v>
      </c>
      <c r="D1518" s="49" t="n">
        <v>46296</v>
      </c>
      <c r="E1518" s="18" t="s">
        <v>109</v>
      </c>
      <c r="F1518" s="18" t="s">
        <v>99</v>
      </c>
      <c r="G1518" s="18" t="s">
        <v>110</v>
      </c>
      <c r="H1518" s="18" t="s">
        <v>107</v>
      </c>
      <c r="I1518" s="18" t="s">
        <v>102</v>
      </c>
      <c r="J1518" s="18" t="s">
        <v>233</v>
      </c>
      <c r="K1518" s="18" t="s">
        <v>195</v>
      </c>
      <c r="L1518" s="64" t="n">
        <v>46.34788867488</v>
      </c>
      <c r="M1518" s="64" t="n">
        <v>7.9</v>
      </c>
      <c r="N1518" s="18" t="s">
        <v>1469</v>
      </c>
      <c r="O1518" s="65" t="n">
        <v>366.1483</v>
      </c>
      <c r="P1518" s="65"/>
      <c r="Q1518" s="65"/>
      <c r="R1518" s="65" t="s">
        <v>232</v>
      </c>
      <c r="S1518" s="66" t="n">
        <f aca="false">Model_Calc!AG257</f>
        <v>366.148320531552</v>
      </c>
      <c r="T1518" s="66" t="n">
        <f aca="false">ROUND(S1518-O1518,4)</f>
        <v>0</v>
      </c>
    </row>
    <row r="1519" customFormat="false" ht="15" hidden="false" customHeight="false" outlineLevel="0" collapsed="false">
      <c r="A1519" s="18" t="s">
        <v>206</v>
      </c>
      <c r="B1519" s="18" t="s">
        <v>207</v>
      </c>
      <c r="C1519" s="18" t="s">
        <v>208</v>
      </c>
      <c r="D1519" s="49" t="n">
        <v>46296</v>
      </c>
      <c r="E1519" s="18" t="s">
        <v>109</v>
      </c>
      <c r="F1519" s="18" t="s">
        <v>99</v>
      </c>
      <c r="G1519" s="18" t="s">
        <v>110</v>
      </c>
      <c r="H1519" s="18" t="s">
        <v>107</v>
      </c>
      <c r="I1519" s="18" t="s">
        <v>102</v>
      </c>
      <c r="J1519" s="18" t="s">
        <v>235</v>
      </c>
      <c r="K1519" s="18" t="s">
        <v>195</v>
      </c>
      <c r="L1519" s="64" t="n">
        <v>216.154575</v>
      </c>
      <c r="M1519" s="64" t="n">
        <v>7.9</v>
      </c>
      <c r="N1519" s="18" t="s">
        <v>1470</v>
      </c>
      <c r="O1519" s="65" t="n">
        <v>1707.6211</v>
      </c>
      <c r="P1519" s="65"/>
      <c r="Q1519" s="65"/>
      <c r="R1519" s="65" t="s">
        <v>232</v>
      </c>
      <c r="S1519" s="66" t="n">
        <f aca="false">Model_Calc!AL257</f>
        <v>1707.6211425</v>
      </c>
      <c r="T1519" s="66" t="n">
        <f aca="false">ROUND(S1519-O1519,4)</f>
        <v>0</v>
      </c>
    </row>
    <row r="1520" customFormat="false" ht="15" hidden="false" customHeight="false" outlineLevel="0" collapsed="false">
      <c r="A1520" s="18" t="s">
        <v>206</v>
      </c>
      <c r="B1520" s="18" t="s">
        <v>207</v>
      </c>
      <c r="C1520" s="18" t="s">
        <v>208</v>
      </c>
      <c r="D1520" s="49" t="n">
        <v>46296</v>
      </c>
      <c r="E1520" s="18" t="s">
        <v>109</v>
      </c>
      <c r="F1520" s="18" t="s">
        <v>99</v>
      </c>
      <c r="G1520" s="18" t="s">
        <v>110</v>
      </c>
      <c r="H1520" s="18" t="s">
        <v>107</v>
      </c>
      <c r="I1520" s="18" t="s">
        <v>102</v>
      </c>
      <c r="J1520" s="18" t="s">
        <v>237</v>
      </c>
      <c r="K1520" s="18" t="s">
        <v>195</v>
      </c>
      <c r="L1520" s="64" t="n">
        <v>84.4855596</v>
      </c>
      <c r="M1520" s="64" t="n">
        <v>7.9</v>
      </c>
      <c r="N1520" s="18" t="s">
        <v>1471</v>
      </c>
      <c r="O1520" s="65" t="n">
        <v>667.4359</v>
      </c>
      <c r="P1520" s="65"/>
      <c r="Q1520" s="65"/>
      <c r="R1520" s="65" t="s">
        <v>232</v>
      </c>
      <c r="S1520" s="66" t="n">
        <f aca="false">Model_Calc!AQ257</f>
        <v>667.43592084</v>
      </c>
      <c r="T1520" s="66" t="n">
        <f aca="false">ROUND(S1520-O1520,4)</f>
        <v>0</v>
      </c>
    </row>
    <row r="1521" customFormat="false" ht="15" hidden="false" customHeight="false" outlineLevel="0" collapsed="false">
      <c r="A1521" s="18" t="s">
        <v>206</v>
      </c>
      <c r="B1521" s="18" t="s">
        <v>207</v>
      </c>
      <c r="C1521" s="18" t="s">
        <v>208</v>
      </c>
      <c r="D1521" s="49" t="n">
        <v>46296</v>
      </c>
      <c r="E1521" s="18" t="s">
        <v>109</v>
      </c>
      <c r="F1521" s="18" t="s">
        <v>99</v>
      </c>
      <c r="G1521" s="18" t="s">
        <v>110</v>
      </c>
      <c r="H1521" s="18" t="s">
        <v>107</v>
      </c>
      <c r="I1521" s="18" t="s">
        <v>102</v>
      </c>
      <c r="J1521" s="18" t="s">
        <v>239</v>
      </c>
      <c r="K1521" s="18" t="s">
        <v>195</v>
      </c>
      <c r="L1521" s="64" t="n">
        <v>39.113685</v>
      </c>
      <c r="M1521" s="64" t="n">
        <v>7.9</v>
      </c>
      <c r="N1521" s="18" t="s">
        <v>1472</v>
      </c>
      <c r="O1521" s="65" t="n">
        <v>308.9981</v>
      </c>
      <c r="P1521" s="65"/>
      <c r="Q1521" s="65"/>
      <c r="R1521" s="65" t="s">
        <v>232</v>
      </c>
      <c r="S1521" s="66" t="n">
        <f aca="false">Model_Calc!AV257</f>
        <v>308.9981115</v>
      </c>
      <c r="T1521" s="66" t="n">
        <f aca="false">ROUND(S1521-O1521,4)</f>
        <v>0</v>
      </c>
    </row>
    <row r="1522" customFormat="false" ht="15" hidden="false" customHeight="false" outlineLevel="0" collapsed="false">
      <c r="A1522" s="18" t="s">
        <v>206</v>
      </c>
      <c r="B1522" s="18" t="s">
        <v>207</v>
      </c>
      <c r="C1522" s="18" t="s">
        <v>208</v>
      </c>
      <c r="D1522" s="49" t="n">
        <v>46296</v>
      </c>
      <c r="E1522" s="18" t="s">
        <v>109</v>
      </c>
      <c r="F1522" s="18" t="s">
        <v>99</v>
      </c>
      <c r="G1522" s="18" t="s">
        <v>110</v>
      </c>
      <c r="H1522" s="18" t="s">
        <v>107</v>
      </c>
      <c r="I1522" s="18" t="s">
        <v>102</v>
      </c>
      <c r="J1522" s="18" t="s">
        <v>241</v>
      </c>
      <c r="K1522" s="18" t="s">
        <v>195</v>
      </c>
      <c r="L1522" s="64" t="n">
        <v>7.159039524</v>
      </c>
      <c r="M1522" s="64" t="n">
        <v>7.9</v>
      </c>
      <c r="N1522" s="18" t="s">
        <v>1473</v>
      </c>
      <c r="O1522" s="65" t="n">
        <v>56.5564</v>
      </c>
      <c r="P1522" s="65"/>
      <c r="Q1522" s="65"/>
      <c r="R1522" s="65" t="s">
        <v>232</v>
      </c>
      <c r="S1522" s="66" t="n">
        <f aca="false">Model_Calc!BA257</f>
        <v>56.5564122396</v>
      </c>
      <c r="T1522" s="66" t="n">
        <f aca="false">ROUND(S1522-O1522,4)</f>
        <v>0</v>
      </c>
    </row>
    <row r="1523" customFormat="false" ht="15" hidden="false" customHeight="false" outlineLevel="0" collapsed="false">
      <c r="A1523" s="18" t="s">
        <v>206</v>
      </c>
      <c r="B1523" s="18" t="s">
        <v>207</v>
      </c>
      <c r="C1523" s="18" t="s">
        <v>208</v>
      </c>
      <c r="D1523" s="49" t="n">
        <v>46296</v>
      </c>
      <c r="E1523" s="18" t="s">
        <v>112</v>
      </c>
      <c r="F1523" s="18" t="s">
        <v>113</v>
      </c>
      <c r="G1523" s="18" t="s">
        <v>110</v>
      </c>
      <c r="H1523" s="18" t="s">
        <v>101</v>
      </c>
      <c r="I1523" s="18" t="s">
        <v>102</v>
      </c>
      <c r="J1523" s="18" t="s">
        <v>230</v>
      </c>
      <c r="K1523" s="18" t="s">
        <v>195</v>
      </c>
      <c r="L1523" s="64" t="n">
        <v>3620.96549451</v>
      </c>
      <c r="M1523" s="64" t="n">
        <v>7.9</v>
      </c>
      <c r="N1523" s="18" t="s">
        <v>1474</v>
      </c>
      <c r="O1523" s="65" t="n">
        <v>28605.6274</v>
      </c>
      <c r="P1523" s="65"/>
      <c r="Q1523" s="65"/>
      <c r="R1523" s="65" t="s">
        <v>232</v>
      </c>
      <c r="S1523" s="66" t="n">
        <f aca="false">Model_Calc!AF258</f>
        <v>28605.627406629</v>
      </c>
      <c r="T1523" s="66" t="n">
        <f aca="false">ROUND(S1523-O1523,4)</f>
        <v>0</v>
      </c>
    </row>
    <row r="1524" customFormat="false" ht="15" hidden="false" customHeight="false" outlineLevel="0" collapsed="false">
      <c r="A1524" s="18" t="s">
        <v>206</v>
      </c>
      <c r="B1524" s="18" t="s">
        <v>207</v>
      </c>
      <c r="C1524" s="18" t="s">
        <v>208</v>
      </c>
      <c r="D1524" s="49" t="n">
        <v>46296</v>
      </c>
      <c r="E1524" s="18" t="s">
        <v>112</v>
      </c>
      <c r="F1524" s="18" t="s">
        <v>113</v>
      </c>
      <c r="G1524" s="18" t="s">
        <v>110</v>
      </c>
      <c r="H1524" s="18" t="s">
        <v>101</v>
      </c>
      <c r="I1524" s="18" t="s">
        <v>102</v>
      </c>
      <c r="J1524" s="18" t="s">
        <v>233</v>
      </c>
      <c r="K1524" s="18" t="s">
        <v>195</v>
      </c>
      <c r="L1524" s="64" t="n">
        <v>337.292935813607</v>
      </c>
      <c r="M1524" s="64" t="n">
        <v>7.9</v>
      </c>
      <c r="N1524" s="18" t="s">
        <v>1475</v>
      </c>
      <c r="O1524" s="65" t="n">
        <v>2664.6142</v>
      </c>
      <c r="P1524" s="65"/>
      <c r="Q1524" s="65"/>
      <c r="R1524" s="65" t="s">
        <v>232</v>
      </c>
      <c r="S1524" s="66" t="n">
        <f aca="false">Model_Calc!AG258</f>
        <v>2664.61419292749</v>
      </c>
      <c r="T1524" s="66" t="n">
        <f aca="false">ROUND(S1524-O1524,4)</f>
        <v>0</v>
      </c>
    </row>
    <row r="1525" customFormat="false" ht="15" hidden="false" customHeight="false" outlineLevel="0" collapsed="false">
      <c r="A1525" s="18" t="s">
        <v>206</v>
      </c>
      <c r="B1525" s="18" t="s">
        <v>207</v>
      </c>
      <c r="C1525" s="18" t="s">
        <v>208</v>
      </c>
      <c r="D1525" s="49" t="n">
        <v>46296</v>
      </c>
      <c r="E1525" s="18" t="s">
        <v>112</v>
      </c>
      <c r="F1525" s="18" t="s">
        <v>113</v>
      </c>
      <c r="G1525" s="18" t="s">
        <v>110</v>
      </c>
      <c r="H1525" s="18" t="s">
        <v>101</v>
      </c>
      <c r="I1525" s="18" t="s">
        <v>102</v>
      </c>
      <c r="J1525" s="18" t="s">
        <v>235</v>
      </c>
      <c r="K1525" s="18" t="s">
        <v>195</v>
      </c>
      <c r="L1525" s="64" t="n">
        <v>2225.120625</v>
      </c>
      <c r="M1525" s="64" t="n">
        <v>7.9</v>
      </c>
      <c r="N1525" s="18" t="s">
        <v>1476</v>
      </c>
      <c r="O1525" s="65" t="n">
        <v>17578.4529</v>
      </c>
      <c r="P1525" s="65"/>
      <c r="Q1525" s="65"/>
      <c r="R1525" s="65" t="s">
        <v>232</v>
      </c>
      <c r="S1525" s="66" t="n">
        <f aca="false">Model_Calc!AL258</f>
        <v>17578.4529375</v>
      </c>
      <c r="T1525" s="66" t="n">
        <f aca="false">ROUND(S1525-O1525,4)</f>
        <v>0</v>
      </c>
    </row>
    <row r="1526" customFormat="false" ht="15" hidden="false" customHeight="false" outlineLevel="0" collapsed="false">
      <c r="A1526" s="18" t="s">
        <v>206</v>
      </c>
      <c r="B1526" s="18" t="s">
        <v>207</v>
      </c>
      <c r="C1526" s="18" t="s">
        <v>208</v>
      </c>
      <c r="D1526" s="49" t="n">
        <v>46296</v>
      </c>
      <c r="E1526" s="18" t="s">
        <v>112</v>
      </c>
      <c r="F1526" s="18" t="s">
        <v>113</v>
      </c>
      <c r="G1526" s="18" t="s">
        <v>110</v>
      </c>
      <c r="H1526" s="18" t="s">
        <v>101</v>
      </c>
      <c r="I1526" s="18" t="s">
        <v>102</v>
      </c>
      <c r="J1526" s="18" t="s">
        <v>237</v>
      </c>
      <c r="K1526" s="18" t="s">
        <v>195</v>
      </c>
      <c r="L1526" s="64" t="n">
        <v>853.598655</v>
      </c>
      <c r="M1526" s="64" t="n">
        <v>7.9</v>
      </c>
      <c r="N1526" s="18" t="s">
        <v>1477</v>
      </c>
      <c r="O1526" s="65" t="n">
        <v>6743.4294</v>
      </c>
      <c r="P1526" s="65"/>
      <c r="Q1526" s="65"/>
      <c r="R1526" s="65" t="s">
        <v>232</v>
      </c>
      <c r="S1526" s="66" t="n">
        <f aca="false">Model_Calc!AQ258</f>
        <v>6743.4293745</v>
      </c>
      <c r="T1526" s="66" t="n">
        <f aca="false">ROUND(S1526-O1526,4)</f>
        <v>0</v>
      </c>
    </row>
    <row r="1527" customFormat="false" ht="15" hidden="false" customHeight="false" outlineLevel="0" collapsed="false">
      <c r="A1527" s="18" t="s">
        <v>206</v>
      </c>
      <c r="B1527" s="18" t="s">
        <v>207</v>
      </c>
      <c r="C1527" s="18" t="s">
        <v>208</v>
      </c>
      <c r="D1527" s="49" t="n">
        <v>46296</v>
      </c>
      <c r="E1527" s="18" t="s">
        <v>112</v>
      </c>
      <c r="F1527" s="18" t="s">
        <v>113</v>
      </c>
      <c r="G1527" s="18" t="s">
        <v>110</v>
      </c>
      <c r="H1527" s="18" t="s">
        <v>101</v>
      </c>
      <c r="I1527" s="18" t="s">
        <v>102</v>
      </c>
      <c r="J1527" s="18" t="s">
        <v>239</v>
      </c>
      <c r="K1527" s="18" t="s">
        <v>195</v>
      </c>
      <c r="L1527" s="64" t="n">
        <v>381.44925</v>
      </c>
      <c r="M1527" s="64" t="n">
        <v>7.9</v>
      </c>
      <c r="N1527" s="18" t="s">
        <v>1478</v>
      </c>
      <c r="O1527" s="65" t="n">
        <v>3013.4491</v>
      </c>
      <c r="P1527" s="65"/>
      <c r="Q1527" s="65"/>
      <c r="R1527" s="65" t="s">
        <v>232</v>
      </c>
      <c r="S1527" s="66" t="n">
        <f aca="false">Model_Calc!AV258</f>
        <v>3013.449075</v>
      </c>
      <c r="T1527" s="66" t="n">
        <f aca="false">ROUND(S1527-O1527,4)</f>
        <v>0</v>
      </c>
    </row>
    <row r="1528" customFormat="false" ht="15" hidden="false" customHeight="false" outlineLevel="0" collapsed="false">
      <c r="A1528" s="18" t="s">
        <v>206</v>
      </c>
      <c r="B1528" s="18" t="s">
        <v>207</v>
      </c>
      <c r="C1528" s="18" t="s">
        <v>208</v>
      </c>
      <c r="D1528" s="49" t="n">
        <v>46296</v>
      </c>
      <c r="E1528" s="18" t="s">
        <v>112</v>
      </c>
      <c r="F1528" s="18" t="s">
        <v>113</v>
      </c>
      <c r="G1528" s="18" t="s">
        <v>110</v>
      </c>
      <c r="H1528" s="18" t="s">
        <v>101</v>
      </c>
      <c r="I1528" s="18" t="s">
        <v>102</v>
      </c>
      <c r="J1528" s="18" t="s">
        <v>241</v>
      </c>
      <c r="K1528" s="18" t="s">
        <v>195</v>
      </c>
      <c r="L1528" s="64" t="n">
        <v>87.830808975</v>
      </c>
      <c r="M1528" s="64" t="n">
        <v>7.9</v>
      </c>
      <c r="N1528" s="18" t="s">
        <v>1479</v>
      </c>
      <c r="O1528" s="65" t="n">
        <v>693.8634</v>
      </c>
      <c r="P1528" s="65"/>
      <c r="Q1528" s="65"/>
      <c r="R1528" s="65" t="s">
        <v>232</v>
      </c>
      <c r="S1528" s="66" t="n">
        <f aca="false">Model_Calc!BA258</f>
        <v>693.8633909025</v>
      </c>
      <c r="T1528" s="66" t="n">
        <f aca="false">ROUND(S1528-O1528,4)</f>
        <v>0</v>
      </c>
    </row>
    <row r="1529" customFormat="false" ht="15" hidden="false" customHeight="false" outlineLevel="0" collapsed="false">
      <c r="A1529" s="18" t="s">
        <v>206</v>
      </c>
      <c r="B1529" s="18" t="s">
        <v>207</v>
      </c>
      <c r="C1529" s="18" t="s">
        <v>208</v>
      </c>
      <c r="D1529" s="49" t="n">
        <v>46296</v>
      </c>
      <c r="E1529" s="18" t="s">
        <v>116</v>
      </c>
      <c r="F1529" s="18" t="s">
        <v>113</v>
      </c>
      <c r="G1529" s="18" t="s">
        <v>110</v>
      </c>
      <c r="H1529" s="18" t="s">
        <v>107</v>
      </c>
      <c r="I1529" s="18" t="s">
        <v>102</v>
      </c>
      <c r="J1529" s="18" t="s">
        <v>230</v>
      </c>
      <c r="K1529" s="18" t="s">
        <v>195</v>
      </c>
      <c r="L1529" s="64" t="n">
        <v>8654.405713785</v>
      </c>
      <c r="M1529" s="64" t="n">
        <v>7.9</v>
      </c>
      <c r="N1529" s="18" t="s">
        <v>1480</v>
      </c>
      <c r="O1529" s="65" t="n">
        <v>68369.8051</v>
      </c>
      <c r="P1529" s="65"/>
      <c r="Q1529" s="65"/>
      <c r="R1529" s="65" t="s">
        <v>232</v>
      </c>
      <c r="S1529" s="66" t="n">
        <f aca="false">Model_Calc!AF259</f>
        <v>68369.8051389015</v>
      </c>
      <c r="T1529" s="66" t="n">
        <f aca="false">ROUND(S1529-O1529,4)</f>
        <v>0</v>
      </c>
    </row>
    <row r="1530" customFormat="false" ht="15" hidden="false" customHeight="false" outlineLevel="0" collapsed="false">
      <c r="A1530" s="18" t="s">
        <v>206</v>
      </c>
      <c r="B1530" s="18" t="s">
        <v>207</v>
      </c>
      <c r="C1530" s="18" t="s">
        <v>208</v>
      </c>
      <c r="D1530" s="49" t="n">
        <v>46296</v>
      </c>
      <c r="E1530" s="18" t="s">
        <v>116</v>
      </c>
      <c r="F1530" s="18" t="s">
        <v>113</v>
      </c>
      <c r="G1530" s="18" t="s">
        <v>110</v>
      </c>
      <c r="H1530" s="18" t="s">
        <v>107</v>
      </c>
      <c r="I1530" s="18" t="s">
        <v>102</v>
      </c>
      <c r="J1530" s="18" t="s">
        <v>233</v>
      </c>
      <c r="K1530" s="18" t="s">
        <v>195</v>
      </c>
      <c r="L1530" s="64" t="n">
        <v>665.723516445</v>
      </c>
      <c r="M1530" s="64" t="n">
        <v>7.9</v>
      </c>
      <c r="N1530" s="18" t="s">
        <v>1481</v>
      </c>
      <c r="O1530" s="65" t="n">
        <v>5259.2158</v>
      </c>
      <c r="P1530" s="65"/>
      <c r="Q1530" s="65"/>
      <c r="R1530" s="65" t="s">
        <v>232</v>
      </c>
      <c r="S1530" s="66" t="n">
        <f aca="false">Model_Calc!AG259</f>
        <v>5259.2157799155</v>
      </c>
      <c r="T1530" s="66" t="n">
        <f aca="false">ROUND(S1530-O1530,4)</f>
        <v>0</v>
      </c>
    </row>
    <row r="1531" customFormat="false" ht="15" hidden="false" customHeight="false" outlineLevel="0" collapsed="false">
      <c r="A1531" s="18" t="s">
        <v>206</v>
      </c>
      <c r="B1531" s="18" t="s">
        <v>207</v>
      </c>
      <c r="C1531" s="18" t="s">
        <v>208</v>
      </c>
      <c r="D1531" s="49" t="n">
        <v>46296</v>
      </c>
      <c r="E1531" s="18" t="s">
        <v>116</v>
      </c>
      <c r="F1531" s="18" t="s">
        <v>113</v>
      </c>
      <c r="G1531" s="18" t="s">
        <v>110</v>
      </c>
      <c r="H1531" s="18" t="s">
        <v>107</v>
      </c>
      <c r="I1531" s="18" t="s">
        <v>102</v>
      </c>
      <c r="J1531" s="18" t="s">
        <v>235</v>
      </c>
      <c r="K1531" s="18" t="s">
        <v>195</v>
      </c>
      <c r="L1531" s="64" t="n">
        <v>4132.366875</v>
      </c>
      <c r="M1531" s="64" t="n">
        <v>7.9</v>
      </c>
      <c r="N1531" s="18" t="s">
        <v>1482</v>
      </c>
      <c r="O1531" s="65" t="n">
        <v>32645.6983</v>
      </c>
      <c r="P1531" s="65"/>
      <c r="Q1531" s="65"/>
      <c r="R1531" s="65" t="s">
        <v>232</v>
      </c>
      <c r="S1531" s="66" t="n">
        <f aca="false">Model_Calc!AL259</f>
        <v>32645.6983125</v>
      </c>
      <c r="T1531" s="66" t="n">
        <f aca="false">ROUND(S1531-O1531,4)</f>
        <v>0</v>
      </c>
    </row>
    <row r="1532" customFormat="false" ht="15" hidden="false" customHeight="false" outlineLevel="0" collapsed="false">
      <c r="A1532" s="18" t="s">
        <v>206</v>
      </c>
      <c r="B1532" s="18" t="s">
        <v>207</v>
      </c>
      <c r="C1532" s="18" t="s">
        <v>208</v>
      </c>
      <c r="D1532" s="49" t="n">
        <v>46296</v>
      </c>
      <c r="E1532" s="18" t="s">
        <v>116</v>
      </c>
      <c r="F1532" s="18" t="s">
        <v>113</v>
      </c>
      <c r="G1532" s="18" t="s">
        <v>110</v>
      </c>
      <c r="H1532" s="18" t="s">
        <v>107</v>
      </c>
      <c r="I1532" s="18" t="s">
        <v>102</v>
      </c>
      <c r="J1532" s="18" t="s">
        <v>237</v>
      </c>
      <c r="K1532" s="18" t="s">
        <v>195</v>
      </c>
      <c r="L1532" s="64" t="n">
        <v>1585.254645</v>
      </c>
      <c r="M1532" s="64" t="n">
        <v>7.9</v>
      </c>
      <c r="N1532" s="18" t="s">
        <v>1483</v>
      </c>
      <c r="O1532" s="65" t="n">
        <v>12523.5117</v>
      </c>
      <c r="P1532" s="65"/>
      <c r="Q1532" s="65"/>
      <c r="R1532" s="65" t="s">
        <v>232</v>
      </c>
      <c r="S1532" s="66" t="n">
        <f aca="false">Model_Calc!AQ259</f>
        <v>12523.5116955</v>
      </c>
      <c r="T1532" s="66" t="n">
        <f aca="false">ROUND(S1532-O1532,4)</f>
        <v>0</v>
      </c>
    </row>
    <row r="1533" customFormat="false" ht="15" hidden="false" customHeight="false" outlineLevel="0" collapsed="false">
      <c r="A1533" s="18" t="s">
        <v>206</v>
      </c>
      <c r="B1533" s="18" t="s">
        <v>207</v>
      </c>
      <c r="C1533" s="18" t="s">
        <v>208</v>
      </c>
      <c r="D1533" s="49" t="n">
        <v>46296</v>
      </c>
      <c r="E1533" s="18" t="s">
        <v>116</v>
      </c>
      <c r="F1533" s="18" t="s">
        <v>113</v>
      </c>
      <c r="G1533" s="18" t="s">
        <v>110</v>
      </c>
      <c r="H1533" s="18" t="s">
        <v>107</v>
      </c>
      <c r="I1533" s="18" t="s">
        <v>102</v>
      </c>
      <c r="J1533" s="18" t="s">
        <v>239</v>
      </c>
      <c r="K1533" s="18" t="s">
        <v>195</v>
      </c>
      <c r="L1533" s="64" t="n">
        <v>708.40575</v>
      </c>
      <c r="M1533" s="64" t="n">
        <v>7.9</v>
      </c>
      <c r="N1533" s="18" t="s">
        <v>1484</v>
      </c>
      <c r="O1533" s="65" t="n">
        <v>5596.4054</v>
      </c>
      <c r="P1533" s="65"/>
      <c r="Q1533" s="65"/>
      <c r="R1533" s="65" t="s">
        <v>232</v>
      </c>
      <c r="S1533" s="66" t="n">
        <f aca="false">Model_Calc!AV259</f>
        <v>5596.405425</v>
      </c>
      <c r="T1533" s="66" t="n">
        <f aca="false">ROUND(S1533-O1533,4)</f>
        <v>0</v>
      </c>
    </row>
    <row r="1534" customFormat="false" ht="15" hidden="false" customHeight="false" outlineLevel="0" collapsed="false">
      <c r="A1534" s="18" t="s">
        <v>206</v>
      </c>
      <c r="B1534" s="18" t="s">
        <v>207</v>
      </c>
      <c r="C1534" s="18" t="s">
        <v>208</v>
      </c>
      <c r="D1534" s="49" t="n">
        <v>46296</v>
      </c>
      <c r="E1534" s="18" t="s">
        <v>116</v>
      </c>
      <c r="F1534" s="18" t="s">
        <v>113</v>
      </c>
      <c r="G1534" s="18" t="s">
        <v>110</v>
      </c>
      <c r="H1534" s="18" t="s">
        <v>107</v>
      </c>
      <c r="I1534" s="18" t="s">
        <v>102</v>
      </c>
      <c r="J1534" s="18" t="s">
        <v>241</v>
      </c>
      <c r="K1534" s="18" t="s">
        <v>195</v>
      </c>
      <c r="L1534" s="64" t="n">
        <v>134.32947255</v>
      </c>
      <c r="M1534" s="64" t="n">
        <v>7.9</v>
      </c>
      <c r="N1534" s="18" t="s">
        <v>1485</v>
      </c>
      <c r="O1534" s="65" t="n">
        <v>1061.2028</v>
      </c>
      <c r="P1534" s="65"/>
      <c r="Q1534" s="65"/>
      <c r="R1534" s="65" t="s">
        <v>232</v>
      </c>
      <c r="S1534" s="66" t="n">
        <f aca="false">Model_Calc!BA259</f>
        <v>1061.202833145</v>
      </c>
      <c r="T1534" s="66" t="n">
        <f aca="false">ROUND(S1534-O1534,4)</f>
        <v>0</v>
      </c>
    </row>
    <row r="1535" customFormat="false" ht="15" hidden="false" customHeight="false" outlineLevel="0" collapsed="false">
      <c r="A1535" s="18" t="s">
        <v>206</v>
      </c>
      <c r="B1535" s="18" t="s">
        <v>207</v>
      </c>
      <c r="C1535" s="18" t="s">
        <v>208</v>
      </c>
      <c r="D1535" s="49" t="n">
        <v>46296</v>
      </c>
      <c r="E1535" s="18" t="s">
        <v>118</v>
      </c>
      <c r="F1535" s="18" t="s">
        <v>119</v>
      </c>
      <c r="G1535" s="18" t="s">
        <v>100</v>
      </c>
      <c r="H1535" s="18" t="s">
        <v>101</v>
      </c>
      <c r="I1535" s="18" t="s">
        <v>102</v>
      </c>
      <c r="J1535" s="18" t="s">
        <v>230</v>
      </c>
      <c r="K1535" s="18" t="s">
        <v>199</v>
      </c>
      <c r="L1535" s="64" t="n">
        <v>12348.6296583297</v>
      </c>
      <c r="M1535" s="64" t="n">
        <v>9.1</v>
      </c>
      <c r="N1535" s="18" t="s">
        <v>1486</v>
      </c>
      <c r="O1535" s="65" t="n">
        <v>112372.5299</v>
      </c>
      <c r="P1535" s="65"/>
      <c r="Q1535" s="65"/>
      <c r="R1535" s="65" t="s">
        <v>232</v>
      </c>
      <c r="S1535" s="66" t="n">
        <f aca="false">Model_Calc!AF260</f>
        <v>112372.5298908</v>
      </c>
      <c r="T1535" s="66" t="n">
        <f aca="false">ROUND(S1535-O1535,4)</f>
        <v>0</v>
      </c>
    </row>
    <row r="1536" customFormat="false" ht="15" hidden="false" customHeight="false" outlineLevel="0" collapsed="false">
      <c r="A1536" s="18" t="s">
        <v>206</v>
      </c>
      <c r="B1536" s="18" t="s">
        <v>207</v>
      </c>
      <c r="C1536" s="18" t="s">
        <v>208</v>
      </c>
      <c r="D1536" s="49" t="n">
        <v>46296</v>
      </c>
      <c r="E1536" s="18" t="s">
        <v>118</v>
      </c>
      <c r="F1536" s="18" t="s">
        <v>119</v>
      </c>
      <c r="G1536" s="18" t="s">
        <v>100</v>
      </c>
      <c r="H1536" s="18" t="s">
        <v>101</v>
      </c>
      <c r="I1536" s="18" t="s">
        <v>102</v>
      </c>
      <c r="J1536" s="18" t="s">
        <v>233</v>
      </c>
      <c r="K1536" s="18" t="s">
        <v>199</v>
      </c>
      <c r="L1536" s="64" t="n">
        <v>1278.08316963712</v>
      </c>
      <c r="M1536" s="64" t="n">
        <v>9.1</v>
      </c>
      <c r="N1536" s="18" t="s">
        <v>1487</v>
      </c>
      <c r="O1536" s="65" t="n">
        <v>11630.5568</v>
      </c>
      <c r="P1536" s="65"/>
      <c r="Q1536" s="65"/>
      <c r="R1536" s="65" t="s">
        <v>232</v>
      </c>
      <c r="S1536" s="66" t="n">
        <f aca="false">Model_Calc!AG260</f>
        <v>11630.5568436978</v>
      </c>
      <c r="T1536" s="66" t="n">
        <f aca="false">ROUND(S1536-O1536,4)</f>
        <v>0</v>
      </c>
    </row>
    <row r="1537" customFormat="false" ht="15" hidden="false" customHeight="false" outlineLevel="0" collapsed="false">
      <c r="A1537" s="18" t="s">
        <v>206</v>
      </c>
      <c r="B1537" s="18" t="s">
        <v>207</v>
      </c>
      <c r="C1537" s="18" t="s">
        <v>208</v>
      </c>
      <c r="D1537" s="49" t="n">
        <v>46296</v>
      </c>
      <c r="E1537" s="18" t="s">
        <v>118</v>
      </c>
      <c r="F1537" s="18" t="s">
        <v>119</v>
      </c>
      <c r="G1537" s="18" t="s">
        <v>100</v>
      </c>
      <c r="H1537" s="18" t="s">
        <v>101</v>
      </c>
      <c r="I1537" s="18" t="s">
        <v>102</v>
      </c>
      <c r="J1537" s="18" t="s">
        <v>235</v>
      </c>
      <c r="K1537" s="18" t="s">
        <v>195</v>
      </c>
      <c r="L1537" s="64" t="n">
        <v>3294.59009403944</v>
      </c>
      <c r="M1537" s="64" t="n">
        <v>7.9</v>
      </c>
      <c r="N1537" s="18" t="s">
        <v>1488</v>
      </c>
      <c r="O1537" s="65" t="n">
        <v>26027.2617</v>
      </c>
      <c r="P1537" s="65"/>
      <c r="Q1537" s="65"/>
      <c r="R1537" s="65" t="s">
        <v>232</v>
      </c>
      <c r="S1537" s="66" t="n">
        <f aca="false">Model_Calc!AL260</f>
        <v>26027.2617429116</v>
      </c>
      <c r="T1537" s="66" t="n">
        <f aca="false">ROUND(S1537-O1537,4)</f>
        <v>0</v>
      </c>
    </row>
    <row r="1538" customFormat="false" ht="15" hidden="false" customHeight="false" outlineLevel="0" collapsed="false">
      <c r="A1538" s="18" t="s">
        <v>206</v>
      </c>
      <c r="B1538" s="18" t="s">
        <v>207</v>
      </c>
      <c r="C1538" s="18" t="s">
        <v>208</v>
      </c>
      <c r="D1538" s="49" t="n">
        <v>46296</v>
      </c>
      <c r="E1538" s="18" t="s">
        <v>118</v>
      </c>
      <c r="F1538" s="18" t="s">
        <v>119</v>
      </c>
      <c r="G1538" s="18" t="s">
        <v>100</v>
      </c>
      <c r="H1538" s="18" t="s">
        <v>101</v>
      </c>
      <c r="I1538" s="18" t="s">
        <v>102</v>
      </c>
      <c r="J1538" s="18" t="s">
        <v>237</v>
      </c>
      <c r="K1538" s="18" t="s">
        <v>195</v>
      </c>
      <c r="L1538" s="64" t="n">
        <v>1233.918137088</v>
      </c>
      <c r="M1538" s="64" t="n">
        <v>7.9</v>
      </c>
      <c r="N1538" s="18" t="s">
        <v>1489</v>
      </c>
      <c r="O1538" s="65" t="n">
        <v>9747.9533</v>
      </c>
      <c r="P1538" s="65"/>
      <c r="Q1538" s="65"/>
      <c r="R1538" s="65" t="s">
        <v>232</v>
      </c>
      <c r="S1538" s="66" t="n">
        <f aca="false">Model_Calc!AQ260</f>
        <v>9747.9532829952</v>
      </c>
      <c r="T1538" s="66" t="n">
        <f aca="false">ROUND(S1538-O1538,4)</f>
        <v>0</v>
      </c>
    </row>
    <row r="1539" customFormat="false" ht="15" hidden="false" customHeight="false" outlineLevel="0" collapsed="false">
      <c r="A1539" s="18" t="s">
        <v>206</v>
      </c>
      <c r="B1539" s="18" t="s">
        <v>207</v>
      </c>
      <c r="C1539" s="18" t="s">
        <v>208</v>
      </c>
      <c r="D1539" s="49" t="n">
        <v>46296</v>
      </c>
      <c r="E1539" s="18" t="s">
        <v>118</v>
      </c>
      <c r="F1539" s="18" t="s">
        <v>119</v>
      </c>
      <c r="G1539" s="18" t="s">
        <v>100</v>
      </c>
      <c r="H1539" s="18" t="s">
        <v>101</v>
      </c>
      <c r="I1539" s="18" t="s">
        <v>102</v>
      </c>
      <c r="J1539" s="18" t="s">
        <v>239</v>
      </c>
      <c r="K1539" s="18" t="s">
        <v>199</v>
      </c>
      <c r="L1539" s="64" t="n">
        <v>1084.76319744</v>
      </c>
      <c r="M1539" s="64" t="n">
        <v>9.1</v>
      </c>
      <c r="N1539" s="18" t="s">
        <v>1490</v>
      </c>
      <c r="O1539" s="65" t="n">
        <v>9871.3451</v>
      </c>
      <c r="P1539" s="65"/>
      <c r="Q1539" s="65"/>
      <c r="R1539" s="65" t="s">
        <v>232</v>
      </c>
      <c r="S1539" s="66" t="n">
        <f aca="false">Model_Calc!AV260</f>
        <v>9871.345096704</v>
      </c>
      <c r="T1539" s="66" t="n">
        <f aca="false">ROUND(S1539-O1539,4)</f>
        <v>0</v>
      </c>
    </row>
    <row r="1540" customFormat="false" ht="15" hidden="false" customHeight="false" outlineLevel="0" collapsed="false">
      <c r="A1540" s="18" t="s">
        <v>206</v>
      </c>
      <c r="B1540" s="18" t="s">
        <v>207</v>
      </c>
      <c r="C1540" s="18" t="s">
        <v>208</v>
      </c>
      <c r="D1540" s="49" t="n">
        <v>46296</v>
      </c>
      <c r="E1540" s="18" t="s">
        <v>118</v>
      </c>
      <c r="F1540" s="18" t="s">
        <v>119</v>
      </c>
      <c r="G1540" s="18" t="s">
        <v>100</v>
      </c>
      <c r="H1540" s="18" t="s">
        <v>101</v>
      </c>
      <c r="I1540" s="18" t="s">
        <v>102</v>
      </c>
      <c r="J1540" s="18" t="s">
        <v>241</v>
      </c>
      <c r="K1540" s="18" t="s">
        <v>199</v>
      </c>
      <c r="L1540" s="64" t="n">
        <v>182.44361026944</v>
      </c>
      <c r="M1540" s="64" t="n">
        <v>9.1</v>
      </c>
      <c r="N1540" s="18" t="s">
        <v>1491</v>
      </c>
      <c r="O1540" s="65" t="n">
        <v>1660.2369</v>
      </c>
      <c r="P1540" s="65"/>
      <c r="Q1540" s="65"/>
      <c r="R1540" s="65" t="s">
        <v>232</v>
      </c>
      <c r="S1540" s="66" t="n">
        <f aca="false">Model_Calc!BA260</f>
        <v>1660.2368534519</v>
      </c>
      <c r="T1540" s="66" t="n">
        <f aca="false">ROUND(S1540-O1540,4)</f>
        <v>0</v>
      </c>
    </row>
    <row r="1541" customFormat="false" ht="15" hidden="false" customHeight="false" outlineLevel="0" collapsed="false">
      <c r="A1541" s="18" t="s">
        <v>206</v>
      </c>
      <c r="B1541" s="18" t="s">
        <v>207</v>
      </c>
      <c r="C1541" s="18" t="s">
        <v>208</v>
      </c>
      <c r="D1541" s="49" t="n">
        <v>46296</v>
      </c>
      <c r="E1541" s="18" t="s">
        <v>122</v>
      </c>
      <c r="F1541" s="18" t="s">
        <v>119</v>
      </c>
      <c r="G1541" s="18" t="s">
        <v>100</v>
      </c>
      <c r="H1541" s="18" t="s">
        <v>107</v>
      </c>
      <c r="I1541" s="18" t="s">
        <v>102</v>
      </c>
      <c r="J1541" s="18" t="s">
        <v>230</v>
      </c>
      <c r="K1541" s="18" t="s">
        <v>199</v>
      </c>
      <c r="L1541" s="64" t="n">
        <v>7902.85394800512</v>
      </c>
      <c r="M1541" s="64" t="n">
        <v>9.1</v>
      </c>
      <c r="N1541" s="18" t="s">
        <v>1492</v>
      </c>
      <c r="O1541" s="65" t="n">
        <v>71915.9709</v>
      </c>
      <c r="P1541" s="65"/>
      <c r="Q1541" s="65"/>
      <c r="R1541" s="65" t="s">
        <v>232</v>
      </c>
      <c r="S1541" s="66" t="n">
        <f aca="false">Model_Calc!AF261</f>
        <v>71915.9709268466</v>
      </c>
      <c r="T1541" s="66" t="n">
        <f aca="false">ROUND(S1541-O1541,4)</f>
        <v>0</v>
      </c>
    </row>
    <row r="1542" customFormat="false" ht="15" hidden="false" customHeight="false" outlineLevel="0" collapsed="false">
      <c r="A1542" s="18" t="s">
        <v>206</v>
      </c>
      <c r="B1542" s="18" t="s">
        <v>207</v>
      </c>
      <c r="C1542" s="18" t="s">
        <v>208</v>
      </c>
      <c r="D1542" s="49" t="n">
        <v>46296</v>
      </c>
      <c r="E1542" s="18" t="s">
        <v>122</v>
      </c>
      <c r="F1542" s="18" t="s">
        <v>119</v>
      </c>
      <c r="G1542" s="18" t="s">
        <v>100</v>
      </c>
      <c r="H1542" s="18" t="s">
        <v>107</v>
      </c>
      <c r="I1542" s="18" t="s">
        <v>102</v>
      </c>
      <c r="J1542" s="18" t="s">
        <v>233</v>
      </c>
      <c r="K1542" s="18" t="s">
        <v>199</v>
      </c>
      <c r="L1542" s="64" t="n">
        <v>554.881234647168</v>
      </c>
      <c r="M1542" s="64" t="n">
        <v>9.1</v>
      </c>
      <c r="N1542" s="18" t="s">
        <v>1493</v>
      </c>
      <c r="O1542" s="65" t="n">
        <v>5049.4192</v>
      </c>
      <c r="P1542" s="65"/>
      <c r="Q1542" s="65"/>
      <c r="R1542" s="65" t="s">
        <v>232</v>
      </c>
      <c r="S1542" s="66" t="n">
        <f aca="false">Model_Calc!AG261</f>
        <v>5049.41923528923</v>
      </c>
      <c r="T1542" s="66" t="n">
        <f aca="false">ROUND(S1542-O1542,4)</f>
        <v>0</v>
      </c>
    </row>
    <row r="1543" customFormat="false" ht="15" hidden="false" customHeight="false" outlineLevel="0" collapsed="false">
      <c r="A1543" s="18" t="s">
        <v>206</v>
      </c>
      <c r="B1543" s="18" t="s">
        <v>207</v>
      </c>
      <c r="C1543" s="18" t="s">
        <v>208</v>
      </c>
      <c r="D1543" s="49" t="n">
        <v>46296</v>
      </c>
      <c r="E1543" s="18" t="s">
        <v>122</v>
      </c>
      <c r="F1543" s="18" t="s">
        <v>119</v>
      </c>
      <c r="G1543" s="18" t="s">
        <v>100</v>
      </c>
      <c r="H1543" s="18" t="s">
        <v>107</v>
      </c>
      <c r="I1543" s="18" t="s">
        <v>102</v>
      </c>
      <c r="J1543" s="18" t="s">
        <v>235</v>
      </c>
      <c r="K1543" s="18" t="s">
        <v>195</v>
      </c>
      <c r="L1543" s="64" t="n">
        <v>1830.32783002191</v>
      </c>
      <c r="M1543" s="64" t="n">
        <v>7.9</v>
      </c>
      <c r="N1543" s="18" t="s">
        <v>1494</v>
      </c>
      <c r="O1543" s="65" t="n">
        <v>14459.5899</v>
      </c>
      <c r="P1543" s="65"/>
      <c r="Q1543" s="65"/>
      <c r="R1543" s="65" t="s">
        <v>232</v>
      </c>
      <c r="S1543" s="66" t="n">
        <f aca="false">Model_Calc!AL261</f>
        <v>14459.5898571731</v>
      </c>
      <c r="T1543" s="66" t="n">
        <f aca="false">ROUND(S1543-O1543,4)</f>
        <v>0</v>
      </c>
    </row>
    <row r="1544" customFormat="false" ht="15" hidden="false" customHeight="false" outlineLevel="0" collapsed="false">
      <c r="A1544" s="18" t="s">
        <v>206</v>
      </c>
      <c r="B1544" s="18" t="s">
        <v>207</v>
      </c>
      <c r="C1544" s="18" t="s">
        <v>208</v>
      </c>
      <c r="D1544" s="49" t="n">
        <v>46296</v>
      </c>
      <c r="E1544" s="18" t="s">
        <v>122</v>
      </c>
      <c r="F1544" s="18" t="s">
        <v>119</v>
      </c>
      <c r="G1544" s="18" t="s">
        <v>100</v>
      </c>
      <c r="H1544" s="18" t="s">
        <v>107</v>
      </c>
      <c r="I1544" s="18" t="s">
        <v>102</v>
      </c>
      <c r="J1544" s="18" t="s">
        <v>237</v>
      </c>
      <c r="K1544" s="18" t="s">
        <v>195</v>
      </c>
      <c r="L1544" s="64" t="n">
        <v>685.51007616</v>
      </c>
      <c r="M1544" s="64" t="n">
        <v>7.9</v>
      </c>
      <c r="N1544" s="18" t="s">
        <v>1495</v>
      </c>
      <c r="O1544" s="65" t="n">
        <v>5415.5296</v>
      </c>
      <c r="P1544" s="65"/>
      <c r="Q1544" s="65"/>
      <c r="R1544" s="65" t="s">
        <v>232</v>
      </c>
      <c r="S1544" s="66" t="n">
        <f aca="false">Model_Calc!AQ261</f>
        <v>5415.529601664</v>
      </c>
      <c r="T1544" s="66" t="n">
        <f aca="false">ROUND(S1544-O1544,4)</f>
        <v>0</v>
      </c>
    </row>
    <row r="1545" customFormat="false" ht="15" hidden="false" customHeight="false" outlineLevel="0" collapsed="false">
      <c r="A1545" s="18" t="s">
        <v>206</v>
      </c>
      <c r="B1545" s="18" t="s">
        <v>207</v>
      </c>
      <c r="C1545" s="18" t="s">
        <v>208</v>
      </c>
      <c r="D1545" s="49" t="n">
        <v>46296</v>
      </c>
      <c r="E1545" s="18" t="s">
        <v>122</v>
      </c>
      <c r="F1545" s="18" t="s">
        <v>119</v>
      </c>
      <c r="G1545" s="18" t="s">
        <v>100</v>
      </c>
      <c r="H1545" s="18" t="s">
        <v>107</v>
      </c>
      <c r="I1545" s="18" t="s">
        <v>102</v>
      </c>
      <c r="J1545" s="18" t="s">
        <v>239</v>
      </c>
      <c r="K1545" s="18" t="s">
        <v>199</v>
      </c>
      <c r="L1545" s="64" t="n">
        <v>602.6462208</v>
      </c>
      <c r="M1545" s="64" t="n">
        <v>9.1</v>
      </c>
      <c r="N1545" s="18" t="s">
        <v>1496</v>
      </c>
      <c r="O1545" s="65" t="n">
        <v>5484.0806</v>
      </c>
      <c r="P1545" s="65"/>
      <c r="Q1545" s="65"/>
      <c r="R1545" s="65" t="s">
        <v>232</v>
      </c>
      <c r="S1545" s="66" t="n">
        <f aca="false">Model_Calc!AV261</f>
        <v>5484.08060928</v>
      </c>
      <c r="T1545" s="66" t="n">
        <f aca="false">ROUND(S1545-O1545,4)</f>
        <v>0</v>
      </c>
    </row>
    <row r="1546" customFormat="false" ht="15" hidden="false" customHeight="false" outlineLevel="0" collapsed="false">
      <c r="A1546" s="18" t="s">
        <v>206</v>
      </c>
      <c r="B1546" s="18" t="s">
        <v>207</v>
      </c>
      <c r="C1546" s="18" t="s">
        <v>208</v>
      </c>
      <c r="D1546" s="49" t="n">
        <v>46296</v>
      </c>
      <c r="E1546" s="18" t="s">
        <v>122</v>
      </c>
      <c r="F1546" s="18" t="s">
        <v>119</v>
      </c>
      <c r="G1546" s="18" t="s">
        <v>100</v>
      </c>
      <c r="H1546" s="18" t="s">
        <v>107</v>
      </c>
      <c r="I1546" s="18" t="s">
        <v>102</v>
      </c>
      <c r="J1546" s="18" t="s">
        <v>241</v>
      </c>
      <c r="K1546" s="18" t="s">
        <v>199</v>
      </c>
      <c r="L1546" s="64" t="n">
        <v>75.079675008</v>
      </c>
      <c r="M1546" s="64" t="n">
        <v>9.1</v>
      </c>
      <c r="N1546" s="18" t="s">
        <v>1497</v>
      </c>
      <c r="O1546" s="65" t="n">
        <v>683.225</v>
      </c>
      <c r="P1546" s="65"/>
      <c r="Q1546" s="65"/>
      <c r="R1546" s="65" t="s">
        <v>232</v>
      </c>
      <c r="S1546" s="66" t="n">
        <f aca="false">Model_Calc!BA261</f>
        <v>683.2250425728</v>
      </c>
      <c r="T1546" s="66" t="n">
        <f aca="false">ROUND(S1546-O1546,4)</f>
        <v>0</v>
      </c>
    </row>
    <row r="1547" customFormat="false" ht="15" hidden="false" customHeight="false" outlineLevel="0" collapsed="false">
      <c r="A1547" s="18" t="s">
        <v>206</v>
      </c>
      <c r="B1547" s="18" t="s">
        <v>207</v>
      </c>
      <c r="C1547" s="18" t="s">
        <v>208</v>
      </c>
      <c r="D1547" s="49" t="n">
        <v>46296</v>
      </c>
      <c r="E1547" s="18" t="s">
        <v>124</v>
      </c>
      <c r="F1547" s="18" t="s">
        <v>119</v>
      </c>
      <c r="G1547" s="18" t="s">
        <v>100</v>
      </c>
      <c r="H1547" s="18" t="s">
        <v>107</v>
      </c>
      <c r="I1547" s="18" t="s">
        <v>125</v>
      </c>
      <c r="J1547" s="18" t="s">
        <v>230</v>
      </c>
      <c r="K1547" s="18" t="s">
        <v>199</v>
      </c>
      <c r="L1547" s="64" t="n">
        <v>12229.8245416169</v>
      </c>
      <c r="M1547" s="64" t="n">
        <v>9.1</v>
      </c>
      <c r="N1547" s="18" t="s">
        <v>1498</v>
      </c>
      <c r="O1547" s="65" t="n">
        <v>111291.4033</v>
      </c>
      <c r="P1547" s="65"/>
      <c r="Q1547" s="65"/>
      <c r="R1547" s="65" t="s">
        <v>232</v>
      </c>
      <c r="S1547" s="66" t="n">
        <f aca="false">Model_Calc!AF262</f>
        <v>111291.403328714</v>
      </c>
      <c r="T1547" s="66" t="n">
        <f aca="false">ROUND(S1547-O1547,4)</f>
        <v>0</v>
      </c>
    </row>
    <row r="1548" customFormat="false" ht="15" hidden="false" customHeight="false" outlineLevel="0" collapsed="false">
      <c r="A1548" s="18" t="s">
        <v>206</v>
      </c>
      <c r="B1548" s="18" t="s">
        <v>207</v>
      </c>
      <c r="C1548" s="18" t="s">
        <v>208</v>
      </c>
      <c r="D1548" s="49" t="n">
        <v>46296</v>
      </c>
      <c r="E1548" s="18" t="s">
        <v>124</v>
      </c>
      <c r="F1548" s="18" t="s">
        <v>119</v>
      </c>
      <c r="G1548" s="18" t="s">
        <v>100</v>
      </c>
      <c r="H1548" s="18" t="s">
        <v>107</v>
      </c>
      <c r="I1548" s="18" t="s">
        <v>125</v>
      </c>
      <c r="J1548" s="18" t="s">
        <v>233</v>
      </c>
      <c r="K1548" s="18" t="s">
        <v>199</v>
      </c>
      <c r="L1548" s="64" t="n">
        <v>1513.88106070859</v>
      </c>
      <c r="M1548" s="64" t="n">
        <v>9.1</v>
      </c>
      <c r="N1548" s="18" t="s">
        <v>1499</v>
      </c>
      <c r="O1548" s="65" t="n">
        <v>13776.3177</v>
      </c>
      <c r="P1548" s="65"/>
      <c r="Q1548" s="65"/>
      <c r="R1548" s="65" t="s">
        <v>232</v>
      </c>
      <c r="S1548" s="66" t="n">
        <f aca="false">Model_Calc!AG262</f>
        <v>13776.3176524481</v>
      </c>
      <c r="T1548" s="66" t="n">
        <f aca="false">ROUND(S1548-O1548,4)</f>
        <v>0</v>
      </c>
    </row>
    <row r="1549" customFormat="false" ht="15" hidden="false" customHeight="false" outlineLevel="0" collapsed="false">
      <c r="A1549" s="18" t="s">
        <v>206</v>
      </c>
      <c r="B1549" s="18" t="s">
        <v>207</v>
      </c>
      <c r="C1549" s="18" t="s">
        <v>208</v>
      </c>
      <c r="D1549" s="49" t="n">
        <v>46296</v>
      </c>
      <c r="E1549" s="18" t="s">
        <v>124</v>
      </c>
      <c r="F1549" s="18" t="s">
        <v>119</v>
      </c>
      <c r="G1549" s="18" t="s">
        <v>100</v>
      </c>
      <c r="H1549" s="18" t="s">
        <v>107</v>
      </c>
      <c r="I1549" s="18" t="s">
        <v>125</v>
      </c>
      <c r="J1549" s="18" t="s">
        <v>235</v>
      </c>
      <c r="K1549" s="18" t="s">
        <v>195</v>
      </c>
      <c r="L1549" s="64" t="n">
        <v>2196.3933960263</v>
      </c>
      <c r="M1549" s="64" t="n">
        <v>7.9</v>
      </c>
      <c r="N1549" s="18" t="s">
        <v>1500</v>
      </c>
      <c r="O1549" s="65" t="n">
        <v>17351.5078</v>
      </c>
      <c r="P1549" s="65"/>
      <c r="Q1549" s="65"/>
      <c r="R1549" s="65" t="s">
        <v>232</v>
      </c>
      <c r="S1549" s="66" t="n">
        <f aca="false">Model_Calc!AL262</f>
        <v>17351.5078286077</v>
      </c>
      <c r="T1549" s="66" t="n">
        <f aca="false">ROUND(S1549-O1549,4)</f>
        <v>0</v>
      </c>
    </row>
    <row r="1550" customFormat="false" ht="15" hidden="false" customHeight="false" outlineLevel="0" collapsed="false">
      <c r="A1550" s="18" t="s">
        <v>206</v>
      </c>
      <c r="B1550" s="18" t="s">
        <v>207</v>
      </c>
      <c r="C1550" s="18" t="s">
        <v>208</v>
      </c>
      <c r="D1550" s="49" t="n">
        <v>46296</v>
      </c>
      <c r="E1550" s="18" t="s">
        <v>124</v>
      </c>
      <c r="F1550" s="18" t="s">
        <v>119</v>
      </c>
      <c r="G1550" s="18" t="s">
        <v>100</v>
      </c>
      <c r="H1550" s="18" t="s">
        <v>107</v>
      </c>
      <c r="I1550" s="18" t="s">
        <v>125</v>
      </c>
      <c r="J1550" s="18" t="s">
        <v>237</v>
      </c>
      <c r="K1550" s="18" t="s">
        <v>195</v>
      </c>
      <c r="L1550" s="64" t="n">
        <v>822.612091392</v>
      </c>
      <c r="M1550" s="64" t="n">
        <v>7.9</v>
      </c>
      <c r="N1550" s="18" t="s">
        <v>1501</v>
      </c>
      <c r="O1550" s="65" t="n">
        <v>6498.6355</v>
      </c>
      <c r="P1550" s="65"/>
      <c r="Q1550" s="65"/>
      <c r="R1550" s="65" t="s">
        <v>232</v>
      </c>
      <c r="S1550" s="66" t="n">
        <f aca="false">Model_Calc!AQ262</f>
        <v>6498.6355219968</v>
      </c>
      <c r="T1550" s="66" t="n">
        <f aca="false">ROUND(S1550-O1550,4)</f>
        <v>0</v>
      </c>
    </row>
    <row r="1551" customFormat="false" ht="15" hidden="false" customHeight="false" outlineLevel="0" collapsed="false">
      <c r="A1551" s="18" t="s">
        <v>206</v>
      </c>
      <c r="B1551" s="18" t="s">
        <v>207</v>
      </c>
      <c r="C1551" s="18" t="s">
        <v>208</v>
      </c>
      <c r="D1551" s="49" t="n">
        <v>46296</v>
      </c>
      <c r="E1551" s="18" t="s">
        <v>124</v>
      </c>
      <c r="F1551" s="18" t="s">
        <v>119</v>
      </c>
      <c r="G1551" s="18" t="s">
        <v>100</v>
      </c>
      <c r="H1551" s="18" t="s">
        <v>107</v>
      </c>
      <c r="I1551" s="18" t="s">
        <v>125</v>
      </c>
      <c r="J1551" s="18" t="s">
        <v>239</v>
      </c>
      <c r="K1551" s="18" t="s">
        <v>199</v>
      </c>
      <c r="L1551" s="64" t="n">
        <v>723.17546496</v>
      </c>
      <c r="M1551" s="64" t="n">
        <v>9.1</v>
      </c>
      <c r="N1551" s="18" t="s">
        <v>1502</v>
      </c>
      <c r="O1551" s="65" t="n">
        <v>6580.8967</v>
      </c>
      <c r="P1551" s="65"/>
      <c r="Q1551" s="65"/>
      <c r="R1551" s="65" t="s">
        <v>232</v>
      </c>
      <c r="S1551" s="66" t="n">
        <f aca="false">Model_Calc!AV262</f>
        <v>6580.896731136</v>
      </c>
      <c r="T1551" s="66" t="n">
        <f aca="false">ROUND(S1551-O1551,4)</f>
        <v>0</v>
      </c>
    </row>
    <row r="1552" customFormat="false" ht="15" hidden="false" customHeight="false" outlineLevel="0" collapsed="false">
      <c r="A1552" s="18" t="s">
        <v>206</v>
      </c>
      <c r="B1552" s="18" t="s">
        <v>207</v>
      </c>
      <c r="C1552" s="18" t="s">
        <v>208</v>
      </c>
      <c r="D1552" s="49" t="n">
        <v>46296</v>
      </c>
      <c r="E1552" s="18" t="s">
        <v>124</v>
      </c>
      <c r="F1552" s="18" t="s">
        <v>119</v>
      </c>
      <c r="G1552" s="18" t="s">
        <v>100</v>
      </c>
      <c r="H1552" s="18" t="s">
        <v>107</v>
      </c>
      <c r="I1552" s="18" t="s">
        <v>125</v>
      </c>
      <c r="J1552" s="18" t="s">
        <v>241</v>
      </c>
      <c r="K1552" s="18" t="s">
        <v>199</v>
      </c>
      <c r="L1552" s="64" t="n">
        <v>87.74528974848</v>
      </c>
      <c r="M1552" s="64" t="n">
        <v>9.1</v>
      </c>
      <c r="N1552" s="18" t="s">
        <v>1503</v>
      </c>
      <c r="O1552" s="65" t="n">
        <v>798.4821</v>
      </c>
      <c r="P1552" s="65"/>
      <c r="Q1552" s="65"/>
      <c r="R1552" s="65" t="s">
        <v>232</v>
      </c>
      <c r="S1552" s="66" t="n">
        <f aca="false">Model_Calc!BA262</f>
        <v>798.482136711168</v>
      </c>
      <c r="T1552" s="66" t="n">
        <f aca="false">ROUND(S1552-O1552,4)</f>
        <v>0</v>
      </c>
    </row>
    <row r="1553" customFormat="false" ht="15" hidden="false" customHeight="false" outlineLevel="0" collapsed="false">
      <c r="A1553" s="18" t="s">
        <v>206</v>
      </c>
      <c r="B1553" s="18" t="s">
        <v>207</v>
      </c>
      <c r="C1553" s="18" t="s">
        <v>208</v>
      </c>
      <c r="D1553" s="49" t="n">
        <v>46296</v>
      </c>
      <c r="E1553" s="18" t="s">
        <v>127</v>
      </c>
      <c r="F1553" s="18" t="s">
        <v>119</v>
      </c>
      <c r="G1553" s="18" t="s">
        <v>100</v>
      </c>
      <c r="H1553" s="18" t="s">
        <v>128</v>
      </c>
      <c r="I1553" s="18" t="s">
        <v>125</v>
      </c>
      <c r="J1553" s="18" t="s">
        <v>230</v>
      </c>
      <c r="K1553" s="18" t="s">
        <v>199</v>
      </c>
      <c r="L1553" s="64" t="n">
        <v>12298.1859097254</v>
      </c>
      <c r="M1553" s="64" t="n">
        <v>9.1</v>
      </c>
      <c r="N1553" s="18" t="s">
        <v>1504</v>
      </c>
      <c r="O1553" s="65" t="n">
        <v>111913.4918</v>
      </c>
      <c r="P1553" s="65"/>
      <c r="Q1553" s="65"/>
      <c r="R1553" s="65" t="s">
        <v>232</v>
      </c>
      <c r="S1553" s="66" t="n">
        <f aca="false">Model_Calc!AF263</f>
        <v>111913.491778501</v>
      </c>
      <c r="T1553" s="66" t="n">
        <f aca="false">ROUND(S1553-O1553,4)</f>
        <v>0</v>
      </c>
    </row>
    <row r="1554" customFormat="false" ht="15" hidden="false" customHeight="false" outlineLevel="0" collapsed="false">
      <c r="A1554" s="18" t="s">
        <v>206</v>
      </c>
      <c r="B1554" s="18" t="s">
        <v>207</v>
      </c>
      <c r="C1554" s="18" t="s">
        <v>208</v>
      </c>
      <c r="D1554" s="49" t="n">
        <v>46296</v>
      </c>
      <c r="E1554" s="18" t="s">
        <v>127</v>
      </c>
      <c r="F1554" s="18" t="s">
        <v>119</v>
      </c>
      <c r="G1554" s="18" t="s">
        <v>100</v>
      </c>
      <c r="H1554" s="18" t="s">
        <v>128</v>
      </c>
      <c r="I1554" s="18" t="s">
        <v>125</v>
      </c>
      <c r="J1554" s="18" t="s">
        <v>233</v>
      </c>
      <c r="K1554" s="18" t="s">
        <v>199</v>
      </c>
      <c r="L1554" s="64" t="n">
        <v>951.059710352099</v>
      </c>
      <c r="M1554" s="64" t="n">
        <v>9.1</v>
      </c>
      <c r="N1554" s="18" t="s">
        <v>1505</v>
      </c>
      <c r="O1554" s="65" t="n">
        <v>8654.6434</v>
      </c>
      <c r="P1554" s="65"/>
      <c r="Q1554" s="65"/>
      <c r="R1554" s="65" t="s">
        <v>232</v>
      </c>
      <c r="S1554" s="66" t="n">
        <f aca="false">Model_Calc!AG263</f>
        <v>8654.6433642041</v>
      </c>
      <c r="T1554" s="66" t="n">
        <f aca="false">ROUND(S1554-O1554,4)</f>
        <v>0</v>
      </c>
    </row>
    <row r="1555" customFormat="false" ht="15" hidden="false" customHeight="false" outlineLevel="0" collapsed="false">
      <c r="A1555" s="18" t="s">
        <v>206</v>
      </c>
      <c r="B1555" s="18" t="s">
        <v>207</v>
      </c>
      <c r="C1555" s="18" t="s">
        <v>208</v>
      </c>
      <c r="D1555" s="49" t="n">
        <v>46296</v>
      </c>
      <c r="E1555" s="18" t="s">
        <v>127</v>
      </c>
      <c r="F1555" s="18" t="s">
        <v>119</v>
      </c>
      <c r="G1555" s="18" t="s">
        <v>100</v>
      </c>
      <c r="H1555" s="18" t="s">
        <v>128</v>
      </c>
      <c r="I1555" s="18" t="s">
        <v>125</v>
      </c>
      <c r="J1555" s="18" t="s">
        <v>235</v>
      </c>
      <c r="K1555" s="18" t="s">
        <v>195</v>
      </c>
      <c r="L1555" s="64" t="n">
        <v>1830.32783002191</v>
      </c>
      <c r="M1555" s="64" t="n">
        <v>7.9</v>
      </c>
      <c r="N1555" s="18" t="s">
        <v>1494</v>
      </c>
      <c r="O1555" s="65" t="n">
        <v>14459.5899</v>
      </c>
      <c r="P1555" s="65"/>
      <c r="Q1555" s="65"/>
      <c r="R1555" s="65" t="s">
        <v>232</v>
      </c>
      <c r="S1555" s="66" t="n">
        <f aca="false">Model_Calc!AL263</f>
        <v>14459.5898571731</v>
      </c>
      <c r="T1555" s="66" t="n">
        <f aca="false">ROUND(S1555-O1555,4)</f>
        <v>0</v>
      </c>
    </row>
    <row r="1556" customFormat="false" ht="15" hidden="false" customHeight="false" outlineLevel="0" collapsed="false">
      <c r="A1556" s="18" t="s">
        <v>206</v>
      </c>
      <c r="B1556" s="18" t="s">
        <v>207</v>
      </c>
      <c r="C1556" s="18" t="s">
        <v>208</v>
      </c>
      <c r="D1556" s="49" t="n">
        <v>46296</v>
      </c>
      <c r="E1556" s="18" t="s">
        <v>127</v>
      </c>
      <c r="F1556" s="18" t="s">
        <v>119</v>
      </c>
      <c r="G1556" s="18" t="s">
        <v>100</v>
      </c>
      <c r="H1556" s="18" t="s">
        <v>128</v>
      </c>
      <c r="I1556" s="18" t="s">
        <v>125</v>
      </c>
      <c r="J1556" s="18" t="s">
        <v>237</v>
      </c>
      <c r="K1556" s="18" t="s">
        <v>195</v>
      </c>
      <c r="L1556" s="64" t="n">
        <v>685.51007616</v>
      </c>
      <c r="M1556" s="64" t="n">
        <v>7.9</v>
      </c>
      <c r="N1556" s="18" t="s">
        <v>1495</v>
      </c>
      <c r="O1556" s="65" t="n">
        <v>5415.5296</v>
      </c>
      <c r="P1556" s="65"/>
      <c r="Q1556" s="65"/>
      <c r="R1556" s="65" t="s">
        <v>232</v>
      </c>
      <c r="S1556" s="66" t="n">
        <f aca="false">Model_Calc!AQ263</f>
        <v>5415.529601664</v>
      </c>
      <c r="T1556" s="66" t="n">
        <f aca="false">ROUND(S1556-O1556,4)</f>
        <v>0</v>
      </c>
    </row>
    <row r="1557" customFormat="false" ht="15" hidden="false" customHeight="false" outlineLevel="0" collapsed="false">
      <c r="A1557" s="18" t="s">
        <v>206</v>
      </c>
      <c r="B1557" s="18" t="s">
        <v>207</v>
      </c>
      <c r="C1557" s="18" t="s">
        <v>208</v>
      </c>
      <c r="D1557" s="49" t="n">
        <v>46296</v>
      </c>
      <c r="E1557" s="18" t="s">
        <v>127</v>
      </c>
      <c r="F1557" s="18" t="s">
        <v>119</v>
      </c>
      <c r="G1557" s="18" t="s">
        <v>100</v>
      </c>
      <c r="H1557" s="18" t="s">
        <v>128</v>
      </c>
      <c r="I1557" s="18" t="s">
        <v>125</v>
      </c>
      <c r="J1557" s="18" t="s">
        <v>239</v>
      </c>
      <c r="K1557" s="18" t="s">
        <v>199</v>
      </c>
      <c r="L1557" s="64" t="n">
        <v>602.6462208</v>
      </c>
      <c r="M1557" s="64" t="n">
        <v>9.1</v>
      </c>
      <c r="N1557" s="18" t="s">
        <v>1496</v>
      </c>
      <c r="O1557" s="65" t="n">
        <v>5484.0806</v>
      </c>
      <c r="P1557" s="65"/>
      <c r="Q1557" s="65"/>
      <c r="R1557" s="65" t="s">
        <v>232</v>
      </c>
      <c r="S1557" s="66" t="n">
        <f aca="false">Model_Calc!AV263</f>
        <v>5484.08060928</v>
      </c>
      <c r="T1557" s="66" t="n">
        <f aca="false">ROUND(S1557-O1557,4)</f>
        <v>0</v>
      </c>
    </row>
    <row r="1558" customFormat="false" ht="15" hidden="false" customHeight="false" outlineLevel="0" collapsed="false">
      <c r="A1558" s="18" t="s">
        <v>206</v>
      </c>
      <c r="B1558" s="18" t="s">
        <v>207</v>
      </c>
      <c r="C1558" s="18" t="s">
        <v>208</v>
      </c>
      <c r="D1558" s="49" t="n">
        <v>46296</v>
      </c>
      <c r="E1558" s="18" t="s">
        <v>127</v>
      </c>
      <c r="F1558" s="18" t="s">
        <v>119</v>
      </c>
      <c r="G1558" s="18" t="s">
        <v>100</v>
      </c>
      <c r="H1558" s="18" t="s">
        <v>128</v>
      </c>
      <c r="I1558" s="18" t="s">
        <v>125</v>
      </c>
      <c r="J1558" s="18" t="s">
        <v>241</v>
      </c>
      <c r="K1558" s="18" t="s">
        <v>199</v>
      </c>
      <c r="L1558" s="64" t="n">
        <v>64.6338071808</v>
      </c>
      <c r="M1558" s="64" t="n">
        <v>9.1</v>
      </c>
      <c r="N1558" s="18" t="s">
        <v>1506</v>
      </c>
      <c r="O1558" s="65" t="n">
        <v>588.1676</v>
      </c>
      <c r="P1558" s="65"/>
      <c r="Q1558" s="65"/>
      <c r="R1558" s="65" t="s">
        <v>232</v>
      </c>
      <c r="S1558" s="66" t="n">
        <f aca="false">Model_Calc!BA263</f>
        <v>588.16764534528</v>
      </c>
      <c r="T1558" s="66" t="n">
        <f aca="false">ROUND(S1558-O1558,4)</f>
        <v>0</v>
      </c>
    </row>
    <row r="1559" customFormat="false" ht="15" hidden="false" customHeight="false" outlineLevel="0" collapsed="false">
      <c r="A1559" s="18" t="s">
        <v>206</v>
      </c>
      <c r="B1559" s="18" t="s">
        <v>207</v>
      </c>
      <c r="C1559" s="18" t="s">
        <v>208</v>
      </c>
      <c r="D1559" s="49" t="n">
        <v>46296</v>
      </c>
      <c r="E1559" s="18" t="s">
        <v>130</v>
      </c>
      <c r="F1559" s="18" t="s">
        <v>119</v>
      </c>
      <c r="G1559" s="18" t="s">
        <v>110</v>
      </c>
      <c r="H1559" s="18" t="s">
        <v>107</v>
      </c>
      <c r="I1559" s="18" t="s">
        <v>125</v>
      </c>
      <c r="J1559" s="18" t="s">
        <v>230</v>
      </c>
      <c r="K1559" s="18" t="s">
        <v>195</v>
      </c>
      <c r="L1559" s="64" t="n">
        <v>2112.33197280456</v>
      </c>
      <c r="M1559" s="64" t="n">
        <v>7.9</v>
      </c>
      <c r="N1559" s="18" t="s">
        <v>1507</v>
      </c>
      <c r="O1559" s="65" t="n">
        <v>16687.4226</v>
      </c>
      <c r="P1559" s="65"/>
      <c r="Q1559" s="65"/>
      <c r="R1559" s="65" t="s">
        <v>232</v>
      </c>
      <c r="S1559" s="66" t="n">
        <f aca="false">Model_Calc!AF264</f>
        <v>16687.422585156</v>
      </c>
      <c r="T1559" s="66" t="n">
        <f aca="false">ROUND(S1559-O1559,4)</f>
        <v>0</v>
      </c>
    </row>
    <row r="1560" customFormat="false" ht="15" hidden="false" customHeight="false" outlineLevel="0" collapsed="false">
      <c r="A1560" s="18" t="s">
        <v>206</v>
      </c>
      <c r="B1560" s="18" t="s">
        <v>207</v>
      </c>
      <c r="C1560" s="18" t="s">
        <v>208</v>
      </c>
      <c r="D1560" s="49" t="n">
        <v>46296</v>
      </c>
      <c r="E1560" s="18" t="s">
        <v>130</v>
      </c>
      <c r="F1560" s="18" t="s">
        <v>119</v>
      </c>
      <c r="G1560" s="18" t="s">
        <v>110</v>
      </c>
      <c r="H1560" s="18" t="s">
        <v>107</v>
      </c>
      <c r="I1560" s="18" t="s">
        <v>125</v>
      </c>
      <c r="J1560" s="18" t="s">
        <v>233</v>
      </c>
      <c r="K1560" s="18" t="s">
        <v>195</v>
      </c>
      <c r="L1560" s="64" t="n">
        <v>229.557677144536</v>
      </c>
      <c r="M1560" s="64" t="n">
        <v>7.9</v>
      </c>
      <c r="N1560" s="18" t="s">
        <v>1508</v>
      </c>
      <c r="O1560" s="65" t="n">
        <v>1813.5056</v>
      </c>
      <c r="P1560" s="65"/>
      <c r="Q1560" s="65"/>
      <c r="R1560" s="65" t="s">
        <v>232</v>
      </c>
      <c r="S1560" s="66" t="n">
        <f aca="false">Model_Calc!AG264</f>
        <v>1813.50564944183</v>
      </c>
      <c r="T1560" s="66" t="n">
        <f aca="false">ROUND(S1560-O1560,4)</f>
        <v>0</v>
      </c>
    </row>
    <row r="1561" customFormat="false" ht="15" hidden="false" customHeight="false" outlineLevel="0" collapsed="false">
      <c r="A1561" s="18" t="s">
        <v>206</v>
      </c>
      <c r="B1561" s="18" t="s">
        <v>207</v>
      </c>
      <c r="C1561" s="18" t="s">
        <v>208</v>
      </c>
      <c r="D1561" s="49" t="n">
        <v>46296</v>
      </c>
      <c r="E1561" s="18" t="s">
        <v>130</v>
      </c>
      <c r="F1561" s="18" t="s">
        <v>119</v>
      </c>
      <c r="G1561" s="18" t="s">
        <v>110</v>
      </c>
      <c r="H1561" s="18" t="s">
        <v>107</v>
      </c>
      <c r="I1561" s="18" t="s">
        <v>125</v>
      </c>
      <c r="J1561" s="18" t="s">
        <v>235</v>
      </c>
      <c r="K1561" s="18" t="s">
        <v>195</v>
      </c>
      <c r="L1561" s="64" t="n">
        <v>305.1594</v>
      </c>
      <c r="M1561" s="64" t="n">
        <v>7.9</v>
      </c>
      <c r="N1561" s="18" t="s">
        <v>1509</v>
      </c>
      <c r="O1561" s="65" t="n">
        <v>2410.7593</v>
      </c>
      <c r="P1561" s="65"/>
      <c r="Q1561" s="65"/>
      <c r="R1561" s="65" t="s">
        <v>232</v>
      </c>
      <c r="S1561" s="66" t="n">
        <f aca="false">Model_Calc!AL264</f>
        <v>2410.75926</v>
      </c>
      <c r="T1561" s="66" t="n">
        <f aca="false">ROUND(S1561-O1561,4)</f>
        <v>0</v>
      </c>
    </row>
    <row r="1562" customFormat="false" ht="15" hidden="false" customHeight="false" outlineLevel="0" collapsed="false">
      <c r="A1562" s="18" t="s">
        <v>206</v>
      </c>
      <c r="B1562" s="18" t="s">
        <v>207</v>
      </c>
      <c r="C1562" s="18" t="s">
        <v>208</v>
      </c>
      <c r="D1562" s="49" t="n">
        <v>46296</v>
      </c>
      <c r="E1562" s="18" t="s">
        <v>130</v>
      </c>
      <c r="F1562" s="18" t="s">
        <v>119</v>
      </c>
      <c r="G1562" s="18" t="s">
        <v>110</v>
      </c>
      <c r="H1562" s="18" t="s">
        <v>107</v>
      </c>
      <c r="I1562" s="18" t="s">
        <v>125</v>
      </c>
      <c r="J1562" s="18" t="s">
        <v>237</v>
      </c>
      <c r="K1562" s="18" t="s">
        <v>195</v>
      </c>
      <c r="L1562" s="64" t="n">
        <v>129.2132088</v>
      </c>
      <c r="M1562" s="64" t="n">
        <v>7.9</v>
      </c>
      <c r="N1562" s="18" t="s">
        <v>1510</v>
      </c>
      <c r="O1562" s="65" t="n">
        <v>1020.7843</v>
      </c>
      <c r="P1562" s="65"/>
      <c r="Q1562" s="65"/>
      <c r="R1562" s="65" t="s">
        <v>232</v>
      </c>
      <c r="S1562" s="66" t="n">
        <f aca="false">Model_Calc!AQ264</f>
        <v>1020.78434952</v>
      </c>
      <c r="T1562" s="66" t="n">
        <f aca="false">ROUND(S1562-O1562,4)</f>
        <v>0</v>
      </c>
    </row>
    <row r="1563" customFormat="false" ht="15" hidden="false" customHeight="false" outlineLevel="0" collapsed="false">
      <c r="A1563" s="18" t="s">
        <v>206</v>
      </c>
      <c r="B1563" s="18" t="s">
        <v>207</v>
      </c>
      <c r="C1563" s="18" t="s">
        <v>208</v>
      </c>
      <c r="D1563" s="49" t="n">
        <v>46296</v>
      </c>
      <c r="E1563" s="18" t="s">
        <v>130</v>
      </c>
      <c r="F1563" s="18" t="s">
        <v>119</v>
      </c>
      <c r="G1563" s="18" t="s">
        <v>110</v>
      </c>
      <c r="H1563" s="18" t="s">
        <v>107</v>
      </c>
      <c r="I1563" s="18" t="s">
        <v>125</v>
      </c>
      <c r="J1563" s="18" t="s">
        <v>239</v>
      </c>
      <c r="K1563" s="18" t="s">
        <v>195</v>
      </c>
      <c r="L1563" s="64" t="n">
        <v>136.013904</v>
      </c>
      <c r="M1563" s="64" t="n">
        <v>7.9</v>
      </c>
      <c r="N1563" s="18" t="s">
        <v>1511</v>
      </c>
      <c r="O1563" s="65" t="n">
        <v>1074.5098</v>
      </c>
      <c r="P1563" s="65"/>
      <c r="Q1563" s="65"/>
      <c r="R1563" s="65" t="s">
        <v>232</v>
      </c>
      <c r="S1563" s="66" t="n">
        <f aca="false">Model_Calc!AV264</f>
        <v>1074.5098416</v>
      </c>
      <c r="T1563" s="66" t="n">
        <f aca="false">ROUND(S1563-O1563,4)</f>
        <v>0</v>
      </c>
    </row>
    <row r="1564" customFormat="false" ht="15" hidden="false" customHeight="false" outlineLevel="0" collapsed="false">
      <c r="A1564" s="18" t="s">
        <v>206</v>
      </c>
      <c r="B1564" s="18" t="s">
        <v>207</v>
      </c>
      <c r="C1564" s="18" t="s">
        <v>208</v>
      </c>
      <c r="D1564" s="49" t="n">
        <v>46296</v>
      </c>
      <c r="E1564" s="18" t="s">
        <v>130</v>
      </c>
      <c r="F1564" s="18" t="s">
        <v>119</v>
      </c>
      <c r="G1564" s="18" t="s">
        <v>110</v>
      </c>
      <c r="H1564" s="18" t="s">
        <v>107</v>
      </c>
      <c r="I1564" s="18" t="s">
        <v>125</v>
      </c>
      <c r="J1564" s="18" t="s">
        <v>241</v>
      </c>
      <c r="K1564" s="18" t="s">
        <v>195</v>
      </c>
      <c r="L1564" s="64" t="n">
        <v>13.329362592</v>
      </c>
      <c r="M1564" s="64" t="n">
        <v>7.9</v>
      </c>
      <c r="N1564" s="18" t="s">
        <v>1512</v>
      </c>
      <c r="O1564" s="65" t="n">
        <v>105.302</v>
      </c>
      <c r="P1564" s="65"/>
      <c r="Q1564" s="65"/>
      <c r="R1564" s="65" t="s">
        <v>232</v>
      </c>
      <c r="S1564" s="66" t="n">
        <f aca="false">Model_Calc!BA264</f>
        <v>105.3019644768</v>
      </c>
      <c r="T1564" s="66" t="n">
        <f aca="false">ROUND(S1564-O1564,4)</f>
        <v>0</v>
      </c>
    </row>
    <row r="1565" customFormat="false" ht="15" hidden="false" customHeight="false" outlineLevel="0" collapsed="false">
      <c r="A1565" s="18" t="s">
        <v>206</v>
      </c>
      <c r="B1565" s="18" t="s">
        <v>207</v>
      </c>
      <c r="C1565" s="18" t="s">
        <v>208</v>
      </c>
      <c r="D1565" s="49" t="n">
        <v>46327</v>
      </c>
      <c r="E1565" s="18" t="s">
        <v>98</v>
      </c>
      <c r="F1565" s="18" t="s">
        <v>99</v>
      </c>
      <c r="G1565" s="18" t="s">
        <v>100</v>
      </c>
      <c r="H1565" s="18" t="s">
        <v>101</v>
      </c>
      <c r="I1565" s="18" t="s">
        <v>102</v>
      </c>
      <c r="J1565" s="18" t="s">
        <v>230</v>
      </c>
      <c r="K1565" s="18" t="s">
        <v>195</v>
      </c>
      <c r="L1565" s="64" t="n">
        <v>8699.47310808576</v>
      </c>
      <c r="M1565" s="64" t="n">
        <v>7.88</v>
      </c>
      <c r="N1565" s="18" t="s">
        <v>1513</v>
      </c>
      <c r="O1565" s="65" t="n">
        <v>68551.8481</v>
      </c>
      <c r="P1565" s="65"/>
      <c r="Q1565" s="65"/>
      <c r="R1565" s="65" t="s">
        <v>232</v>
      </c>
      <c r="S1565" s="66" t="n">
        <f aca="false">Model_Calc!AF265</f>
        <v>68551.8480917158</v>
      </c>
      <c r="T1565" s="66" t="n">
        <f aca="false">ROUND(S1565-O1565,4)</f>
        <v>0</v>
      </c>
    </row>
    <row r="1566" customFormat="false" ht="15" hidden="false" customHeight="false" outlineLevel="0" collapsed="false">
      <c r="A1566" s="18" t="s">
        <v>206</v>
      </c>
      <c r="B1566" s="18" t="s">
        <v>207</v>
      </c>
      <c r="C1566" s="18" t="s">
        <v>208</v>
      </c>
      <c r="D1566" s="49" t="n">
        <v>46327</v>
      </c>
      <c r="E1566" s="18" t="s">
        <v>98</v>
      </c>
      <c r="F1566" s="18" t="s">
        <v>99</v>
      </c>
      <c r="G1566" s="18" t="s">
        <v>100</v>
      </c>
      <c r="H1566" s="18" t="s">
        <v>101</v>
      </c>
      <c r="I1566" s="18" t="s">
        <v>102</v>
      </c>
      <c r="J1566" s="18" t="s">
        <v>233</v>
      </c>
      <c r="K1566" s="18" t="s">
        <v>195</v>
      </c>
      <c r="L1566" s="64" t="n">
        <v>855.375693352532</v>
      </c>
      <c r="M1566" s="64" t="n">
        <v>7.88</v>
      </c>
      <c r="N1566" s="18" t="s">
        <v>1514</v>
      </c>
      <c r="O1566" s="65" t="n">
        <v>6740.3605</v>
      </c>
      <c r="P1566" s="65"/>
      <c r="Q1566" s="65"/>
      <c r="R1566" s="65" t="s">
        <v>232</v>
      </c>
      <c r="S1566" s="66" t="n">
        <f aca="false">Model_Calc!AG265</f>
        <v>6740.36046361795</v>
      </c>
      <c r="T1566" s="66" t="n">
        <f aca="false">ROUND(S1566-O1566,4)</f>
        <v>0</v>
      </c>
    </row>
    <row r="1567" customFormat="false" ht="15" hidden="false" customHeight="false" outlineLevel="0" collapsed="false">
      <c r="A1567" s="18" t="s">
        <v>206</v>
      </c>
      <c r="B1567" s="18" t="s">
        <v>207</v>
      </c>
      <c r="C1567" s="18" t="s">
        <v>208</v>
      </c>
      <c r="D1567" s="49" t="n">
        <v>46327</v>
      </c>
      <c r="E1567" s="18" t="s">
        <v>98</v>
      </c>
      <c r="F1567" s="18" t="s">
        <v>99</v>
      </c>
      <c r="G1567" s="18" t="s">
        <v>100</v>
      </c>
      <c r="H1567" s="18" t="s">
        <v>101</v>
      </c>
      <c r="I1567" s="18" t="s">
        <v>102</v>
      </c>
      <c r="J1567" s="18" t="s">
        <v>235</v>
      </c>
      <c r="K1567" s="18" t="s">
        <v>195</v>
      </c>
      <c r="L1567" s="64" t="n">
        <v>5858.45191105794</v>
      </c>
      <c r="M1567" s="64" t="n">
        <v>7.88</v>
      </c>
      <c r="N1567" s="18" t="s">
        <v>1515</v>
      </c>
      <c r="O1567" s="65" t="n">
        <v>46164.6011</v>
      </c>
      <c r="P1567" s="65"/>
      <c r="Q1567" s="65"/>
      <c r="R1567" s="65" t="s">
        <v>232</v>
      </c>
      <c r="S1567" s="66" t="n">
        <f aca="false">Model_Calc!AL265</f>
        <v>46164.6010591366</v>
      </c>
      <c r="T1567" s="66" t="n">
        <f aca="false">ROUND(S1567-O1567,4)</f>
        <v>0</v>
      </c>
    </row>
    <row r="1568" customFormat="false" ht="15" hidden="false" customHeight="false" outlineLevel="0" collapsed="false">
      <c r="A1568" s="18" t="s">
        <v>206</v>
      </c>
      <c r="B1568" s="18" t="s">
        <v>207</v>
      </c>
      <c r="C1568" s="18" t="s">
        <v>208</v>
      </c>
      <c r="D1568" s="49" t="n">
        <v>46327</v>
      </c>
      <c r="E1568" s="18" t="s">
        <v>98</v>
      </c>
      <c r="F1568" s="18" t="s">
        <v>99</v>
      </c>
      <c r="G1568" s="18" t="s">
        <v>100</v>
      </c>
      <c r="H1568" s="18" t="s">
        <v>101</v>
      </c>
      <c r="I1568" s="18" t="s">
        <v>102</v>
      </c>
      <c r="J1568" s="18" t="s">
        <v>237</v>
      </c>
      <c r="K1568" s="18" t="s">
        <v>195</v>
      </c>
      <c r="L1568" s="64" t="n">
        <v>2108.16006912</v>
      </c>
      <c r="M1568" s="64" t="n">
        <v>7.88</v>
      </c>
      <c r="N1568" s="18" t="s">
        <v>1516</v>
      </c>
      <c r="O1568" s="65" t="n">
        <v>16612.3013</v>
      </c>
      <c r="P1568" s="65"/>
      <c r="Q1568" s="65"/>
      <c r="R1568" s="65" t="s">
        <v>232</v>
      </c>
      <c r="S1568" s="66" t="n">
        <f aca="false">Model_Calc!AQ265</f>
        <v>16612.3013446656</v>
      </c>
      <c r="T1568" s="66" t="n">
        <f aca="false">ROUND(S1568-O1568,4)</f>
        <v>0</v>
      </c>
    </row>
    <row r="1569" customFormat="false" ht="15" hidden="false" customHeight="false" outlineLevel="0" collapsed="false">
      <c r="A1569" s="18" t="s">
        <v>206</v>
      </c>
      <c r="B1569" s="18" t="s">
        <v>207</v>
      </c>
      <c r="C1569" s="18" t="s">
        <v>208</v>
      </c>
      <c r="D1569" s="49" t="n">
        <v>46327</v>
      </c>
      <c r="E1569" s="18" t="s">
        <v>98</v>
      </c>
      <c r="F1569" s="18" t="s">
        <v>99</v>
      </c>
      <c r="G1569" s="18" t="s">
        <v>100</v>
      </c>
      <c r="H1569" s="18" t="s">
        <v>101</v>
      </c>
      <c r="I1569" s="18" t="s">
        <v>102</v>
      </c>
      <c r="J1569" s="18" t="s">
        <v>239</v>
      </c>
      <c r="K1569" s="18" t="s">
        <v>195</v>
      </c>
      <c r="L1569" s="64" t="n">
        <v>764.8653312</v>
      </c>
      <c r="M1569" s="64" t="n">
        <v>7.88</v>
      </c>
      <c r="N1569" s="18" t="s">
        <v>1517</v>
      </c>
      <c r="O1569" s="65" t="n">
        <v>6027.1388</v>
      </c>
      <c r="P1569" s="65"/>
      <c r="Q1569" s="65"/>
      <c r="R1569" s="65" t="s">
        <v>232</v>
      </c>
      <c r="S1569" s="66" t="n">
        <f aca="false">Model_Calc!AV265</f>
        <v>6027.138809856</v>
      </c>
      <c r="T1569" s="66" t="n">
        <f aca="false">ROUND(S1569-O1569,4)</f>
        <v>0</v>
      </c>
    </row>
    <row r="1570" customFormat="false" ht="15" hidden="false" customHeight="false" outlineLevel="0" collapsed="false">
      <c r="A1570" s="18" t="s">
        <v>206</v>
      </c>
      <c r="B1570" s="18" t="s">
        <v>207</v>
      </c>
      <c r="C1570" s="18" t="s">
        <v>208</v>
      </c>
      <c r="D1570" s="49" t="n">
        <v>46327</v>
      </c>
      <c r="E1570" s="18" t="s">
        <v>98</v>
      </c>
      <c r="F1570" s="18" t="s">
        <v>99</v>
      </c>
      <c r="G1570" s="18" t="s">
        <v>100</v>
      </c>
      <c r="H1570" s="18" t="s">
        <v>101</v>
      </c>
      <c r="I1570" s="18" t="s">
        <v>102</v>
      </c>
      <c r="J1570" s="18" t="s">
        <v>241</v>
      </c>
      <c r="K1570" s="18" t="s">
        <v>195</v>
      </c>
      <c r="L1570" s="64" t="n">
        <v>184.7149774848</v>
      </c>
      <c r="M1570" s="64" t="n">
        <v>7.88</v>
      </c>
      <c r="N1570" s="18" t="s">
        <v>1518</v>
      </c>
      <c r="O1570" s="65" t="n">
        <v>1455.554</v>
      </c>
      <c r="P1570" s="65"/>
      <c r="Q1570" s="65"/>
      <c r="R1570" s="65" t="s">
        <v>232</v>
      </c>
      <c r="S1570" s="66" t="n">
        <f aca="false">Model_Calc!BA265</f>
        <v>1455.55402258022</v>
      </c>
      <c r="T1570" s="66" t="n">
        <f aca="false">ROUND(S1570-O1570,4)</f>
        <v>0</v>
      </c>
    </row>
    <row r="1571" customFormat="false" ht="15" hidden="false" customHeight="false" outlineLevel="0" collapsed="false">
      <c r="A1571" s="18" t="s">
        <v>206</v>
      </c>
      <c r="B1571" s="18" t="s">
        <v>207</v>
      </c>
      <c r="C1571" s="18" t="s">
        <v>208</v>
      </c>
      <c r="D1571" s="49" t="n">
        <v>46327</v>
      </c>
      <c r="E1571" s="18" t="s">
        <v>106</v>
      </c>
      <c r="F1571" s="18" t="s">
        <v>99</v>
      </c>
      <c r="G1571" s="18" t="s">
        <v>100</v>
      </c>
      <c r="H1571" s="18" t="s">
        <v>107</v>
      </c>
      <c r="I1571" s="18" t="s">
        <v>102</v>
      </c>
      <c r="J1571" s="18" t="s">
        <v>230</v>
      </c>
      <c r="K1571" s="18" t="s">
        <v>195</v>
      </c>
      <c r="L1571" s="64" t="n">
        <v>7435.447100928</v>
      </c>
      <c r="M1571" s="64" t="n">
        <v>7.88</v>
      </c>
      <c r="N1571" s="18" t="s">
        <v>1519</v>
      </c>
      <c r="O1571" s="65" t="n">
        <v>58591.3232</v>
      </c>
      <c r="P1571" s="65"/>
      <c r="Q1571" s="65"/>
      <c r="R1571" s="65" t="s">
        <v>232</v>
      </c>
      <c r="S1571" s="66" t="n">
        <f aca="false">Model_Calc!AF266</f>
        <v>58591.3231553126</v>
      </c>
      <c r="T1571" s="66" t="n">
        <f aca="false">ROUND(S1571-O1571,4)</f>
        <v>0</v>
      </c>
    </row>
    <row r="1572" customFormat="false" ht="15" hidden="false" customHeight="false" outlineLevel="0" collapsed="false">
      <c r="A1572" s="18" t="s">
        <v>206</v>
      </c>
      <c r="B1572" s="18" t="s">
        <v>207</v>
      </c>
      <c r="C1572" s="18" t="s">
        <v>208</v>
      </c>
      <c r="D1572" s="49" t="n">
        <v>46327</v>
      </c>
      <c r="E1572" s="18" t="s">
        <v>106</v>
      </c>
      <c r="F1572" s="18" t="s">
        <v>99</v>
      </c>
      <c r="G1572" s="18" t="s">
        <v>100</v>
      </c>
      <c r="H1572" s="18" t="s">
        <v>107</v>
      </c>
      <c r="I1572" s="18" t="s">
        <v>102</v>
      </c>
      <c r="J1572" s="18" t="s">
        <v>233</v>
      </c>
      <c r="K1572" s="18" t="s">
        <v>195</v>
      </c>
      <c r="L1572" s="64" t="n">
        <v>567.79777861632</v>
      </c>
      <c r="M1572" s="64" t="n">
        <v>7.88</v>
      </c>
      <c r="N1572" s="18" t="s">
        <v>1520</v>
      </c>
      <c r="O1572" s="65" t="n">
        <v>4474.2465</v>
      </c>
      <c r="P1572" s="65"/>
      <c r="Q1572" s="65"/>
      <c r="R1572" s="65" t="s">
        <v>232</v>
      </c>
      <c r="S1572" s="66" t="n">
        <f aca="false">Model_Calc!AG266</f>
        <v>4474.2464954966</v>
      </c>
      <c r="T1572" s="66" t="n">
        <f aca="false">ROUND(S1572-O1572,4)</f>
        <v>0</v>
      </c>
    </row>
    <row r="1573" customFormat="false" ht="15" hidden="false" customHeight="false" outlineLevel="0" collapsed="false">
      <c r="A1573" s="18" t="s">
        <v>206</v>
      </c>
      <c r="B1573" s="18" t="s">
        <v>207</v>
      </c>
      <c r="C1573" s="18" t="s">
        <v>208</v>
      </c>
      <c r="D1573" s="49" t="n">
        <v>46327</v>
      </c>
      <c r="E1573" s="18" t="s">
        <v>106</v>
      </c>
      <c r="F1573" s="18" t="s">
        <v>99</v>
      </c>
      <c r="G1573" s="18" t="s">
        <v>100</v>
      </c>
      <c r="H1573" s="18" t="s">
        <v>107</v>
      </c>
      <c r="I1573" s="18" t="s">
        <v>102</v>
      </c>
      <c r="J1573" s="18" t="s">
        <v>235</v>
      </c>
      <c r="K1573" s="18" t="s">
        <v>195</v>
      </c>
      <c r="L1573" s="64" t="n">
        <v>3905.63460737196</v>
      </c>
      <c r="M1573" s="64" t="n">
        <v>7.88</v>
      </c>
      <c r="N1573" s="18" t="s">
        <v>1521</v>
      </c>
      <c r="O1573" s="65" t="n">
        <v>30776.4007</v>
      </c>
      <c r="P1573" s="65"/>
      <c r="Q1573" s="65"/>
      <c r="R1573" s="65" t="s">
        <v>232</v>
      </c>
      <c r="S1573" s="66" t="n">
        <f aca="false">Model_Calc!AL266</f>
        <v>30776.4007060911</v>
      </c>
      <c r="T1573" s="66" t="n">
        <f aca="false">ROUND(S1573-O1573,4)</f>
        <v>0</v>
      </c>
    </row>
    <row r="1574" customFormat="false" ht="15" hidden="false" customHeight="false" outlineLevel="0" collapsed="false">
      <c r="A1574" s="18" t="s">
        <v>206</v>
      </c>
      <c r="B1574" s="18" t="s">
        <v>207</v>
      </c>
      <c r="C1574" s="18" t="s">
        <v>208</v>
      </c>
      <c r="D1574" s="49" t="n">
        <v>46327</v>
      </c>
      <c r="E1574" s="18" t="s">
        <v>106</v>
      </c>
      <c r="F1574" s="18" t="s">
        <v>99</v>
      </c>
      <c r="G1574" s="18" t="s">
        <v>100</v>
      </c>
      <c r="H1574" s="18" t="s">
        <v>107</v>
      </c>
      <c r="I1574" s="18" t="s">
        <v>102</v>
      </c>
      <c r="J1574" s="18" t="s">
        <v>237</v>
      </c>
      <c r="K1574" s="18" t="s">
        <v>195</v>
      </c>
      <c r="L1574" s="64" t="n">
        <v>1405.44004608</v>
      </c>
      <c r="M1574" s="64" t="n">
        <v>7.88</v>
      </c>
      <c r="N1574" s="18" t="s">
        <v>1522</v>
      </c>
      <c r="O1574" s="65" t="n">
        <v>11074.8676</v>
      </c>
      <c r="P1574" s="65"/>
      <c r="Q1574" s="65"/>
      <c r="R1574" s="65" t="s">
        <v>232</v>
      </c>
      <c r="S1574" s="66" t="n">
        <f aca="false">Model_Calc!AQ266</f>
        <v>11074.8675631104</v>
      </c>
      <c r="T1574" s="66" t="n">
        <f aca="false">ROUND(S1574-O1574,4)</f>
        <v>0</v>
      </c>
    </row>
    <row r="1575" customFormat="false" ht="15" hidden="false" customHeight="false" outlineLevel="0" collapsed="false">
      <c r="A1575" s="18" t="s">
        <v>206</v>
      </c>
      <c r="B1575" s="18" t="s">
        <v>207</v>
      </c>
      <c r="C1575" s="18" t="s">
        <v>208</v>
      </c>
      <c r="D1575" s="49" t="n">
        <v>46327</v>
      </c>
      <c r="E1575" s="18" t="s">
        <v>106</v>
      </c>
      <c r="F1575" s="18" t="s">
        <v>99</v>
      </c>
      <c r="G1575" s="18" t="s">
        <v>100</v>
      </c>
      <c r="H1575" s="18" t="s">
        <v>107</v>
      </c>
      <c r="I1575" s="18" t="s">
        <v>102</v>
      </c>
      <c r="J1575" s="18" t="s">
        <v>239</v>
      </c>
      <c r="K1575" s="18" t="s">
        <v>195</v>
      </c>
      <c r="L1575" s="64" t="n">
        <v>509.9102208</v>
      </c>
      <c r="M1575" s="64" t="n">
        <v>7.88</v>
      </c>
      <c r="N1575" s="18" t="s">
        <v>1523</v>
      </c>
      <c r="O1575" s="65" t="n">
        <v>4018.0925</v>
      </c>
      <c r="P1575" s="65"/>
      <c r="Q1575" s="65"/>
      <c r="R1575" s="65" t="s">
        <v>232</v>
      </c>
      <c r="S1575" s="66" t="n">
        <f aca="false">Model_Calc!AV266</f>
        <v>4018.092539904</v>
      </c>
      <c r="T1575" s="66" t="n">
        <f aca="false">ROUND(S1575-O1575,4)</f>
        <v>0</v>
      </c>
    </row>
    <row r="1576" customFormat="false" ht="15" hidden="false" customHeight="false" outlineLevel="0" collapsed="false">
      <c r="A1576" s="18" t="s">
        <v>206</v>
      </c>
      <c r="B1576" s="18" t="s">
        <v>207</v>
      </c>
      <c r="C1576" s="18" t="s">
        <v>208</v>
      </c>
      <c r="D1576" s="49" t="n">
        <v>46327</v>
      </c>
      <c r="E1576" s="18" t="s">
        <v>106</v>
      </c>
      <c r="F1576" s="18" t="s">
        <v>99</v>
      </c>
      <c r="G1576" s="18" t="s">
        <v>100</v>
      </c>
      <c r="H1576" s="18" t="s">
        <v>107</v>
      </c>
      <c r="I1576" s="18" t="s">
        <v>102</v>
      </c>
      <c r="J1576" s="18" t="s">
        <v>241</v>
      </c>
      <c r="K1576" s="18" t="s">
        <v>195</v>
      </c>
      <c r="L1576" s="64" t="n">
        <v>100.0539461376</v>
      </c>
      <c r="M1576" s="64" t="n">
        <v>7.88</v>
      </c>
      <c r="N1576" s="18" t="s">
        <v>1524</v>
      </c>
      <c r="O1576" s="65" t="n">
        <v>788.4251</v>
      </c>
      <c r="P1576" s="65"/>
      <c r="Q1576" s="65"/>
      <c r="R1576" s="65" t="s">
        <v>232</v>
      </c>
      <c r="S1576" s="66" t="n">
        <f aca="false">Model_Calc!BA266</f>
        <v>788.425095564288</v>
      </c>
      <c r="T1576" s="66" t="n">
        <f aca="false">ROUND(S1576-O1576,4)</f>
        <v>0</v>
      </c>
    </row>
    <row r="1577" customFormat="false" ht="15" hidden="false" customHeight="false" outlineLevel="0" collapsed="false">
      <c r="A1577" s="18" t="s">
        <v>206</v>
      </c>
      <c r="B1577" s="18" t="s">
        <v>207</v>
      </c>
      <c r="C1577" s="18" t="s">
        <v>208</v>
      </c>
      <c r="D1577" s="49" t="n">
        <v>46327</v>
      </c>
      <c r="E1577" s="18" t="s">
        <v>109</v>
      </c>
      <c r="F1577" s="18" t="s">
        <v>99</v>
      </c>
      <c r="G1577" s="18" t="s">
        <v>110</v>
      </c>
      <c r="H1577" s="18" t="s">
        <v>107</v>
      </c>
      <c r="I1577" s="18" t="s">
        <v>102</v>
      </c>
      <c r="J1577" s="18" t="s">
        <v>230</v>
      </c>
      <c r="K1577" s="18" t="s">
        <v>195</v>
      </c>
      <c r="L1577" s="64" t="n">
        <v>762.81773939712</v>
      </c>
      <c r="M1577" s="64" t="n">
        <v>7.88</v>
      </c>
      <c r="N1577" s="18" t="s">
        <v>1525</v>
      </c>
      <c r="O1577" s="65" t="n">
        <v>6011.0038</v>
      </c>
      <c r="P1577" s="65"/>
      <c r="Q1577" s="65"/>
      <c r="R1577" s="65" t="s">
        <v>232</v>
      </c>
      <c r="S1577" s="66" t="n">
        <f aca="false">Model_Calc!AF267</f>
        <v>6011.00378644931</v>
      </c>
      <c r="T1577" s="66" t="n">
        <f aca="false">ROUND(S1577-O1577,4)</f>
        <v>0</v>
      </c>
    </row>
    <row r="1578" customFormat="false" ht="15" hidden="false" customHeight="false" outlineLevel="0" collapsed="false">
      <c r="A1578" s="18" t="s">
        <v>206</v>
      </c>
      <c r="B1578" s="18" t="s">
        <v>207</v>
      </c>
      <c r="C1578" s="18" t="s">
        <v>208</v>
      </c>
      <c r="D1578" s="49" t="n">
        <v>46327</v>
      </c>
      <c r="E1578" s="18" t="s">
        <v>109</v>
      </c>
      <c r="F1578" s="18" t="s">
        <v>99</v>
      </c>
      <c r="G1578" s="18" t="s">
        <v>110</v>
      </c>
      <c r="H1578" s="18" t="s">
        <v>107</v>
      </c>
      <c r="I1578" s="18" t="s">
        <v>102</v>
      </c>
      <c r="J1578" s="18" t="s">
        <v>233</v>
      </c>
      <c r="K1578" s="18" t="s">
        <v>195</v>
      </c>
      <c r="L1578" s="64" t="n">
        <v>55.477653774336</v>
      </c>
      <c r="M1578" s="64" t="n">
        <v>7.88</v>
      </c>
      <c r="N1578" s="18" t="s">
        <v>1526</v>
      </c>
      <c r="O1578" s="65" t="n">
        <v>437.1639</v>
      </c>
      <c r="P1578" s="65"/>
      <c r="Q1578" s="65"/>
      <c r="R1578" s="65" t="s">
        <v>232</v>
      </c>
      <c r="S1578" s="66" t="n">
        <f aca="false">Model_Calc!AG267</f>
        <v>437.163911741768</v>
      </c>
      <c r="T1578" s="66" t="n">
        <f aca="false">ROUND(S1578-O1578,4)</f>
        <v>0</v>
      </c>
    </row>
    <row r="1579" customFormat="false" ht="15" hidden="false" customHeight="false" outlineLevel="0" collapsed="false">
      <c r="A1579" s="18" t="s">
        <v>206</v>
      </c>
      <c r="B1579" s="18" t="s">
        <v>207</v>
      </c>
      <c r="C1579" s="18" t="s">
        <v>208</v>
      </c>
      <c r="D1579" s="49" t="n">
        <v>46327</v>
      </c>
      <c r="E1579" s="18" t="s">
        <v>109</v>
      </c>
      <c r="F1579" s="18" t="s">
        <v>99</v>
      </c>
      <c r="G1579" s="18" t="s">
        <v>110</v>
      </c>
      <c r="H1579" s="18" t="s">
        <v>107</v>
      </c>
      <c r="I1579" s="18" t="s">
        <v>102</v>
      </c>
      <c r="J1579" s="18" t="s">
        <v>235</v>
      </c>
      <c r="K1579" s="18" t="s">
        <v>195</v>
      </c>
      <c r="L1579" s="64" t="n">
        <v>258.73344</v>
      </c>
      <c r="M1579" s="64" t="n">
        <v>7.88</v>
      </c>
      <c r="N1579" s="18" t="s">
        <v>1527</v>
      </c>
      <c r="O1579" s="65" t="n">
        <v>2038.8195</v>
      </c>
      <c r="P1579" s="65"/>
      <c r="Q1579" s="65"/>
      <c r="R1579" s="65" t="s">
        <v>232</v>
      </c>
      <c r="S1579" s="66" t="n">
        <f aca="false">Model_Calc!AL267</f>
        <v>2038.8195072</v>
      </c>
      <c r="T1579" s="66" t="n">
        <f aca="false">ROUND(S1579-O1579,4)</f>
        <v>0</v>
      </c>
    </row>
    <row r="1580" customFormat="false" ht="15" hidden="false" customHeight="false" outlineLevel="0" collapsed="false">
      <c r="A1580" s="18" t="s">
        <v>206</v>
      </c>
      <c r="B1580" s="18" t="s">
        <v>207</v>
      </c>
      <c r="C1580" s="18" t="s">
        <v>208</v>
      </c>
      <c r="D1580" s="49" t="n">
        <v>46327</v>
      </c>
      <c r="E1580" s="18" t="s">
        <v>109</v>
      </c>
      <c r="F1580" s="18" t="s">
        <v>99</v>
      </c>
      <c r="G1580" s="18" t="s">
        <v>110</v>
      </c>
      <c r="H1580" s="18" t="s">
        <v>107</v>
      </c>
      <c r="I1580" s="18" t="s">
        <v>102</v>
      </c>
      <c r="J1580" s="18" t="s">
        <v>237</v>
      </c>
      <c r="K1580" s="18" t="s">
        <v>195</v>
      </c>
      <c r="L1580" s="64" t="n">
        <v>101.12781312</v>
      </c>
      <c r="M1580" s="64" t="n">
        <v>7.88</v>
      </c>
      <c r="N1580" s="18" t="s">
        <v>1528</v>
      </c>
      <c r="O1580" s="65" t="n">
        <v>796.8872</v>
      </c>
      <c r="P1580" s="65"/>
      <c r="Q1580" s="65"/>
      <c r="R1580" s="65" t="s">
        <v>232</v>
      </c>
      <c r="S1580" s="66" t="n">
        <f aca="false">Model_Calc!AQ267</f>
        <v>796.8871673856</v>
      </c>
      <c r="T1580" s="66" t="n">
        <f aca="false">ROUND(S1580-O1580,4)</f>
        <v>0</v>
      </c>
    </row>
    <row r="1581" customFormat="false" ht="15" hidden="false" customHeight="false" outlineLevel="0" collapsed="false">
      <c r="A1581" s="18" t="s">
        <v>206</v>
      </c>
      <c r="B1581" s="18" t="s">
        <v>207</v>
      </c>
      <c r="C1581" s="18" t="s">
        <v>208</v>
      </c>
      <c r="D1581" s="49" t="n">
        <v>46327</v>
      </c>
      <c r="E1581" s="18" t="s">
        <v>109</v>
      </c>
      <c r="F1581" s="18" t="s">
        <v>99</v>
      </c>
      <c r="G1581" s="18" t="s">
        <v>110</v>
      </c>
      <c r="H1581" s="18" t="s">
        <v>107</v>
      </c>
      <c r="I1581" s="18" t="s">
        <v>102</v>
      </c>
      <c r="J1581" s="18" t="s">
        <v>239</v>
      </c>
      <c r="K1581" s="18" t="s">
        <v>195</v>
      </c>
      <c r="L1581" s="64" t="n">
        <v>46.818432</v>
      </c>
      <c r="M1581" s="64" t="n">
        <v>7.88</v>
      </c>
      <c r="N1581" s="18" t="s">
        <v>1529</v>
      </c>
      <c r="O1581" s="65" t="n">
        <v>368.9292</v>
      </c>
      <c r="P1581" s="65"/>
      <c r="Q1581" s="65"/>
      <c r="R1581" s="65" t="s">
        <v>232</v>
      </c>
      <c r="S1581" s="66" t="n">
        <f aca="false">Model_Calc!AV267</f>
        <v>368.92924416</v>
      </c>
      <c r="T1581" s="66" t="n">
        <f aca="false">ROUND(S1581-O1581,4)</f>
        <v>0</v>
      </c>
    </row>
    <row r="1582" customFormat="false" ht="15" hidden="false" customHeight="false" outlineLevel="0" collapsed="false">
      <c r="A1582" s="18" t="s">
        <v>206</v>
      </c>
      <c r="B1582" s="18" t="s">
        <v>207</v>
      </c>
      <c r="C1582" s="18" t="s">
        <v>208</v>
      </c>
      <c r="D1582" s="49" t="n">
        <v>46327</v>
      </c>
      <c r="E1582" s="18" t="s">
        <v>109</v>
      </c>
      <c r="F1582" s="18" t="s">
        <v>99</v>
      </c>
      <c r="G1582" s="18" t="s">
        <v>110</v>
      </c>
      <c r="H1582" s="18" t="s">
        <v>107</v>
      </c>
      <c r="I1582" s="18" t="s">
        <v>102</v>
      </c>
      <c r="J1582" s="18" t="s">
        <v>241</v>
      </c>
      <c r="K1582" s="18" t="s">
        <v>195</v>
      </c>
      <c r="L1582" s="64" t="n">
        <v>8.5692515328</v>
      </c>
      <c r="M1582" s="64" t="n">
        <v>7.88</v>
      </c>
      <c r="N1582" s="18" t="s">
        <v>1530</v>
      </c>
      <c r="O1582" s="65" t="n">
        <v>67.5257</v>
      </c>
      <c r="P1582" s="65"/>
      <c r="Q1582" s="65"/>
      <c r="R1582" s="65" t="s">
        <v>232</v>
      </c>
      <c r="S1582" s="66" t="n">
        <f aca="false">Model_Calc!BA267</f>
        <v>67.525702078464</v>
      </c>
      <c r="T1582" s="66" t="n">
        <f aca="false">ROUND(S1582-O1582,4)</f>
        <v>0</v>
      </c>
    </row>
    <row r="1583" customFormat="false" ht="15" hidden="false" customHeight="false" outlineLevel="0" collapsed="false">
      <c r="A1583" s="18" t="s">
        <v>206</v>
      </c>
      <c r="B1583" s="18" t="s">
        <v>207</v>
      </c>
      <c r="C1583" s="18" t="s">
        <v>208</v>
      </c>
      <c r="D1583" s="49" t="n">
        <v>46327</v>
      </c>
      <c r="E1583" s="18" t="s">
        <v>112</v>
      </c>
      <c r="F1583" s="18" t="s">
        <v>113</v>
      </c>
      <c r="G1583" s="18" t="s">
        <v>110</v>
      </c>
      <c r="H1583" s="18" t="s">
        <v>101</v>
      </c>
      <c r="I1583" s="18" t="s">
        <v>102</v>
      </c>
      <c r="J1583" s="18" t="s">
        <v>230</v>
      </c>
      <c r="K1583" s="18" t="s">
        <v>195</v>
      </c>
      <c r="L1583" s="64" t="n">
        <v>4451.6211686352</v>
      </c>
      <c r="M1583" s="64" t="n">
        <v>7.88</v>
      </c>
      <c r="N1583" s="18" t="s">
        <v>1531</v>
      </c>
      <c r="O1583" s="65" t="n">
        <v>35078.7748</v>
      </c>
      <c r="P1583" s="65"/>
      <c r="Q1583" s="65"/>
      <c r="R1583" s="65" t="s">
        <v>232</v>
      </c>
      <c r="S1583" s="66" t="n">
        <f aca="false">Model_Calc!AF268</f>
        <v>35078.7748088454</v>
      </c>
      <c r="T1583" s="66" t="n">
        <f aca="false">ROUND(S1583-O1583,4)</f>
        <v>0</v>
      </c>
    </row>
    <row r="1584" customFormat="false" ht="15" hidden="false" customHeight="false" outlineLevel="0" collapsed="false">
      <c r="A1584" s="18" t="s">
        <v>206</v>
      </c>
      <c r="B1584" s="18" t="s">
        <v>207</v>
      </c>
      <c r="C1584" s="18" t="s">
        <v>208</v>
      </c>
      <c r="D1584" s="49" t="n">
        <v>46327</v>
      </c>
      <c r="E1584" s="18" t="s">
        <v>112</v>
      </c>
      <c r="F1584" s="18" t="s">
        <v>113</v>
      </c>
      <c r="G1584" s="18" t="s">
        <v>110</v>
      </c>
      <c r="H1584" s="18" t="s">
        <v>101</v>
      </c>
      <c r="I1584" s="18" t="s">
        <v>102</v>
      </c>
      <c r="J1584" s="18" t="s">
        <v>233</v>
      </c>
      <c r="K1584" s="18" t="s">
        <v>195</v>
      </c>
      <c r="L1584" s="64" t="n">
        <v>414.668511858369</v>
      </c>
      <c r="M1584" s="64" t="n">
        <v>7.88</v>
      </c>
      <c r="N1584" s="18" t="s">
        <v>1532</v>
      </c>
      <c r="O1584" s="65" t="n">
        <v>3267.5879</v>
      </c>
      <c r="P1584" s="65"/>
      <c r="Q1584" s="65"/>
      <c r="R1584" s="65" t="s">
        <v>232</v>
      </c>
      <c r="S1584" s="66" t="n">
        <f aca="false">Model_Calc!AG268</f>
        <v>3267.58787344395</v>
      </c>
      <c r="T1584" s="66" t="n">
        <f aca="false">ROUND(S1584-O1584,4)</f>
        <v>0</v>
      </c>
    </row>
    <row r="1585" customFormat="false" ht="15" hidden="false" customHeight="false" outlineLevel="0" collapsed="false">
      <c r="A1585" s="18" t="s">
        <v>206</v>
      </c>
      <c r="B1585" s="18" t="s">
        <v>207</v>
      </c>
      <c r="C1585" s="18" t="s">
        <v>208</v>
      </c>
      <c r="D1585" s="49" t="n">
        <v>46327</v>
      </c>
      <c r="E1585" s="18" t="s">
        <v>112</v>
      </c>
      <c r="F1585" s="18" t="s">
        <v>113</v>
      </c>
      <c r="G1585" s="18" t="s">
        <v>110</v>
      </c>
      <c r="H1585" s="18" t="s">
        <v>101</v>
      </c>
      <c r="I1585" s="18" t="s">
        <v>102</v>
      </c>
      <c r="J1585" s="18" t="s">
        <v>235</v>
      </c>
      <c r="K1585" s="18" t="s">
        <v>195</v>
      </c>
      <c r="L1585" s="64" t="n">
        <v>2735.5671</v>
      </c>
      <c r="M1585" s="64" t="n">
        <v>7.88</v>
      </c>
      <c r="N1585" s="18" t="s">
        <v>1533</v>
      </c>
      <c r="O1585" s="65" t="n">
        <v>21556.2687</v>
      </c>
      <c r="P1585" s="65"/>
      <c r="Q1585" s="65"/>
      <c r="R1585" s="65" t="s">
        <v>232</v>
      </c>
      <c r="S1585" s="66" t="n">
        <f aca="false">Model_Calc!AL268</f>
        <v>21556.268748</v>
      </c>
      <c r="T1585" s="66" t="n">
        <f aca="false">ROUND(S1585-O1585,4)</f>
        <v>0</v>
      </c>
    </row>
    <row r="1586" customFormat="false" ht="15" hidden="false" customHeight="false" outlineLevel="0" collapsed="false">
      <c r="A1586" s="18" t="s">
        <v>206</v>
      </c>
      <c r="B1586" s="18" t="s">
        <v>207</v>
      </c>
      <c r="C1586" s="18" t="s">
        <v>208</v>
      </c>
      <c r="D1586" s="49" t="n">
        <v>46327</v>
      </c>
      <c r="E1586" s="18" t="s">
        <v>112</v>
      </c>
      <c r="F1586" s="18" t="s">
        <v>113</v>
      </c>
      <c r="G1586" s="18" t="s">
        <v>110</v>
      </c>
      <c r="H1586" s="18" t="s">
        <v>101</v>
      </c>
      <c r="I1586" s="18" t="s">
        <v>102</v>
      </c>
      <c r="J1586" s="18" t="s">
        <v>237</v>
      </c>
      <c r="K1586" s="18" t="s">
        <v>195</v>
      </c>
      <c r="L1586" s="64" t="n">
        <v>1049.4156456</v>
      </c>
      <c r="M1586" s="64" t="n">
        <v>7.88</v>
      </c>
      <c r="N1586" s="18" t="s">
        <v>1534</v>
      </c>
      <c r="O1586" s="65" t="n">
        <v>8269.3953</v>
      </c>
      <c r="P1586" s="65"/>
      <c r="Q1586" s="65"/>
      <c r="R1586" s="65" t="s">
        <v>232</v>
      </c>
      <c r="S1586" s="66" t="n">
        <f aca="false">Model_Calc!AQ268</f>
        <v>8269.395287328</v>
      </c>
      <c r="T1586" s="66" t="n">
        <f aca="false">ROUND(S1586-O1586,4)</f>
        <v>0</v>
      </c>
    </row>
    <row r="1587" customFormat="false" ht="15" hidden="false" customHeight="false" outlineLevel="0" collapsed="false">
      <c r="A1587" s="18" t="s">
        <v>206</v>
      </c>
      <c r="B1587" s="18" t="s">
        <v>207</v>
      </c>
      <c r="C1587" s="18" t="s">
        <v>208</v>
      </c>
      <c r="D1587" s="49" t="n">
        <v>46327</v>
      </c>
      <c r="E1587" s="18" t="s">
        <v>112</v>
      </c>
      <c r="F1587" s="18" t="s">
        <v>113</v>
      </c>
      <c r="G1587" s="18" t="s">
        <v>110</v>
      </c>
      <c r="H1587" s="18" t="s">
        <v>101</v>
      </c>
      <c r="I1587" s="18" t="s">
        <v>102</v>
      </c>
      <c r="J1587" s="18" t="s">
        <v>239</v>
      </c>
      <c r="K1587" s="18" t="s">
        <v>195</v>
      </c>
      <c r="L1587" s="64" t="n">
        <v>468.95436</v>
      </c>
      <c r="M1587" s="64" t="n">
        <v>7.88</v>
      </c>
      <c r="N1587" s="18" t="s">
        <v>1535</v>
      </c>
      <c r="O1587" s="65" t="n">
        <v>3695.3604</v>
      </c>
      <c r="P1587" s="65"/>
      <c r="Q1587" s="65"/>
      <c r="R1587" s="65" t="s">
        <v>232</v>
      </c>
      <c r="S1587" s="66" t="n">
        <f aca="false">Model_Calc!AV268</f>
        <v>3695.3603568</v>
      </c>
      <c r="T1587" s="66" t="n">
        <f aca="false">ROUND(S1587-O1587,4)</f>
        <v>0</v>
      </c>
    </row>
    <row r="1588" customFormat="false" ht="15" hidden="false" customHeight="false" outlineLevel="0" collapsed="false">
      <c r="A1588" s="18" t="s">
        <v>206</v>
      </c>
      <c r="B1588" s="18" t="s">
        <v>207</v>
      </c>
      <c r="C1588" s="18" t="s">
        <v>208</v>
      </c>
      <c r="D1588" s="49" t="n">
        <v>46327</v>
      </c>
      <c r="E1588" s="18" t="s">
        <v>112</v>
      </c>
      <c r="F1588" s="18" t="s">
        <v>113</v>
      </c>
      <c r="G1588" s="18" t="s">
        <v>110</v>
      </c>
      <c r="H1588" s="18" t="s">
        <v>101</v>
      </c>
      <c r="I1588" s="18" t="s">
        <v>102</v>
      </c>
      <c r="J1588" s="18" t="s">
        <v>241</v>
      </c>
      <c r="K1588" s="18" t="s">
        <v>195</v>
      </c>
      <c r="L1588" s="64" t="n">
        <v>107.979346692</v>
      </c>
      <c r="M1588" s="64" t="n">
        <v>7.88</v>
      </c>
      <c r="N1588" s="18" t="s">
        <v>1536</v>
      </c>
      <c r="O1588" s="65" t="n">
        <v>850.8773</v>
      </c>
      <c r="P1588" s="65"/>
      <c r="Q1588" s="65"/>
      <c r="R1588" s="65" t="s">
        <v>232</v>
      </c>
      <c r="S1588" s="66" t="n">
        <f aca="false">Model_Calc!BA268</f>
        <v>850.87725193296</v>
      </c>
      <c r="T1588" s="66" t="n">
        <f aca="false">ROUND(S1588-O1588,4)</f>
        <v>0</v>
      </c>
    </row>
    <row r="1589" customFormat="false" ht="15" hidden="false" customHeight="false" outlineLevel="0" collapsed="false">
      <c r="A1589" s="18" t="s">
        <v>206</v>
      </c>
      <c r="B1589" s="18" t="s">
        <v>207</v>
      </c>
      <c r="C1589" s="18" t="s">
        <v>208</v>
      </c>
      <c r="D1589" s="49" t="n">
        <v>46327</v>
      </c>
      <c r="E1589" s="18" t="s">
        <v>116</v>
      </c>
      <c r="F1589" s="18" t="s">
        <v>113</v>
      </c>
      <c r="G1589" s="18" t="s">
        <v>110</v>
      </c>
      <c r="H1589" s="18" t="s">
        <v>107</v>
      </c>
      <c r="I1589" s="18" t="s">
        <v>102</v>
      </c>
      <c r="J1589" s="18" t="s">
        <v>230</v>
      </c>
      <c r="K1589" s="18" t="s">
        <v>195</v>
      </c>
      <c r="L1589" s="64" t="n">
        <v>10639.7411783832</v>
      </c>
      <c r="M1589" s="64" t="n">
        <v>7.88</v>
      </c>
      <c r="N1589" s="18" t="s">
        <v>1537</v>
      </c>
      <c r="O1589" s="65" t="n">
        <v>83841.1605</v>
      </c>
      <c r="P1589" s="65"/>
      <c r="Q1589" s="65"/>
      <c r="R1589" s="65" t="s">
        <v>232</v>
      </c>
      <c r="S1589" s="66" t="n">
        <f aca="false">Model_Calc!AF269</f>
        <v>83841.1604856596</v>
      </c>
      <c r="T1589" s="66" t="n">
        <f aca="false">ROUND(S1589-O1589,4)</f>
        <v>0</v>
      </c>
    </row>
    <row r="1590" customFormat="false" ht="15" hidden="false" customHeight="false" outlineLevel="0" collapsed="false">
      <c r="A1590" s="18" t="s">
        <v>206</v>
      </c>
      <c r="B1590" s="18" t="s">
        <v>207</v>
      </c>
      <c r="C1590" s="18" t="s">
        <v>208</v>
      </c>
      <c r="D1590" s="49" t="n">
        <v>46327</v>
      </c>
      <c r="E1590" s="18" t="s">
        <v>116</v>
      </c>
      <c r="F1590" s="18" t="s">
        <v>113</v>
      </c>
      <c r="G1590" s="18" t="s">
        <v>110</v>
      </c>
      <c r="H1590" s="18" t="s">
        <v>107</v>
      </c>
      <c r="I1590" s="18" t="s">
        <v>102</v>
      </c>
      <c r="J1590" s="18" t="s">
        <v>233</v>
      </c>
      <c r="K1590" s="18" t="s">
        <v>195</v>
      </c>
      <c r="L1590" s="64" t="n">
        <v>818.4416291064</v>
      </c>
      <c r="M1590" s="64" t="n">
        <v>7.88</v>
      </c>
      <c r="N1590" s="18" t="s">
        <v>1538</v>
      </c>
      <c r="O1590" s="65" t="n">
        <v>6449.32</v>
      </c>
      <c r="P1590" s="65"/>
      <c r="Q1590" s="65"/>
      <c r="R1590" s="65" t="s">
        <v>232</v>
      </c>
      <c r="S1590" s="66" t="n">
        <f aca="false">Model_Calc!AG269</f>
        <v>6449.32003735843</v>
      </c>
      <c r="T1590" s="66" t="n">
        <f aca="false">ROUND(S1590-O1590,4)</f>
        <v>0</v>
      </c>
    </row>
    <row r="1591" customFormat="false" ht="15" hidden="false" customHeight="false" outlineLevel="0" collapsed="false">
      <c r="A1591" s="18" t="s">
        <v>206</v>
      </c>
      <c r="B1591" s="18" t="s">
        <v>207</v>
      </c>
      <c r="C1591" s="18" t="s">
        <v>208</v>
      </c>
      <c r="D1591" s="49" t="n">
        <v>46327</v>
      </c>
      <c r="E1591" s="18" t="s">
        <v>116</v>
      </c>
      <c r="F1591" s="18" t="s">
        <v>113</v>
      </c>
      <c r="G1591" s="18" t="s">
        <v>110</v>
      </c>
      <c r="H1591" s="18" t="s">
        <v>107</v>
      </c>
      <c r="I1591" s="18" t="s">
        <v>102</v>
      </c>
      <c r="J1591" s="18" t="s">
        <v>235</v>
      </c>
      <c r="K1591" s="18" t="s">
        <v>195</v>
      </c>
      <c r="L1591" s="64" t="n">
        <v>5080.3389</v>
      </c>
      <c r="M1591" s="64" t="n">
        <v>7.88</v>
      </c>
      <c r="N1591" s="18" t="s">
        <v>1539</v>
      </c>
      <c r="O1591" s="65" t="n">
        <v>40033.0705</v>
      </c>
      <c r="P1591" s="65"/>
      <c r="Q1591" s="65"/>
      <c r="R1591" s="65" t="s">
        <v>232</v>
      </c>
      <c r="S1591" s="66" t="n">
        <f aca="false">Model_Calc!AL269</f>
        <v>40033.070532</v>
      </c>
      <c r="T1591" s="66" t="n">
        <f aca="false">ROUND(S1591-O1591,4)</f>
        <v>0</v>
      </c>
    </row>
    <row r="1592" customFormat="false" ht="15" hidden="false" customHeight="false" outlineLevel="0" collapsed="false">
      <c r="A1592" s="18" t="s">
        <v>206</v>
      </c>
      <c r="B1592" s="18" t="s">
        <v>207</v>
      </c>
      <c r="C1592" s="18" t="s">
        <v>208</v>
      </c>
      <c r="D1592" s="49" t="n">
        <v>46327</v>
      </c>
      <c r="E1592" s="18" t="s">
        <v>116</v>
      </c>
      <c r="F1592" s="18" t="s">
        <v>113</v>
      </c>
      <c r="G1592" s="18" t="s">
        <v>110</v>
      </c>
      <c r="H1592" s="18" t="s">
        <v>107</v>
      </c>
      <c r="I1592" s="18" t="s">
        <v>102</v>
      </c>
      <c r="J1592" s="18" t="s">
        <v>237</v>
      </c>
      <c r="K1592" s="18" t="s">
        <v>195</v>
      </c>
      <c r="L1592" s="64" t="n">
        <v>1948.9147704</v>
      </c>
      <c r="M1592" s="64" t="n">
        <v>7.88</v>
      </c>
      <c r="N1592" s="18" t="s">
        <v>1540</v>
      </c>
      <c r="O1592" s="65" t="n">
        <v>15357.4484</v>
      </c>
      <c r="P1592" s="65"/>
      <c r="Q1592" s="65"/>
      <c r="R1592" s="65" t="s">
        <v>232</v>
      </c>
      <c r="S1592" s="66" t="n">
        <f aca="false">Model_Calc!AQ269</f>
        <v>15357.448390752</v>
      </c>
      <c r="T1592" s="66" t="n">
        <f aca="false">ROUND(S1592-O1592,4)</f>
        <v>0</v>
      </c>
    </row>
    <row r="1593" customFormat="false" ht="15" hidden="false" customHeight="false" outlineLevel="0" collapsed="false">
      <c r="A1593" s="18" t="s">
        <v>206</v>
      </c>
      <c r="B1593" s="18" t="s">
        <v>207</v>
      </c>
      <c r="C1593" s="18" t="s">
        <v>208</v>
      </c>
      <c r="D1593" s="49" t="n">
        <v>46327</v>
      </c>
      <c r="E1593" s="18" t="s">
        <v>116</v>
      </c>
      <c r="F1593" s="18" t="s">
        <v>113</v>
      </c>
      <c r="G1593" s="18" t="s">
        <v>110</v>
      </c>
      <c r="H1593" s="18" t="s">
        <v>107</v>
      </c>
      <c r="I1593" s="18" t="s">
        <v>102</v>
      </c>
      <c r="J1593" s="18" t="s">
        <v>239</v>
      </c>
      <c r="K1593" s="18" t="s">
        <v>195</v>
      </c>
      <c r="L1593" s="64" t="n">
        <v>870.91524</v>
      </c>
      <c r="M1593" s="64" t="n">
        <v>7.88</v>
      </c>
      <c r="N1593" s="18" t="s">
        <v>1541</v>
      </c>
      <c r="O1593" s="65" t="n">
        <v>6862.8121</v>
      </c>
      <c r="P1593" s="65"/>
      <c r="Q1593" s="65"/>
      <c r="R1593" s="65" t="s">
        <v>232</v>
      </c>
      <c r="S1593" s="66" t="n">
        <f aca="false">Model_Calc!AV269</f>
        <v>6862.8120912</v>
      </c>
      <c r="T1593" s="66" t="n">
        <f aca="false">ROUND(S1593-O1593,4)</f>
        <v>0</v>
      </c>
    </row>
    <row r="1594" customFormat="false" ht="15" hidden="false" customHeight="false" outlineLevel="0" collapsed="false">
      <c r="A1594" s="18" t="s">
        <v>206</v>
      </c>
      <c r="B1594" s="18" t="s">
        <v>207</v>
      </c>
      <c r="C1594" s="18" t="s">
        <v>208</v>
      </c>
      <c r="D1594" s="49" t="n">
        <v>46327</v>
      </c>
      <c r="E1594" s="18" t="s">
        <v>116</v>
      </c>
      <c r="F1594" s="18" t="s">
        <v>113</v>
      </c>
      <c r="G1594" s="18" t="s">
        <v>110</v>
      </c>
      <c r="H1594" s="18" t="s">
        <v>107</v>
      </c>
      <c r="I1594" s="18" t="s">
        <v>102</v>
      </c>
      <c r="J1594" s="18" t="s">
        <v>241</v>
      </c>
      <c r="K1594" s="18" t="s">
        <v>195</v>
      </c>
      <c r="L1594" s="64" t="n">
        <v>165.144883176</v>
      </c>
      <c r="M1594" s="64" t="n">
        <v>7.88</v>
      </c>
      <c r="N1594" s="18" t="s">
        <v>1542</v>
      </c>
      <c r="O1594" s="65" t="n">
        <v>1301.3417</v>
      </c>
      <c r="P1594" s="65"/>
      <c r="Q1594" s="65"/>
      <c r="R1594" s="65" t="s">
        <v>232</v>
      </c>
      <c r="S1594" s="66" t="n">
        <f aca="false">Model_Calc!BA269</f>
        <v>1301.34167942688</v>
      </c>
      <c r="T1594" s="66" t="n">
        <f aca="false">ROUND(S1594-O1594,4)</f>
        <v>0</v>
      </c>
    </row>
    <row r="1595" customFormat="false" ht="15" hidden="false" customHeight="false" outlineLevel="0" collapsed="false">
      <c r="A1595" s="18" t="s">
        <v>206</v>
      </c>
      <c r="B1595" s="18" t="s">
        <v>207</v>
      </c>
      <c r="C1595" s="18" t="s">
        <v>208</v>
      </c>
      <c r="D1595" s="49" t="n">
        <v>46327</v>
      </c>
      <c r="E1595" s="18" t="s">
        <v>118</v>
      </c>
      <c r="F1595" s="18" t="s">
        <v>119</v>
      </c>
      <c r="G1595" s="18" t="s">
        <v>100</v>
      </c>
      <c r="H1595" s="18" t="s">
        <v>101</v>
      </c>
      <c r="I1595" s="18" t="s">
        <v>102</v>
      </c>
      <c r="J1595" s="18" t="s">
        <v>230</v>
      </c>
      <c r="K1595" s="18" t="s">
        <v>199</v>
      </c>
      <c r="L1595" s="64" t="n">
        <v>19849.27878413</v>
      </c>
      <c r="M1595" s="64" t="n">
        <v>9.05</v>
      </c>
      <c r="N1595" s="18" t="s">
        <v>1543</v>
      </c>
      <c r="O1595" s="65" t="n">
        <v>179635.973</v>
      </c>
      <c r="P1595" s="65"/>
      <c r="Q1595" s="65"/>
      <c r="R1595" s="65" t="s">
        <v>232</v>
      </c>
      <c r="S1595" s="66" t="n">
        <f aca="false">Model_Calc!AF270</f>
        <v>179635.972996376</v>
      </c>
      <c r="T1595" s="66" t="n">
        <f aca="false">ROUND(S1595-O1595,4)</f>
        <v>0</v>
      </c>
    </row>
    <row r="1596" customFormat="false" ht="15" hidden="false" customHeight="false" outlineLevel="0" collapsed="false">
      <c r="A1596" s="18" t="s">
        <v>206</v>
      </c>
      <c r="B1596" s="18" t="s">
        <v>207</v>
      </c>
      <c r="C1596" s="18" t="s">
        <v>208</v>
      </c>
      <c r="D1596" s="49" t="n">
        <v>46327</v>
      </c>
      <c r="E1596" s="18" t="s">
        <v>118</v>
      </c>
      <c r="F1596" s="18" t="s">
        <v>119</v>
      </c>
      <c r="G1596" s="18" t="s">
        <v>100</v>
      </c>
      <c r="H1596" s="18" t="s">
        <v>101</v>
      </c>
      <c r="I1596" s="18" t="s">
        <v>102</v>
      </c>
      <c r="J1596" s="18" t="s">
        <v>233</v>
      </c>
      <c r="K1596" s="18" t="s">
        <v>199</v>
      </c>
      <c r="L1596" s="64" t="n">
        <v>2054.40035415745</v>
      </c>
      <c r="M1596" s="64" t="n">
        <v>9.05</v>
      </c>
      <c r="N1596" s="18" t="s">
        <v>1544</v>
      </c>
      <c r="O1596" s="65" t="n">
        <v>18592.3232</v>
      </c>
      <c r="P1596" s="65"/>
      <c r="Q1596" s="65"/>
      <c r="R1596" s="65" t="s">
        <v>232</v>
      </c>
      <c r="S1596" s="66" t="n">
        <f aca="false">Model_Calc!AG270</f>
        <v>18592.3232051249</v>
      </c>
      <c r="T1596" s="66" t="n">
        <f aca="false">ROUND(S1596-O1596,4)</f>
        <v>0</v>
      </c>
    </row>
    <row r="1597" customFormat="false" ht="15" hidden="false" customHeight="false" outlineLevel="0" collapsed="false">
      <c r="A1597" s="18" t="s">
        <v>206</v>
      </c>
      <c r="B1597" s="18" t="s">
        <v>207</v>
      </c>
      <c r="C1597" s="18" t="s">
        <v>208</v>
      </c>
      <c r="D1597" s="49" t="n">
        <v>46327</v>
      </c>
      <c r="E1597" s="18" t="s">
        <v>118</v>
      </c>
      <c r="F1597" s="18" t="s">
        <v>119</v>
      </c>
      <c r="G1597" s="18" t="s">
        <v>100</v>
      </c>
      <c r="H1597" s="18" t="s">
        <v>101</v>
      </c>
      <c r="I1597" s="18" t="s">
        <v>102</v>
      </c>
      <c r="J1597" s="18" t="s">
        <v>235</v>
      </c>
      <c r="K1597" s="18" t="s">
        <v>195</v>
      </c>
      <c r="L1597" s="64" t="n">
        <v>4946.46609809944</v>
      </c>
      <c r="M1597" s="64" t="n">
        <v>7.88</v>
      </c>
      <c r="N1597" s="18" t="s">
        <v>1545</v>
      </c>
      <c r="O1597" s="65" t="n">
        <v>38978.1529</v>
      </c>
      <c r="P1597" s="65"/>
      <c r="Q1597" s="65"/>
      <c r="R1597" s="65" t="s">
        <v>232</v>
      </c>
      <c r="S1597" s="66" t="n">
        <f aca="false">Model_Calc!AL270</f>
        <v>38978.1528530236</v>
      </c>
      <c r="T1597" s="66" t="n">
        <f aca="false">ROUND(S1597-O1597,4)</f>
        <v>0</v>
      </c>
    </row>
    <row r="1598" customFormat="false" ht="15" hidden="false" customHeight="false" outlineLevel="0" collapsed="false">
      <c r="A1598" s="18" t="s">
        <v>206</v>
      </c>
      <c r="B1598" s="18" t="s">
        <v>207</v>
      </c>
      <c r="C1598" s="18" t="s">
        <v>208</v>
      </c>
      <c r="D1598" s="49" t="n">
        <v>46327</v>
      </c>
      <c r="E1598" s="18" t="s">
        <v>118</v>
      </c>
      <c r="F1598" s="18" t="s">
        <v>119</v>
      </c>
      <c r="G1598" s="18" t="s">
        <v>100</v>
      </c>
      <c r="H1598" s="18" t="s">
        <v>101</v>
      </c>
      <c r="I1598" s="18" t="s">
        <v>102</v>
      </c>
      <c r="J1598" s="18" t="s">
        <v>237</v>
      </c>
      <c r="K1598" s="18" t="s">
        <v>195</v>
      </c>
      <c r="L1598" s="64" t="n">
        <v>1983.4091536896</v>
      </c>
      <c r="M1598" s="64" t="n">
        <v>7.88</v>
      </c>
      <c r="N1598" s="18" t="s">
        <v>1546</v>
      </c>
      <c r="O1598" s="65" t="n">
        <v>15629.2641</v>
      </c>
      <c r="P1598" s="65"/>
      <c r="Q1598" s="65"/>
      <c r="R1598" s="65" t="s">
        <v>232</v>
      </c>
      <c r="S1598" s="66" t="n">
        <f aca="false">Model_Calc!AQ270</f>
        <v>15629.264131074</v>
      </c>
      <c r="T1598" s="66" t="n">
        <f aca="false">ROUND(S1598-O1598,4)</f>
        <v>0</v>
      </c>
    </row>
    <row r="1599" customFormat="false" ht="15" hidden="false" customHeight="false" outlineLevel="0" collapsed="false">
      <c r="A1599" s="18" t="s">
        <v>206</v>
      </c>
      <c r="B1599" s="18" t="s">
        <v>207</v>
      </c>
      <c r="C1599" s="18" t="s">
        <v>208</v>
      </c>
      <c r="D1599" s="49" t="n">
        <v>46327</v>
      </c>
      <c r="E1599" s="18" t="s">
        <v>118</v>
      </c>
      <c r="F1599" s="18" t="s">
        <v>119</v>
      </c>
      <c r="G1599" s="18" t="s">
        <v>100</v>
      </c>
      <c r="H1599" s="18" t="s">
        <v>101</v>
      </c>
      <c r="I1599" s="18" t="s">
        <v>102</v>
      </c>
      <c r="J1599" s="18" t="s">
        <v>239</v>
      </c>
      <c r="K1599" s="18" t="s">
        <v>199</v>
      </c>
      <c r="L1599" s="64" t="n">
        <v>1743.656398848</v>
      </c>
      <c r="M1599" s="64" t="n">
        <v>9.05</v>
      </c>
      <c r="N1599" s="18" t="s">
        <v>1547</v>
      </c>
      <c r="O1599" s="65" t="n">
        <v>15780.0904</v>
      </c>
      <c r="P1599" s="65"/>
      <c r="Q1599" s="65"/>
      <c r="R1599" s="65" t="s">
        <v>232</v>
      </c>
      <c r="S1599" s="66" t="n">
        <f aca="false">Model_Calc!AV270</f>
        <v>15780.0904095744</v>
      </c>
      <c r="T1599" s="66" t="n">
        <f aca="false">ROUND(S1599-O1599,4)</f>
        <v>0</v>
      </c>
    </row>
    <row r="1600" customFormat="false" ht="15" hidden="false" customHeight="false" outlineLevel="0" collapsed="false">
      <c r="A1600" s="18" t="s">
        <v>206</v>
      </c>
      <c r="B1600" s="18" t="s">
        <v>207</v>
      </c>
      <c r="C1600" s="18" t="s">
        <v>208</v>
      </c>
      <c r="D1600" s="49" t="n">
        <v>46327</v>
      </c>
      <c r="E1600" s="18" t="s">
        <v>118</v>
      </c>
      <c r="F1600" s="18" t="s">
        <v>119</v>
      </c>
      <c r="G1600" s="18" t="s">
        <v>100</v>
      </c>
      <c r="H1600" s="18" t="s">
        <v>101</v>
      </c>
      <c r="I1600" s="18" t="s">
        <v>102</v>
      </c>
      <c r="J1600" s="18" t="s">
        <v>241</v>
      </c>
      <c r="K1600" s="18" t="s">
        <v>199</v>
      </c>
      <c r="L1600" s="64" t="n">
        <v>293.261210581248</v>
      </c>
      <c r="M1600" s="64" t="n">
        <v>9.05</v>
      </c>
      <c r="N1600" s="18" t="s">
        <v>1548</v>
      </c>
      <c r="O1600" s="65" t="n">
        <v>2654.014</v>
      </c>
      <c r="P1600" s="65"/>
      <c r="Q1600" s="65"/>
      <c r="R1600" s="65" t="s">
        <v>232</v>
      </c>
      <c r="S1600" s="66" t="n">
        <f aca="false">Model_Calc!BA270</f>
        <v>2654.01395576029</v>
      </c>
      <c r="T1600" s="66" t="n">
        <f aca="false">ROUND(S1600-O1600,4)</f>
        <v>0</v>
      </c>
    </row>
    <row r="1601" customFormat="false" ht="15" hidden="false" customHeight="false" outlineLevel="0" collapsed="false">
      <c r="A1601" s="18" t="s">
        <v>206</v>
      </c>
      <c r="B1601" s="18" t="s">
        <v>207</v>
      </c>
      <c r="C1601" s="18" t="s">
        <v>208</v>
      </c>
      <c r="D1601" s="49" t="n">
        <v>46327</v>
      </c>
      <c r="E1601" s="18" t="s">
        <v>122</v>
      </c>
      <c r="F1601" s="18" t="s">
        <v>119</v>
      </c>
      <c r="G1601" s="18" t="s">
        <v>100</v>
      </c>
      <c r="H1601" s="18" t="s">
        <v>107</v>
      </c>
      <c r="I1601" s="18" t="s">
        <v>102</v>
      </c>
      <c r="J1601" s="18" t="s">
        <v>230</v>
      </c>
      <c r="K1601" s="18" t="s">
        <v>199</v>
      </c>
      <c r="L1601" s="64" t="n">
        <v>12521.6330331726</v>
      </c>
      <c r="M1601" s="64" t="n">
        <v>9.05</v>
      </c>
      <c r="N1601" s="18" t="s">
        <v>1549</v>
      </c>
      <c r="O1601" s="65" t="n">
        <v>113320.779</v>
      </c>
      <c r="P1601" s="65"/>
      <c r="Q1601" s="65"/>
      <c r="R1601" s="65" t="s">
        <v>232</v>
      </c>
      <c r="S1601" s="66" t="n">
        <f aca="false">Model_Calc!AF271</f>
        <v>113320.778950212</v>
      </c>
      <c r="T1601" s="66" t="n">
        <f aca="false">ROUND(S1601-O1601,4)</f>
        <v>0</v>
      </c>
    </row>
    <row r="1602" customFormat="false" ht="15" hidden="false" customHeight="false" outlineLevel="0" collapsed="false">
      <c r="A1602" s="18" t="s">
        <v>206</v>
      </c>
      <c r="B1602" s="18" t="s">
        <v>207</v>
      </c>
      <c r="C1602" s="18" t="s">
        <v>208</v>
      </c>
      <c r="D1602" s="49" t="n">
        <v>46327</v>
      </c>
      <c r="E1602" s="18" t="s">
        <v>122</v>
      </c>
      <c r="F1602" s="18" t="s">
        <v>119</v>
      </c>
      <c r="G1602" s="18" t="s">
        <v>100</v>
      </c>
      <c r="H1602" s="18" t="s">
        <v>107</v>
      </c>
      <c r="I1602" s="18" t="s">
        <v>102</v>
      </c>
      <c r="J1602" s="18" t="s">
        <v>233</v>
      </c>
      <c r="K1602" s="18" t="s">
        <v>199</v>
      </c>
      <c r="L1602" s="64" t="n">
        <v>879.17848956318</v>
      </c>
      <c r="M1602" s="64" t="n">
        <v>9.05</v>
      </c>
      <c r="N1602" s="18" t="s">
        <v>1550</v>
      </c>
      <c r="O1602" s="65" t="n">
        <v>7956.5653</v>
      </c>
      <c r="P1602" s="65"/>
      <c r="Q1602" s="65"/>
      <c r="R1602" s="65" t="s">
        <v>232</v>
      </c>
      <c r="S1602" s="66" t="n">
        <f aca="false">Model_Calc!AG271</f>
        <v>7956.56533054678</v>
      </c>
      <c r="T1602" s="66" t="n">
        <f aca="false">ROUND(S1602-O1602,4)</f>
        <v>0</v>
      </c>
    </row>
    <row r="1603" customFormat="false" ht="15" hidden="false" customHeight="false" outlineLevel="0" collapsed="false">
      <c r="A1603" s="18" t="s">
        <v>206</v>
      </c>
      <c r="B1603" s="18" t="s">
        <v>207</v>
      </c>
      <c r="C1603" s="18" t="s">
        <v>208</v>
      </c>
      <c r="D1603" s="49" t="n">
        <v>46327</v>
      </c>
      <c r="E1603" s="18" t="s">
        <v>122</v>
      </c>
      <c r="F1603" s="18" t="s">
        <v>119</v>
      </c>
      <c r="G1603" s="18" t="s">
        <v>100</v>
      </c>
      <c r="H1603" s="18" t="s">
        <v>107</v>
      </c>
      <c r="I1603" s="18" t="s">
        <v>102</v>
      </c>
      <c r="J1603" s="18" t="s">
        <v>235</v>
      </c>
      <c r="K1603" s="18" t="s">
        <v>195</v>
      </c>
      <c r="L1603" s="64" t="n">
        <v>2708.77905372112</v>
      </c>
      <c r="M1603" s="64" t="n">
        <v>7.88</v>
      </c>
      <c r="N1603" s="18" t="s">
        <v>1551</v>
      </c>
      <c r="O1603" s="65" t="n">
        <v>21345.1789</v>
      </c>
      <c r="P1603" s="65"/>
      <c r="Q1603" s="65"/>
      <c r="R1603" s="65" t="s">
        <v>232</v>
      </c>
      <c r="S1603" s="66" t="n">
        <f aca="false">Model_Calc!AL271</f>
        <v>21345.1789433224</v>
      </c>
      <c r="T1603" s="66" t="n">
        <f aca="false">ROUND(S1603-O1603,4)</f>
        <v>0</v>
      </c>
    </row>
    <row r="1604" customFormat="false" ht="15" hidden="false" customHeight="false" outlineLevel="0" collapsed="false">
      <c r="A1604" s="18" t="s">
        <v>206</v>
      </c>
      <c r="B1604" s="18" t="s">
        <v>207</v>
      </c>
      <c r="C1604" s="18" t="s">
        <v>208</v>
      </c>
      <c r="D1604" s="49" t="n">
        <v>46327</v>
      </c>
      <c r="E1604" s="18" t="s">
        <v>122</v>
      </c>
      <c r="F1604" s="18" t="s">
        <v>119</v>
      </c>
      <c r="G1604" s="18" t="s">
        <v>100</v>
      </c>
      <c r="H1604" s="18" t="s">
        <v>107</v>
      </c>
      <c r="I1604" s="18" t="s">
        <v>102</v>
      </c>
      <c r="J1604" s="18" t="s">
        <v>237</v>
      </c>
      <c r="K1604" s="18" t="s">
        <v>195</v>
      </c>
      <c r="L1604" s="64" t="n">
        <v>1086.1526317824</v>
      </c>
      <c r="M1604" s="64" t="n">
        <v>7.88</v>
      </c>
      <c r="N1604" s="18" t="s">
        <v>1552</v>
      </c>
      <c r="O1604" s="65" t="n">
        <v>8558.8827</v>
      </c>
      <c r="P1604" s="65"/>
      <c r="Q1604" s="65"/>
      <c r="R1604" s="65" t="s">
        <v>232</v>
      </c>
      <c r="S1604" s="66" t="n">
        <f aca="false">Model_Calc!AQ271</f>
        <v>8558.88273844531</v>
      </c>
      <c r="T1604" s="66" t="n">
        <f aca="false">ROUND(S1604-O1604,4)</f>
        <v>0</v>
      </c>
    </row>
    <row r="1605" customFormat="false" ht="15" hidden="false" customHeight="false" outlineLevel="0" collapsed="false">
      <c r="A1605" s="18" t="s">
        <v>206</v>
      </c>
      <c r="B1605" s="18" t="s">
        <v>207</v>
      </c>
      <c r="C1605" s="18" t="s">
        <v>208</v>
      </c>
      <c r="D1605" s="49" t="n">
        <v>46327</v>
      </c>
      <c r="E1605" s="18" t="s">
        <v>122</v>
      </c>
      <c r="F1605" s="18" t="s">
        <v>119</v>
      </c>
      <c r="G1605" s="18" t="s">
        <v>100</v>
      </c>
      <c r="H1605" s="18" t="s">
        <v>107</v>
      </c>
      <c r="I1605" s="18" t="s">
        <v>102</v>
      </c>
      <c r="J1605" s="18" t="s">
        <v>239</v>
      </c>
      <c r="K1605" s="18" t="s">
        <v>199</v>
      </c>
      <c r="L1605" s="64" t="n">
        <v>954.859456512</v>
      </c>
      <c r="M1605" s="64" t="n">
        <v>9.05</v>
      </c>
      <c r="N1605" s="18" t="s">
        <v>1553</v>
      </c>
      <c r="O1605" s="65" t="n">
        <v>8641.4781</v>
      </c>
      <c r="P1605" s="65"/>
      <c r="Q1605" s="65"/>
      <c r="R1605" s="65" t="s">
        <v>232</v>
      </c>
      <c r="S1605" s="66" t="n">
        <f aca="false">Model_Calc!AV271</f>
        <v>8641.4780814336</v>
      </c>
      <c r="T1605" s="66" t="n">
        <f aca="false">ROUND(S1605-O1605,4)</f>
        <v>0</v>
      </c>
    </row>
    <row r="1606" customFormat="false" ht="15" hidden="false" customHeight="false" outlineLevel="0" collapsed="false">
      <c r="A1606" s="18" t="s">
        <v>206</v>
      </c>
      <c r="B1606" s="18" t="s">
        <v>207</v>
      </c>
      <c r="C1606" s="18" t="s">
        <v>208</v>
      </c>
      <c r="D1606" s="49" t="n">
        <v>46327</v>
      </c>
      <c r="E1606" s="18" t="s">
        <v>122</v>
      </c>
      <c r="F1606" s="18" t="s">
        <v>119</v>
      </c>
      <c r="G1606" s="18" t="s">
        <v>100</v>
      </c>
      <c r="H1606" s="18" t="s">
        <v>107</v>
      </c>
      <c r="I1606" s="18" t="s">
        <v>102</v>
      </c>
      <c r="J1606" s="18" t="s">
        <v>241</v>
      </c>
      <c r="K1606" s="18" t="s">
        <v>199</v>
      </c>
      <c r="L1606" s="64" t="n">
        <v>118.95957395712</v>
      </c>
      <c r="M1606" s="64" t="n">
        <v>9.05</v>
      </c>
      <c r="N1606" s="18" t="s">
        <v>1554</v>
      </c>
      <c r="O1606" s="65" t="n">
        <v>1076.5841</v>
      </c>
      <c r="P1606" s="65"/>
      <c r="Q1606" s="65"/>
      <c r="R1606" s="65" t="s">
        <v>232</v>
      </c>
      <c r="S1606" s="66" t="n">
        <f aca="false">Model_Calc!BA271</f>
        <v>1076.58414431194</v>
      </c>
      <c r="T1606" s="66" t="n">
        <f aca="false">ROUND(S1606-O1606,4)</f>
        <v>0</v>
      </c>
    </row>
    <row r="1607" customFormat="false" ht="15" hidden="false" customHeight="false" outlineLevel="0" collapsed="false">
      <c r="A1607" s="18" t="s">
        <v>206</v>
      </c>
      <c r="B1607" s="18" t="s">
        <v>207</v>
      </c>
      <c r="C1607" s="18" t="s">
        <v>208</v>
      </c>
      <c r="D1607" s="49" t="n">
        <v>46327</v>
      </c>
      <c r="E1607" s="18" t="s">
        <v>124</v>
      </c>
      <c r="F1607" s="18" t="s">
        <v>119</v>
      </c>
      <c r="G1607" s="18" t="s">
        <v>100</v>
      </c>
      <c r="H1607" s="18" t="s">
        <v>107</v>
      </c>
      <c r="I1607" s="18" t="s">
        <v>125</v>
      </c>
      <c r="J1607" s="18" t="s">
        <v>230</v>
      </c>
      <c r="K1607" s="18" t="s">
        <v>199</v>
      </c>
      <c r="L1607" s="64" t="n">
        <v>15445.8154395976</v>
      </c>
      <c r="M1607" s="64" t="n">
        <v>9.05</v>
      </c>
      <c r="N1607" s="18" t="s">
        <v>1555</v>
      </c>
      <c r="O1607" s="65" t="n">
        <v>139784.6297</v>
      </c>
      <c r="P1607" s="65"/>
      <c r="Q1607" s="65"/>
      <c r="R1607" s="65" t="s">
        <v>232</v>
      </c>
      <c r="S1607" s="66" t="n">
        <f aca="false">Model_Calc!AF272</f>
        <v>139784.629728358</v>
      </c>
      <c r="T1607" s="66" t="n">
        <f aca="false">ROUND(S1607-O1607,4)</f>
        <v>0</v>
      </c>
    </row>
    <row r="1608" customFormat="false" ht="15" hidden="false" customHeight="false" outlineLevel="0" collapsed="false">
      <c r="A1608" s="18" t="s">
        <v>206</v>
      </c>
      <c r="B1608" s="18" t="s">
        <v>207</v>
      </c>
      <c r="C1608" s="18" t="s">
        <v>208</v>
      </c>
      <c r="D1608" s="49" t="n">
        <v>46327</v>
      </c>
      <c r="E1608" s="18" t="s">
        <v>124</v>
      </c>
      <c r="F1608" s="18" t="s">
        <v>119</v>
      </c>
      <c r="G1608" s="18" t="s">
        <v>100</v>
      </c>
      <c r="H1608" s="18" t="s">
        <v>107</v>
      </c>
      <c r="I1608" s="18" t="s">
        <v>125</v>
      </c>
      <c r="J1608" s="18" t="s">
        <v>233</v>
      </c>
      <c r="K1608" s="18" t="s">
        <v>199</v>
      </c>
      <c r="L1608" s="64" t="n">
        <v>1911.97571000603</v>
      </c>
      <c r="M1608" s="64" t="n">
        <v>9.05</v>
      </c>
      <c r="N1608" s="18" t="s">
        <v>1556</v>
      </c>
      <c r="O1608" s="65" t="n">
        <v>17303.3802</v>
      </c>
      <c r="P1608" s="65"/>
      <c r="Q1608" s="65"/>
      <c r="R1608" s="65" t="s">
        <v>232</v>
      </c>
      <c r="S1608" s="66" t="n">
        <f aca="false">Model_Calc!AG272</f>
        <v>17303.3801755546</v>
      </c>
      <c r="T1608" s="66" t="n">
        <f aca="false">ROUND(S1608-O1608,4)</f>
        <v>0</v>
      </c>
    </row>
    <row r="1609" customFormat="false" ht="15" hidden="false" customHeight="false" outlineLevel="0" collapsed="false">
      <c r="A1609" s="18" t="s">
        <v>206</v>
      </c>
      <c r="B1609" s="18" t="s">
        <v>207</v>
      </c>
      <c r="C1609" s="18" t="s">
        <v>208</v>
      </c>
      <c r="D1609" s="49" t="n">
        <v>46327</v>
      </c>
      <c r="E1609" s="18" t="s">
        <v>124</v>
      </c>
      <c r="F1609" s="18" t="s">
        <v>119</v>
      </c>
      <c r="G1609" s="18" t="s">
        <v>100</v>
      </c>
      <c r="H1609" s="18" t="s">
        <v>107</v>
      </c>
      <c r="I1609" s="18" t="s">
        <v>125</v>
      </c>
      <c r="J1609" s="18" t="s">
        <v>235</v>
      </c>
      <c r="K1609" s="18" t="s">
        <v>195</v>
      </c>
      <c r="L1609" s="64" t="n">
        <v>2591.00605138542</v>
      </c>
      <c r="M1609" s="64" t="n">
        <v>7.88</v>
      </c>
      <c r="N1609" s="18" t="s">
        <v>1557</v>
      </c>
      <c r="O1609" s="65" t="n">
        <v>20417.1277</v>
      </c>
      <c r="P1609" s="65"/>
      <c r="Q1609" s="65"/>
      <c r="R1609" s="65" t="s">
        <v>232</v>
      </c>
      <c r="S1609" s="66" t="n">
        <f aca="false">Model_Calc!AL272</f>
        <v>20417.1276849171</v>
      </c>
      <c r="T1609" s="66" t="n">
        <f aca="false">ROUND(S1609-O1609,4)</f>
        <v>0</v>
      </c>
    </row>
    <row r="1610" customFormat="false" ht="15" hidden="false" customHeight="false" outlineLevel="0" collapsed="false">
      <c r="A1610" s="18" t="s">
        <v>206</v>
      </c>
      <c r="B1610" s="18" t="s">
        <v>207</v>
      </c>
      <c r="C1610" s="18" t="s">
        <v>208</v>
      </c>
      <c r="D1610" s="49" t="n">
        <v>46327</v>
      </c>
      <c r="E1610" s="18" t="s">
        <v>124</v>
      </c>
      <c r="F1610" s="18" t="s">
        <v>119</v>
      </c>
      <c r="G1610" s="18" t="s">
        <v>100</v>
      </c>
      <c r="H1610" s="18" t="s">
        <v>107</v>
      </c>
      <c r="I1610" s="18" t="s">
        <v>125</v>
      </c>
      <c r="J1610" s="18" t="s">
        <v>237</v>
      </c>
      <c r="K1610" s="18" t="s">
        <v>195</v>
      </c>
      <c r="L1610" s="64" t="n">
        <v>1038.9286043136</v>
      </c>
      <c r="M1610" s="64" t="n">
        <v>7.88</v>
      </c>
      <c r="N1610" s="18" t="s">
        <v>1558</v>
      </c>
      <c r="O1610" s="65" t="n">
        <v>8186.7574</v>
      </c>
      <c r="P1610" s="65"/>
      <c r="Q1610" s="65"/>
      <c r="R1610" s="65" t="s">
        <v>232</v>
      </c>
      <c r="S1610" s="66" t="n">
        <f aca="false">Model_Calc!AQ272</f>
        <v>8186.75740199117</v>
      </c>
      <c r="T1610" s="66" t="n">
        <f aca="false">ROUND(S1610-O1610,4)</f>
        <v>0</v>
      </c>
    </row>
    <row r="1611" customFormat="false" ht="15" hidden="false" customHeight="false" outlineLevel="0" collapsed="false">
      <c r="A1611" s="18" t="s">
        <v>206</v>
      </c>
      <c r="B1611" s="18" t="s">
        <v>207</v>
      </c>
      <c r="C1611" s="18" t="s">
        <v>208</v>
      </c>
      <c r="D1611" s="49" t="n">
        <v>46327</v>
      </c>
      <c r="E1611" s="18" t="s">
        <v>124</v>
      </c>
      <c r="F1611" s="18" t="s">
        <v>119</v>
      </c>
      <c r="G1611" s="18" t="s">
        <v>100</v>
      </c>
      <c r="H1611" s="18" t="s">
        <v>107</v>
      </c>
      <c r="I1611" s="18" t="s">
        <v>125</v>
      </c>
      <c r="J1611" s="18" t="s">
        <v>239</v>
      </c>
      <c r="K1611" s="18" t="s">
        <v>199</v>
      </c>
      <c r="L1611" s="64" t="n">
        <v>913.343827968</v>
      </c>
      <c r="M1611" s="64" t="n">
        <v>9.05</v>
      </c>
      <c r="N1611" s="18" t="s">
        <v>1559</v>
      </c>
      <c r="O1611" s="65" t="n">
        <v>8265.7616</v>
      </c>
      <c r="P1611" s="65"/>
      <c r="Q1611" s="65"/>
      <c r="R1611" s="65" t="s">
        <v>232</v>
      </c>
      <c r="S1611" s="66" t="n">
        <f aca="false">Model_Calc!AV272</f>
        <v>8265.7616431104</v>
      </c>
      <c r="T1611" s="66" t="n">
        <f aca="false">ROUND(S1611-O1611,4)</f>
        <v>0</v>
      </c>
    </row>
    <row r="1612" customFormat="false" ht="15" hidden="false" customHeight="false" outlineLevel="0" collapsed="false">
      <c r="A1612" s="18" t="s">
        <v>206</v>
      </c>
      <c r="B1612" s="18" t="s">
        <v>207</v>
      </c>
      <c r="C1612" s="18" t="s">
        <v>208</v>
      </c>
      <c r="D1612" s="49" t="n">
        <v>46327</v>
      </c>
      <c r="E1612" s="18" t="s">
        <v>124</v>
      </c>
      <c r="F1612" s="18" t="s">
        <v>119</v>
      </c>
      <c r="G1612" s="18" t="s">
        <v>100</v>
      </c>
      <c r="H1612" s="18" t="s">
        <v>107</v>
      </c>
      <c r="I1612" s="18" t="s">
        <v>125</v>
      </c>
      <c r="J1612" s="18" t="s">
        <v>241</v>
      </c>
      <c r="K1612" s="18" t="s">
        <v>199</v>
      </c>
      <c r="L1612" s="64" t="n">
        <v>110.819051126784</v>
      </c>
      <c r="M1612" s="64" t="n">
        <v>9.05</v>
      </c>
      <c r="N1612" s="18" t="s">
        <v>1560</v>
      </c>
      <c r="O1612" s="65" t="n">
        <v>1002.9124</v>
      </c>
      <c r="P1612" s="65"/>
      <c r="Q1612" s="65"/>
      <c r="R1612" s="65" t="s">
        <v>232</v>
      </c>
      <c r="S1612" s="66" t="n">
        <f aca="false">Model_Calc!BA272</f>
        <v>1002.9124126974</v>
      </c>
      <c r="T1612" s="66" t="n">
        <f aca="false">ROUND(S1612-O1612,4)</f>
        <v>0</v>
      </c>
    </row>
    <row r="1613" customFormat="false" ht="15" hidden="false" customHeight="false" outlineLevel="0" collapsed="false">
      <c r="A1613" s="18" t="s">
        <v>206</v>
      </c>
      <c r="B1613" s="18" t="s">
        <v>207</v>
      </c>
      <c r="C1613" s="18" t="s">
        <v>208</v>
      </c>
      <c r="D1613" s="49" t="n">
        <v>46327</v>
      </c>
      <c r="E1613" s="18" t="s">
        <v>127</v>
      </c>
      <c r="F1613" s="18" t="s">
        <v>119</v>
      </c>
      <c r="G1613" s="18" t="s">
        <v>100</v>
      </c>
      <c r="H1613" s="18" t="s">
        <v>128</v>
      </c>
      <c r="I1613" s="18" t="s">
        <v>125</v>
      </c>
      <c r="J1613" s="18" t="s">
        <v>230</v>
      </c>
      <c r="K1613" s="18" t="s">
        <v>199</v>
      </c>
      <c r="L1613" s="64" t="n">
        <v>11013.7087147096</v>
      </c>
      <c r="M1613" s="64" t="n">
        <v>9.05</v>
      </c>
      <c r="N1613" s="18" t="s">
        <v>1561</v>
      </c>
      <c r="O1613" s="65" t="n">
        <v>99674.0639</v>
      </c>
      <c r="P1613" s="65"/>
      <c r="Q1613" s="65"/>
      <c r="R1613" s="65" t="s">
        <v>232</v>
      </c>
      <c r="S1613" s="66" t="n">
        <f aca="false">Model_Calc!AF273</f>
        <v>99674.0638681223</v>
      </c>
      <c r="T1613" s="66" t="n">
        <f aca="false">ROUND(S1613-O1613,4)</f>
        <v>0</v>
      </c>
    </row>
    <row r="1614" customFormat="false" ht="15" hidden="false" customHeight="false" outlineLevel="0" collapsed="false">
      <c r="A1614" s="18" t="s">
        <v>206</v>
      </c>
      <c r="B1614" s="18" t="s">
        <v>207</v>
      </c>
      <c r="C1614" s="18" t="s">
        <v>208</v>
      </c>
      <c r="D1614" s="49" t="n">
        <v>46327</v>
      </c>
      <c r="E1614" s="18" t="s">
        <v>127</v>
      </c>
      <c r="F1614" s="18" t="s">
        <v>119</v>
      </c>
      <c r="G1614" s="18" t="s">
        <v>100</v>
      </c>
      <c r="H1614" s="18" t="s">
        <v>128</v>
      </c>
      <c r="I1614" s="18" t="s">
        <v>125</v>
      </c>
      <c r="J1614" s="18" t="s">
        <v>233</v>
      </c>
      <c r="K1614" s="18" t="s">
        <v>199</v>
      </c>
      <c r="L1614" s="64" t="n">
        <v>851.72680727088</v>
      </c>
      <c r="M1614" s="64" t="n">
        <v>9.05</v>
      </c>
      <c r="N1614" s="18" t="s">
        <v>1562</v>
      </c>
      <c r="O1614" s="65" t="n">
        <v>7708.1276</v>
      </c>
      <c r="P1614" s="65"/>
      <c r="Q1614" s="65"/>
      <c r="R1614" s="65" t="s">
        <v>232</v>
      </c>
      <c r="S1614" s="66" t="n">
        <f aca="false">Model_Calc!AG273</f>
        <v>7708.12760580146</v>
      </c>
      <c r="T1614" s="66" t="n">
        <f aca="false">ROUND(S1614-O1614,4)</f>
        <v>0</v>
      </c>
    </row>
    <row r="1615" customFormat="false" ht="15" hidden="false" customHeight="false" outlineLevel="0" collapsed="false">
      <c r="A1615" s="18" t="s">
        <v>206</v>
      </c>
      <c r="B1615" s="18" t="s">
        <v>207</v>
      </c>
      <c r="C1615" s="18" t="s">
        <v>208</v>
      </c>
      <c r="D1615" s="49" t="n">
        <v>46327</v>
      </c>
      <c r="E1615" s="18" t="s">
        <v>127</v>
      </c>
      <c r="F1615" s="18" t="s">
        <v>119</v>
      </c>
      <c r="G1615" s="18" t="s">
        <v>100</v>
      </c>
      <c r="H1615" s="18" t="s">
        <v>128</v>
      </c>
      <c r="I1615" s="18" t="s">
        <v>125</v>
      </c>
      <c r="J1615" s="18" t="s">
        <v>235</v>
      </c>
      <c r="K1615" s="18" t="s">
        <v>195</v>
      </c>
      <c r="L1615" s="64" t="n">
        <v>1531.04903036411</v>
      </c>
      <c r="M1615" s="64" t="n">
        <v>7.88</v>
      </c>
      <c r="N1615" s="18" t="s">
        <v>1563</v>
      </c>
      <c r="O1615" s="65" t="n">
        <v>12064.6664</v>
      </c>
      <c r="P1615" s="65"/>
      <c r="Q1615" s="65"/>
      <c r="R1615" s="65" t="s">
        <v>232</v>
      </c>
      <c r="S1615" s="66" t="n">
        <f aca="false">Model_Calc!AL273</f>
        <v>12064.6663592692</v>
      </c>
      <c r="T1615" s="66" t="n">
        <f aca="false">ROUND(S1615-O1615,4)</f>
        <v>0</v>
      </c>
    </row>
    <row r="1616" customFormat="false" ht="15" hidden="false" customHeight="false" outlineLevel="0" collapsed="false">
      <c r="A1616" s="18" t="s">
        <v>206</v>
      </c>
      <c r="B1616" s="18" t="s">
        <v>207</v>
      </c>
      <c r="C1616" s="18" t="s">
        <v>208</v>
      </c>
      <c r="D1616" s="49" t="n">
        <v>46327</v>
      </c>
      <c r="E1616" s="18" t="s">
        <v>127</v>
      </c>
      <c r="F1616" s="18" t="s">
        <v>119</v>
      </c>
      <c r="G1616" s="18" t="s">
        <v>100</v>
      </c>
      <c r="H1616" s="18" t="s">
        <v>128</v>
      </c>
      <c r="I1616" s="18" t="s">
        <v>125</v>
      </c>
      <c r="J1616" s="18" t="s">
        <v>237</v>
      </c>
      <c r="K1616" s="18" t="s">
        <v>195</v>
      </c>
      <c r="L1616" s="64" t="n">
        <v>613.9123570944</v>
      </c>
      <c r="M1616" s="64" t="n">
        <v>7.88</v>
      </c>
      <c r="N1616" s="18" t="s">
        <v>1564</v>
      </c>
      <c r="O1616" s="65" t="n">
        <v>4837.6294</v>
      </c>
      <c r="P1616" s="65"/>
      <c r="Q1616" s="65"/>
      <c r="R1616" s="65" t="s">
        <v>232</v>
      </c>
      <c r="S1616" s="66" t="n">
        <f aca="false">Model_Calc!AQ273</f>
        <v>4837.62937390387</v>
      </c>
      <c r="T1616" s="66" t="n">
        <f aca="false">ROUND(S1616-O1616,4)</f>
        <v>0</v>
      </c>
    </row>
    <row r="1617" customFormat="false" ht="15" hidden="false" customHeight="false" outlineLevel="0" collapsed="false">
      <c r="A1617" s="18" t="s">
        <v>206</v>
      </c>
      <c r="B1617" s="18" t="s">
        <v>207</v>
      </c>
      <c r="C1617" s="18" t="s">
        <v>208</v>
      </c>
      <c r="D1617" s="49" t="n">
        <v>46327</v>
      </c>
      <c r="E1617" s="18" t="s">
        <v>127</v>
      </c>
      <c r="F1617" s="18" t="s">
        <v>119</v>
      </c>
      <c r="G1617" s="18" t="s">
        <v>100</v>
      </c>
      <c r="H1617" s="18" t="s">
        <v>128</v>
      </c>
      <c r="I1617" s="18" t="s">
        <v>125</v>
      </c>
      <c r="J1617" s="18" t="s">
        <v>239</v>
      </c>
      <c r="K1617" s="18" t="s">
        <v>199</v>
      </c>
      <c r="L1617" s="64" t="n">
        <v>539.703171072</v>
      </c>
      <c r="M1617" s="64" t="n">
        <v>9.05</v>
      </c>
      <c r="N1617" s="18" t="s">
        <v>1565</v>
      </c>
      <c r="O1617" s="65" t="n">
        <v>4884.3137</v>
      </c>
      <c r="P1617" s="65"/>
      <c r="Q1617" s="65"/>
      <c r="R1617" s="65" t="s">
        <v>232</v>
      </c>
      <c r="S1617" s="66" t="n">
        <f aca="false">Model_Calc!AV273</f>
        <v>4884.3136982016</v>
      </c>
      <c r="T1617" s="66" t="n">
        <f aca="false">ROUND(S1617-O1617,4)</f>
        <v>0</v>
      </c>
    </row>
    <row r="1618" customFormat="false" ht="15" hidden="false" customHeight="false" outlineLevel="0" collapsed="false">
      <c r="A1618" s="18" t="s">
        <v>206</v>
      </c>
      <c r="B1618" s="18" t="s">
        <v>207</v>
      </c>
      <c r="C1618" s="18" t="s">
        <v>208</v>
      </c>
      <c r="D1618" s="49" t="n">
        <v>46327</v>
      </c>
      <c r="E1618" s="18" t="s">
        <v>127</v>
      </c>
      <c r="F1618" s="18" t="s">
        <v>119</v>
      </c>
      <c r="G1618" s="18" t="s">
        <v>100</v>
      </c>
      <c r="H1618" s="18" t="s">
        <v>128</v>
      </c>
      <c r="I1618" s="18" t="s">
        <v>125</v>
      </c>
      <c r="J1618" s="18" t="s">
        <v>241</v>
      </c>
      <c r="K1618" s="18" t="s">
        <v>199</v>
      </c>
      <c r="L1618" s="64" t="n">
        <v>57.883165097472</v>
      </c>
      <c r="M1618" s="64" t="n">
        <v>9.05</v>
      </c>
      <c r="N1618" s="18" t="s">
        <v>1566</v>
      </c>
      <c r="O1618" s="65" t="n">
        <v>523.8426</v>
      </c>
      <c r="P1618" s="65"/>
      <c r="Q1618" s="65"/>
      <c r="R1618" s="65" t="s">
        <v>232</v>
      </c>
      <c r="S1618" s="66" t="n">
        <f aca="false">Model_Calc!BA273</f>
        <v>523.842644132122</v>
      </c>
      <c r="T1618" s="66" t="n">
        <f aca="false">ROUND(S1618-O1618,4)</f>
        <v>0</v>
      </c>
    </row>
    <row r="1619" customFormat="false" ht="15" hidden="false" customHeight="false" outlineLevel="0" collapsed="false">
      <c r="A1619" s="18" t="s">
        <v>206</v>
      </c>
      <c r="B1619" s="18" t="s">
        <v>207</v>
      </c>
      <c r="C1619" s="18" t="s">
        <v>208</v>
      </c>
      <c r="D1619" s="49" t="n">
        <v>46327</v>
      </c>
      <c r="E1619" s="18" t="s">
        <v>130</v>
      </c>
      <c r="F1619" s="18" t="s">
        <v>119</v>
      </c>
      <c r="G1619" s="18" t="s">
        <v>110</v>
      </c>
      <c r="H1619" s="18" t="s">
        <v>107</v>
      </c>
      <c r="I1619" s="18" t="s">
        <v>125</v>
      </c>
      <c r="J1619" s="18" t="s">
        <v>230</v>
      </c>
      <c r="K1619" s="18" t="s">
        <v>195</v>
      </c>
      <c r="L1619" s="64" t="n">
        <v>2910.32405141962</v>
      </c>
      <c r="M1619" s="64" t="n">
        <v>7.88</v>
      </c>
      <c r="N1619" s="18" t="s">
        <v>1567</v>
      </c>
      <c r="O1619" s="65" t="n">
        <v>22933.3535</v>
      </c>
      <c r="P1619" s="65"/>
      <c r="Q1619" s="65"/>
      <c r="R1619" s="65" t="s">
        <v>232</v>
      </c>
      <c r="S1619" s="66" t="n">
        <f aca="false">Model_Calc!AF274</f>
        <v>22933.3535251866</v>
      </c>
      <c r="T1619" s="66" t="n">
        <f aca="false">ROUND(S1619-O1619,4)</f>
        <v>0</v>
      </c>
    </row>
    <row r="1620" customFormat="false" ht="15" hidden="false" customHeight="false" outlineLevel="0" collapsed="false">
      <c r="A1620" s="18" t="s">
        <v>206</v>
      </c>
      <c r="B1620" s="18" t="s">
        <v>207</v>
      </c>
      <c r="C1620" s="18" t="s">
        <v>208</v>
      </c>
      <c r="D1620" s="49" t="n">
        <v>46327</v>
      </c>
      <c r="E1620" s="18" t="s">
        <v>130</v>
      </c>
      <c r="F1620" s="18" t="s">
        <v>119</v>
      </c>
      <c r="G1620" s="18" t="s">
        <v>110</v>
      </c>
      <c r="H1620" s="18" t="s">
        <v>107</v>
      </c>
      <c r="I1620" s="18" t="s">
        <v>125</v>
      </c>
      <c r="J1620" s="18" t="s">
        <v>233</v>
      </c>
      <c r="K1620" s="18" t="s">
        <v>195</v>
      </c>
      <c r="L1620" s="64" t="n">
        <v>316.279466288027</v>
      </c>
      <c r="M1620" s="64" t="n">
        <v>7.88</v>
      </c>
      <c r="N1620" s="18" t="s">
        <v>1568</v>
      </c>
      <c r="O1620" s="65" t="n">
        <v>2492.2822</v>
      </c>
      <c r="P1620" s="65"/>
      <c r="Q1620" s="65"/>
      <c r="R1620" s="65" t="s">
        <v>232</v>
      </c>
      <c r="S1620" s="66" t="n">
        <f aca="false">Model_Calc!AG274</f>
        <v>2492.28219434965</v>
      </c>
      <c r="T1620" s="66" t="n">
        <f aca="false">ROUND(S1620-O1620,4)</f>
        <v>0</v>
      </c>
    </row>
    <row r="1621" customFormat="false" ht="15" hidden="false" customHeight="false" outlineLevel="0" collapsed="false">
      <c r="A1621" s="18" t="s">
        <v>206</v>
      </c>
      <c r="B1621" s="18" t="s">
        <v>207</v>
      </c>
      <c r="C1621" s="18" t="s">
        <v>208</v>
      </c>
      <c r="D1621" s="49" t="n">
        <v>46327</v>
      </c>
      <c r="E1621" s="18" t="s">
        <v>130</v>
      </c>
      <c r="F1621" s="18" t="s">
        <v>119</v>
      </c>
      <c r="G1621" s="18" t="s">
        <v>110</v>
      </c>
      <c r="H1621" s="18" t="s">
        <v>107</v>
      </c>
      <c r="I1621" s="18" t="s">
        <v>125</v>
      </c>
      <c r="J1621" s="18" t="s">
        <v>235</v>
      </c>
      <c r="K1621" s="18" t="s">
        <v>195</v>
      </c>
      <c r="L1621" s="64" t="n">
        <v>420.44184</v>
      </c>
      <c r="M1621" s="64" t="n">
        <v>7.88</v>
      </c>
      <c r="N1621" s="18" t="s">
        <v>1569</v>
      </c>
      <c r="O1621" s="65" t="n">
        <v>3313.0817</v>
      </c>
      <c r="P1621" s="65"/>
      <c r="Q1621" s="65"/>
      <c r="R1621" s="65" t="s">
        <v>232</v>
      </c>
      <c r="S1621" s="66" t="n">
        <f aca="false">Model_Calc!AL274</f>
        <v>3313.0816992</v>
      </c>
      <c r="T1621" s="66" t="n">
        <f aca="false">ROUND(S1621-O1621,4)</f>
        <v>0</v>
      </c>
    </row>
    <row r="1622" customFormat="false" ht="15" hidden="false" customHeight="false" outlineLevel="0" collapsed="false">
      <c r="A1622" s="18" t="s">
        <v>206</v>
      </c>
      <c r="B1622" s="18" t="s">
        <v>207</v>
      </c>
      <c r="C1622" s="18" t="s">
        <v>208</v>
      </c>
      <c r="D1622" s="49" t="n">
        <v>46327</v>
      </c>
      <c r="E1622" s="18" t="s">
        <v>130</v>
      </c>
      <c r="F1622" s="18" t="s">
        <v>119</v>
      </c>
      <c r="G1622" s="18" t="s">
        <v>110</v>
      </c>
      <c r="H1622" s="18" t="s">
        <v>107</v>
      </c>
      <c r="I1622" s="18" t="s">
        <v>125</v>
      </c>
      <c r="J1622" s="18" t="s">
        <v>237</v>
      </c>
      <c r="K1622" s="18" t="s">
        <v>195</v>
      </c>
      <c r="L1622" s="64" t="n">
        <v>178.02708768</v>
      </c>
      <c r="M1622" s="64" t="n">
        <v>7.88</v>
      </c>
      <c r="N1622" s="18" t="s">
        <v>1570</v>
      </c>
      <c r="O1622" s="65" t="n">
        <v>1402.8535</v>
      </c>
      <c r="P1622" s="65"/>
      <c r="Q1622" s="65"/>
      <c r="R1622" s="65" t="s">
        <v>232</v>
      </c>
      <c r="S1622" s="66" t="n">
        <f aca="false">Model_Calc!AQ274</f>
        <v>1402.8534509184</v>
      </c>
      <c r="T1622" s="66" t="n">
        <f aca="false">ROUND(S1622-O1622,4)</f>
        <v>0</v>
      </c>
    </row>
    <row r="1623" customFormat="false" ht="15" hidden="false" customHeight="false" outlineLevel="0" collapsed="false">
      <c r="A1623" s="18" t="s">
        <v>206</v>
      </c>
      <c r="B1623" s="18" t="s">
        <v>207</v>
      </c>
      <c r="C1623" s="18" t="s">
        <v>208</v>
      </c>
      <c r="D1623" s="49" t="n">
        <v>46327</v>
      </c>
      <c r="E1623" s="18" t="s">
        <v>130</v>
      </c>
      <c r="F1623" s="18" t="s">
        <v>119</v>
      </c>
      <c r="G1623" s="18" t="s">
        <v>110</v>
      </c>
      <c r="H1623" s="18" t="s">
        <v>107</v>
      </c>
      <c r="I1623" s="18" t="s">
        <v>125</v>
      </c>
      <c r="J1623" s="18" t="s">
        <v>239</v>
      </c>
      <c r="K1623" s="18" t="s">
        <v>195</v>
      </c>
      <c r="L1623" s="64" t="n">
        <v>187.3969344</v>
      </c>
      <c r="M1623" s="64" t="n">
        <v>7.88</v>
      </c>
      <c r="N1623" s="18" t="s">
        <v>1571</v>
      </c>
      <c r="O1623" s="65" t="n">
        <v>1476.6878</v>
      </c>
      <c r="P1623" s="65"/>
      <c r="Q1623" s="65"/>
      <c r="R1623" s="65" t="s">
        <v>232</v>
      </c>
      <c r="S1623" s="66" t="n">
        <f aca="false">Model_Calc!AV274</f>
        <v>1476.687843072</v>
      </c>
      <c r="T1623" s="66" t="n">
        <f aca="false">ROUND(S1623-O1623,4)</f>
        <v>0</v>
      </c>
    </row>
    <row r="1624" customFormat="false" ht="15" hidden="false" customHeight="false" outlineLevel="0" collapsed="false">
      <c r="A1624" s="18" t="s">
        <v>206</v>
      </c>
      <c r="B1624" s="18" t="s">
        <v>207</v>
      </c>
      <c r="C1624" s="18" t="s">
        <v>208</v>
      </c>
      <c r="D1624" s="49" t="n">
        <v>46327</v>
      </c>
      <c r="E1624" s="18" t="s">
        <v>130</v>
      </c>
      <c r="F1624" s="18" t="s">
        <v>119</v>
      </c>
      <c r="G1624" s="18" t="s">
        <v>110</v>
      </c>
      <c r="H1624" s="18" t="s">
        <v>107</v>
      </c>
      <c r="I1624" s="18" t="s">
        <v>125</v>
      </c>
      <c r="J1624" s="18" t="s">
        <v>241</v>
      </c>
      <c r="K1624" s="18" t="s">
        <v>195</v>
      </c>
      <c r="L1624" s="64" t="n">
        <v>18.3648995712</v>
      </c>
      <c r="M1624" s="64" t="n">
        <v>7.88</v>
      </c>
      <c r="N1624" s="18" t="s">
        <v>1572</v>
      </c>
      <c r="O1624" s="65" t="n">
        <v>144.7154</v>
      </c>
      <c r="P1624" s="65"/>
      <c r="Q1624" s="65"/>
      <c r="R1624" s="65" t="s">
        <v>232</v>
      </c>
      <c r="S1624" s="66" t="n">
        <f aca="false">Model_Calc!BA274</f>
        <v>144.715408621056</v>
      </c>
      <c r="T1624" s="66" t="n">
        <f aca="false">ROUND(S1624-O1624,4)</f>
        <v>0</v>
      </c>
    </row>
    <row r="1625" customFormat="false" ht="15" hidden="false" customHeight="false" outlineLevel="0" collapsed="false">
      <c r="A1625" s="18" t="s">
        <v>206</v>
      </c>
      <c r="B1625" s="18" t="s">
        <v>207</v>
      </c>
      <c r="C1625" s="18" t="s">
        <v>208</v>
      </c>
      <c r="D1625" s="49" t="n">
        <v>46357</v>
      </c>
      <c r="E1625" s="18" t="s">
        <v>98</v>
      </c>
      <c r="F1625" s="18" t="s">
        <v>99</v>
      </c>
      <c r="G1625" s="18" t="s">
        <v>100</v>
      </c>
      <c r="H1625" s="18" t="s">
        <v>101</v>
      </c>
      <c r="I1625" s="18" t="s">
        <v>102</v>
      </c>
      <c r="J1625" s="18" t="s">
        <v>230</v>
      </c>
      <c r="K1625" s="18" t="s">
        <v>195</v>
      </c>
      <c r="L1625" s="64" t="n">
        <v>10032.4568907763</v>
      </c>
      <c r="M1625" s="64" t="n">
        <v>7.86</v>
      </c>
      <c r="N1625" s="18" t="s">
        <v>1573</v>
      </c>
      <c r="O1625" s="65" t="n">
        <v>78855.1112</v>
      </c>
      <c r="P1625" s="65"/>
      <c r="Q1625" s="65"/>
      <c r="R1625" s="65" t="s">
        <v>232</v>
      </c>
      <c r="S1625" s="66" t="n">
        <f aca="false">Model_Calc!AF275</f>
        <v>78855.1111615019</v>
      </c>
      <c r="T1625" s="66" t="n">
        <f aca="false">ROUND(S1625-O1625,4)</f>
        <v>0</v>
      </c>
    </row>
    <row r="1626" customFormat="false" ht="15" hidden="false" customHeight="false" outlineLevel="0" collapsed="false">
      <c r="A1626" s="18" t="s">
        <v>206</v>
      </c>
      <c r="B1626" s="18" t="s">
        <v>207</v>
      </c>
      <c r="C1626" s="18" t="s">
        <v>208</v>
      </c>
      <c r="D1626" s="49" t="n">
        <v>46357</v>
      </c>
      <c r="E1626" s="18" t="s">
        <v>98</v>
      </c>
      <c r="F1626" s="18" t="s">
        <v>99</v>
      </c>
      <c r="G1626" s="18" t="s">
        <v>100</v>
      </c>
      <c r="H1626" s="18" t="s">
        <v>101</v>
      </c>
      <c r="I1626" s="18" t="s">
        <v>102</v>
      </c>
      <c r="J1626" s="18" t="s">
        <v>233</v>
      </c>
      <c r="K1626" s="18" t="s">
        <v>195</v>
      </c>
      <c r="L1626" s="64" t="n">
        <v>986.441323785582</v>
      </c>
      <c r="M1626" s="64" t="n">
        <v>7.86</v>
      </c>
      <c r="N1626" s="18" t="s">
        <v>1574</v>
      </c>
      <c r="O1626" s="65" t="n">
        <v>7753.4288</v>
      </c>
      <c r="P1626" s="65"/>
      <c r="Q1626" s="65"/>
      <c r="R1626" s="65" t="s">
        <v>232</v>
      </c>
      <c r="S1626" s="66" t="n">
        <f aca="false">Model_Calc!AG275</f>
        <v>7753.42880495467</v>
      </c>
      <c r="T1626" s="66" t="n">
        <f aca="false">ROUND(S1626-O1626,4)</f>
        <v>0</v>
      </c>
    </row>
    <row r="1627" customFormat="false" ht="15" hidden="false" customHeight="false" outlineLevel="0" collapsed="false">
      <c r="A1627" s="18" t="s">
        <v>206</v>
      </c>
      <c r="B1627" s="18" t="s">
        <v>207</v>
      </c>
      <c r="C1627" s="18" t="s">
        <v>208</v>
      </c>
      <c r="D1627" s="49" t="n">
        <v>46357</v>
      </c>
      <c r="E1627" s="18" t="s">
        <v>98</v>
      </c>
      <c r="F1627" s="18" t="s">
        <v>99</v>
      </c>
      <c r="G1627" s="18" t="s">
        <v>100</v>
      </c>
      <c r="H1627" s="18" t="s">
        <v>101</v>
      </c>
      <c r="I1627" s="18" t="s">
        <v>102</v>
      </c>
      <c r="J1627" s="18" t="s">
        <v>235</v>
      </c>
      <c r="K1627" s="18" t="s">
        <v>195</v>
      </c>
      <c r="L1627" s="64" t="n">
        <v>6719.77269518157</v>
      </c>
      <c r="M1627" s="64" t="n">
        <v>7.86</v>
      </c>
      <c r="N1627" s="18" t="s">
        <v>1575</v>
      </c>
      <c r="O1627" s="65" t="n">
        <v>52817.4134</v>
      </c>
      <c r="P1627" s="65"/>
      <c r="Q1627" s="65"/>
      <c r="R1627" s="65" t="s">
        <v>232</v>
      </c>
      <c r="S1627" s="66" t="n">
        <f aca="false">Model_Calc!AL275</f>
        <v>52817.4133841271</v>
      </c>
      <c r="T1627" s="66" t="n">
        <f aca="false">ROUND(S1627-O1627,4)</f>
        <v>0</v>
      </c>
    </row>
    <row r="1628" customFormat="false" ht="15" hidden="false" customHeight="false" outlineLevel="0" collapsed="false">
      <c r="A1628" s="18" t="s">
        <v>206</v>
      </c>
      <c r="B1628" s="18" t="s">
        <v>207</v>
      </c>
      <c r="C1628" s="18" t="s">
        <v>208</v>
      </c>
      <c r="D1628" s="49" t="n">
        <v>46357</v>
      </c>
      <c r="E1628" s="18" t="s">
        <v>98</v>
      </c>
      <c r="F1628" s="18" t="s">
        <v>99</v>
      </c>
      <c r="G1628" s="18" t="s">
        <v>100</v>
      </c>
      <c r="H1628" s="18" t="s">
        <v>101</v>
      </c>
      <c r="I1628" s="18" t="s">
        <v>102</v>
      </c>
      <c r="J1628" s="18" t="s">
        <v>237</v>
      </c>
      <c r="K1628" s="18" t="s">
        <v>195</v>
      </c>
      <c r="L1628" s="64" t="n">
        <v>2431.18459584</v>
      </c>
      <c r="M1628" s="64" t="n">
        <v>7.86</v>
      </c>
      <c r="N1628" s="18" t="s">
        <v>1576</v>
      </c>
      <c r="O1628" s="65" t="n">
        <v>19109.1109</v>
      </c>
      <c r="P1628" s="65"/>
      <c r="Q1628" s="65"/>
      <c r="R1628" s="65" t="s">
        <v>232</v>
      </c>
      <c r="S1628" s="66" t="n">
        <f aca="false">Model_Calc!AQ275</f>
        <v>19109.1109233024</v>
      </c>
      <c r="T1628" s="66" t="n">
        <f aca="false">ROUND(S1628-O1628,4)</f>
        <v>0</v>
      </c>
    </row>
    <row r="1629" customFormat="false" ht="15" hidden="false" customHeight="false" outlineLevel="0" collapsed="false">
      <c r="A1629" s="18" t="s">
        <v>206</v>
      </c>
      <c r="B1629" s="18" t="s">
        <v>207</v>
      </c>
      <c r="C1629" s="18" t="s">
        <v>208</v>
      </c>
      <c r="D1629" s="49" t="n">
        <v>46357</v>
      </c>
      <c r="E1629" s="18" t="s">
        <v>98</v>
      </c>
      <c r="F1629" s="18" t="s">
        <v>99</v>
      </c>
      <c r="G1629" s="18" t="s">
        <v>100</v>
      </c>
      <c r="H1629" s="18" t="s">
        <v>101</v>
      </c>
      <c r="I1629" s="18" t="s">
        <v>102</v>
      </c>
      <c r="J1629" s="18" t="s">
        <v>239</v>
      </c>
      <c r="K1629" s="18" t="s">
        <v>195</v>
      </c>
      <c r="L1629" s="64" t="n">
        <v>882.0624384</v>
      </c>
      <c r="M1629" s="64" t="n">
        <v>7.86</v>
      </c>
      <c r="N1629" s="18" t="s">
        <v>1577</v>
      </c>
      <c r="O1629" s="65" t="n">
        <v>6933.0108</v>
      </c>
      <c r="P1629" s="65"/>
      <c r="Q1629" s="65"/>
      <c r="R1629" s="65" t="s">
        <v>232</v>
      </c>
      <c r="S1629" s="66" t="n">
        <f aca="false">Model_Calc!AV275</f>
        <v>6933.010765824</v>
      </c>
      <c r="T1629" s="66" t="n">
        <f aca="false">ROUND(S1629-O1629,4)</f>
        <v>0</v>
      </c>
    </row>
    <row r="1630" customFormat="false" ht="15" hidden="false" customHeight="false" outlineLevel="0" collapsed="false">
      <c r="A1630" s="18" t="s">
        <v>206</v>
      </c>
      <c r="B1630" s="18" t="s">
        <v>207</v>
      </c>
      <c r="C1630" s="18" t="s">
        <v>208</v>
      </c>
      <c r="D1630" s="49" t="n">
        <v>46357</v>
      </c>
      <c r="E1630" s="18" t="s">
        <v>98</v>
      </c>
      <c r="F1630" s="18" t="s">
        <v>99</v>
      </c>
      <c r="G1630" s="18" t="s">
        <v>100</v>
      </c>
      <c r="H1630" s="18" t="s">
        <v>101</v>
      </c>
      <c r="I1630" s="18" t="s">
        <v>102</v>
      </c>
      <c r="J1630" s="18" t="s">
        <v>241</v>
      </c>
      <c r="K1630" s="18" t="s">
        <v>195</v>
      </c>
      <c r="L1630" s="64" t="n">
        <v>213.0180788736</v>
      </c>
      <c r="M1630" s="64" t="n">
        <v>7.86</v>
      </c>
      <c r="N1630" s="18" t="s">
        <v>1578</v>
      </c>
      <c r="O1630" s="65" t="n">
        <v>1674.3221</v>
      </c>
      <c r="P1630" s="65"/>
      <c r="Q1630" s="65"/>
      <c r="R1630" s="65" t="s">
        <v>232</v>
      </c>
      <c r="S1630" s="66" t="n">
        <f aca="false">Model_Calc!BA275</f>
        <v>1674.3220999465</v>
      </c>
      <c r="T1630" s="66" t="n">
        <f aca="false">ROUND(S1630-O1630,4)</f>
        <v>0</v>
      </c>
    </row>
    <row r="1631" customFormat="false" ht="15" hidden="false" customHeight="false" outlineLevel="0" collapsed="false">
      <c r="A1631" s="18" t="s">
        <v>206</v>
      </c>
      <c r="B1631" s="18" t="s">
        <v>207</v>
      </c>
      <c r="C1631" s="18" t="s">
        <v>208</v>
      </c>
      <c r="D1631" s="49" t="n">
        <v>46357</v>
      </c>
      <c r="E1631" s="18" t="s">
        <v>106</v>
      </c>
      <c r="F1631" s="18" t="s">
        <v>99</v>
      </c>
      <c r="G1631" s="18" t="s">
        <v>100</v>
      </c>
      <c r="H1631" s="18" t="s">
        <v>107</v>
      </c>
      <c r="I1631" s="18" t="s">
        <v>102</v>
      </c>
      <c r="J1631" s="18" t="s">
        <v>230</v>
      </c>
      <c r="K1631" s="18" t="s">
        <v>195</v>
      </c>
      <c r="L1631" s="64" t="n">
        <v>8574.749479296</v>
      </c>
      <c r="M1631" s="64" t="n">
        <v>7.86</v>
      </c>
      <c r="N1631" s="18" t="s">
        <v>1579</v>
      </c>
      <c r="O1631" s="65" t="n">
        <v>67397.5309</v>
      </c>
      <c r="P1631" s="65"/>
      <c r="Q1631" s="65"/>
      <c r="R1631" s="65" t="s">
        <v>232</v>
      </c>
      <c r="S1631" s="66" t="n">
        <f aca="false">Model_Calc!AF276</f>
        <v>67397.5309072666</v>
      </c>
      <c r="T1631" s="66" t="n">
        <f aca="false">ROUND(S1631-O1631,4)</f>
        <v>0</v>
      </c>
    </row>
    <row r="1632" customFormat="false" ht="15" hidden="false" customHeight="false" outlineLevel="0" collapsed="false">
      <c r="A1632" s="18" t="s">
        <v>206</v>
      </c>
      <c r="B1632" s="18" t="s">
        <v>207</v>
      </c>
      <c r="C1632" s="18" t="s">
        <v>208</v>
      </c>
      <c r="D1632" s="49" t="n">
        <v>46357</v>
      </c>
      <c r="E1632" s="18" t="s">
        <v>106</v>
      </c>
      <c r="F1632" s="18" t="s">
        <v>99</v>
      </c>
      <c r="G1632" s="18" t="s">
        <v>100</v>
      </c>
      <c r="H1632" s="18" t="s">
        <v>107</v>
      </c>
      <c r="I1632" s="18" t="s">
        <v>102</v>
      </c>
      <c r="J1632" s="18" t="s">
        <v>233</v>
      </c>
      <c r="K1632" s="18" t="s">
        <v>195</v>
      </c>
      <c r="L1632" s="64" t="n">
        <v>654.79905114624</v>
      </c>
      <c r="M1632" s="64" t="n">
        <v>7.86</v>
      </c>
      <c r="N1632" s="18" t="s">
        <v>1580</v>
      </c>
      <c r="O1632" s="65" t="n">
        <v>5146.7205</v>
      </c>
      <c r="P1632" s="65"/>
      <c r="Q1632" s="65"/>
      <c r="R1632" s="65" t="s">
        <v>232</v>
      </c>
      <c r="S1632" s="66" t="n">
        <f aca="false">Model_Calc!AG276</f>
        <v>5146.72054200945</v>
      </c>
      <c r="T1632" s="66" t="n">
        <f aca="false">ROUND(S1632-O1632,4)</f>
        <v>0</v>
      </c>
    </row>
    <row r="1633" customFormat="false" ht="15" hidden="false" customHeight="false" outlineLevel="0" collapsed="false">
      <c r="A1633" s="18" t="s">
        <v>206</v>
      </c>
      <c r="B1633" s="18" t="s">
        <v>207</v>
      </c>
      <c r="C1633" s="18" t="s">
        <v>208</v>
      </c>
      <c r="D1633" s="49" t="n">
        <v>46357</v>
      </c>
      <c r="E1633" s="18" t="s">
        <v>106</v>
      </c>
      <c r="F1633" s="18" t="s">
        <v>99</v>
      </c>
      <c r="G1633" s="18" t="s">
        <v>100</v>
      </c>
      <c r="H1633" s="18" t="s">
        <v>107</v>
      </c>
      <c r="I1633" s="18" t="s">
        <v>102</v>
      </c>
      <c r="J1633" s="18" t="s">
        <v>235</v>
      </c>
      <c r="K1633" s="18" t="s">
        <v>195</v>
      </c>
      <c r="L1633" s="64" t="n">
        <v>4479.84846345438</v>
      </c>
      <c r="M1633" s="64" t="n">
        <v>7.86</v>
      </c>
      <c r="N1633" s="18" t="s">
        <v>1581</v>
      </c>
      <c r="O1633" s="65" t="n">
        <v>35211.6089</v>
      </c>
      <c r="P1633" s="65"/>
      <c r="Q1633" s="65"/>
      <c r="R1633" s="65" t="s">
        <v>232</v>
      </c>
      <c r="S1633" s="66" t="n">
        <f aca="false">Model_Calc!AL276</f>
        <v>35211.6089227514</v>
      </c>
      <c r="T1633" s="66" t="n">
        <f aca="false">ROUND(S1633-O1633,4)</f>
        <v>0</v>
      </c>
    </row>
    <row r="1634" customFormat="false" ht="15" hidden="false" customHeight="false" outlineLevel="0" collapsed="false">
      <c r="A1634" s="18" t="s">
        <v>206</v>
      </c>
      <c r="B1634" s="18" t="s">
        <v>207</v>
      </c>
      <c r="C1634" s="18" t="s">
        <v>208</v>
      </c>
      <c r="D1634" s="49" t="n">
        <v>46357</v>
      </c>
      <c r="E1634" s="18" t="s">
        <v>106</v>
      </c>
      <c r="F1634" s="18" t="s">
        <v>99</v>
      </c>
      <c r="G1634" s="18" t="s">
        <v>100</v>
      </c>
      <c r="H1634" s="18" t="s">
        <v>107</v>
      </c>
      <c r="I1634" s="18" t="s">
        <v>102</v>
      </c>
      <c r="J1634" s="18" t="s">
        <v>237</v>
      </c>
      <c r="K1634" s="18" t="s">
        <v>195</v>
      </c>
      <c r="L1634" s="64" t="n">
        <v>1620.78973056</v>
      </c>
      <c r="M1634" s="64" t="n">
        <v>7.86</v>
      </c>
      <c r="N1634" s="18" t="s">
        <v>1582</v>
      </c>
      <c r="O1634" s="65" t="n">
        <v>12739.4073</v>
      </c>
      <c r="P1634" s="65"/>
      <c r="Q1634" s="65"/>
      <c r="R1634" s="65" t="s">
        <v>232</v>
      </c>
      <c r="S1634" s="66" t="n">
        <f aca="false">Model_Calc!AQ276</f>
        <v>12739.4072822016</v>
      </c>
      <c r="T1634" s="66" t="n">
        <f aca="false">ROUND(S1634-O1634,4)</f>
        <v>0</v>
      </c>
    </row>
    <row r="1635" customFormat="false" ht="15" hidden="false" customHeight="false" outlineLevel="0" collapsed="false">
      <c r="A1635" s="18" t="s">
        <v>206</v>
      </c>
      <c r="B1635" s="18" t="s">
        <v>207</v>
      </c>
      <c r="C1635" s="18" t="s">
        <v>208</v>
      </c>
      <c r="D1635" s="49" t="n">
        <v>46357</v>
      </c>
      <c r="E1635" s="18" t="s">
        <v>106</v>
      </c>
      <c r="F1635" s="18" t="s">
        <v>99</v>
      </c>
      <c r="G1635" s="18" t="s">
        <v>100</v>
      </c>
      <c r="H1635" s="18" t="s">
        <v>107</v>
      </c>
      <c r="I1635" s="18" t="s">
        <v>102</v>
      </c>
      <c r="J1635" s="18" t="s">
        <v>239</v>
      </c>
      <c r="K1635" s="18" t="s">
        <v>195</v>
      </c>
      <c r="L1635" s="64" t="n">
        <v>588.0416256</v>
      </c>
      <c r="M1635" s="64" t="n">
        <v>7.86</v>
      </c>
      <c r="N1635" s="18" t="s">
        <v>1583</v>
      </c>
      <c r="O1635" s="65" t="n">
        <v>4622.0072</v>
      </c>
      <c r="P1635" s="65"/>
      <c r="Q1635" s="65"/>
      <c r="R1635" s="65" t="s">
        <v>232</v>
      </c>
      <c r="S1635" s="66" t="n">
        <f aca="false">Model_Calc!AV276</f>
        <v>4622.007177216</v>
      </c>
      <c r="T1635" s="66" t="n">
        <f aca="false">ROUND(S1635-O1635,4)</f>
        <v>0</v>
      </c>
    </row>
    <row r="1636" customFormat="false" ht="15" hidden="false" customHeight="false" outlineLevel="0" collapsed="false">
      <c r="A1636" s="18" t="s">
        <v>206</v>
      </c>
      <c r="B1636" s="18" t="s">
        <v>207</v>
      </c>
      <c r="C1636" s="18" t="s">
        <v>208</v>
      </c>
      <c r="D1636" s="49" t="n">
        <v>46357</v>
      </c>
      <c r="E1636" s="18" t="s">
        <v>106</v>
      </c>
      <c r="F1636" s="18" t="s">
        <v>99</v>
      </c>
      <c r="G1636" s="18" t="s">
        <v>100</v>
      </c>
      <c r="H1636" s="18" t="s">
        <v>107</v>
      </c>
      <c r="I1636" s="18" t="s">
        <v>102</v>
      </c>
      <c r="J1636" s="18" t="s">
        <v>241</v>
      </c>
      <c r="K1636" s="18" t="s">
        <v>195</v>
      </c>
      <c r="L1636" s="64" t="n">
        <v>115.3847927232</v>
      </c>
      <c r="M1636" s="64" t="n">
        <v>7.86</v>
      </c>
      <c r="N1636" s="18" t="s">
        <v>1584</v>
      </c>
      <c r="O1636" s="65" t="n">
        <v>906.9245</v>
      </c>
      <c r="P1636" s="65"/>
      <c r="Q1636" s="65"/>
      <c r="R1636" s="65" t="s">
        <v>232</v>
      </c>
      <c r="S1636" s="66" t="n">
        <f aca="false">Model_Calc!BA276</f>
        <v>906.924470804352</v>
      </c>
      <c r="T1636" s="66" t="n">
        <f aca="false">ROUND(S1636-O1636,4)</f>
        <v>0</v>
      </c>
    </row>
    <row r="1637" customFormat="false" ht="15" hidden="false" customHeight="false" outlineLevel="0" collapsed="false">
      <c r="A1637" s="18" t="s">
        <v>206</v>
      </c>
      <c r="B1637" s="18" t="s">
        <v>207</v>
      </c>
      <c r="C1637" s="18" t="s">
        <v>208</v>
      </c>
      <c r="D1637" s="49" t="n">
        <v>46357</v>
      </c>
      <c r="E1637" s="18" t="s">
        <v>109</v>
      </c>
      <c r="F1637" s="18" t="s">
        <v>99</v>
      </c>
      <c r="G1637" s="18" t="s">
        <v>110</v>
      </c>
      <c r="H1637" s="18" t="s">
        <v>107</v>
      </c>
      <c r="I1637" s="18" t="s">
        <v>102</v>
      </c>
      <c r="J1637" s="18" t="s">
        <v>230</v>
      </c>
      <c r="K1637" s="18" t="s">
        <v>195</v>
      </c>
      <c r="L1637" s="64" t="n">
        <v>879.70110269184</v>
      </c>
      <c r="M1637" s="64" t="n">
        <v>7.86</v>
      </c>
      <c r="N1637" s="18" t="s">
        <v>1585</v>
      </c>
      <c r="O1637" s="65" t="n">
        <v>6914.4507</v>
      </c>
      <c r="P1637" s="65"/>
      <c r="Q1637" s="65"/>
      <c r="R1637" s="65" t="s">
        <v>232</v>
      </c>
      <c r="S1637" s="66" t="n">
        <f aca="false">Model_Calc!AF277</f>
        <v>6914.45066715787</v>
      </c>
      <c r="T1637" s="66" t="n">
        <f aca="false">ROUND(S1637-O1637,4)</f>
        <v>0</v>
      </c>
    </row>
    <row r="1638" customFormat="false" ht="15" hidden="false" customHeight="false" outlineLevel="0" collapsed="false">
      <c r="A1638" s="18" t="s">
        <v>206</v>
      </c>
      <c r="B1638" s="18" t="s">
        <v>207</v>
      </c>
      <c r="C1638" s="18" t="s">
        <v>208</v>
      </c>
      <c r="D1638" s="49" t="n">
        <v>46357</v>
      </c>
      <c r="E1638" s="18" t="s">
        <v>109</v>
      </c>
      <c r="F1638" s="18" t="s">
        <v>99</v>
      </c>
      <c r="G1638" s="18" t="s">
        <v>110</v>
      </c>
      <c r="H1638" s="18" t="s">
        <v>107</v>
      </c>
      <c r="I1638" s="18" t="s">
        <v>102</v>
      </c>
      <c r="J1638" s="18" t="s">
        <v>233</v>
      </c>
      <c r="K1638" s="18" t="s">
        <v>195</v>
      </c>
      <c r="L1638" s="64" t="n">
        <v>63.978262013952</v>
      </c>
      <c r="M1638" s="64" t="n">
        <v>7.86</v>
      </c>
      <c r="N1638" s="18" t="s">
        <v>1586</v>
      </c>
      <c r="O1638" s="65" t="n">
        <v>502.8691</v>
      </c>
      <c r="P1638" s="65"/>
      <c r="Q1638" s="65"/>
      <c r="R1638" s="65" t="s">
        <v>232</v>
      </c>
      <c r="S1638" s="66" t="n">
        <f aca="false">Model_Calc!AG277</f>
        <v>502.869139429663</v>
      </c>
      <c r="T1638" s="66" t="n">
        <f aca="false">ROUND(S1638-O1638,4)</f>
        <v>0</v>
      </c>
    </row>
    <row r="1639" customFormat="false" ht="15" hidden="false" customHeight="false" outlineLevel="0" collapsed="false">
      <c r="A1639" s="18" t="s">
        <v>206</v>
      </c>
      <c r="B1639" s="18" t="s">
        <v>207</v>
      </c>
      <c r="C1639" s="18" t="s">
        <v>208</v>
      </c>
      <c r="D1639" s="49" t="n">
        <v>46357</v>
      </c>
      <c r="E1639" s="18" t="s">
        <v>109</v>
      </c>
      <c r="F1639" s="18" t="s">
        <v>99</v>
      </c>
      <c r="G1639" s="18" t="s">
        <v>110</v>
      </c>
      <c r="H1639" s="18" t="s">
        <v>107</v>
      </c>
      <c r="I1639" s="18" t="s">
        <v>102</v>
      </c>
      <c r="J1639" s="18" t="s">
        <v>235</v>
      </c>
      <c r="K1639" s="18" t="s">
        <v>195</v>
      </c>
      <c r="L1639" s="64" t="n">
        <v>298.37808</v>
      </c>
      <c r="M1639" s="64" t="n">
        <v>7.86</v>
      </c>
      <c r="N1639" s="18" t="s">
        <v>1587</v>
      </c>
      <c r="O1639" s="65" t="n">
        <v>2345.2517</v>
      </c>
      <c r="P1639" s="65"/>
      <c r="Q1639" s="65"/>
      <c r="R1639" s="65" t="s">
        <v>232</v>
      </c>
      <c r="S1639" s="66" t="n">
        <f aca="false">Model_Calc!AL277</f>
        <v>2345.2517088</v>
      </c>
      <c r="T1639" s="66" t="n">
        <f aca="false">ROUND(S1639-O1639,4)</f>
        <v>0</v>
      </c>
    </row>
    <row r="1640" customFormat="false" ht="15" hidden="false" customHeight="false" outlineLevel="0" collapsed="false">
      <c r="A1640" s="18" t="s">
        <v>206</v>
      </c>
      <c r="B1640" s="18" t="s">
        <v>207</v>
      </c>
      <c r="C1640" s="18" t="s">
        <v>208</v>
      </c>
      <c r="D1640" s="49" t="n">
        <v>46357</v>
      </c>
      <c r="E1640" s="18" t="s">
        <v>109</v>
      </c>
      <c r="F1640" s="18" t="s">
        <v>99</v>
      </c>
      <c r="G1640" s="18" t="s">
        <v>110</v>
      </c>
      <c r="H1640" s="18" t="s">
        <v>107</v>
      </c>
      <c r="I1640" s="18" t="s">
        <v>102</v>
      </c>
      <c r="J1640" s="18" t="s">
        <v>237</v>
      </c>
      <c r="K1640" s="18" t="s">
        <v>195</v>
      </c>
      <c r="L1640" s="64" t="n">
        <v>116.62320384</v>
      </c>
      <c r="M1640" s="64" t="n">
        <v>7.86</v>
      </c>
      <c r="N1640" s="18" t="s">
        <v>1588</v>
      </c>
      <c r="O1640" s="65" t="n">
        <v>916.6584</v>
      </c>
      <c r="P1640" s="65"/>
      <c r="Q1640" s="65"/>
      <c r="R1640" s="65" t="s">
        <v>232</v>
      </c>
      <c r="S1640" s="66" t="n">
        <f aca="false">Model_Calc!AQ277</f>
        <v>916.6583821824</v>
      </c>
      <c r="T1640" s="66" t="n">
        <f aca="false">ROUND(S1640-O1640,4)</f>
        <v>0</v>
      </c>
    </row>
    <row r="1641" customFormat="false" ht="15" hidden="false" customHeight="false" outlineLevel="0" collapsed="false">
      <c r="A1641" s="18" t="s">
        <v>206</v>
      </c>
      <c r="B1641" s="18" t="s">
        <v>207</v>
      </c>
      <c r="C1641" s="18" t="s">
        <v>208</v>
      </c>
      <c r="D1641" s="49" t="n">
        <v>46357</v>
      </c>
      <c r="E1641" s="18" t="s">
        <v>109</v>
      </c>
      <c r="F1641" s="18" t="s">
        <v>99</v>
      </c>
      <c r="G1641" s="18" t="s">
        <v>110</v>
      </c>
      <c r="H1641" s="18" t="s">
        <v>107</v>
      </c>
      <c r="I1641" s="18" t="s">
        <v>102</v>
      </c>
      <c r="J1641" s="18" t="s">
        <v>239</v>
      </c>
      <c r="K1641" s="18" t="s">
        <v>195</v>
      </c>
      <c r="L1641" s="64" t="n">
        <v>53.992224</v>
      </c>
      <c r="M1641" s="64" t="n">
        <v>7.86</v>
      </c>
      <c r="N1641" s="18" t="s">
        <v>1589</v>
      </c>
      <c r="O1641" s="65" t="n">
        <v>424.3789</v>
      </c>
      <c r="P1641" s="65"/>
      <c r="Q1641" s="65"/>
      <c r="R1641" s="65" t="s">
        <v>232</v>
      </c>
      <c r="S1641" s="66" t="n">
        <f aca="false">Model_Calc!AV277</f>
        <v>424.37888064</v>
      </c>
      <c r="T1641" s="66" t="n">
        <f aca="false">ROUND(S1641-O1641,4)</f>
        <v>0</v>
      </c>
    </row>
    <row r="1642" customFormat="false" ht="15" hidden="false" customHeight="false" outlineLevel="0" collapsed="false">
      <c r="A1642" s="18" t="s">
        <v>206</v>
      </c>
      <c r="B1642" s="18" t="s">
        <v>207</v>
      </c>
      <c r="C1642" s="18" t="s">
        <v>208</v>
      </c>
      <c r="D1642" s="49" t="n">
        <v>46357</v>
      </c>
      <c r="E1642" s="18" t="s">
        <v>109</v>
      </c>
      <c r="F1642" s="18" t="s">
        <v>99</v>
      </c>
      <c r="G1642" s="18" t="s">
        <v>110</v>
      </c>
      <c r="H1642" s="18" t="s">
        <v>107</v>
      </c>
      <c r="I1642" s="18" t="s">
        <v>102</v>
      </c>
      <c r="J1642" s="18" t="s">
        <v>241</v>
      </c>
      <c r="K1642" s="18" t="s">
        <v>195</v>
      </c>
      <c r="L1642" s="64" t="n">
        <v>9.8822820096</v>
      </c>
      <c r="M1642" s="64" t="n">
        <v>7.86</v>
      </c>
      <c r="N1642" s="18" t="s">
        <v>1590</v>
      </c>
      <c r="O1642" s="65" t="n">
        <v>77.6747</v>
      </c>
      <c r="P1642" s="65"/>
      <c r="Q1642" s="65"/>
      <c r="R1642" s="65" t="s">
        <v>232</v>
      </c>
      <c r="S1642" s="66" t="n">
        <f aca="false">Model_Calc!BA277</f>
        <v>77.674736595456</v>
      </c>
      <c r="T1642" s="66" t="n">
        <f aca="false">ROUND(S1642-O1642,4)</f>
        <v>0</v>
      </c>
    </row>
    <row r="1643" customFormat="false" ht="15" hidden="false" customHeight="false" outlineLevel="0" collapsed="false">
      <c r="A1643" s="18" t="s">
        <v>206</v>
      </c>
      <c r="B1643" s="18" t="s">
        <v>207</v>
      </c>
      <c r="C1643" s="18" t="s">
        <v>208</v>
      </c>
      <c r="D1643" s="49" t="n">
        <v>46357</v>
      </c>
      <c r="E1643" s="18" t="s">
        <v>112</v>
      </c>
      <c r="F1643" s="18" t="s">
        <v>113</v>
      </c>
      <c r="G1643" s="18" t="s">
        <v>110</v>
      </c>
      <c r="H1643" s="18" t="s">
        <v>101</v>
      </c>
      <c r="I1643" s="18" t="s">
        <v>102</v>
      </c>
      <c r="J1643" s="18" t="s">
        <v>230</v>
      </c>
      <c r="K1643" s="18" t="s">
        <v>195</v>
      </c>
      <c r="L1643" s="64" t="n">
        <v>4956.6994324848</v>
      </c>
      <c r="M1643" s="64" t="n">
        <v>7.86</v>
      </c>
      <c r="N1643" s="18" t="s">
        <v>1591</v>
      </c>
      <c r="O1643" s="65" t="n">
        <v>38959.6575</v>
      </c>
      <c r="P1643" s="65"/>
      <c r="Q1643" s="65"/>
      <c r="R1643" s="65" t="s">
        <v>232</v>
      </c>
      <c r="S1643" s="66" t="n">
        <f aca="false">Model_Calc!AF278</f>
        <v>38959.6575393305</v>
      </c>
      <c r="T1643" s="66" t="n">
        <f aca="false">ROUND(S1643-O1643,4)</f>
        <v>0</v>
      </c>
    </row>
    <row r="1644" customFormat="false" ht="15" hidden="false" customHeight="false" outlineLevel="0" collapsed="false">
      <c r="A1644" s="18" t="s">
        <v>206</v>
      </c>
      <c r="B1644" s="18" t="s">
        <v>207</v>
      </c>
      <c r="C1644" s="18" t="s">
        <v>208</v>
      </c>
      <c r="D1644" s="49" t="n">
        <v>46357</v>
      </c>
      <c r="E1644" s="18" t="s">
        <v>112</v>
      </c>
      <c r="F1644" s="18" t="s">
        <v>113</v>
      </c>
      <c r="G1644" s="18" t="s">
        <v>110</v>
      </c>
      <c r="H1644" s="18" t="s">
        <v>101</v>
      </c>
      <c r="I1644" s="18" t="s">
        <v>102</v>
      </c>
      <c r="J1644" s="18" t="s">
        <v>233</v>
      </c>
      <c r="K1644" s="18" t="s">
        <v>195</v>
      </c>
      <c r="L1644" s="64" t="n">
        <v>461.716552135959</v>
      </c>
      <c r="M1644" s="64" t="n">
        <v>7.86</v>
      </c>
      <c r="N1644" s="18" t="s">
        <v>1592</v>
      </c>
      <c r="O1644" s="65" t="n">
        <v>3629.0921</v>
      </c>
      <c r="P1644" s="65"/>
      <c r="Q1644" s="65"/>
      <c r="R1644" s="65" t="s">
        <v>232</v>
      </c>
      <c r="S1644" s="66" t="n">
        <f aca="false">Model_Calc!AG278</f>
        <v>3629.09209978864</v>
      </c>
      <c r="T1644" s="66" t="n">
        <f aca="false">ROUND(S1644-O1644,4)</f>
        <v>0</v>
      </c>
    </row>
    <row r="1645" customFormat="false" ht="15" hidden="false" customHeight="false" outlineLevel="0" collapsed="false">
      <c r="A1645" s="18" t="s">
        <v>206</v>
      </c>
      <c r="B1645" s="18" t="s">
        <v>207</v>
      </c>
      <c r="C1645" s="18" t="s">
        <v>208</v>
      </c>
      <c r="D1645" s="49" t="n">
        <v>46357</v>
      </c>
      <c r="E1645" s="18" t="s">
        <v>112</v>
      </c>
      <c r="F1645" s="18" t="s">
        <v>113</v>
      </c>
      <c r="G1645" s="18" t="s">
        <v>110</v>
      </c>
      <c r="H1645" s="18" t="s">
        <v>101</v>
      </c>
      <c r="I1645" s="18" t="s">
        <v>102</v>
      </c>
      <c r="J1645" s="18" t="s">
        <v>235</v>
      </c>
      <c r="K1645" s="18" t="s">
        <v>195</v>
      </c>
      <c r="L1645" s="64" t="n">
        <v>3045.9429</v>
      </c>
      <c r="M1645" s="64" t="n">
        <v>7.86</v>
      </c>
      <c r="N1645" s="18" t="s">
        <v>1593</v>
      </c>
      <c r="O1645" s="65" t="n">
        <v>23941.1112</v>
      </c>
      <c r="P1645" s="65"/>
      <c r="Q1645" s="65"/>
      <c r="R1645" s="65" t="s">
        <v>232</v>
      </c>
      <c r="S1645" s="66" t="n">
        <f aca="false">Model_Calc!AL278</f>
        <v>23941.111194</v>
      </c>
      <c r="T1645" s="66" t="n">
        <f aca="false">ROUND(S1645-O1645,4)</f>
        <v>0</v>
      </c>
    </row>
    <row r="1646" customFormat="false" ht="15" hidden="false" customHeight="false" outlineLevel="0" collapsed="false">
      <c r="A1646" s="18" t="s">
        <v>206</v>
      </c>
      <c r="B1646" s="18" t="s">
        <v>207</v>
      </c>
      <c r="C1646" s="18" t="s">
        <v>208</v>
      </c>
      <c r="D1646" s="49" t="n">
        <v>46357</v>
      </c>
      <c r="E1646" s="18" t="s">
        <v>112</v>
      </c>
      <c r="F1646" s="18" t="s">
        <v>113</v>
      </c>
      <c r="G1646" s="18" t="s">
        <v>110</v>
      </c>
      <c r="H1646" s="18" t="s">
        <v>101</v>
      </c>
      <c r="I1646" s="18" t="s">
        <v>102</v>
      </c>
      <c r="J1646" s="18" t="s">
        <v>237</v>
      </c>
      <c r="K1646" s="18" t="s">
        <v>195</v>
      </c>
      <c r="L1646" s="64" t="n">
        <v>1168.4817144</v>
      </c>
      <c r="M1646" s="64" t="n">
        <v>7.86</v>
      </c>
      <c r="N1646" s="18" t="s">
        <v>1594</v>
      </c>
      <c r="O1646" s="65" t="n">
        <v>9184.2663</v>
      </c>
      <c r="P1646" s="65"/>
      <c r="Q1646" s="65"/>
      <c r="R1646" s="65" t="s">
        <v>232</v>
      </c>
      <c r="S1646" s="66" t="n">
        <f aca="false">Model_Calc!AQ278</f>
        <v>9184.266275184</v>
      </c>
      <c r="T1646" s="66" t="n">
        <f aca="false">ROUND(S1646-O1646,4)</f>
        <v>0</v>
      </c>
    </row>
    <row r="1647" customFormat="false" ht="15" hidden="false" customHeight="false" outlineLevel="0" collapsed="false">
      <c r="A1647" s="18" t="s">
        <v>206</v>
      </c>
      <c r="B1647" s="18" t="s">
        <v>207</v>
      </c>
      <c r="C1647" s="18" t="s">
        <v>208</v>
      </c>
      <c r="D1647" s="49" t="n">
        <v>46357</v>
      </c>
      <c r="E1647" s="18" t="s">
        <v>112</v>
      </c>
      <c r="F1647" s="18" t="s">
        <v>113</v>
      </c>
      <c r="G1647" s="18" t="s">
        <v>110</v>
      </c>
      <c r="H1647" s="18" t="s">
        <v>101</v>
      </c>
      <c r="I1647" s="18" t="s">
        <v>102</v>
      </c>
      <c r="J1647" s="18" t="s">
        <v>239</v>
      </c>
      <c r="K1647" s="18" t="s">
        <v>195</v>
      </c>
      <c r="L1647" s="64" t="n">
        <v>522.16164</v>
      </c>
      <c r="M1647" s="64" t="n">
        <v>7.86</v>
      </c>
      <c r="N1647" s="18" t="s">
        <v>1595</v>
      </c>
      <c r="O1647" s="65" t="n">
        <v>4104.1905</v>
      </c>
      <c r="P1647" s="65"/>
      <c r="Q1647" s="65"/>
      <c r="R1647" s="65" t="s">
        <v>232</v>
      </c>
      <c r="S1647" s="66" t="n">
        <f aca="false">Model_Calc!AV278</f>
        <v>4104.1904904</v>
      </c>
      <c r="T1647" s="66" t="n">
        <f aca="false">ROUND(S1647-O1647,4)</f>
        <v>0</v>
      </c>
    </row>
    <row r="1648" customFormat="false" ht="15" hidden="false" customHeight="false" outlineLevel="0" collapsed="false">
      <c r="A1648" s="18" t="s">
        <v>206</v>
      </c>
      <c r="B1648" s="18" t="s">
        <v>207</v>
      </c>
      <c r="C1648" s="18" t="s">
        <v>208</v>
      </c>
      <c r="D1648" s="49" t="n">
        <v>46357</v>
      </c>
      <c r="E1648" s="18" t="s">
        <v>112</v>
      </c>
      <c r="F1648" s="18" t="s">
        <v>113</v>
      </c>
      <c r="G1648" s="18" t="s">
        <v>110</v>
      </c>
      <c r="H1648" s="18" t="s">
        <v>101</v>
      </c>
      <c r="I1648" s="18" t="s">
        <v>102</v>
      </c>
      <c r="J1648" s="18" t="s">
        <v>241</v>
      </c>
      <c r="K1648" s="18" t="s">
        <v>195</v>
      </c>
      <c r="L1648" s="64" t="n">
        <v>120.230618508</v>
      </c>
      <c r="M1648" s="64" t="n">
        <v>7.86</v>
      </c>
      <c r="N1648" s="18" t="s">
        <v>1596</v>
      </c>
      <c r="O1648" s="65" t="n">
        <v>945.0127</v>
      </c>
      <c r="P1648" s="65"/>
      <c r="Q1648" s="65"/>
      <c r="R1648" s="65" t="s">
        <v>232</v>
      </c>
      <c r="S1648" s="66" t="n">
        <f aca="false">Model_Calc!BA278</f>
        <v>945.01266147288</v>
      </c>
      <c r="T1648" s="66" t="n">
        <f aca="false">ROUND(S1648-O1648,4)</f>
        <v>0</v>
      </c>
    </row>
    <row r="1649" customFormat="false" ht="15" hidden="false" customHeight="false" outlineLevel="0" collapsed="false">
      <c r="A1649" s="18" t="s">
        <v>206</v>
      </c>
      <c r="B1649" s="18" t="s">
        <v>207</v>
      </c>
      <c r="C1649" s="18" t="s">
        <v>208</v>
      </c>
      <c r="D1649" s="49" t="n">
        <v>46357</v>
      </c>
      <c r="E1649" s="18" t="s">
        <v>116</v>
      </c>
      <c r="F1649" s="18" t="s">
        <v>113</v>
      </c>
      <c r="G1649" s="18" t="s">
        <v>110</v>
      </c>
      <c r="H1649" s="18" t="s">
        <v>107</v>
      </c>
      <c r="I1649" s="18" t="s">
        <v>102</v>
      </c>
      <c r="J1649" s="18" t="s">
        <v>230</v>
      </c>
      <c r="K1649" s="18" t="s">
        <v>195</v>
      </c>
      <c r="L1649" s="64" t="n">
        <v>11846.9198215368</v>
      </c>
      <c r="M1649" s="64" t="n">
        <v>7.86</v>
      </c>
      <c r="N1649" s="18" t="s">
        <v>1597</v>
      </c>
      <c r="O1649" s="65" t="n">
        <v>93116.7898</v>
      </c>
      <c r="P1649" s="65"/>
      <c r="Q1649" s="65"/>
      <c r="R1649" s="65" t="s">
        <v>232</v>
      </c>
      <c r="S1649" s="66" t="n">
        <f aca="false">Model_Calc!AF279</f>
        <v>93116.7897972793</v>
      </c>
      <c r="T1649" s="66" t="n">
        <f aca="false">ROUND(S1649-O1649,4)</f>
        <v>0</v>
      </c>
    </row>
    <row r="1650" customFormat="false" ht="15" hidden="false" customHeight="false" outlineLevel="0" collapsed="false">
      <c r="A1650" s="18" t="s">
        <v>206</v>
      </c>
      <c r="B1650" s="18" t="s">
        <v>207</v>
      </c>
      <c r="C1650" s="18" t="s">
        <v>208</v>
      </c>
      <c r="D1650" s="49" t="n">
        <v>46357</v>
      </c>
      <c r="E1650" s="18" t="s">
        <v>116</v>
      </c>
      <c r="F1650" s="18" t="s">
        <v>113</v>
      </c>
      <c r="G1650" s="18" t="s">
        <v>110</v>
      </c>
      <c r="H1650" s="18" t="s">
        <v>107</v>
      </c>
      <c r="I1650" s="18" t="s">
        <v>102</v>
      </c>
      <c r="J1650" s="18" t="s">
        <v>233</v>
      </c>
      <c r="K1650" s="18" t="s">
        <v>195</v>
      </c>
      <c r="L1650" s="64" t="n">
        <v>911.3015247336</v>
      </c>
      <c r="M1650" s="64" t="n">
        <v>7.86</v>
      </c>
      <c r="N1650" s="18" t="s">
        <v>1598</v>
      </c>
      <c r="O1650" s="65" t="n">
        <v>7162.83</v>
      </c>
      <c r="P1650" s="65"/>
      <c r="Q1650" s="65"/>
      <c r="R1650" s="65" t="s">
        <v>232</v>
      </c>
      <c r="S1650" s="66" t="n">
        <f aca="false">Model_Calc!AG279</f>
        <v>7162.8299844061</v>
      </c>
      <c r="T1650" s="66" t="n">
        <f aca="false">ROUND(S1650-O1650,4)</f>
        <v>0</v>
      </c>
    </row>
    <row r="1651" customFormat="false" ht="15" hidden="false" customHeight="false" outlineLevel="0" collapsed="false">
      <c r="A1651" s="18" t="s">
        <v>206</v>
      </c>
      <c r="B1651" s="18" t="s">
        <v>207</v>
      </c>
      <c r="C1651" s="18" t="s">
        <v>208</v>
      </c>
      <c r="D1651" s="49" t="n">
        <v>46357</v>
      </c>
      <c r="E1651" s="18" t="s">
        <v>116</v>
      </c>
      <c r="F1651" s="18" t="s">
        <v>113</v>
      </c>
      <c r="G1651" s="18" t="s">
        <v>110</v>
      </c>
      <c r="H1651" s="18" t="s">
        <v>107</v>
      </c>
      <c r="I1651" s="18" t="s">
        <v>102</v>
      </c>
      <c r="J1651" s="18" t="s">
        <v>235</v>
      </c>
      <c r="K1651" s="18" t="s">
        <v>195</v>
      </c>
      <c r="L1651" s="64" t="n">
        <v>5656.7511</v>
      </c>
      <c r="M1651" s="64" t="n">
        <v>7.86</v>
      </c>
      <c r="N1651" s="18" t="s">
        <v>1599</v>
      </c>
      <c r="O1651" s="65" t="n">
        <v>44462.0636</v>
      </c>
      <c r="P1651" s="65"/>
      <c r="Q1651" s="65"/>
      <c r="R1651" s="65" t="s">
        <v>232</v>
      </c>
      <c r="S1651" s="66" t="n">
        <f aca="false">Model_Calc!AL279</f>
        <v>44462.063646</v>
      </c>
      <c r="T1651" s="66" t="n">
        <f aca="false">ROUND(S1651-O1651,4)</f>
        <v>0</v>
      </c>
    </row>
    <row r="1652" customFormat="false" ht="15" hidden="false" customHeight="false" outlineLevel="0" collapsed="false">
      <c r="A1652" s="18" t="s">
        <v>206</v>
      </c>
      <c r="B1652" s="18" t="s">
        <v>207</v>
      </c>
      <c r="C1652" s="18" t="s">
        <v>208</v>
      </c>
      <c r="D1652" s="49" t="n">
        <v>46357</v>
      </c>
      <c r="E1652" s="18" t="s">
        <v>116</v>
      </c>
      <c r="F1652" s="18" t="s">
        <v>113</v>
      </c>
      <c r="G1652" s="18" t="s">
        <v>110</v>
      </c>
      <c r="H1652" s="18" t="s">
        <v>107</v>
      </c>
      <c r="I1652" s="18" t="s">
        <v>102</v>
      </c>
      <c r="J1652" s="18" t="s">
        <v>237</v>
      </c>
      <c r="K1652" s="18" t="s">
        <v>195</v>
      </c>
      <c r="L1652" s="64" t="n">
        <v>2170.0374696</v>
      </c>
      <c r="M1652" s="64" t="n">
        <v>7.86</v>
      </c>
      <c r="N1652" s="18" t="s">
        <v>1600</v>
      </c>
      <c r="O1652" s="65" t="n">
        <v>17056.4945</v>
      </c>
      <c r="P1652" s="65"/>
      <c r="Q1652" s="65"/>
      <c r="R1652" s="65" t="s">
        <v>232</v>
      </c>
      <c r="S1652" s="66" t="n">
        <f aca="false">Model_Calc!AQ279</f>
        <v>17056.494511056</v>
      </c>
      <c r="T1652" s="66" t="n">
        <f aca="false">ROUND(S1652-O1652,4)</f>
        <v>0</v>
      </c>
    </row>
    <row r="1653" customFormat="false" ht="15" hidden="false" customHeight="false" outlineLevel="0" collapsed="false">
      <c r="A1653" s="18" t="s">
        <v>206</v>
      </c>
      <c r="B1653" s="18" t="s">
        <v>207</v>
      </c>
      <c r="C1653" s="18" t="s">
        <v>208</v>
      </c>
      <c r="D1653" s="49" t="n">
        <v>46357</v>
      </c>
      <c r="E1653" s="18" t="s">
        <v>116</v>
      </c>
      <c r="F1653" s="18" t="s">
        <v>113</v>
      </c>
      <c r="G1653" s="18" t="s">
        <v>110</v>
      </c>
      <c r="H1653" s="18" t="s">
        <v>107</v>
      </c>
      <c r="I1653" s="18" t="s">
        <v>102</v>
      </c>
      <c r="J1653" s="18" t="s">
        <v>239</v>
      </c>
      <c r="K1653" s="18" t="s">
        <v>195</v>
      </c>
      <c r="L1653" s="64" t="n">
        <v>969.72876</v>
      </c>
      <c r="M1653" s="64" t="n">
        <v>7.86</v>
      </c>
      <c r="N1653" s="18" t="s">
        <v>1601</v>
      </c>
      <c r="O1653" s="65" t="n">
        <v>7622.0681</v>
      </c>
      <c r="P1653" s="65"/>
      <c r="Q1653" s="65"/>
      <c r="R1653" s="65" t="s">
        <v>232</v>
      </c>
      <c r="S1653" s="66" t="n">
        <f aca="false">Model_Calc!AV279</f>
        <v>7622.0680536</v>
      </c>
      <c r="T1653" s="66" t="n">
        <f aca="false">ROUND(S1653-O1653,4)</f>
        <v>0</v>
      </c>
    </row>
    <row r="1654" customFormat="false" ht="15" hidden="false" customHeight="false" outlineLevel="0" collapsed="false">
      <c r="A1654" s="18" t="s">
        <v>206</v>
      </c>
      <c r="B1654" s="18" t="s">
        <v>207</v>
      </c>
      <c r="C1654" s="18" t="s">
        <v>208</v>
      </c>
      <c r="D1654" s="49" t="n">
        <v>46357</v>
      </c>
      <c r="E1654" s="18" t="s">
        <v>116</v>
      </c>
      <c r="F1654" s="18" t="s">
        <v>113</v>
      </c>
      <c r="G1654" s="18" t="s">
        <v>110</v>
      </c>
      <c r="H1654" s="18" t="s">
        <v>107</v>
      </c>
      <c r="I1654" s="18" t="s">
        <v>102</v>
      </c>
      <c r="J1654" s="18" t="s">
        <v>241</v>
      </c>
      <c r="K1654" s="18" t="s">
        <v>195</v>
      </c>
      <c r="L1654" s="64" t="n">
        <v>183.882122424</v>
      </c>
      <c r="M1654" s="64" t="n">
        <v>7.86</v>
      </c>
      <c r="N1654" s="18" t="s">
        <v>1602</v>
      </c>
      <c r="O1654" s="65" t="n">
        <v>1445.3135</v>
      </c>
      <c r="P1654" s="65"/>
      <c r="Q1654" s="65"/>
      <c r="R1654" s="65" t="s">
        <v>232</v>
      </c>
      <c r="S1654" s="66" t="n">
        <f aca="false">Model_Calc!BA279</f>
        <v>1445.31348225264</v>
      </c>
      <c r="T1654" s="66" t="n">
        <f aca="false">ROUND(S1654-O1654,4)</f>
        <v>0</v>
      </c>
    </row>
    <row r="1655" customFormat="false" ht="15" hidden="false" customHeight="false" outlineLevel="0" collapsed="false">
      <c r="A1655" s="18" t="s">
        <v>206</v>
      </c>
      <c r="B1655" s="18" t="s">
        <v>207</v>
      </c>
      <c r="C1655" s="18" t="s">
        <v>208</v>
      </c>
      <c r="D1655" s="49" t="n">
        <v>46357</v>
      </c>
      <c r="E1655" s="18" t="s">
        <v>118</v>
      </c>
      <c r="F1655" s="18" t="s">
        <v>119</v>
      </c>
      <c r="G1655" s="18" t="s">
        <v>100</v>
      </c>
      <c r="H1655" s="18" t="s">
        <v>101</v>
      </c>
      <c r="I1655" s="18" t="s">
        <v>102</v>
      </c>
      <c r="J1655" s="18" t="s">
        <v>230</v>
      </c>
      <c r="K1655" s="18" t="s">
        <v>199</v>
      </c>
      <c r="L1655" s="64" t="n">
        <v>26831.5903687164</v>
      </c>
      <c r="M1655" s="64" t="n">
        <v>9</v>
      </c>
      <c r="N1655" s="18" t="s">
        <v>1603</v>
      </c>
      <c r="O1655" s="65" t="n">
        <v>241484.3133</v>
      </c>
      <c r="P1655" s="65"/>
      <c r="Q1655" s="65"/>
      <c r="R1655" s="65" t="s">
        <v>232</v>
      </c>
      <c r="S1655" s="66" t="n">
        <f aca="false">Model_Calc!AF280</f>
        <v>241484.313318448</v>
      </c>
      <c r="T1655" s="66" t="n">
        <f aca="false">ROUND(S1655-O1655,4)</f>
        <v>0</v>
      </c>
    </row>
    <row r="1656" customFormat="false" ht="15" hidden="false" customHeight="false" outlineLevel="0" collapsed="false">
      <c r="A1656" s="18" t="s">
        <v>206</v>
      </c>
      <c r="B1656" s="18" t="s">
        <v>207</v>
      </c>
      <c r="C1656" s="18" t="s">
        <v>208</v>
      </c>
      <c r="D1656" s="49" t="n">
        <v>46357</v>
      </c>
      <c r="E1656" s="18" t="s">
        <v>118</v>
      </c>
      <c r="F1656" s="18" t="s">
        <v>119</v>
      </c>
      <c r="G1656" s="18" t="s">
        <v>100</v>
      </c>
      <c r="H1656" s="18" t="s">
        <v>101</v>
      </c>
      <c r="I1656" s="18" t="s">
        <v>102</v>
      </c>
      <c r="J1656" s="18" t="s">
        <v>233</v>
      </c>
      <c r="K1656" s="18" t="s">
        <v>199</v>
      </c>
      <c r="L1656" s="64" t="n">
        <v>2777.06960316215</v>
      </c>
      <c r="M1656" s="64" t="n">
        <v>9</v>
      </c>
      <c r="N1656" s="18" t="s">
        <v>1604</v>
      </c>
      <c r="O1656" s="65" t="n">
        <v>24993.6264</v>
      </c>
      <c r="P1656" s="65"/>
      <c r="Q1656" s="65"/>
      <c r="R1656" s="65" t="s">
        <v>232</v>
      </c>
      <c r="S1656" s="66" t="n">
        <f aca="false">Model_Calc!AG280</f>
        <v>24993.6264284593</v>
      </c>
      <c r="T1656" s="66" t="n">
        <f aca="false">ROUND(S1656-O1656,4)</f>
        <v>0</v>
      </c>
    </row>
    <row r="1657" customFormat="false" ht="15" hidden="false" customHeight="false" outlineLevel="0" collapsed="false">
      <c r="A1657" s="18" t="s">
        <v>206</v>
      </c>
      <c r="B1657" s="18" t="s">
        <v>207</v>
      </c>
      <c r="C1657" s="18" t="s">
        <v>208</v>
      </c>
      <c r="D1657" s="49" t="n">
        <v>46357</v>
      </c>
      <c r="E1657" s="18" t="s">
        <v>118</v>
      </c>
      <c r="F1657" s="18" t="s">
        <v>119</v>
      </c>
      <c r="G1657" s="18" t="s">
        <v>100</v>
      </c>
      <c r="H1657" s="18" t="s">
        <v>101</v>
      </c>
      <c r="I1657" s="18" t="s">
        <v>102</v>
      </c>
      <c r="J1657" s="18" t="s">
        <v>235</v>
      </c>
      <c r="K1657" s="18" t="s">
        <v>195</v>
      </c>
      <c r="L1657" s="64" t="n">
        <v>6650.49668801475</v>
      </c>
      <c r="M1657" s="64" t="n">
        <v>7.86</v>
      </c>
      <c r="N1657" s="18" t="s">
        <v>1605</v>
      </c>
      <c r="O1657" s="65" t="n">
        <v>52272.904</v>
      </c>
      <c r="P1657" s="65"/>
      <c r="Q1657" s="65"/>
      <c r="R1657" s="65" t="s">
        <v>232</v>
      </c>
      <c r="S1657" s="66" t="n">
        <f aca="false">Model_Calc!AL280</f>
        <v>52272.9039677959</v>
      </c>
      <c r="T1657" s="66" t="n">
        <f aca="false">ROUND(S1657-O1657,4)</f>
        <v>0</v>
      </c>
    </row>
    <row r="1658" customFormat="false" ht="15" hidden="false" customHeight="false" outlineLevel="0" collapsed="false">
      <c r="A1658" s="18" t="s">
        <v>206</v>
      </c>
      <c r="B1658" s="18" t="s">
        <v>207</v>
      </c>
      <c r="C1658" s="18" t="s">
        <v>208</v>
      </c>
      <c r="D1658" s="49" t="n">
        <v>46357</v>
      </c>
      <c r="E1658" s="18" t="s">
        <v>118</v>
      </c>
      <c r="F1658" s="18" t="s">
        <v>119</v>
      </c>
      <c r="G1658" s="18" t="s">
        <v>100</v>
      </c>
      <c r="H1658" s="18" t="s">
        <v>101</v>
      </c>
      <c r="I1658" s="18" t="s">
        <v>102</v>
      </c>
      <c r="J1658" s="18" t="s">
        <v>237</v>
      </c>
      <c r="K1658" s="18" t="s">
        <v>195</v>
      </c>
      <c r="L1658" s="64" t="n">
        <v>2681.106075648</v>
      </c>
      <c r="M1658" s="64" t="n">
        <v>7.86</v>
      </c>
      <c r="N1658" s="18" t="s">
        <v>1606</v>
      </c>
      <c r="O1658" s="65" t="n">
        <v>21073.4938</v>
      </c>
      <c r="P1658" s="65"/>
      <c r="Q1658" s="65"/>
      <c r="R1658" s="65" t="s">
        <v>232</v>
      </c>
      <c r="S1658" s="66" t="n">
        <f aca="false">Model_Calc!AQ280</f>
        <v>21073.4937545933</v>
      </c>
      <c r="T1658" s="66" t="n">
        <f aca="false">ROUND(S1658-O1658,4)</f>
        <v>0</v>
      </c>
    </row>
    <row r="1659" customFormat="false" ht="15" hidden="false" customHeight="false" outlineLevel="0" collapsed="false">
      <c r="A1659" s="18" t="s">
        <v>206</v>
      </c>
      <c r="B1659" s="18" t="s">
        <v>207</v>
      </c>
      <c r="C1659" s="18" t="s">
        <v>208</v>
      </c>
      <c r="D1659" s="49" t="n">
        <v>46357</v>
      </c>
      <c r="E1659" s="18" t="s">
        <v>118</v>
      </c>
      <c r="F1659" s="18" t="s">
        <v>119</v>
      </c>
      <c r="G1659" s="18" t="s">
        <v>100</v>
      </c>
      <c r="H1659" s="18" t="s">
        <v>101</v>
      </c>
      <c r="I1659" s="18" t="s">
        <v>102</v>
      </c>
      <c r="J1659" s="18" t="s">
        <v>239</v>
      </c>
      <c r="K1659" s="18" t="s">
        <v>199</v>
      </c>
      <c r="L1659" s="64" t="n">
        <v>2357.01633024</v>
      </c>
      <c r="M1659" s="64" t="n">
        <v>9</v>
      </c>
      <c r="N1659" s="18" t="s">
        <v>1607</v>
      </c>
      <c r="O1659" s="65" t="n">
        <v>21213.147</v>
      </c>
      <c r="P1659" s="65"/>
      <c r="Q1659" s="65"/>
      <c r="R1659" s="65" t="s">
        <v>232</v>
      </c>
      <c r="S1659" s="66" t="n">
        <f aca="false">Model_Calc!AV280</f>
        <v>21213.14697216</v>
      </c>
      <c r="T1659" s="66" t="n">
        <f aca="false">ROUND(S1659-O1659,4)</f>
        <v>0</v>
      </c>
    </row>
    <row r="1660" customFormat="false" ht="15" hidden="false" customHeight="false" outlineLevel="0" collapsed="false">
      <c r="A1660" s="18" t="s">
        <v>206</v>
      </c>
      <c r="B1660" s="18" t="s">
        <v>207</v>
      </c>
      <c r="C1660" s="18" t="s">
        <v>208</v>
      </c>
      <c r="D1660" s="49" t="n">
        <v>46357</v>
      </c>
      <c r="E1660" s="18" t="s">
        <v>118</v>
      </c>
      <c r="F1660" s="18" t="s">
        <v>119</v>
      </c>
      <c r="G1660" s="18" t="s">
        <v>100</v>
      </c>
      <c r="H1660" s="18" t="s">
        <v>101</v>
      </c>
      <c r="I1660" s="18" t="s">
        <v>102</v>
      </c>
      <c r="J1660" s="18" t="s">
        <v>241</v>
      </c>
      <c r="K1660" s="18" t="s">
        <v>199</v>
      </c>
      <c r="L1660" s="64" t="n">
        <v>396.42068404224</v>
      </c>
      <c r="M1660" s="64" t="n">
        <v>9</v>
      </c>
      <c r="N1660" s="18" t="s">
        <v>1608</v>
      </c>
      <c r="O1660" s="65" t="n">
        <v>3567.7862</v>
      </c>
      <c r="P1660" s="65"/>
      <c r="Q1660" s="65"/>
      <c r="R1660" s="65" t="s">
        <v>232</v>
      </c>
      <c r="S1660" s="66" t="n">
        <f aca="false">Model_Calc!BA280</f>
        <v>3567.78615638016</v>
      </c>
      <c r="T1660" s="66" t="n">
        <f aca="false">ROUND(S1660-O1660,4)</f>
        <v>0</v>
      </c>
    </row>
    <row r="1661" customFormat="false" ht="15" hidden="false" customHeight="false" outlineLevel="0" collapsed="false">
      <c r="A1661" s="18" t="s">
        <v>206</v>
      </c>
      <c r="B1661" s="18" t="s">
        <v>207</v>
      </c>
      <c r="C1661" s="18" t="s">
        <v>208</v>
      </c>
      <c r="D1661" s="49" t="n">
        <v>46357</v>
      </c>
      <c r="E1661" s="18" t="s">
        <v>122</v>
      </c>
      <c r="F1661" s="18" t="s">
        <v>119</v>
      </c>
      <c r="G1661" s="18" t="s">
        <v>100</v>
      </c>
      <c r="H1661" s="18" t="s">
        <v>107</v>
      </c>
      <c r="I1661" s="18" t="s">
        <v>102</v>
      </c>
      <c r="J1661" s="18" t="s">
        <v>230</v>
      </c>
      <c r="K1661" s="18" t="s">
        <v>199</v>
      </c>
      <c r="L1661" s="64" t="n">
        <v>16098.4061903808</v>
      </c>
      <c r="M1661" s="64" t="n">
        <v>9</v>
      </c>
      <c r="N1661" s="18" t="s">
        <v>1609</v>
      </c>
      <c r="O1661" s="65" t="n">
        <v>144885.6557</v>
      </c>
      <c r="P1661" s="65"/>
      <c r="Q1661" s="65"/>
      <c r="R1661" s="65" t="s">
        <v>232</v>
      </c>
      <c r="S1661" s="66" t="n">
        <f aca="false">Model_Calc!AF281</f>
        <v>144885.655713427</v>
      </c>
      <c r="T1661" s="66" t="n">
        <f aca="false">ROUND(S1661-O1661,4)</f>
        <v>0</v>
      </c>
    </row>
    <row r="1662" customFormat="false" ht="15" hidden="false" customHeight="false" outlineLevel="0" collapsed="false">
      <c r="A1662" s="18" t="s">
        <v>206</v>
      </c>
      <c r="B1662" s="18" t="s">
        <v>207</v>
      </c>
      <c r="C1662" s="18" t="s">
        <v>208</v>
      </c>
      <c r="D1662" s="49" t="n">
        <v>46357</v>
      </c>
      <c r="E1662" s="18" t="s">
        <v>122</v>
      </c>
      <c r="F1662" s="18" t="s">
        <v>119</v>
      </c>
      <c r="G1662" s="18" t="s">
        <v>100</v>
      </c>
      <c r="H1662" s="18" t="s">
        <v>107</v>
      </c>
      <c r="I1662" s="18" t="s">
        <v>102</v>
      </c>
      <c r="J1662" s="18" t="s">
        <v>233</v>
      </c>
      <c r="K1662" s="18" t="s">
        <v>199</v>
      </c>
      <c r="L1662" s="64" t="n">
        <v>1130.31362613312</v>
      </c>
      <c r="M1662" s="64" t="n">
        <v>9</v>
      </c>
      <c r="N1662" s="18" t="s">
        <v>1610</v>
      </c>
      <c r="O1662" s="65" t="n">
        <v>10172.8226</v>
      </c>
      <c r="P1662" s="65"/>
      <c r="Q1662" s="65"/>
      <c r="R1662" s="65" t="s">
        <v>232</v>
      </c>
      <c r="S1662" s="66" t="n">
        <f aca="false">Model_Calc!AG281</f>
        <v>10172.8226351981</v>
      </c>
      <c r="T1662" s="66" t="n">
        <f aca="false">ROUND(S1662-O1662,4)</f>
        <v>0</v>
      </c>
    </row>
    <row r="1663" customFormat="false" ht="15" hidden="false" customHeight="false" outlineLevel="0" collapsed="false">
      <c r="A1663" s="18" t="s">
        <v>206</v>
      </c>
      <c r="B1663" s="18" t="s">
        <v>207</v>
      </c>
      <c r="C1663" s="18" t="s">
        <v>208</v>
      </c>
      <c r="D1663" s="49" t="n">
        <v>46357</v>
      </c>
      <c r="E1663" s="18" t="s">
        <v>122</v>
      </c>
      <c r="F1663" s="18" t="s">
        <v>119</v>
      </c>
      <c r="G1663" s="18" t="s">
        <v>100</v>
      </c>
      <c r="H1663" s="18" t="s">
        <v>107</v>
      </c>
      <c r="I1663" s="18" t="s">
        <v>102</v>
      </c>
      <c r="J1663" s="18" t="s">
        <v>235</v>
      </c>
      <c r="K1663" s="18" t="s">
        <v>195</v>
      </c>
      <c r="L1663" s="64" t="n">
        <v>3463.80035834101</v>
      </c>
      <c r="M1663" s="64" t="n">
        <v>7.86</v>
      </c>
      <c r="N1663" s="18" t="s">
        <v>1611</v>
      </c>
      <c r="O1663" s="65" t="n">
        <v>27225.4708</v>
      </c>
      <c r="P1663" s="65"/>
      <c r="Q1663" s="65"/>
      <c r="R1663" s="65" t="s">
        <v>232</v>
      </c>
      <c r="S1663" s="66" t="n">
        <f aca="false">Model_Calc!AL281</f>
        <v>27225.4708165604</v>
      </c>
      <c r="T1663" s="66" t="n">
        <f aca="false">ROUND(S1663-O1663,4)</f>
        <v>0</v>
      </c>
    </row>
    <row r="1664" customFormat="false" ht="15" hidden="false" customHeight="false" outlineLevel="0" collapsed="false">
      <c r="A1664" s="18" t="s">
        <v>206</v>
      </c>
      <c r="B1664" s="18" t="s">
        <v>207</v>
      </c>
      <c r="C1664" s="18" t="s">
        <v>208</v>
      </c>
      <c r="D1664" s="49" t="n">
        <v>46357</v>
      </c>
      <c r="E1664" s="18" t="s">
        <v>122</v>
      </c>
      <c r="F1664" s="18" t="s">
        <v>119</v>
      </c>
      <c r="G1664" s="18" t="s">
        <v>100</v>
      </c>
      <c r="H1664" s="18" t="s">
        <v>107</v>
      </c>
      <c r="I1664" s="18" t="s">
        <v>102</v>
      </c>
      <c r="J1664" s="18" t="s">
        <v>237</v>
      </c>
      <c r="K1664" s="18" t="s">
        <v>195</v>
      </c>
      <c r="L1664" s="64" t="n">
        <v>1396.4094144</v>
      </c>
      <c r="M1664" s="64" t="n">
        <v>7.86</v>
      </c>
      <c r="N1664" s="18" t="s">
        <v>1612</v>
      </c>
      <c r="O1664" s="65" t="n">
        <v>10975.778</v>
      </c>
      <c r="P1664" s="65"/>
      <c r="Q1664" s="65"/>
      <c r="R1664" s="65" t="s">
        <v>232</v>
      </c>
      <c r="S1664" s="66" t="n">
        <f aca="false">Model_Calc!AQ281</f>
        <v>10975.777997184</v>
      </c>
      <c r="T1664" s="66" t="n">
        <f aca="false">ROUND(S1664-O1664,4)</f>
        <v>0</v>
      </c>
    </row>
    <row r="1665" customFormat="false" ht="15" hidden="false" customHeight="false" outlineLevel="0" collapsed="false">
      <c r="A1665" s="18" t="s">
        <v>206</v>
      </c>
      <c r="B1665" s="18" t="s">
        <v>207</v>
      </c>
      <c r="C1665" s="18" t="s">
        <v>208</v>
      </c>
      <c r="D1665" s="49" t="n">
        <v>46357</v>
      </c>
      <c r="E1665" s="18" t="s">
        <v>122</v>
      </c>
      <c r="F1665" s="18" t="s">
        <v>119</v>
      </c>
      <c r="G1665" s="18" t="s">
        <v>100</v>
      </c>
      <c r="H1665" s="18" t="s">
        <v>107</v>
      </c>
      <c r="I1665" s="18" t="s">
        <v>102</v>
      </c>
      <c r="J1665" s="18" t="s">
        <v>239</v>
      </c>
      <c r="K1665" s="18" t="s">
        <v>199</v>
      </c>
      <c r="L1665" s="64" t="n">
        <v>1227.612672</v>
      </c>
      <c r="M1665" s="64" t="n">
        <v>9</v>
      </c>
      <c r="N1665" s="18" t="s">
        <v>1613</v>
      </c>
      <c r="O1665" s="65" t="n">
        <v>11048.514</v>
      </c>
      <c r="P1665" s="65"/>
      <c r="Q1665" s="65"/>
      <c r="R1665" s="65" t="s">
        <v>232</v>
      </c>
      <c r="S1665" s="66" t="n">
        <f aca="false">Model_Calc!AV281</f>
        <v>11048.514048</v>
      </c>
      <c r="T1665" s="66" t="n">
        <f aca="false">ROUND(S1665-O1665,4)</f>
        <v>0</v>
      </c>
    </row>
    <row r="1666" customFormat="false" ht="15" hidden="false" customHeight="false" outlineLevel="0" collapsed="false">
      <c r="A1666" s="18" t="s">
        <v>206</v>
      </c>
      <c r="B1666" s="18" t="s">
        <v>207</v>
      </c>
      <c r="C1666" s="18" t="s">
        <v>208</v>
      </c>
      <c r="D1666" s="49" t="n">
        <v>46357</v>
      </c>
      <c r="E1666" s="18" t="s">
        <v>122</v>
      </c>
      <c r="F1666" s="18" t="s">
        <v>119</v>
      </c>
      <c r="G1666" s="18" t="s">
        <v>100</v>
      </c>
      <c r="H1666" s="18" t="s">
        <v>107</v>
      </c>
      <c r="I1666" s="18" t="s">
        <v>102</v>
      </c>
      <c r="J1666" s="18" t="s">
        <v>241</v>
      </c>
      <c r="K1666" s="18" t="s">
        <v>199</v>
      </c>
      <c r="L1666" s="64" t="n">
        <v>152.94007872</v>
      </c>
      <c r="M1666" s="64" t="n">
        <v>9</v>
      </c>
      <c r="N1666" s="18" t="s">
        <v>1614</v>
      </c>
      <c r="O1666" s="65" t="n">
        <v>1376.4607</v>
      </c>
      <c r="P1666" s="65"/>
      <c r="Q1666" s="65"/>
      <c r="R1666" s="65" t="s">
        <v>232</v>
      </c>
      <c r="S1666" s="66" t="n">
        <f aca="false">Model_Calc!BA281</f>
        <v>1376.46070848</v>
      </c>
      <c r="T1666" s="66" t="n">
        <f aca="false">ROUND(S1666-O1666,4)</f>
        <v>0</v>
      </c>
    </row>
    <row r="1667" customFormat="false" ht="15" hidden="false" customHeight="false" outlineLevel="0" collapsed="false">
      <c r="A1667" s="18" t="s">
        <v>206</v>
      </c>
      <c r="B1667" s="18" t="s">
        <v>207</v>
      </c>
      <c r="C1667" s="18" t="s">
        <v>208</v>
      </c>
      <c r="D1667" s="49" t="n">
        <v>46357</v>
      </c>
      <c r="E1667" s="18" t="s">
        <v>124</v>
      </c>
      <c r="F1667" s="18" t="s">
        <v>119</v>
      </c>
      <c r="G1667" s="18" t="s">
        <v>100</v>
      </c>
      <c r="H1667" s="18" t="s">
        <v>107</v>
      </c>
      <c r="I1667" s="18" t="s">
        <v>125</v>
      </c>
      <c r="J1667" s="18" t="s">
        <v>230</v>
      </c>
      <c r="K1667" s="18" t="s">
        <v>199</v>
      </c>
      <c r="L1667" s="64" t="n">
        <v>15777.9835135675</v>
      </c>
      <c r="M1667" s="64" t="n">
        <v>9</v>
      </c>
      <c r="N1667" s="18" t="s">
        <v>1615</v>
      </c>
      <c r="O1667" s="65" t="n">
        <v>142001.8516</v>
      </c>
      <c r="P1667" s="65"/>
      <c r="Q1667" s="65"/>
      <c r="R1667" s="65" t="s">
        <v>232</v>
      </c>
      <c r="S1667" s="66" t="n">
        <f aca="false">Model_Calc!AF282</f>
        <v>142001.851622107</v>
      </c>
      <c r="T1667" s="66" t="n">
        <f aca="false">ROUND(S1667-O1667,4)</f>
        <v>0</v>
      </c>
    </row>
    <row r="1668" customFormat="false" ht="15" hidden="false" customHeight="false" outlineLevel="0" collapsed="false">
      <c r="A1668" s="18" t="s">
        <v>206</v>
      </c>
      <c r="B1668" s="18" t="s">
        <v>207</v>
      </c>
      <c r="C1668" s="18" t="s">
        <v>208</v>
      </c>
      <c r="D1668" s="49" t="n">
        <v>46357</v>
      </c>
      <c r="E1668" s="18" t="s">
        <v>124</v>
      </c>
      <c r="F1668" s="18" t="s">
        <v>119</v>
      </c>
      <c r="G1668" s="18" t="s">
        <v>100</v>
      </c>
      <c r="H1668" s="18" t="s">
        <v>107</v>
      </c>
      <c r="I1668" s="18" t="s">
        <v>125</v>
      </c>
      <c r="J1668" s="18" t="s">
        <v>233</v>
      </c>
      <c r="K1668" s="18" t="s">
        <v>199</v>
      </c>
      <c r="L1668" s="64" t="n">
        <v>1953.09346721046</v>
      </c>
      <c r="M1668" s="64" t="n">
        <v>9</v>
      </c>
      <c r="N1668" s="18" t="s">
        <v>1616</v>
      </c>
      <c r="O1668" s="65" t="n">
        <v>17577.8412</v>
      </c>
      <c r="P1668" s="65"/>
      <c r="Q1668" s="65"/>
      <c r="R1668" s="65" t="s">
        <v>232</v>
      </c>
      <c r="S1668" s="66" t="n">
        <f aca="false">Model_Calc!AG282</f>
        <v>17577.8412048942</v>
      </c>
      <c r="T1668" s="66" t="n">
        <f aca="false">ROUND(S1668-O1668,4)</f>
        <v>0</v>
      </c>
    </row>
    <row r="1669" customFormat="false" ht="15" hidden="false" customHeight="false" outlineLevel="0" collapsed="false">
      <c r="A1669" s="18" t="s">
        <v>206</v>
      </c>
      <c r="B1669" s="18" t="s">
        <v>207</v>
      </c>
      <c r="C1669" s="18" t="s">
        <v>208</v>
      </c>
      <c r="D1669" s="49" t="n">
        <v>46357</v>
      </c>
      <c r="E1669" s="18" t="s">
        <v>124</v>
      </c>
      <c r="F1669" s="18" t="s">
        <v>119</v>
      </c>
      <c r="G1669" s="18" t="s">
        <v>100</v>
      </c>
      <c r="H1669" s="18" t="s">
        <v>107</v>
      </c>
      <c r="I1669" s="18" t="s">
        <v>125</v>
      </c>
      <c r="J1669" s="18" t="s">
        <v>235</v>
      </c>
      <c r="K1669" s="18" t="s">
        <v>195</v>
      </c>
      <c r="L1669" s="64" t="n">
        <v>2632.48827233917</v>
      </c>
      <c r="M1669" s="64" t="n">
        <v>7.86</v>
      </c>
      <c r="N1669" s="18" t="s">
        <v>1617</v>
      </c>
      <c r="O1669" s="65" t="n">
        <v>20691.3578</v>
      </c>
      <c r="P1669" s="65"/>
      <c r="Q1669" s="65"/>
      <c r="R1669" s="65" t="s">
        <v>232</v>
      </c>
      <c r="S1669" s="66" t="n">
        <f aca="false">Model_Calc!AL282</f>
        <v>20691.3578205859</v>
      </c>
      <c r="T1669" s="66" t="n">
        <f aca="false">ROUND(S1669-O1669,4)</f>
        <v>0</v>
      </c>
    </row>
    <row r="1670" customFormat="false" ht="15" hidden="false" customHeight="false" outlineLevel="0" collapsed="false">
      <c r="A1670" s="18" t="s">
        <v>206</v>
      </c>
      <c r="B1670" s="18" t="s">
        <v>207</v>
      </c>
      <c r="C1670" s="18" t="s">
        <v>208</v>
      </c>
      <c r="D1670" s="49" t="n">
        <v>46357</v>
      </c>
      <c r="E1670" s="18" t="s">
        <v>124</v>
      </c>
      <c r="F1670" s="18" t="s">
        <v>119</v>
      </c>
      <c r="G1670" s="18" t="s">
        <v>100</v>
      </c>
      <c r="H1670" s="18" t="s">
        <v>107</v>
      </c>
      <c r="I1670" s="18" t="s">
        <v>125</v>
      </c>
      <c r="J1670" s="18" t="s">
        <v>237</v>
      </c>
      <c r="K1670" s="18" t="s">
        <v>195</v>
      </c>
      <c r="L1670" s="64" t="n">
        <v>1061.271154944</v>
      </c>
      <c r="M1670" s="64" t="n">
        <v>7.86</v>
      </c>
      <c r="N1670" s="18" t="s">
        <v>1618</v>
      </c>
      <c r="O1670" s="65" t="n">
        <v>8341.5913</v>
      </c>
      <c r="P1670" s="65"/>
      <c r="Q1670" s="65"/>
      <c r="R1670" s="65" t="s">
        <v>232</v>
      </c>
      <c r="S1670" s="66" t="n">
        <f aca="false">Model_Calc!AQ282</f>
        <v>8341.59127785984</v>
      </c>
      <c r="T1670" s="66" t="n">
        <f aca="false">ROUND(S1670-O1670,4)</f>
        <v>0</v>
      </c>
    </row>
    <row r="1671" customFormat="false" ht="15" hidden="false" customHeight="false" outlineLevel="0" collapsed="false">
      <c r="A1671" s="18" t="s">
        <v>206</v>
      </c>
      <c r="B1671" s="18" t="s">
        <v>207</v>
      </c>
      <c r="C1671" s="18" t="s">
        <v>208</v>
      </c>
      <c r="D1671" s="49" t="n">
        <v>46357</v>
      </c>
      <c r="E1671" s="18" t="s">
        <v>124</v>
      </c>
      <c r="F1671" s="18" t="s">
        <v>119</v>
      </c>
      <c r="G1671" s="18" t="s">
        <v>100</v>
      </c>
      <c r="H1671" s="18" t="s">
        <v>107</v>
      </c>
      <c r="I1671" s="18" t="s">
        <v>125</v>
      </c>
      <c r="J1671" s="18" t="s">
        <v>239</v>
      </c>
      <c r="K1671" s="18" t="s">
        <v>199</v>
      </c>
      <c r="L1671" s="64" t="n">
        <v>932.98563072</v>
      </c>
      <c r="M1671" s="64" t="n">
        <v>9</v>
      </c>
      <c r="N1671" s="18" t="s">
        <v>1619</v>
      </c>
      <c r="O1671" s="65" t="n">
        <v>8396.8707</v>
      </c>
      <c r="P1671" s="65"/>
      <c r="Q1671" s="65"/>
      <c r="R1671" s="65" t="s">
        <v>232</v>
      </c>
      <c r="S1671" s="66" t="n">
        <f aca="false">Model_Calc!AV282</f>
        <v>8396.87067648</v>
      </c>
      <c r="T1671" s="66" t="n">
        <f aca="false">ROUND(S1671-O1671,4)</f>
        <v>0</v>
      </c>
    </row>
    <row r="1672" customFormat="false" ht="15" hidden="false" customHeight="false" outlineLevel="0" collapsed="false">
      <c r="A1672" s="18" t="s">
        <v>206</v>
      </c>
      <c r="B1672" s="18" t="s">
        <v>207</v>
      </c>
      <c r="C1672" s="18" t="s">
        <v>208</v>
      </c>
      <c r="D1672" s="49" t="n">
        <v>46357</v>
      </c>
      <c r="E1672" s="18" t="s">
        <v>124</v>
      </c>
      <c r="F1672" s="18" t="s">
        <v>119</v>
      </c>
      <c r="G1672" s="18" t="s">
        <v>100</v>
      </c>
      <c r="H1672" s="18" t="s">
        <v>107</v>
      </c>
      <c r="I1672" s="18" t="s">
        <v>125</v>
      </c>
      <c r="J1672" s="18" t="s">
        <v>241</v>
      </c>
      <c r="K1672" s="18" t="s">
        <v>199</v>
      </c>
      <c r="L1672" s="64" t="n">
        <v>113.20225652736</v>
      </c>
      <c r="M1672" s="64" t="n">
        <v>9</v>
      </c>
      <c r="N1672" s="18" t="s">
        <v>1620</v>
      </c>
      <c r="O1672" s="65" t="n">
        <v>1018.8203</v>
      </c>
      <c r="P1672" s="65"/>
      <c r="Q1672" s="65"/>
      <c r="R1672" s="65" t="s">
        <v>232</v>
      </c>
      <c r="S1672" s="66" t="n">
        <f aca="false">Model_Calc!BA282</f>
        <v>1018.82030874624</v>
      </c>
      <c r="T1672" s="66" t="n">
        <f aca="false">ROUND(S1672-O1672,4)</f>
        <v>0</v>
      </c>
    </row>
    <row r="1673" customFormat="false" ht="15" hidden="false" customHeight="false" outlineLevel="0" collapsed="false">
      <c r="A1673" s="18" t="s">
        <v>206</v>
      </c>
      <c r="B1673" s="18" t="s">
        <v>207</v>
      </c>
      <c r="C1673" s="18" t="s">
        <v>208</v>
      </c>
      <c r="D1673" s="49" t="n">
        <v>46357</v>
      </c>
      <c r="E1673" s="18" t="s">
        <v>127</v>
      </c>
      <c r="F1673" s="18" t="s">
        <v>119</v>
      </c>
      <c r="G1673" s="18" t="s">
        <v>100</v>
      </c>
      <c r="H1673" s="18" t="s">
        <v>128</v>
      </c>
      <c r="I1673" s="18" t="s">
        <v>125</v>
      </c>
      <c r="J1673" s="18" t="s">
        <v>230</v>
      </c>
      <c r="K1673" s="18" t="s">
        <v>199</v>
      </c>
      <c r="L1673" s="64" t="n">
        <v>8016.59525967286</v>
      </c>
      <c r="M1673" s="64" t="n">
        <v>9</v>
      </c>
      <c r="N1673" s="18" t="s">
        <v>1621</v>
      </c>
      <c r="O1673" s="65" t="n">
        <v>72149.3573</v>
      </c>
      <c r="P1673" s="65"/>
      <c r="Q1673" s="65"/>
      <c r="R1673" s="65" t="s">
        <v>232</v>
      </c>
      <c r="S1673" s="66" t="n">
        <f aca="false">Model_Calc!AF283</f>
        <v>72149.3573370558</v>
      </c>
      <c r="T1673" s="66" t="n">
        <f aca="false">ROUND(S1673-O1673,4)</f>
        <v>0</v>
      </c>
    </row>
    <row r="1674" customFormat="false" ht="15" hidden="false" customHeight="false" outlineLevel="0" collapsed="false">
      <c r="A1674" s="18" t="s">
        <v>206</v>
      </c>
      <c r="B1674" s="18" t="s">
        <v>207</v>
      </c>
      <c r="C1674" s="18" t="s">
        <v>208</v>
      </c>
      <c r="D1674" s="49" t="n">
        <v>46357</v>
      </c>
      <c r="E1674" s="18" t="s">
        <v>127</v>
      </c>
      <c r="F1674" s="18" t="s">
        <v>119</v>
      </c>
      <c r="G1674" s="18" t="s">
        <v>100</v>
      </c>
      <c r="H1674" s="18" t="s">
        <v>128</v>
      </c>
      <c r="I1674" s="18" t="s">
        <v>125</v>
      </c>
      <c r="J1674" s="18" t="s">
        <v>233</v>
      </c>
      <c r="K1674" s="18" t="s">
        <v>199</v>
      </c>
      <c r="L1674" s="64" t="n">
        <v>619.950033414701</v>
      </c>
      <c r="M1674" s="64" t="n">
        <v>9</v>
      </c>
      <c r="N1674" s="18" t="s">
        <v>1622</v>
      </c>
      <c r="O1674" s="65" t="n">
        <v>5579.5503</v>
      </c>
      <c r="P1674" s="65"/>
      <c r="Q1674" s="65"/>
      <c r="R1674" s="65" t="s">
        <v>232</v>
      </c>
      <c r="S1674" s="66" t="n">
        <f aca="false">Model_Calc!AG283</f>
        <v>5579.55030073231</v>
      </c>
      <c r="T1674" s="66" t="n">
        <f aca="false">ROUND(S1674-O1674,4)</f>
        <v>0</v>
      </c>
    </row>
    <row r="1675" customFormat="false" ht="15" hidden="false" customHeight="false" outlineLevel="0" collapsed="false">
      <c r="A1675" s="18" t="s">
        <v>206</v>
      </c>
      <c r="B1675" s="18" t="s">
        <v>207</v>
      </c>
      <c r="C1675" s="18" t="s">
        <v>208</v>
      </c>
      <c r="D1675" s="49" t="n">
        <v>46357</v>
      </c>
      <c r="E1675" s="18" t="s">
        <v>127</v>
      </c>
      <c r="F1675" s="18" t="s">
        <v>119</v>
      </c>
      <c r="G1675" s="18" t="s">
        <v>100</v>
      </c>
      <c r="H1675" s="18" t="s">
        <v>128</v>
      </c>
      <c r="I1675" s="18" t="s">
        <v>125</v>
      </c>
      <c r="J1675" s="18" t="s">
        <v>235</v>
      </c>
      <c r="K1675" s="18" t="s">
        <v>195</v>
      </c>
      <c r="L1675" s="64" t="n">
        <v>1108.41611466912</v>
      </c>
      <c r="M1675" s="64" t="n">
        <v>7.86</v>
      </c>
      <c r="N1675" s="18" t="s">
        <v>1623</v>
      </c>
      <c r="O1675" s="65" t="n">
        <v>8712.1507</v>
      </c>
      <c r="P1675" s="65"/>
      <c r="Q1675" s="65"/>
      <c r="R1675" s="65" t="s">
        <v>232</v>
      </c>
      <c r="S1675" s="66" t="n">
        <f aca="false">Model_Calc!AL283</f>
        <v>8712.15066129932</v>
      </c>
      <c r="T1675" s="66" t="n">
        <f aca="false">ROUND(S1675-O1675,4)</f>
        <v>0</v>
      </c>
    </row>
    <row r="1676" customFormat="false" ht="15" hidden="false" customHeight="false" outlineLevel="0" collapsed="false">
      <c r="A1676" s="18" t="s">
        <v>206</v>
      </c>
      <c r="B1676" s="18" t="s">
        <v>207</v>
      </c>
      <c r="C1676" s="18" t="s">
        <v>208</v>
      </c>
      <c r="D1676" s="49" t="n">
        <v>46357</v>
      </c>
      <c r="E1676" s="18" t="s">
        <v>127</v>
      </c>
      <c r="F1676" s="18" t="s">
        <v>119</v>
      </c>
      <c r="G1676" s="18" t="s">
        <v>100</v>
      </c>
      <c r="H1676" s="18" t="s">
        <v>128</v>
      </c>
      <c r="I1676" s="18" t="s">
        <v>125</v>
      </c>
      <c r="J1676" s="18" t="s">
        <v>237</v>
      </c>
      <c r="K1676" s="18" t="s">
        <v>195</v>
      </c>
      <c r="L1676" s="64" t="n">
        <v>446.851012608</v>
      </c>
      <c r="M1676" s="64" t="n">
        <v>7.86</v>
      </c>
      <c r="N1676" s="18" t="s">
        <v>1624</v>
      </c>
      <c r="O1676" s="65" t="n">
        <v>3512.249</v>
      </c>
      <c r="P1676" s="65"/>
      <c r="Q1676" s="65"/>
      <c r="R1676" s="65" t="s">
        <v>232</v>
      </c>
      <c r="S1676" s="66" t="n">
        <f aca="false">Model_Calc!AQ283</f>
        <v>3512.24895909888</v>
      </c>
      <c r="T1676" s="66" t="n">
        <f aca="false">ROUND(S1676-O1676,4)</f>
        <v>0</v>
      </c>
    </row>
    <row r="1677" customFormat="false" ht="15" hidden="false" customHeight="false" outlineLevel="0" collapsed="false">
      <c r="A1677" s="18" t="s">
        <v>206</v>
      </c>
      <c r="B1677" s="18" t="s">
        <v>207</v>
      </c>
      <c r="C1677" s="18" t="s">
        <v>208</v>
      </c>
      <c r="D1677" s="49" t="n">
        <v>46357</v>
      </c>
      <c r="E1677" s="18" t="s">
        <v>127</v>
      </c>
      <c r="F1677" s="18" t="s">
        <v>119</v>
      </c>
      <c r="G1677" s="18" t="s">
        <v>100</v>
      </c>
      <c r="H1677" s="18" t="s">
        <v>128</v>
      </c>
      <c r="I1677" s="18" t="s">
        <v>125</v>
      </c>
      <c r="J1677" s="18" t="s">
        <v>239</v>
      </c>
      <c r="K1677" s="18" t="s">
        <v>199</v>
      </c>
      <c r="L1677" s="64" t="n">
        <v>392.83605504</v>
      </c>
      <c r="M1677" s="64" t="n">
        <v>9</v>
      </c>
      <c r="N1677" s="18" t="s">
        <v>1625</v>
      </c>
      <c r="O1677" s="65" t="n">
        <v>3535.5245</v>
      </c>
      <c r="P1677" s="65"/>
      <c r="Q1677" s="65"/>
      <c r="R1677" s="65" t="s">
        <v>232</v>
      </c>
      <c r="S1677" s="66" t="n">
        <f aca="false">Model_Calc!AV283</f>
        <v>3535.52449536</v>
      </c>
      <c r="T1677" s="66" t="n">
        <f aca="false">ROUND(S1677-O1677,4)</f>
        <v>0</v>
      </c>
    </row>
    <row r="1678" customFormat="false" ht="15" hidden="false" customHeight="false" outlineLevel="0" collapsed="false">
      <c r="A1678" s="18" t="s">
        <v>206</v>
      </c>
      <c r="B1678" s="18" t="s">
        <v>207</v>
      </c>
      <c r="C1678" s="18" t="s">
        <v>208</v>
      </c>
      <c r="D1678" s="49" t="n">
        <v>46357</v>
      </c>
      <c r="E1678" s="18" t="s">
        <v>127</v>
      </c>
      <c r="F1678" s="18" t="s">
        <v>119</v>
      </c>
      <c r="G1678" s="18" t="s">
        <v>100</v>
      </c>
      <c r="H1678" s="18" t="s">
        <v>128</v>
      </c>
      <c r="I1678" s="18" t="s">
        <v>125</v>
      </c>
      <c r="J1678" s="18" t="s">
        <v>241</v>
      </c>
      <c r="K1678" s="18" t="s">
        <v>199</v>
      </c>
      <c r="L1678" s="64" t="n">
        <v>42.13166690304</v>
      </c>
      <c r="M1678" s="64" t="n">
        <v>9</v>
      </c>
      <c r="N1678" s="18" t="s">
        <v>1626</v>
      </c>
      <c r="O1678" s="65" t="n">
        <v>379.185</v>
      </c>
      <c r="P1678" s="65"/>
      <c r="Q1678" s="65"/>
      <c r="R1678" s="65" t="s">
        <v>232</v>
      </c>
      <c r="S1678" s="66" t="n">
        <f aca="false">Model_Calc!BA283</f>
        <v>379.18500212736</v>
      </c>
      <c r="T1678" s="66" t="n">
        <f aca="false">ROUND(S1678-O1678,4)</f>
        <v>0</v>
      </c>
    </row>
    <row r="1679" customFormat="false" ht="15" hidden="false" customHeight="false" outlineLevel="0" collapsed="false">
      <c r="A1679" s="18" t="s">
        <v>206</v>
      </c>
      <c r="B1679" s="18" t="s">
        <v>207</v>
      </c>
      <c r="C1679" s="18" t="s">
        <v>208</v>
      </c>
      <c r="D1679" s="49" t="n">
        <v>46357</v>
      </c>
      <c r="E1679" s="18" t="s">
        <v>130</v>
      </c>
      <c r="F1679" s="18" t="s">
        <v>119</v>
      </c>
      <c r="G1679" s="18" t="s">
        <v>110</v>
      </c>
      <c r="H1679" s="18" t="s">
        <v>107</v>
      </c>
      <c r="I1679" s="18" t="s">
        <v>125</v>
      </c>
      <c r="J1679" s="18" t="s">
        <v>230</v>
      </c>
      <c r="K1679" s="18" t="s">
        <v>195</v>
      </c>
      <c r="L1679" s="64" t="n">
        <v>3442.31877049632</v>
      </c>
      <c r="M1679" s="64" t="n">
        <v>7.86</v>
      </c>
      <c r="N1679" s="18" t="s">
        <v>1627</v>
      </c>
      <c r="O1679" s="65" t="n">
        <v>27056.6255</v>
      </c>
      <c r="P1679" s="65"/>
      <c r="Q1679" s="65"/>
      <c r="R1679" s="65" t="s">
        <v>232</v>
      </c>
      <c r="S1679" s="66" t="n">
        <f aca="false">Model_Calc!AF284</f>
        <v>27056.6255361011</v>
      </c>
      <c r="T1679" s="66" t="n">
        <f aca="false">ROUND(S1679-O1679,4)</f>
        <v>0</v>
      </c>
    </row>
    <row r="1680" customFormat="false" ht="15" hidden="false" customHeight="false" outlineLevel="0" collapsed="false">
      <c r="A1680" s="18" t="s">
        <v>206</v>
      </c>
      <c r="B1680" s="18" t="s">
        <v>207</v>
      </c>
      <c r="C1680" s="18" t="s">
        <v>208</v>
      </c>
      <c r="D1680" s="49" t="n">
        <v>46357</v>
      </c>
      <c r="E1680" s="18" t="s">
        <v>130</v>
      </c>
      <c r="F1680" s="18" t="s">
        <v>119</v>
      </c>
      <c r="G1680" s="18" t="s">
        <v>110</v>
      </c>
      <c r="H1680" s="18" t="s">
        <v>107</v>
      </c>
      <c r="I1680" s="18" t="s">
        <v>125</v>
      </c>
      <c r="J1680" s="18" t="s">
        <v>233</v>
      </c>
      <c r="K1680" s="18" t="s">
        <v>195</v>
      </c>
      <c r="L1680" s="64" t="n">
        <v>374.093992383688</v>
      </c>
      <c r="M1680" s="64" t="n">
        <v>7.86</v>
      </c>
      <c r="N1680" s="18" t="s">
        <v>1628</v>
      </c>
      <c r="O1680" s="65" t="n">
        <v>2940.3788</v>
      </c>
      <c r="P1680" s="65"/>
      <c r="Q1680" s="65"/>
      <c r="R1680" s="65" t="s">
        <v>232</v>
      </c>
      <c r="S1680" s="66" t="n">
        <f aca="false">Model_Calc!AG284</f>
        <v>2940.37878013578</v>
      </c>
      <c r="T1680" s="66" t="n">
        <f aca="false">ROUND(S1680-O1680,4)</f>
        <v>0</v>
      </c>
    </row>
    <row r="1681" customFormat="false" ht="15" hidden="false" customHeight="false" outlineLevel="0" collapsed="false">
      <c r="A1681" s="18" t="s">
        <v>206</v>
      </c>
      <c r="B1681" s="18" t="s">
        <v>207</v>
      </c>
      <c r="C1681" s="18" t="s">
        <v>208</v>
      </c>
      <c r="D1681" s="49" t="n">
        <v>46357</v>
      </c>
      <c r="E1681" s="18" t="s">
        <v>130</v>
      </c>
      <c r="F1681" s="18" t="s">
        <v>119</v>
      </c>
      <c r="G1681" s="18" t="s">
        <v>110</v>
      </c>
      <c r="H1681" s="18" t="s">
        <v>107</v>
      </c>
      <c r="I1681" s="18" t="s">
        <v>125</v>
      </c>
      <c r="J1681" s="18" t="s">
        <v>235</v>
      </c>
      <c r="K1681" s="18" t="s">
        <v>195</v>
      </c>
      <c r="L1681" s="64" t="n">
        <v>497.2968</v>
      </c>
      <c r="M1681" s="64" t="n">
        <v>7.86</v>
      </c>
      <c r="N1681" s="18" t="s">
        <v>1629</v>
      </c>
      <c r="O1681" s="65" t="n">
        <v>3908.7528</v>
      </c>
      <c r="P1681" s="65"/>
      <c r="Q1681" s="65"/>
      <c r="R1681" s="65" t="s">
        <v>232</v>
      </c>
      <c r="S1681" s="66" t="n">
        <f aca="false">Model_Calc!AL284</f>
        <v>3908.752848</v>
      </c>
      <c r="T1681" s="66" t="n">
        <f aca="false">ROUND(S1681-O1681,4)</f>
        <v>0</v>
      </c>
    </row>
    <row r="1682" customFormat="false" ht="15" hidden="false" customHeight="false" outlineLevel="0" collapsed="false">
      <c r="A1682" s="18" t="s">
        <v>206</v>
      </c>
      <c r="B1682" s="18" t="s">
        <v>207</v>
      </c>
      <c r="C1682" s="18" t="s">
        <v>208</v>
      </c>
      <c r="D1682" s="49" t="n">
        <v>46357</v>
      </c>
      <c r="E1682" s="18" t="s">
        <v>130</v>
      </c>
      <c r="F1682" s="18" t="s">
        <v>119</v>
      </c>
      <c r="G1682" s="18" t="s">
        <v>110</v>
      </c>
      <c r="H1682" s="18" t="s">
        <v>107</v>
      </c>
      <c r="I1682" s="18" t="s">
        <v>125</v>
      </c>
      <c r="J1682" s="18" t="s">
        <v>237</v>
      </c>
      <c r="K1682" s="18" t="s">
        <v>195</v>
      </c>
      <c r="L1682" s="64" t="n">
        <v>210.5696736</v>
      </c>
      <c r="M1682" s="64" t="n">
        <v>7.86</v>
      </c>
      <c r="N1682" s="18" t="s">
        <v>1630</v>
      </c>
      <c r="O1682" s="65" t="n">
        <v>1655.0776</v>
      </c>
      <c r="P1682" s="65"/>
      <c r="Q1682" s="65"/>
      <c r="R1682" s="65" t="s">
        <v>232</v>
      </c>
      <c r="S1682" s="66" t="n">
        <f aca="false">Model_Calc!AQ284</f>
        <v>1655.077634496</v>
      </c>
      <c r="T1682" s="66" t="n">
        <f aca="false">ROUND(S1682-O1682,4)</f>
        <v>0</v>
      </c>
    </row>
    <row r="1683" customFormat="false" ht="15" hidden="false" customHeight="false" outlineLevel="0" collapsed="false">
      <c r="A1683" s="18" t="s">
        <v>206</v>
      </c>
      <c r="B1683" s="18" t="s">
        <v>207</v>
      </c>
      <c r="C1683" s="18" t="s">
        <v>208</v>
      </c>
      <c r="D1683" s="49" t="n">
        <v>46357</v>
      </c>
      <c r="E1683" s="18" t="s">
        <v>130</v>
      </c>
      <c r="F1683" s="18" t="s">
        <v>119</v>
      </c>
      <c r="G1683" s="18" t="s">
        <v>110</v>
      </c>
      <c r="H1683" s="18" t="s">
        <v>107</v>
      </c>
      <c r="I1683" s="18" t="s">
        <v>125</v>
      </c>
      <c r="J1683" s="18" t="s">
        <v>239</v>
      </c>
      <c r="K1683" s="18" t="s">
        <v>195</v>
      </c>
      <c r="L1683" s="64" t="n">
        <v>221.652288</v>
      </c>
      <c r="M1683" s="64" t="n">
        <v>7.86</v>
      </c>
      <c r="N1683" s="18" t="s">
        <v>1631</v>
      </c>
      <c r="O1683" s="65" t="n">
        <v>1742.187</v>
      </c>
      <c r="P1683" s="65"/>
      <c r="Q1683" s="65"/>
      <c r="R1683" s="65" t="s">
        <v>232</v>
      </c>
      <c r="S1683" s="66" t="n">
        <f aca="false">Model_Calc!AV284</f>
        <v>1742.18698368</v>
      </c>
      <c r="T1683" s="66" t="n">
        <f aca="false">ROUND(S1683-O1683,4)</f>
        <v>0</v>
      </c>
    </row>
    <row r="1684" customFormat="false" ht="15" hidden="false" customHeight="false" outlineLevel="0" collapsed="false">
      <c r="A1684" s="18" t="s">
        <v>206</v>
      </c>
      <c r="B1684" s="18" t="s">
        <v>207</v>
      </c>
      <c r="C1684" s="18" t="s">
        <v>208</v>
      </c>
      <c r="D1684" s="49" t="n">
        <v>46357</v>
      </c>
      <c r="E1684" s="18" t="s">
        <v>130</v>
      </c>
      <c r="F1684" s="18" t="s">
        <v>119</v>
      </c>
      <c r="G1684" s="18" t="s">
        <v>110</v>
      </c>
      <c r="H1684" s="18" t="s">
        <v>107</v>
      </c>
      <c r="I1684" s="18" t="s">
        <v>125</v>
      </c>
      <c r="J1684" s="18" t="s">
        <v>241</v>
      </c>
      <c r="K1684" s="18" t="s">
        <v>195</v>
      </c>
      <c r="L1684" s="64" t="n">
        <v>21.721924224</v>
      </c>
      <c r="M1684" s="64" t="n">
        <v>7.86</v>
      </c>
      <c r="N1684" s="18" t="s">
        <v>1632</v>
      </c>
      <c r="O1684" s="65" t="n">
        <v>170.7343</v>
      </c>
      <c r="P1684" s="65"/>
      <c r="Q1684" s="65"/>
      <c r="R1684" s="65" t="s">
        <v>232</v>
      </c>
      <c r="S1684" s="66" t="n">
        <f aca="false">Model_Calc!BA284</f>
        <v>170.73432440064</v>
      </c>
      <c r="T1684" s="66" t="n">
        <f aca="false">ROUND(S1684-O1684,4)</f>
        <v>0</v>
      </c>
    </row>
    <row r="1685" customFormat="false" ht="15" hidden="false" customHeight="false" outlineLevel="0" collapsed="false">
      <c r="A1685" s="18" t="s">
        <v>210</v>
      </c>
      <c r="B1685" s="18" t="s">
        <v>207</v>
      </c>
      <c r="C1685" s="18" t="s">
        <v>211</v>
      </c>
      <c r="D1685" s="49" t="n">
        <v>46266</v>
      </c>
      <c r="E1685" s="18" t="s">
        <v>98</v>
      </c>
      <c r="F1685" s="18" t="s">
        <v>99</v>
      </c>
      <c r="G1685" s="18" t="s">
        <v>100</v>
      </c>
      <c r="H1685" s="18" t="s">
        <v>101</v>
      </c>
      <c r="I1685" s="18" t="s">
        <v>102</v>
      </c>
      <c r="J1685" s="18" t="s">
        <v>230</v>
      </c>
      <c r="K1685" s="18" t="s">
        <v>195</v>
      </c>
      <c r="L1685" s="64" t="n">
        <v>6720.488847072</v>
      </c>
      <c r="M1685" s="64" t="n">
        <v>7.92</v>
      </c>
      <c r="N1685" s="18" t="s">
        <v>1633</v>
      </c>
      <c r="O1685" s="65" t="n">
        <v>53226.2717</v>
      </c>
      <c r="P1685" s="65"/>
      <c r="Q1685" s="65"/>
      <c r="R1685" s="65" t="s">
        <v>232</v>
      </c>
      <c r="S1685" s="66" t="n">
        <f aca="false">Model_Calc!AF285</f>
        <v>53226.2716688102</v>
      </c>
      <c r="T1685" s="66" t="n">
        <f aca="false">ROUND(S1685-O1685,4)</f>
        <v>0</v>
      </c>
    </row>
    <row r="1686" customFormat="false" ht="15" hidden="false" customHeight="false" outlineLevel="0" collapsed="false">
      <c r="A1686" s="18" t="s">
        <v>210</v>
      </c>
      <c r="B1686" s="18" t="s">
        <v>207</v>
      </c>
      <c r="C1686" s="18" t="s">
        <v>211</v>
      </c>
      <c r="D1686" s="49" t="n">
        <v>46266</v>
      </c>
      <c r="E1686" s="18" t="s">
        <v>98</v>
      </c>
      <c r="F1686" s="18" t="s">
        <v>99</v>
      </c>
      <c r="G1686" s="18" t="s">
        <v>100</v>
      </c>
      <c r="H1686" s="18" t="s">
        <v>101</v>
      </c>
      <c r="I1686" s="18" t="s">
        <v>102</v>
      </c>
      <c r="J1686" s="18" t="s">
        <v>233</v>
      </c>
      <c r="K1686" s="18" t="s">
        <v>195</v>
      </c>
      <c r="L1686" s="64" t="n">
        <v>660.792065888354</v>
      </c>
      <c r="M1686" s="64" t="n">
        <v>7.92</v>
      </c>
      <c r="N1686" s="18" t="s">
        <v>1634</v>
      </c>
      <c r="O1686" s="65" t="n">
        <v>5233.4732</v>
      </c>
      <c r="P1686" s="65"/>
      <c r="Q1686" s="65"/>
      <c r="R1686" s="65" t="s">
        <v>232</v>
      </c>
      <c r="S1686" s="66" t="n">
        <f aca="false">Model_Calc!AG285</f>
        <v>5233.47316183577</v>
      </c>
      <c r="T1686" s="66" t="n">
        <f aca="false">ROUND(S1686-O1686,4)</f>
        <v>0</v>
      </c>
    </row>
    <row r="1687" customFormat="false" ht="15" hidden="false" customHeight="false" outlineLevel="0" collapsed="false">
      <c r="A1687" s="18" t="s">
        <v>210</v>
      </c>
      <c r="B1687" s="18" t="s">
        <v>207</v>
      </c>
      <c r="C1687" s="18" t="s">
        <v>211</v>
      </c>
      <c r="D1687" s="49" t="n">
        <v>46266</v>
      </c>
      <c r="E1687" s="18" t="s">
        <v>98</v>
      </c>
      <c r="F1687" s="18" t="s">
        <v>99</v>
      </c>
      <c r="G1687" s="18" t="s">
        <v>100</v>
      </c>
      <c r="H1687" s="18" t="s">
        <v>101</v>
      </c>
      <c r="I1687" s="18" t="s">
        <v>102</v>
      </c>
      <c r="J1687" s="18" t="s">
        <v>235</v>
      </c>
      <c r="K1687" s="18" t="s">
        <v>195</v>
      </c>
      <c r="L1687" s="64" t="n">
        <v>4959.47634826572</v>
      </c>
      <c r="M1687" s="64" t="n">
        <v>7.92</v>
      </c>
      <c r="N1687" s="18" t="s">
        <v>1398</v>
      </c>
      <c r="O1687" s="65" t="n">
        <v>39279.0527</v>
      </c>
      <c r="P1687" s="65"/>
      <c r="Q1687" s="65"/>
      <c r="R1687" s="65" t="s">
        <v>232</v>
      </c>
      <c r="S1687" s="66" t="n">
        <f aca="false">Model_Calc!AL285</f>
        <v>39279.0526782645</v>
      </c>
      <c r="T1687" s="66" t="n">
        <f aca="false">ROUND(S1687-O1687,4)</f>
        <v>0</v>
      </c>
    </row>
    <row r="1688" customFormat="false" ht="15" hidden="false" customHeight="false" outlineLevel="0" collapsed="false">
      <c r="A1688" s="18" t="s">
        <v>210</v>
      </c>
      <c r="B1688" s="18" t="s">
        <v>207</v>
      </c>
      <c r="C1688" s="18" t="s">
        <v>211</v>
      </c>
      <c r="D1688" s="49" t="n">
        <v>46266</v>
      </c>
      <c r="E1688" s="18" t="s">
        <v>98</v>
      </c>
      <c r="F1688" s="18" t="s">
        <v>99</v>
      </c>
      <c r="G1688" s="18" t="s">
        <v>100</v>
      </c>
      <c r="H1688" s="18" t="s">
        <v>101</v>
      </c>
      <c r="I1688" s="18" t="s">
        <v>102</v>
      </c>
      <c r="J1688" s="18" t="s">
        <v>237</v>
      </c>
      <c r="K1688" s="18" t="s">
        <v>195</v>
      </c>
      <c r="L1688" s="64" t="n">
        <v>1644.87489264</v>
      </c>
      <c r="M1688" s="64" t="n">
        <v>7.92</v>
      </c>
      <c r="N1688" s="18" t="s">
        <v>1635</v>
      </c>
      <c r="O1688" s="65" t="n">
        <v>13027.4091</v>
      </c>
      <c r="P1688" s="65"/>
      <c r="Q1688" s="65"/>
      <c r="R1688" s="65" t="s">
        <v>232</v>
      </c>
      <c r="S1688" s="66" t="n">
        <f aca="false">Model_Calc!AQ285</f>
        <v>13027.4091497088</v>
      </c>
      <c r="T1688" s="66" t="n">
        <f aca="false">ROUND(S1688-O1688,4)</f>
        <v>0</v>
      </c>
    </row>
    <row r="1689" customFormat="false" ht="15" hidden="false" customHeight="false" outlineLevel="0" collapsed="false">
      <c r="A1689" s="18" t="s">
        <v>210</v>
      </c>
      <c r="B1689" s="18" t="s">
        <v>207</v>
      </c>
      <c r="C1689" s="18" t="s">
        <v>211</v>
      </c>
      <c r="D1689" s="49" t="n">
        <v>46266</v>
      </c>
      <c r="E1689" s="18" t="s">
        <v>98</v>
      </c>
      <c r="F1689" s="18" t="s">
        <v>99</v>
      </c>
      <c r="G1689" s="18" t="s">
        <v>100</v>
      </c>
      <c r="H1689" s="18" t="s">
        <v>101</v>
      </c>
      <c r="I1689" s="18" t="s">
        <v>102</v>
      </c>
      <c r="J1689" s="18" t="s">
        <v>239</v>
      </c>
      <c r="K1689" s="18" t="s">
        <v>195</v>
      </c>
      <c r="L1689" s="64" t="n">
        <v>596.7800064</v>
      </c>
      <c r="M1689" s="64" t="n">
        <v>7.92</v>
      </c>
      <c r="N1689" s="18" t="s">
        <v>1636</v>
      </c>
      <c r="O1689" s="65" t="n">
        <v>4726.4977</v>
      </c>
      <c r="P1689" s="65"/>
      <c r="Q1689" s="65"/>
      <c r="R1689" s="65" t="s">
        <v>232</v>
      </c>
      <c r="S1689" s="66" t="n">
        <f aca="false">Model_Calc!AV285</f>
        <v>4726.497650688</v>
      </c>
      <c r="T1689" s="66" t="n">
        <f aca="false">ROUND(S1689-O1689,4)</f>
        <v>0</v>
      </c>
    </row>
    <row r="1690" customFormat="false" ht="15" hidden="false" customHeight="false" outlineLevel="0" collapsed="false">
      <c r="A1690" s="18" t="s">
        <v>210</v>
      </c>
      <c r="B1690" s="18" t="s">
        <v>207</v>
      </c>
      <c r="C1690" s="18" t="s">
        <v>211</v>
      </c>
      <c r="D1690" s="49" t="n">
        <v>46266</v>
      </c>
      <c r="E1690" s="18" t="s">
        <v>98</v>
      </c>
      <c r="F1690" s="18" t="s">
        <v>99</v>
      </c>
      <c r="G1690" s="18" t="s">
        <v>100</v>
      </c>
      <c r="H1690" s="18" t="s">
        <v>101</v>
      </c>
      <c r="I1690" s="18" t="s">
        <v>102</v>
      </c>
      <c r="J1690" s="18" t="s">
        <v>241</v>
      </c>
      <c r="K1690" s="18" t="s">
        <v>195</v>
      </c>
      <c r="L1690" s="64" t="n">
        <v>144.1223715456</v>
      </c>
      <c r="M1690" s="64" t="n">
        <v>7.92</v>
      </c>
      <c r="N1690" s="18" t="s">
        <v>1637</v>
      </c>
      <c r="O1690" s="65" t="n">
        <v>1141.4492</v>
      </c>
      <c r="P1690" s="65"/>
      <c r="Q1690" s="65"/>
      <c r="R1690" s="65" t="s">
        <v>232</v>
      </c>
      <c r="S1690" s="66" t="n">
        <f aca="false">Model_Calc!BA285</f>
        <v>1141.44918264115</v>
      </c>
      <c r="T1690" s="66" t="n">
        <f aca="false">ROUND(S1690-O1690,4)</f>
        <v>0</v>
      </c>
    </row>
    <row r="1691" customFormat="false" ht="15" hidden="false" customHeight="false" outlineLevel="0" collapsed="false">
      <c r="A1691" s="18" t="s">
        <v>210</v>
      </c>
      <c r="B1691" s="18" t="s">
        <v>207</v>
      </c>
      <c r="C1691" s="18" t="s">
        <v>211</v>
      </c>
      <c r="D1691" s="49" t="n">
        <v>46266</v>
      </c>
      <c r="E1691" s="18" t="s">
        <v>106</v>
      </c>
      <c r="F1691" s="18" t="s">
        <v>99</v>
      </c>
      <c r="G1691" s="18" t="s">
        <v>100</v>
      </c>
      <c r="H1691" s="18" t="s">
        <v>107</v>
      </c>
      <c r="I1691" s="18" t="s">
        <v>102</v>
      </c>
      <c r="J1691" s="18" t="s">
        <v>230</v>
      </c>
      <c r="K1691" s="18" t="s">
        <v>195</v>
      </c>
      <c r="L1691" s="64" t="n">
        <v>5744.0075616</v>
      </c>
      <c r="M1691" s="64" t="n">
        <v>7.92</v>
      </c>
      <c r="N1691" s="18" t="s">
        <v>1638</v>
      </c>
      <c r="O1691" s="65" t="n">
        <v>45492.5399</v>
      </c>
      <c r="P1691" s="65"/>
      <c r="Q1691" s="65"/>
      <c r="R1691" s="65" t="s">
        <v>232</v>
      </c>
      <c r="S1691" s="66" t="n">
        <f aca="false">Model_Calc!AF286</f>
        <v>45492.539887872</v>
      </c>
      <c r="T1691" s="66" t="n">
        <f aca="false">ROUND(S1691-O1691,4)</f>
        <v>0</v>
      </c>
    </row>
    <row r="1692" customFormat="false" ht="15" hidden="false" customHeight="false" outlineLevel="0" collapsed="false">
      <c r="A1692" s="18" t="s">
        <v>210</v>
      </c>
      <c r="B1692" s="18" t="s">
        <v>207</v>
      </c>
      <c r="C1692" s="18" t="s">
        <v>211</v>
      </c>
      <c r="D1692" s="49" t="n">
        <v>46266</v>
      </c>
      <c r="E1692" s="18" t="s">
        <v>106</v>
      </c>
      <c r="F1692" s="18" t="s">
        <v>99</v>
      </c>
      <c r="G1692" s="18" t="s">
        <v>100</v>
      </c>
      <c r="H1692" s="18" t="s">
        <v>107</v>
      </c>
      <c r="I1692" s="18" t="s">
        <v>102</v>
      </c>
      <c r="J1692" s="18" t="s">
        <v>233</v>
      </c>
      <c r="K1692" s="18" t="s">
        <v>195</v>
      </c>
      <c r="L1692" s="64" t="n">
        <v>438.633304704</v>
      </c>
      <c r="M1692" s="64" t="n">
        <v>7.92</v>
      </c>
      <c r="N1692" s="18" t="s">
        <v>1639</v>
      </c>
      <c r="O1692" s="65" t="n">
        <v>3473.9758</v>
      </c>
      <c r="P1692" s="65"/>
      <c r="Q1692" s="65"/>
      <c r="R1692" s="65" t="s">
        <v>232</v>
      </c>
      <c r="S1692" s="66" t="n">
        <f aca="false">Model_Calc!AG286</f>
        <v>3473.97577325568</v>
      </c>
      <c r="T1692" s="66" t="n">
        <f aca="false">ROUND(S1692-O1692,4)</f>
        <v>0</v>
      </c>
    </row>
    <row r="1693" customFormat="false" ht="15" hidden="false" customHeight="false" outlineLevel="0" collapsed="false">
      <c r="A1693" s="18" t="s">
        <v>210</v>
      </c>
      <c r="B1693" s="18" t="s">
        <v>207</v>
      </c>
      <c r="C1693" s="18" t="s">
        <v>211</v>
      </c>
      <c r="D1693" s="49" t="n">
        <v>46266</v>
      </c>
      <c r="E1693" s="18" t="s">
        <v>106</v>
      </c>
      <c r="F1693" s="18" t="s">
        <v>99</v>
      </c>
      <c r="G1693" s="18" t="s">
        <v>100</v>
      </c>
      <c r="H1693" s="18" t="s">
        <v>107</v>
      </c>
      <c r="I1693" s="18" t="s">
        <v>102</v>
      </c>
      <c r="J1693" s="18" t="s">
        <v>235</v>
      </c>
      <c r="K1693" s="18" t="s">
        <v>195</v>
      </c>
      <c r="L1693" s="64" t="n">
        <v>3306.31756551048</v>
      </c>
      <c r="M1693" s="64" t="n">
        <v>7.92</v>
      </c>
      <c r="N1693" s="18" t="s">
        <v>1404</v>
      </c>
      <c r="O1693" s="65" t="n">
        <v>26186.0351</v>
      </c>
      <c r="P1693" s="65"/>
      <c r="Q1693" s="65"/>
      <c r="R1693" s="65" t="s">
        <v>232</v>
      </c>
      <c r="S1693" s="66" t="n">
        <f aca="false">Model_Calc!AL286</f>
        <v>26186.035118843</v>
      </c>
      <c r="T1693" s="66" t="n">
        <f aca="false">ROUND(S1693-O1693,4)</f>
        <v>0</v>
      </c>
    </row>
    <row r="1694" customFormat="false" ht="15" hidden="false" customHeight="false" outlineLevel="0" collapsed="false">
      <c r="A1694" s="18" t="s">
        <v>210</v>
      </c>
      <c r="B1694" s="18" t="s">
        <v>207</v>
      </c>
      <c r="C1694" s="18" t="s">
        <v>211</v>
      </c>
      <c r="D1694" s="49" t="n">
        <v>46266</v>
      </c>
      <c r="E1694" s="18" t="s">
        <v>106</v>
      </c>
      <c r="F1694" s="18" t="s">
        <v>99</v>
      </c>
      <c r="G1694" s="18" t="s">
        <v>100</v>
      </c>
      <c r="H1694" s="18" t="s">
        <v>107</v>
      </c>
      <c r="I1694" s="18" t="s">
        <v>102</v>
      </c>
      <c r="J1694" s="18" t="s">
        <v>237</v>
      </c>
      <c r="K1694" s="18" t="s">
        <v>195</v>
      </c>
      <c r="L1694" s="64" t="n">
        <v>1096.58326176</v>
      </c>
      <c r="M1694" s="64" t="n">
        <v>7.92</v>
      </c>
      <c r="N1694" s="18" t="s">
        <v>1640</v>
      </c>
      <c r="O1694" s="65" t="n">
        <v>8684.9394</v>
      </c>
      <c r="P1694" s="65"/>
      <c r="Q1694" s="65"/>
      <c r="R1694" s="65" t="s">
        <v>232</v>
      </c>
      <c r="S1694" s="66" t="n">
        <f aca="false">Model_Calc!AQ286</f>
        <v>8684.9394331392</v>
      </c>
      <c r="T1694" s="66" t="n">
        <f aca="false">ROUND(S1694-O1694,4)</f>
        <v>0</v>
      </c>
    </row>
    <row r="1695" customFormat="false" ht="15" hidden="false" customHeight="false" outlineLevel="0" collapsed="false">
      <c r="A1695" s="18" t="s">
        <v>210</v>
      </c>
      <c r="B1695" s="18" t="s">
        <v>207</v>
      </c>
      <c r="C1695" s="18" t="s">
        <v>211</v>
      </c>
      <c r="D1695" s="49" t="n">
        <v>46266</v>
      </c>
      <c r="E1695" s="18" t="s">
        <v>106</v>
      </c>
      <c r="F1695" s="18" t="s">
        <v>99</v>
      </c>
      <c r="G1695" s="18" t="s">
        <v>100</v>
      </c>
      <c r="H1695" s="18" t="s">
        <v>107</v>
      </c>
      <c r="I1695" s="18" t="s">
        <v>102</v>
      </c>
      <c r="J1695" s="18" t="s">
        <v>239</v>
      </c>
      <c r="K1695" s="18" t="s">
        <v>195</v>
      </c>
      <c r="L1695" s="64" t="n">
        <v>397.8533376</v>
      </c>
      <c r="M1695" s="64" t="n">
        <v>7.92</v>
      </c>
      <c r="N1695" s="18" t="s">
        <v>1641</v>
      </c>
      <c r="O1695" s="65" t="n">
        <v>3150.9984</v>
      </c>
      <c r="P1695" s="65"/>
      <c r="Q1695" s="65"/>
      <c r="R1695" s="65" t="s">
        <v>232</v>
      </c>
      <c r="S1695" s="66" t="n">
        <f aca="false">Model_Calc!AV286</f>
        <v>3150.998433792</v>
      </c>
      <c r="T1695" s="66" t="n">
        <f aca="false">ROUND(S1695-O1695,4)</f>
        <v>0</v>
      </c>
    </row>
    <row r="1696" customFormat="false" ht="15" hidden="false" customHeight="false" outlineLevel="0" collapsed="false">
      <c r="A1696" s="18" t="s">
        <v>210</v>
      </c>
      <c r="B1696" s="18" t="s">
        <v>207</v>
      </c>
      <c r="C1696" s="18" t="s">
        <v>211</v>
      </c>
      <c r="D1696" s="49" t="n">
        <v>46266</v>
      </c>
      <c r="E1696" s="18" t="s">
        <v>106</v>
      </c>
      <c r="F1696" s="18" t="s">
        <v>99</v>
      </c>
      <c r="G1696" s="18" t="s">
        <v>100</v>
      </c>
      <c r="H1696" s="18" t="s">
        <v>107</v>
      </c>
      <c r="I1696" s="18" t="s">
        <v>102</v>
      </c>
      <c r="J1696" s="18" t="s">
        <v>241</v>
      </c>
      <c r="K1696" s="18" t="s">
        <v>195</v>
      </c>
      <c r="L1696" s="64" t="n">
        <v>78.0662845872</v>
      </c>
      <c r="M1696" s="64" t="n">
        <v>7.92</v>
      </c>
      <c r="N1696" s="18" t="s">
        <v>1642</v>
      </c>
      <c r="O1696" s="65" t="n">
        <v>618.285</v>
      </c>
      <c r="P1696" s="65"/>
      <c r="Q1696" s="65"/>
      <c r="R1696" s="65" t="s">
        <v>232</v>
      </c>
      <c r="S1696" s="66" t="n">
        <f aca="false">Model_Calc!BA286</f>
        <v>618.284973930624</v>
      </c>
      <c r="T1696" s="66" t="n">
        <f aca="false">ROUND(S1696-O1696,4)</f>
        <v>0</v>
      </c>
    </row>
    <row r="1697" customFormat="false" ht="15" hidden="false" customHeight="false" outlineLevel="0" collapsed="false">
      <c r="A1697" s="18" t="s">
        <v>210</v>
      </c>
      <c r="B1697" s="18" t="s">
        <v>207</v>
      </c>
      <c r="C1697" s="18" t="s">
        <v>211</v>
      </c>
      <c r="D1697" s="49" t="n">
        <v>46266</v>
      </c>
      <c r="E1697" s="18" t="s">
        <v>109</v>
      </c>
      <c r="F1697" s="18" t="s">
        <v>99</v>
      </c>
      <c r="G1697" s="18" t="s">
        <v>110</v>
      </c>
      <c r="H1697" s="18" t="s">
        <v>107</v>
      </c>
      <c r="I1697" s="18" t="s">
        <v>102</v>
      </c>
      <c r="J1697" s="18" t="s">
        <v>230</v>
      </c>
      <c r="K1697" s="18" t="s">
        <v>195</v>
      </c>
      <c r="L1697" s="64" t="n">
        <v>589.289494464</v>
      </c>
      <c r="M1697" s="64" t="n">
        <v>7.92</v>
      </c>
      <c r="N1697" s="18" t="s">
        <v>1643</v>
      </c>
      <c r="O1697" s="65" t="n">
        <v>4667.1728</v>
      </c>
      <c r="P1697" s="65"/>
      <c r="Q1697" s="65"/>
      <c r="R1697" s="65" t="s">
        <v>232</v>
      </c>
      <c r="S1697" s="66" t="n">
        <f aca="false">Model_Calc!AF287</f>
        <v>4667.17279615488</v>
      </c>
      <c r="T1697" s="66" t="n">
        <f aca="false">ROUND(S1697-O1697,4)</f>
        <v>0</v>
      </c>
    </row>
    <row r="1698" customFormat="false" ht="15" hidden="false" customHeight="false" outlineLevel="0" collapsed="false">
      <c r="A1698" s="18" t="s">
        <v>210</v>
      </c>
      <c r="B1698" s="18" t="s">
        <v>207</v>
      </c>
      <c r="C1698" s="18" t="s">
        <v>211</v>
      </c>
      <c r="D1698" s="49" t="n">
        <v>46266</v>
      </c>
      <c r="E1698" s="18" t="s">
        <v>109</v>
      </c>
      <c r="F1698" s="18" t="s">
        <v>99</v>
      </c>
      <c r="G1698" s="18" t="s">
        <v>110</v>
      </c>
      <c r="H1698" s="18" t="s">
        <v>107</v>
      </c>
      <c r="I1698" s="18" t="s">
        <v>102</v>
      </c>
      <c r="J1698" s="18" t="s">
        <v>233</v>
      </c>
      <c r="K1698" s="18" t="s">
        <v>195</v>
      </c>
      <c r="L1698" s="64" t="n">
        <v>42.8574177792</v>
      </c>
      <c r="M1698" s="64" t="n">
        <v>7.92</v>
      </c>
      <c r="N1698" s="18" t="s">
        <v>1644</v>
      </c>
      <c r="O1698" s="65" t="n">
        <v>339.4307</v>
      </c>
      <c r="P1698" s="65"/>
      <c r="Q1698" s="65"/>
      <c r="R1698" s="65" t="s">
        <v>232</v>
      </c>
      <c r="S1698" s="66" t="n">
        <f aca="false">Model_Calc!AG287</f>
        <v>339.430748811264</v>
      </c>
      <c r="T1698" s="66" t="n">
        <f aca="false">ROUND(S1698-O1698,4)</f>
        <v>0</v>
      </c>
    </row>
    <row r="1699" customFormat="false" ht="15" hidden="false" customHeight="false" outlineLevel="0" collapsed="false">
      <c r="A1699" s="18" t="s">
        <v>210</v>
      </c>
      <c r="B1699" s="18" t="s">
        <v>207</v>
      </c>
      <c r="C1699" s="18" t="s">
        <v>211</v>
      </c>
      <c r="D1699" s="49" t="n">
        <v>46266</v>
      </c>
      <c r="E1699" s="18" t="s">
        <v>109</v>
      </c>
      <c r="F1699" s="18" t="s">
        <v>99</v>
      </c>
      <c r="G1699" s="18" t="s">
        <v>110</v>
      </c>
      <c r="H1699" s="18" t="s">
        <v>107</v>
      </c>
      <c r="I1699" s="18" t="s">
        <v>102</v>
      </c>
      <c r="J1699" s="18" t="s">
        <v>235</v>
      </c>
      <c r="K1699" s="18" t="s">
        <v>195</v>
      </c>
      <c r="L1699" s="64" t="n">
        <v>201.87468</v>
      </c>
      <c r="M1699" s="64" t="n">
        <v>7.92</v>
      </c>
      <c r="N1699" s="18" t="s">
        <v>1645</v>
      </c>
      <c r="O1699" s="65" t="n">
        <v>1598.8475</v>
      </c>
      <c r="P1699" s="65"/>
      <c r="Q1699" s="65"/>
      <c r="R1699" s="65" t="s">
        <v>232</v>
      </c>
      <c r="S1699" s="66" t="n">
        <f aca="false">Model_Calc!AL287</f>
        <v>1598.8474656</v>
      </c>
      <c r="T1699" s="66" t="n">
        <f aca="false">ROUND(S1699-O1699,4)</f>
        <v>0</v>
      </c>
    </row>
    <row r="1700" customFormat="false" ht="15" hidden="false" customHeight="false" outlineLevel="0" collapsed="false">
      <c r="A1700" s="18" t="s">
        <v>210</v>
      </c>
      <c r="B1700" s="18" t="s">
        <v>207</v>
      </c>
      <c r="C1700" s="18" t="s">
        <v>211</v>
      </c>
      <c r="D1700" s="49" t="n">
        <v>46266</v>
      </c>
      <c r="E1700" s="18" t="s">
        <v>109</v>
      </c>
      <c r="F1700" s="18" t="s">
        <v>99</v>
      </c>
      <c r="G1700" s="18" t="s">
        <v>110</v>
      </c>
      <c r="H1700" s="18" t="s">
        <v>107</v>
      </c>
      <c r="I1700" s="18" t="s">
        <v>102</v>
      </c>
      <c r="J1700" s="18" t="s">
        <v>237</v>
      </c>
      <c r="K1700" s="18" t="s">
        <v>195</v>
      </c>
      <c r="L1700" s="64" t="n">
        <v>78.90416064</v>
      </c>
      <c r="M1700" s="64" t="n">
        <v>7.92</v>
      </c>
      <c r="N1700" s="18" t="s">
        <v>1646</v>
      </c>
      <c r="O1700" s="65" t="n">
        <v>624.921</v>
      </c>
      <c r="P1700" s="65"/>
      <c r="Q1700" s="65"/>
      <c r="R1700" s="65" t="s">
        <v>232</v>
      </c>
      <c r="S1700" s="66" t="n">
        <f aca="false">Model_Calc!AQ287</f>
        <v>624.9209522688</v>
      </c>
      <c r="T1700" s="66" t="n">
        <f aca="false">ROUND(S1700-O1700,4)</f>
        <v>0</v>
      </c>
    </row>
    <row r="1701" customFormat="false" ht="15" hidden="false" customHeight="false" outlineLevel="0" collapsed="false">
      <c r="A1701" s="18" t="s">
        <v>210</v>
      </c>
      <c r="B1701" s="18" t="s">
        <v>207</v>
      </c>
      <c r="C1701" s="18" t="s">
        <v>211</v>
      </c>
      <c r="D1701" s="49" t="n">
        <v>46266</v>
      </c>
      <c r="E1701" s="18" t="s">
        <v>109</v>
      </c>
      <c r="F1701" s="18" t="s">
        <v>99</v>
      </c>
      <c r="G1701" s="18" t="s">
        <v>110</v>
      </c>
      <c r="H1701" s="18" t="s">
        <v>107</v>
      </c>
      <c r="I1701" s="18" t="s">
        <v>102</v>
      </c>
      <c r="J1701" s="18" t="s">
        <v>239</v>
      </c>
      <c r="K1701" s="18" t="s">
        <v>195</v>
      </c>
      <c r="L1701" s="64" t="n">
        <v>36.529704</v>
      </c>
      <c r="M1701" s="64" t="n">
        <v>7.92</v>
      </c>
      <c r="N1701" s="18" t="s">
        <v>1647</v>
      </c>
      <c r="O1701" s="65" t="n">
        <v>289.3153</v>
      </c>
      <c r="P1701" s="65"/>
      <c r="Q1701" s="65"/>
      <c r="R1701" s="65" t="s">
        <v>232</v>
      </c>
      <c r="S1701" s="66" t="n">
        <f aca="false">Model_Calc!AV287</f>
        <v>289.31525568</v>
      </c>
      <c r="T1701" s="66" t="n">
        <f aca="false">ROUND(S1701-O1701,4)</f>
        <v>0</v>
      </c>
    </row>
    <row r="1702" customFormat="false" ht="15" hidden="false" customHeight="false" outlineLevel="0" collapsed="false">
      <c r="A1702" s="18" t="s">
        <v>210</v>
      </c>
      <c r="B1702" s="18" t="s">
        <v>207</v>
      </c>
      <c r="C1702" s="18" t="s">
        <v>211</v>
      </c>
      <c r="D1702" s="49" t="n">
        <v>46266</v>
      </c>
      <c r="E1702" s="18" t="s">
        <v>109</v>
      </c>
      <c r="F1702" s="18" t="s">
        <v>99</v>
      </c>
      <c r="G1702" s="18" t="s">
        <v>110</v>
      </c>
      <c r="H1702" s="18" t="s">
        <v>107</v>
      </c>
      <c r="I1702" s="18" t="s">
        <v>102</v>
      </c>
      <c r="J1702" s="18" t="s">
        <v>241</v>
      </c>
      <c r="K1702" s="18" t="s">
        <v>195</v>
      </c>
      <c r="L1702" s="64" t="n">
        <v>6.6860894016</v>
      </c>
      <c r="M1702" s="64" t="n">
        <v>7.92</v>
      </c>
      <c r="N1702" s="18" t="s">
        <v>1648</v>
      </c>
      <c r="O1702" s="65" t="n">
        <v>52.9538</v>
      </c>
      <c r="P1702" s="65"/>
      <c r="Q1702" s="65"/>
      <c r="R1702" s="65" t="s">
        <v>232</v>
      </c>
      <c r="S1702" s="66" t="n">
        <f aca="false">Model_Calc!BA287</f>
        <v>52.953828060672</v>
      </c>
      <c r="T1702" s="66" t="n">
        <f aca="false">ROUND(S1702-O1702,4)</f>
        <v>0</v>
      </c>
    </row>
    <row r="1703" customFormat="false" ht="15" hidden="false" customHeight="false" outlineLevel="0" collapsed="false">
      <c r="A1703" s="18" t="s">
        <v>210</v>
      </c>
      <c r="B1703" s="18" t="s">
        <v>207</v>
      </c>
      <c r="C1703" s="18" t="s">
        <v>211</v>
      </c>
      <c r="D1703" s="49" t="n">
        <v>46266</v>
      </c>
      <c r="E1703" s="18" t="s">
        <v>112</v>
      </c>
      <c r="F1703" s="18" t="s">
        <v>113</v>
      </c>
      <c r="G1703" s="18" t="s">
        <v>110</v>
      </c>
      <c r="H1703" s="18" t="s">
        <v>101</v>
      </c>
      <c r="I1703" s="18" t="s">
        <v>102</v>
      </c>
      <c r="J1703" s="18" t="s">
        <v>230</v>
      </c>
      <c r="K1703" s="18" t="s">
        <v>195</v>
      </c>
      <c r="L1703" s="64" t="n">
        <v>3162.2547096</v>
      </c>
      <c r="M1703" s="64" t="n">
        <v>7.92</v>
      </c>
      <c r="N1703" s="18" t="s">
        <v>1649</v>
      </c>
      <c r="O1703" s="65" t="n">
        <v>25045.0573</v>
      </c>
      <c r="P1703" s="65"/>
      <c r="Q1703" s="65"/>
      <c r="R1703" s="65" t="s">
        <v>232</v>
      </c>
      <c r="S1703" s="66" t="n">
        <f aca="false">Model_Calc!AF288</f>
        <v>25045.057300032</v>
      </c>
      <c r="T1703" s="66" t="n">
        <f aca="false">ROUND(S1703-O1703,4)</f>
        <v>0</v>
      </c>
    </row>
    <row r="1704" customFormat="false" ht="15" hidden="false" customHeight="false" outlineLevel="0" collapsed="false">
      <c r="A1704" s="18" t="s">
        <v>210</v>
      </c>
      <c r="B1704" s="18" t="s">
        <v>207</v>
      </c>
      <c r="C1704" s="18" t="s">
        <v>211</v>
      </c>
      <c r="D1704" s="49" t="n">
        <v>46266</v>
      </c>
      <c r="E1704" s="18" t="s">
        <v>112</v>
      </c>
      <c r="F1704" s="18" t="s">
        <v>113</v>
      </c>
      <c r="G1704" s="18" t="s">
        <v>110</v>
      </c>
      <c r="H1704" s="18" t="s">
        <v>101</v>
      </c>
      <c r="I1704" s="18" t="s">
        <v>102</v>
      </c>
      <c r="J1704" s="18" t="s">
        <v>233</v>
      </c>
      <c r="K1704" s="18" t="s">
        <v>195</v>
      </c>
      <c r="L1704" s="64" t="n">
        <v>294.56402619924</v>
      </c>
      <c r="M1704" s="64" t="n">
        <v>7.92</v>
      </c>
      <c r="N1704" s="18" t="s">
        <v>1650</v>
      </c>
      <c r="O1704" s="65" t="n">
        <v>2332.9471</v>
      </c>
      <c r="P1704" s="65"/>
      <c r="Q1704" s="65"/>
      <c r="R1704" s="65" t="s">
        <v>232</v>
      </c>
      <c r="S1704" s="66" t="n">
        <f aca="false">Model_Calc!AG288</f>
        <v>2332.94708749798</v>
      </c>
      <c r="T1704" s="66" t="n">
        <f aca="false">ROUND(S1704-O1704,4)</f>
        <v>0</v>
      </c>
    </row>
    <row r="1705" customFormat="false" ht="15" hidden="false" customHeight="false" outlineLevel="0" collapsed="false">
      <c r="A1705" s="18" t="s">
        <v>210</v>
      </c>
      <c r="B1705" s="18" t="s">
        <v>207</v>
      </c>
      <c r="C1705" s="18" t="s">
        <v>211</v>
      </c>
      <c r="D1705" s="49" t="n">
        <v>46266</v>
      </c>
      <c r="E1705" s="18" t="s">
        <v>112</v>
      </c>
      <c r="F1705" s="18" t="s">
        <v>113</v>
      </c>
      <c r="G1705" s="18" t="s">
        <v>110</v>
      </c>
      <c r="H1705" s="18" t="s">
        <v>101</v>
      </c>
      <c r="I1705" s="18" t="s">
        <v>102</v>
      </c>
      <c r="J1705" s="18" t="s">
        <v>235</v>
      </c>
      <c r="K1705" s="18" t="s">
        <v>195</v>
      </c>
      <c r="L1705" s="64" t="n">
        <v>1962.6705</v>
      </c>
      <c r="M1705" s="64" t="n">
        <v>7.92</v>
      </c>
      <c r="N1705" s="18" t="s">
        <v>1651</v>
      </c>
      <c r="O1705" s="65" t="n">
        <v>15544.3504</v>
      </c>
      <c r="P1705" s="65"/>
      <c r="Q1705" s="65"/>
      <c r="R1705" s="65" t="s">
        <v>232</v>
      </c>
      <c r="S1705" s="66" t="n">
        <f aca="false">Model_Calc!AL288</f>
        <v>15544.35036</v>
      </c>
      <c r="T1705" s="66" t="n">
        <f aca="false">ROUND(S1705-O1705,4)</f>
        <v>0</v>
      </c>
    </row>
    <row r="1706" customFormat="false" ht="15" hidden="false" customHeight="false" outlineLevel="0" collapsed="false">
      <c r="A1706" s="18" t="s">
        <v>210</v>
      </c>
      <c r="B1706" s="18" t="s">
        <v>207</v>
      </c>
      <c r="C1706" s="18" t="s">
        <v>211</v>
      </c>
      <c r="D1706" s="49" t="n">
        <v>46266</v>
      </c>
      <c r="E1706" s="18" t="s">
        <v>112</v>
      </c>
      <c r="F1706" s="18" t="s">
        <v>113</v>
      </c>
      <c r="G1706" s="18" t="s">
        <v>110</v>
      </c>
      <c r="H1706" s="18" t="s">
        <v>101</v>
      </c>
      <c r="I1706" s="18" t="s">
        <v>102</v>
      </c>
      <c r="J1706" s="18" t="s">
        <v>237</v>
      </c>
      <c r="K1706" s="18" t="s">
        <v>195</v>
      </c>
      <c r="L1706" s="64" t="n">
        <v>752.917788</v>
      </c>
      <c r="M1706" s="64" t="n">
        <v>7.92</v>
      </c>
      <c r="N1706" s="18" t="s">
        <v>1652</v>
      </c>
      <c r="O1706" s="65" t="n">
        <v>5963.1089</v>
      </c>
      <c r="P1706" s="65"/>
      <c r="Q1706" s="65"/>
      <c r="R1706" s="65" t="s">
        <v>232</v>
      </c>
      <c r="S1706" s="66" t="n">
        <f aca="false">Model_Calc!AQ288</f>
        <v>5963.10888096</v>
      </c>
      <c r="T1706" s="66" t="n">
        <f aca="false">ROUND(S1706-O1706,4)</f>
        <v>0</v>
      </c>
    </row>
    <row r="1707" customFormat="false" ht="15" hidden="false" customHeight="false" outlineLevel="0" collapsed="false">
      <c r="A1707" s="18" t="s">
        <v>210</v>
      </c>
      <c r="B1707" s="18" t="s">
        <v>207</v>
      </c>
      <c r="C1707" s="18" t="s">
        <v>211</v>
      </c>
      <c r="D1707" s="49" t="n">
        <v>46266</v>
      </c>
      <c r="E1707" s="18" t="s">
        <v>112</v>
      </c>
      <c r="F1707" s="18" t="s">
        <v>113</v>
      </c>
      <c r="G1707" s="18" t="s">
        <v>110</v>
      </c>
      <c r="H1707" s="18" t="s">
        <v>101</v>
      </c>
      <c r="I1707" s="18" t="s">
        <v>102</v>
      </c>
      <c r="J1707" s="18" t="s">
        <v>239</v>
      </c>
      <c r="K1707" s="18" t="s">
        <v>195</v>
      </c>
      <c r="L1707" s="64" t="n">
        <v>336.4578</v>
      </c>
      <c r="M1707" s="64" t="n">
        <v>7.92</v>
      </c>
      <c r="N1707" s="18" t="s">
        <v>1653</v>
      </c>
      <c r="O1707" s="65" t="n">
        <v>2664.7458</v>
      </c>
      <c r="P1707" s="65"/>
      <c r="Q1707" s="65"/>
      <c r="R1707" s="65" t="s">
        <v>232</v>
      </c>
      <c r="S1707" s="66" t="n">
        <f aca="false">Model_Calc!AV288</f>
        <v>2664.745776</v>
      </c>
      <c r="T1707" s="66" t="n">
        <f aca="false">ROUND(S1707-O1707,4)</f>
        <v>0</v>
      </c>
    </row>
    <row r="1708" customFormat="false" ht="15" hidden="false" customHeight="false" outlineLevel="0" collapsed="false">
      <c r="A1708" s="18" t="s">
        <v>210</v>
      </c>
      <c r="B1708" s="18" t="s">
        <v>207</v>
      </c>
      <c r="C1708" s="18" t="s">
        <v>211</v>
      </c>
      <c r="D1708" s="49" t="n">
        <v>46266</v>
      </c>
      <c r="E1708" s="18" t="s">
        <v>112</v>
      </c>
      <c r="F1708" s="18" t="s">
        <v>113</v>
      </c>
      <c r="G1708" s="18" t="s">
        <v>110</v>
      </c>
      <c r="H1708" s="18" t="s">
        <v>101</v>
      </c>
      <c r="I1708" s="18" t="s">
        <v>102</v>
      </c>
      <c r="J1708" s="18" t="s">
        <v>241</v>
      </c>
      <c r="K1708" s="18" t="s">
        <v>195</v>
      </c>
      <c r="L1708" s="64" t="n">
        <v>77.47127766</v>
      </c>
      <c r="M1708" s="64" t="n">
        <v>7.92</v>
      </c>
      <c r="N1708" s="18" t="s">
        <v>1654</v>
      </c>
      <c r="O1708" s="65" t="n">
        <v>613.5725</v>
      </c>
      <c r="P1708" s="65"/>
      <c r="Q1708" s="65"/>
      <c r="R1708" s="65" t="s">
        <v>232</v>
      </c>
      <c r="S1708" s="66" t="n">
        <f aca="false">Model_Calc!BA288</f>
        <v>613.5725190672</v>
      </c>
      <c r="T1708" s="66" t="n">
        <f aca="false">ROUND(S1708-O1708,4)</f>
        <v>0</v>
      </c>
    </row>
    <row r="1709" customFormat="false" ht="15" hidden="false" customHeight="false" outlineLevel="0" collapsed="false">
      <c r="A1709" s="18" t="s">
        <v>210</v>
      </c>
      <c r="B1709" s="18" t="s">
        <v>207</v>
      </c>
      <c r="C1709" s="18" t="s">
        <v>211</v>
      </c>
      <c r="D1709" s="49" t="n">
        <v>46266</v>
      </c>
      <c r="E1709" s="18" t="s">
        <v>116</v>
      </c>
      <c r="F1709" s="18" t="s">
        <v>113</v>
      </c>
      <c r="G1709" s="18" t="s">
        <v>110</v>
      </c>
      <c r="H1709" s="18" t="s">
        <v>107</v>
      </c>
      <c r="I1709" s="18" t="s">
        <v>102</v>
      </c>
      <c r="J1709" s="18" t="s">
        <v>230</v>
      </c>
      <c r="K1709" s="18" t="s">
        <v>195</v>
      </c>
      <c r="L1709" s="64" t="n">
        <v>7558.0491636</v>
      </c>
      <c r="M1709" s="64" t="n">
        <v>7.92</v>
      </c>
      <c r="N1709" s="18" t="s">
        <v>1655</v>
      </c>
      <c r="O1709" s="65" t="n">
        <v>59859.7494</v>
      </c>
      <c r="P1709" s="65"/>
      <c r="Q1709" s="65"/>
      <c r="R1709" s="65" t="s">
        <v>232</v>
      </c>
      <c r="S1709" s="66" t="n">
        <f aca="false">Model_Calc!AF289</f>
        <v>59859.749375712</v>
      </c>
      <c r="T1709" s="66" t="n">
        <f aca="false">ROUND(S1709-O1709,4)</f>
        <v>0</v>
      </c>
    </row>
    <row r="1710" customFormat="false" ht="15" hidden="false" customHeight="false" outlineLevel="0" collapsed="false">
      <c r="A1710" s="18" t="s">
        <v>210</v>
      </c>
      <c r="B1710" s="18" t="s">
        <v>207</v>
      </c>
      <c r="C1710" s="18" t="s">
        <v>211</v>
      </c>
      <c r="D1710" s="49" t="n">
        <v>46266</v>
      </c>
      <c r="E1710" s="18" t="s">
        <v>116</v>
      </c>
      <c r="F1710" s="18" t="s">
        <v>113</v>
      </c>
      <c r="G1710" s="18" t="s">
        <v>110</v>
      </c>
      <c r="H1710" s="18" t="s">
        <v>107</v>
      </c>
      <c r="I1710" s="18" t="s">
        <v>102</v>
      </c>
      <c r="J1710" s="18" t="s">
        <v>233</v>
      </c>
      <c r="K1710" s="18" t="s">
        <v>195</v>
      </c>
      <c r="L1710" s="64" t="n">
        <v>581.3883972</v>
      </c>
      <c r="M1710" s="64" t="n">
        <v>7.92</v>
      </c>
      <c r="N1710" s="18" t="s">
        <v>1656</v>
      </c>
      <c r="O1710" s="65" t="n">
        <v>4604.5961</v>
      </c>
      <c r="P1710" s="65"/>
      <c r="Q1710" s="65"/>
      <c r="R1710" s="65" t="s">
        <v>232</v>
      </c>
      <c r="S1710" s="66" t="n">
        <f aca="false">Model_Calc!AG289</f>
        <v>4604.596105824</v>
      </c>
      <c r="T1710" s="66" t="n">
        <f aca="false">ROUND(S1710-O1710,4)</f>
        <v>0</v>
      </c>
    </row>
    <row r="1711" customFormat="false" ht="15" hidden="false" customHeight="false" outlineLevel="0" collapsed="false">
      <c r="A1711" s="18" t="s">
        <v>210</v>
      </c>
      <c r="B1711" s="18" t="s">
        <v>207</v>
      </c>
      <c r="C1711" s="18" t="s">
        <v>211</v>
      </c>
      <c r="D1711" s="49" t="n">
        <v>46266</v>
      </c>
      <c r="E1711" s="18" t="s">
        <v>116</v>
      </c>
      <c r="F1711" s="18" t="s">
        <v>113</v>
      </c>
      <c r="G1711" s="18" t="s">
        <v>110</v>
      </c>
      <c r="H1711" s="18" t="s">
        <v>107</v>
      </c>
      <c r="I1711" s="18" t="s">
        <v>102</v>
      </c>
      <c r="J1711" s="18" t="s">
        <v>235</v>
      </c>
      <c r="K1711" s="18" t="s">
        <v>195</v>
      </c>
      <c r="L1711" s="64" t="n">
        <v>3644.9595</v>
      </c>
      <c r="M1711" s="64" t="n">
        <v>7.92</v>
      </c>
      <c r="N1711" s="18" t="s">
        <v>1657</v>
      </c>
      <c r="O1711" s="65" t="n">
        <v>28868.0792</v>
      </c>
      <c r="P1711" s="65"/>
      <c r="Q1711" s="65"/>
      <c r="R1711" s="65" t="s">
        <v>232</v>
      </c>
      <c r="S1711" s="66" t="n">
        <f aca="false">Model_Calc!AL289</f>
        <v>28868.07924</v>
      </c>
      <c r="T1711" s="66" t="n">
        <f aca="false">ROUND(S1711-O1711,4)</f>
        <v>0</v>
      </c>
    </row>
    <row r="1712" customFormat="false" ht="15" hidden="false" customHeight="false" outlineLevel="0" collapsed="false">
      <c r="A1712" s="18" t="s">
        <v>210</v>
      </c>
      <c r="B1712" s="18" t="s">
        <v>207</v>
      </c>
      <c r="C1712" s="18" t="s">
        <v>211</v>
      </c>
      <c r="D1712" s="49" t="n">
        <v>46266</v>
      </c>
      <c r="E1712" s="18" t="s">
        <v>116</v>
      </c>
      <c r="F1712" s="18" t="s">
        <v>113</v>
      </c>
      <c r="G1712" s="18" t="s">
        <v>110</v>
      </c>
      <c r="H1712" s="18" t="s">
        <v>107</v>
      </c>
      <c r="I1712" s="18" t="s">
        <v>102</v>
      </c>
      <c r="J1712" s="18" t="s">
        <v>237</v>
      </c>
      <c r="K1712" s="18" t="s">
        <v>195</v>
      </c>
      <c r="L1712" s="64" t="n">
        <v>1398.275892</v>
      </c>
      <c r="M1712" s="64" t="n">
        <v>7.92</v>
      </c>
      <c r="N1712" s="18" t="s">
        <v>1658</v>
      </c>
      <c r="O1712" s="65" t="n">
        <v>11074.3451</v>
      </c>
      <c r="P1712" s="65"/>
      <c r="Q1712" s="65"/>
      <c r="R1712" s="65" t="s">
        <v>232</v>
      </c>
      <c r="S1712" s="66" t="n">
        <f aca="false">Model_Calc!AQ289</f>
        <v>11074.34506464</v>
      </c>
      <c r="T1712" s="66" t="n">
        <f aca="false">ROUND(S1712-O1712,4)</f>
        <v>0</v>
      </c>
    </row>
    <row r="1713" customFormat="false" ht="15" hidden="false" customHeight="false" outlineLevel="0" collapsed="false">
      <c r="A1713" s="18" t="s">
        <v>210</v>
      </c>
      <c r="B1713" s="18" t="s">
        <v>207</v>
      </c>
      <c r="C1713" s="18" t="s">
        <v>211</v>
      </c>
      <c r="D1713" s="49" t="n">
        <v>46266</v>
      </c>
      <c r="E1713" s="18" t="s">
        <v>116</v>
      </c>
      <c r="F1713" s="18" t="s">
        <v>113</v>
      </c>
      <c r="G1713" s="18" t="s">
        <v>110</v>
      </c>
      <c r="H1713" s="18" t="s">
        <v>107</v>
      </c>
      <c r="I1713" s="18" t="s">
        <v>102</v>
      </c>
      <c r="J1713" s="18" t="s">
        <v>239</v>
      </c>
      <c r="K1713" s="18" t="s">
        <v>195</v>
      </c>
      <c r="L1713" s="64" t="n">
        <v>624.8502</v>
      </c>
      <c r="M1713" s="64" t="n">
        <v>7.92</v>
      </c>
      <c r="N1713" s="18" t="s">
        <v>1659</v>
      </c>
      <c r="O1713" s="65" t="n">
        <v>4948.8136</v>
      </c>
      <c r="P1713" s="65"/>
      <c r="Q1713" s="65"/>
      <c r="R1713" s="65" t="s">
        <v>232</v>
      </c>
      <c r="S1713" s="66" t="n">
        <f aca="false">Model_Calc!AV289</f>
        <v>4948.813584</v>
      </c>
      <c r="T1713" s="66" t="n">
        <f aca="false">ROUND(S1713-O1713,4)</f>
        <v>0</v>
      </c>
    </row>
    <row r="1714" customFormat="false" ht="15" hidden="false" customHeight="false" outlineLevel="0" collapsed="false">
      <c r="A1714" s="18" t="s">
        <v>210</v>
      </c>
      <c r="B1714" s="18" t="s">
        <v>207</v>
      </c>
      <c r="C1714" s="18" t="s">
        <v>211</v>
      </c>
      <c r="D1714" s="49" t="n">
        <v>46266</v>
      </c>
      <c r="E1714" s="18" t="s">
        <v>116</v>
      </c>
      <c r="F1714" s="18" t="s">
        <v>113</v>
      </c>
      <c r="G1714" s="18" t="s">
        <v>110</v>
      </c>
      <c r="H1714" s="18" t="s">
        <v>107</v>
      </c>
      <c r="I1714" s="18" t="s">
        <v>102</v>
      </c>
      <c r="J1714" s="18" t="s">
        <v>241</v>
      </c>
      <c r="K1714" s="18" t="s">
        <v>195</v>
      </c>
      <c r="L1714" s="64" t="n">
        <v>118.48548348</v>
      </c>
      <c r="M1714" s="64" t="n">
        <v>7.92</v>
      </c>
      <c r="N1714" s="18" t="s">
        <v>1660</v>
      </c>
      <c r="O1714" s="65" t="n">
        <v>938.405</v>
      </c>
      <c r="P1714" s="65"/>
      <c r="Q1714" s="65"/>
      <c r="R1714" s="65" t="s">
        <v>232</v>
      </c>
      <c r="S1714" s="66" t="n">
        <f aca="false">Model_Calc!BA289</f>
        <v>938.4050291616</v>
      </c>
      <c r="T1714" s="66" t="n">
        <f aca="false">ROUND(S1714-O1714,4)</f>
        <v>0</v>
      </c>
    </row>
    <row r="1715" customFormat="false" ht="15" hidden="false" customHeight="false" outlineLevel="0" collapsed="false">
      <c r="A1715" s="18" t="s">
        <v>210</v>
      </c>
      <c r="B1715" s="18" t="s">
        <v>207</v>
      </c>
      <c r="C1715" s="18" t="s">
        <v>211</v>
      </c>
      <c r="D1715" s="49" t="n">
        <v>46266</v>
      </c>
      <c r="E1715" s="18" t="s">
        <v>118</v>
      </c>
      <c r="F1715" s="18" t="s">
        <v>119</v>
      </c>
      <c r="G1715" s="18" t="s">
        <v>100</v>
      </c>
      <c r="H1715" s="18" t="s">
        <v>101</v>
      </c>
      <c r="I1715" s="18" t="s">
        <v>102</v>
      </c>
      <c r="J1715" s="18" t="s">
        <v>230</v>
      </c>
      <c r="K1715" s="18" t="s">
        <v>199</v>
      </c>
      <c r="L1715" s="64" t="n">
        <v>9495.9885635113</v>
      </c>
      <c r="M1715" s="64" t="n">
        <v>9.15</v>
      </c>
      <c r="N1715" s="18" t="s">
        <v>1661</v>
      </c>
      <c r="O1715" s="65" t="n">
        <v>86888.2954</v>
      </c>
      <c r="P1715" s="65"/>
      <c r="Q1715" s="65"/>
      <c r="R1715" s="65" t="s">
        <v>232</v>
      </c>
      <c r="S1715" s="66" t="n">
        <f aca="false">Model_Calc!AF290</f>
        <v>86888.2953561284</v>
      </c>
      <c r="T1715" s="66" t="n">
        <f aca="false">ROUND(S1715-O1715,4)</f>
        <v>0</v>
      </c>
    </row>
    <row r="1716" customFormat="false" ht="15" hidden="false" customHeight="false" outlineLevel="0" collapsed="false">
      <c r="A1716" s="18" t="s">
        <v>210</v>
      </c>
      <c r="B1716" s="18" t="s">
        <v>207</v>
      </c>
      <c r="C1716" s="18" t="s">
        <v>211</v>
      </c>
      <c r="D1716" s="49" t="n">
        <v>46266</v>
      </c>
      <c r="E1716" s="18" t="s">
        <v>118</v>
      </c>
      <c r="F1716" s="18" t="s">
        <v>119</v>
      </c>
      <c r="G1716" s="18" t="s">
        <v>100</v>
      </c>
      <c r="H1716" s="18" t="s">
        <v>101</v>
      </c>
      <c r="I1716" s="18" t="s">
        <v>102</v>
      </c>
      <c r="J1716" s="18" t="s">
        <v>233</v>
      </c>
      <c r="K1716" s="18" t="s">
        <v>199</v>
      </c>
      <c r="L1716" s="64" t="n">
        <v>982.834816323419</v>
      </c>
      <c r="M1716" s="64" t="n">
        <v>9.15</v>
      </c>
      <c r="N1716" s="18" t="s">
        <v>1662</v>
      </c>
      <c r="O1716" s="65" t="n">
        <v>8992.9386</v>
      </c>
      <c r="P1716" s="65"/>
      <c r="Q1716" s="65"/>
      <c r="R1716" s="65" t="s">
        <v>232</v>
      </c>
      <c r="S1716" s="66" t="n">
        <f aca="false">Model_Calc!AG290</f>
        <v>8992.93856935929</v>
      </c>
      <c r="T1716" s="66" t="n">
        <f aca="false">ROUND(S1716-O1716,4)</f>
        <v>0</v>
      </c>
    </row>
    <row r="1717" customFormat="false" ht="15" hidden="false" customHeight="false" outlineLevel="0" collapsed="false">
      <c r="A1717" s="18" t="s">
        <v>210</v>
      </c>
      <c r="B1717" s="18" t="s">
        <v>207</v>
      </c>
      <c r="C1717" s="18" t="s">
        <v>211</v>
      </c>
      <c r="D1717" s="49" t="n">
        <v>46266</v>
      </c>
      <c r="E1717" s="18" t="s">
        <v>118</v>
      </c>
      <c r="F1717" s="18" t="s">
        <v>119</v>
      </c>
      <c r="G1717" s="18" t="s">
        <v>100</v>
      </c>
      <c r="H1717" s="18" t="s">
        <v>101</v>
      </c>
      <c r="I1717" s="18" t="s">
        <v>102</v>
      </c>
      <c r="J1717" s="18" t="s">
        <v>235</v>
      </c>
      <c r="K1717" s="18" t="s">
        <v>195</v>
      </c>
      <c r="L1717" s="64" t="n">
        <v>2549.61395773385</v>
      </c>
      <c r="M1717" s="64" t="n">
        <v>7.92</v>
      </c>
      <c r="N1717" s="18" t="s">
        <v>1663</v>
      </c>
      <c r="O1717" s="65" t="n">
        <v>20192.9425</v>
      </c>
      <c r="P1717" s="65"/>
      <c r="Q1717" s="65"/>
      <c r="R1717" s="65" t="s">
        <v>232</v>
      </c>
      <c r="S1717" s="66" t="n">
        <f aca="false">Model_Calc!AL290</f>
        <v>20192.9425452521</v>
      </c>
      <c r="T1717" s="66" t="n">
        <f aca="false">ROUND(S1717-O1717,4)</f>
        <v>0</v>
      </c>
    </row>
    <row r="1718" customFormat="false" ht="15" hidden="false" customHeight="false" outlineLevel="0" collapsed="false">
      <c r="A1718" s="18" t="s">
        <v>210</v>
      </c>
      <c r="B1718" s="18" t="s">
        <v>207</v>
      </c>
      <c r="C1718" s="18" t="s">
        <v>211</v>
      </c>
      <c r="D1718" s="49" t="n">
        <v>46266</v>
      </c>
      <c r="E1718" s="18" t="s">
        <v>118</v>
      </c>
      <c r="F1718" s="18" t="s">
        <v>119</v>
      </c>
      <c r="G1718" s="18" t="s">
        <v>100</v>
      </c>
      <c r="H1718" s="18" t="s">
        <v>101</v>
      </c>
      <c r="I1718" s="18" t="s">
        <v>102</v>
      </c>
      <c r="J1718" s="18" t="s">
        <v>237</v>
      </c>
      <c r="K1718" s="18" t="s">
        <v>195</v>
      </c>
      <c r="L1718" s="64" t="n">
        <v>958.3610141952</v>
      </c>
      <c r="M1718" s="64" t="n">
        <v>7.92</v>
      </c>
      <c r="N1718" s="18" t="s">
        <v>1664</v>
      </c>
      <c r="O1718" s="65" t="n">
        <v>7590.2192</v>
      </c>
      <c r="P1718" s="65"/>
      <c r="Q1718" s="65"/>
      <c r="R1718" s="65" t="s">
        <v>232</v>
      </c>
      <c r="S1718" s="66" t="n">
        <f aca="false">Model_Calc!AQ290</f>
        <v>7590.21923242598</v>
      </c>
      <c r="T1718" s="66" t="n">
        <f aca="false">ROUND(S1718-O1718,4)</f>
        <v>0</v>
      </c>
    </row>
    <row r="1719" customFormat="false" ht="15" hidden="false" customHeight="false" outlineLevel="0" collapsed="false">
      <c r="A1719" s="18" t="s">
        <v>210</v>
      </c>
      <c r="B1719" s="18" t="s">
        <v>207</v>
      </c>
      <c r="C1719" s="18" t="s">
        <v>211</v>
      </c>
      <c r="D1719" s="49" t="n">
        <v>46266</v>
      </c>
      <c r="E1719" s="18" t="s">
        <v>118</v>
      </c>
      <c r="F1719" s="18" t="s">
        <v>119</v>
      </c>
      <c r="G1719" s="18" t="s">
        <v>100</v>
      </c>
      <c r="H1719" s="18" t="s">
        <v>101</v>
      </c>
      <c r="I1719" s="18" t="s">
        <v>102</v>
      </c>
      <c r="J1719" s="18" t="s">
        <v>239</v>
      </c>
      <c r="K1719" s="18" t="s">
        <v>199</v>
      </c>
      <c r="L1719" s="64" t="n">
        <v>874.374994944</v>
      </c>
      <c r="M1719" s="64" t="n">
        <v>9.15</v>
      </c>
      <c r="N1719" s="18" t="s">
        <v>1665</v>
      </c>
      <c r="O1719" s="65" t="n">
        <v>8000.5312</v>
      </c>
      <c r="P1719" s="65"/>
      <c r="Q1719" s="65"/>
      <c r="R1719" s="65" t="s">
        <v>232</v>
      </c>
      <c r="S1719" s="66" t="n">
        <f aca="false">Model_Calc!AV290</f>
        <v>8000.5312037376</v>
      </c>
      <c r="T1719" s="66" t="n">
        <f aca="false">ROUND(S1719-O1719,4)</f>
        <v>0</v>
      </c>
    </row>
    <row r="1720" customFormat="false" ht="15" hidden="false" customHeight="false" outlineLevel="0" collapsed="false">
      <c r="A1720" s="18" t="s">
        <v>210</v>
      </c>
      <c r="B1720" s="18" t="s">
        <v>207</v>
      </c>
      <c r="C1720" s="18" t="s">
        <v>211</v>
      </c>
      <c r="D1720" s="49" t="n">
        <v>46266</v>
      </c>
      <c r="E1720" s="18" t="s">
        <v>118</v>
      </c>
      <c r="F1720" s="18" t="s">
        <v>119</v>
      </c>
      <c r="G1720" s="18" t="s">
        <v>100</v>
      </c>
      <c r="H1720" s="18" t="s">
        <v>101</v>
      </c>
      <c r="I1720" s="18" t="s">
        <v>102</v>
      </c>
      <c r="J1720" s="18" t="s">
        <v>241</v>
      </c>
      <c r="K1720" s="18" t="s">
        <v>199</v>
      </c>
      <c r="L1720" s="64" t="n">
        <v>141.700521384576</v>
      </c>
      <c r="M1720" s="64" t="n">
        <v>9.15</v>
      </c>
      <c r="N1720" s="18" t="s">
        <v>1666</v>
      </c>
      <c r="O1720" s="65" t="n">
        <v>1296.5598</v>
      </c>
      <c r="P1720" s="65"/>
      <c r="Q1720" s="65"/>
      <c r="R1720" s="65" t="s">
        <v>232</v>
      </c>
      <c r="S1720" s="66" t="n">
        <f aca="false">Model_Calc!BA290</f>
        <v>1296.55977066887</v>
      </c>
      <c r="T1720" s="66" t="n">
        <f aca="false">ROUND(S1720-O1720,4)</f>
        <v>0</v>
      </c>
    </row>
    <row r="1721" customFormat="false" ht="15" hidden="false" customHeight="false" outlineLevel="0" collapsed="false">
      <c r="A1721" s="18" t="s">
        <v>210</v>
      </c>
      <c r="B1721" s="18" t="s">
        <v>207</v>
      </c>
      <c r="C1721" s="18" t="s">
        <v>211</v>
      </c>
      <c r="D1721" s="49" t="n">
        <v>46266</v>
      </c>
      <c r="E1721" s="18" t="s">
        <v>122</v>
      </c>
      <c r="F1721" s="18" t="s">
        <v>119</v>
      </c>
      <c r="G1721" s="18" t="s">
        <v>100</v>
      </c>
      <c r="H1721" s="18" t="s">
        <v>107</v>
      </c>
      <c r="I1721" s="18" t="s">
        <v>102</v>
      </c>
      <c r="J1721" s="18" t="s">
        <v>230</v>
      </c>
      <c r="K1721" s="18" t="s">
        <v>199</v>
      </c>
      <c r="L1721" s="64" t="n">
        <v>6198.7703122921</v>
      </c>
      <c r="M1721" s="64" t="n">
        <v>9.15</v>
      </c>
      <c r="N1721" s="18" t="s">
        <v>1667</v>
      </c>
      <c r="O1721" s="65" t="n">
        <v>56718.7484</v>
      </c>
      <c r="P1721" s="65"/>
      <c r="Q1721" s="65"/>
      <c r="R1721" s="65" t="s">
        <v>232</v>
      </c>
      <c r="S1721" s="66" t="n">
        <f aca="false">Model_Calc!AF291</f>
        <v>56718.7483574727</v>
      </c>
      <c r="T1721" s="66" t="n">
        <f aca="false">ROUND(S1721-O1721,4)</f>
        <v>0</v>
      </c>
    </row>
    <row r="1722" customFormat="false" ht="15" hidden="false" customHeight="false" outlineLevel="0" collapsed="false">
      <c r="A1722" s="18" t="s">
        <v>210</v>
      </c>
      <c r="B1722" s="18" t="s">
        <v>207</v>
      </c>
      <c r="C1722" s="18" t="s">
        <v>211</v>
      </c>
      <c r="D1722" s="49" t="n">
        <v>46266</v>
      </c>
      <c r="E1722" s="18" t="s">
        <v>122</v>
      </c>
      <c r="F1722" s="18" t="s">
        <v>119</v>
      </c>
      <c r="G1722" s="18" t="s">
        <v>100</v>
      </c>
      <c r="H1722" s="18" t="s">
        <v>107</v>
      </c>
      <c r="I1722" s="18" t="s">
        <v>102</v>
      </c>
      <c r="J1722" s="18" t="s">
        <v>233</v>
      </c>
      <c r="K1722" s="18" t="s">
        <v>199</v>
      </c>
      <c r="L1722" s="64" t="n">
        <v>435.232809160934</v>
      </c>
      <c r="M1722" s="64" t="n">
        <v>9.15</v>
      </c>
      <c r="N1722" s="18" t="s">
        <v>1668</v>
      </c>
      <c r="O1722" s="65" t="n">
        <v>3982.3802</v>
      </c>
      <c r="P1722" s="65"/>
      <c r="Q1722" s="65"/>
      <c r="R1722" s="65" t="s">
        <v>232</v>
      </c>
      <c r="S1722" s="66" t="n">
        <f aca="false">Model_Calc!AG291</f>
        <v>3982.38020382255</v>
      </c>
      <c r="T1722" s="66" t="n">
        <f aca="false">ROUND(S1722-O1722,4)</f>
        <v>0</v>
      </c>
    </row>
    <row r="1723" customFormat="false" ht="15" hidden="false" customHeight="false" outlineLevel="0" collapsed="false">
      <c r="A1723" s="18" t="s">
        <v>210</v>
      </c>
      <c r="B1723" s="18" t="s">
        <v>207</v>
      </c>
      <c r="C1723" s="18" t="s">
        <v>211</v>
      </c>
      <c r="D1723" s="49" t="n">
        <v>46266</v>
      </c>
      <c r="E1723" s="18" t="s">
        <v>122</v>
      </c>
      <c r="F1723" s="18" t="s">
        <v>119</v>
      </c>
      <c r="G1723" s="18" t="s">
        <v>100</v>
      </c>
      <c r="H1723" s="18" t="s">
        <v>107</v>
      </c>
      <c r="I1723" s="18" t="s">
        <v>102</v>
      </c>
      <c r="J1723" s="18" t="s">
        <v>235</v>
      </c>
      <c r="K1723" s="18" t="s">
        <v>195</v>
      </c>
      <c r="L1723" s="64" t="n">
        <v>1444.78124271585</v>
      </c>
      <c r="M1723" s="64" t="n">
        <v>7.92</v>
      </c>
      <c r="N1723" s="18" t="s">
        <v>1669</v>
      </c>
      <c r="O1723" s="65" t="n">
        <v>11442.6674</v>
      </c>
      <c r="P1723" s="65"/>
      <c r="Q1723" s="65"/>
      <c r="R1723" s="65" t="s">
        <v>232</v>
      </c>
      <c r="S1723" s="66" t="n">
        <f aca="false">Model_Calc!AL291</f>
        <v>11442.6674423095</v>
      </c>
      <c r="T1723" s="66" t="n">
        <f aca="false">ROUND(S1723-O1723,4)</f>
        <v>0</v>
      </c>
    </row>
    <row r="1724" customFormat="false" ht="15" hidden="false" customHeight="false" outlineLevel="0" collapsed="false">
      <c r="A1724" s="18" t="s">
        <v>210</v>
      </c>
      <c r="B1724" s="18" t="s">
        <v>207</v>
      </c>
      <c r="C1724" s="18" t="s">
        <v>211</v>
      </c>
      <c r="D1724" s="49" t="n">
        <v>46266</v>
      </c>
      <c r="E1724" s="18" t="s">
        <v>122</v>
      </c>
      <c r="F1724" s="18" t="s">
        <v>119</v>
      </c>
      <c r="G1724" s="18" t="s">
        <v>100</v>
      </c>
      <c r="H1724" s="18" t="s">
        <v>107</v>
      </c>
      <c r="I1724" s="18" t="s">
        <v>102</v>
      </c>
      <c r="J1724" s="18" t="s">
        <v>237</v>
      </c>
      <c r="K1724" s="18" t="s">
        <v>195</v>
      </c>
      <c r="L1724" s="64" t="n">
        <v>543.07124137728</v>
      </c>
      <c r="M1724" s="64" t="n">
        <v>7.92</v>
      </c>
      <c r="N1724" s="18" t="s">
        <v>1670</v>
      </c>
      <c r="O1724" s="65" t="n">
        <v>4301.1242</v>
      </c>
      <c r="P1724" s="65"/>
      <c r="Q1724" s="65"/>
      <c r="R1724" s="65" t="s">
        <v>232</v>
      </c>
      <c r="S1724" s="66" t="n">
        <f aca="false">Model_Calc!AQ291</f>
        <v>4301.12423170806</v>
      </c>
      <c r="T1724" s="66" t="n">
        <f aca="false">ROUND(S1724-O1724,4)</f>
        <v>0</v>
      </c>
    </row>
    <row r="1725" customFormat="false" ht="15" hidden="false" customHeight="false" outlineLevel="0" collapsed="false">
      <c r="A1725" s="18" t="s">
        <v>210</v>
      </c>
      <c r="B1725" s="18" t="s">
        <v>207</v>
      </c>
      <c r="C1725" s="18" t="s">
        <v>211</v>
      </c>
      <c r="D1725" s="49" t="n">
        <v>46266</v>
      </c>
      <c r="E1725" s="18" t="s">
        <v>122</v>
      </c>
      <c r="F1725" s="18" t="s">
        <v>119</v>
      </c>
      <c r="G1725" s="18" t="s">
        <v>100</v>
      </c>
      <c r="H1725" s="18" t="s">
        <v>107</v>
      </c>
      <c r="I1725" s="18" t="s">
        <v>102</v>
      </c>
      <c r="J1725" s="18" t="s">
        <v>239</v>
      </c>
      <c r="K1725" s="18" t="s">
        <v>199</v>
      </c>
      <c r="L1725" s="64" t="n">
        <v>495.4791638016</v>
      </c>
      <c r="M1725" s="64" t="n">
        <v>9.15</v>
      </c>
      <c r="N1725" s="18" t="s">
        <v>1671</v>
      </c>
      <c r="O1725" s="65" t="n">
        <v>4533.6343</v>
      </c>
      <c r="P1725" s="65"/>
      <c r="Q1725" s="65"/>
      <c r="R1725" s="65" t="s">
        <v>232</v>
      </c>
      <c r="S1725" s="66" t="n">
        <f aca="false">Model_Calc!AV291</f>
        <v>4533.63434878464</v>
      </c>
      <c r="T1725" s="66" t="n">
        <f aca="false">ROUND(S1725-O1725,4)</f>
        <v>0</v>
      </c>
    </row>
    <row r="1726" customFormat="false" ht="15" hidden="false" customHeight="false" outlineLevel="0" collapsed="false">
      <c r="A1726" s="18" t="s">
        <v>210</v>
      </c>
      <c r="B1726" s="18" t="s">
        <v>207</v>
      </c>
      <c r="C1726" s="18" t="s">
        <v>211</v>
      </c>
      <c r="D1726" s="49" t="n">
        <v>46266</v>
      </c>
      <c r="E1726" s="18" t="s">
        <v>122</v>
      </c>
      <c r="F1726" s="18" t="s">
        <v>119</v>
      </c>
      <c r="G1726" s="18" t="s">
        <v>100</v>
      </c>
      <c r="H1726" s="18" t="s">
        <v>107</v>
      </c>
      <c r="I1726" s="18" t="s">
        <v>102</v>
      </c>
      <c r="J1726" s="18" t="s">
        <v>241</v>
      </c>
      <c r="K1726" s="18" t="s">
        <v>199</v>
      </c>
      <c r="L1726" s="64" t="n">
        <v>59.479231198464</v>
      </c>
      <c r="M1726" s="64" t="n">
        <v>9.15</v>
      </c>
      <c r="N1726" s="18" t="s">
        <v>1672</v>
      </c>
      <c r="O1726" s="65" t="n">
        <v>544.235</v>
      </c>
      <c r="P1726" s="65"/>
      <c r="Q1726" s="65"/>
      <c r="R1726" s="65" t="s">
        <v>232</v>
      </c>
      <c r="S1726" s="66" t="n">
        <f aca="false">Model_Calc!BA291</f>
        <v>544.234965465946</v>
      </c>
      <c r="T1726" s="66" t="n">
        <f aca="false">ROUND(S1726-O1726,4)</f>
        <v>0</v>
      </c>
    </row>
    <row r="1727" customFormat="false" ht="15" hidden="false" customHeight="false" outlineLevel="0" collapsed="false">
      <c r="A1727" s="18" t="s">
        <v>210</v>
      </c>
      <c r="B1727" s="18" t="s">
        <v>207</v>
      </c>
      <c r="C1727" s="18" t="s">
        <v>211</v>
      </c>
      <c r="D1727" s="49" t="n">
        <v>46266</v>
      </c>
      <c r="E1727" s="18" t="s">
        <v>124</v>
      </c>
      <c r="F1727" s="18" t="s">
        <v>119</v>
      </c>
      <c r="G1727" s="18" t="s">
        <v>100</v>
      </c>
      <c r="H1727" s="18" t="s">
        <v>107</v>
      </c>
      <c r="I1727" s="18" t="s">
        <v>125</v>
      </c>
      <c r="J1727" s="18" t="s">
        <v>230</v>
      </c>
      <c r="K1727" s="18" t="s">
        <v>199</v>
      </c>
      <c r="L1727" s="64" t="n">
        <v>11755.7855804881</v>
      </c>
      <c r="M1727" s="64" t="n">
        <v>9.15</v>
      </c>
      <c r="N1727" s="18" t="s">
        <v>1673</v>
      </c>
      <c r="O1727" s="65" t="n">
        <v>107565.4381</v>
      </c>
      <c r="P1727" s="65"/>
      <c r="Q1727" s="65"/>
      <c r="R1727" s="65" t="s">
        <v>232</v>
      </c>
      <c r="S1727" s="66" t="n">
        <f aca="false">Model_Calc!AF292</f>
        <v>107565.438061466</v>
      </c>
      <c r="T1727" s="66" t="n">
        <f aca="false">ROUND(S1727-O1727,4)</f>
        <v>0</v>
      </c>
    </row>
    <row r="1728" customFormat="false" ht="15" hidden="false" customHeight="false" outlineLevel="0" collapsed="false">
      <c r="A1728" s="18" t="s">
        <v>210</v>
      </c>
      <c r="B1728" s="18" t="s">
        <v>207</v>
      </c>
      <c r="C1728" s="18" t="s">
        <v>211</v>
      </c>
      <c r="D1728" s="49" t="n">
        <v>46266</v>
      </c>
      <c r="E1728" s="18" t="s">
        <v>124</v>
      </c>
      <c r="F1728" s="18" t="s">
        <v>119</v>
      </c>
      <c r="G1728" s="18" t="s">
        <v>100</v>
      </c>
      <c r="H1728" s="18" t="s">
        <v>107</v>
      </c>
      <c r="I1728" s="18" t="s">
        <v>125</v>
      </c>
      <c r="J1728" s="18" t="s">
        <v>233</v>
      </c>
      <c r="K1728" s="18" t="s">
        <v>199</v>
      </c>
      <c r="L1728" s="64" t="n">
        <v>1455.2016738663</v>
      </c>
      <c r="M1728" s="64" t="n">
        <v>9.15</v>
      </c>
      <c r="N1728" s="18" t="s">
        <v>1674</v>
      </c>
      <c r="O1728" s="65" t="n">
        <v>13315.0953</v>
      </c>
      <c r="P1728" s="65"/>
      <c r="Q1728" s="65"/>
      <c r="R1728" s="65" t="s">
        <v>232</v>
      </c>
      <c r="S1728" s="66" t="n">
        <f aca="false">Model_Calc!AG292</f>
        <v>13315.0953158766</v>
      </c>
      <c r="T1728" s="66" t="n">
        <f aca="false">ROUND(S1728-O1728,4)</f>
        <v>0</v>
      </c>
    </row>
    <row r="1729" customFormat="false" ht="15" hidden="false" customHeight="false" outlineLevel="0" collapsed="false">
      <c r="A1729" s="18" t="s">
        <v>210</v>
      </c>
      <c r="B1729" s="18" t="s">
        <v>207</v>
      </c>
      <c r="C1729" s="18" t="s">
        <v>211</v>
      </c>
      <c r="D1729" s="49" t="n">
        <v>46266</v>
      </c>
      <c r="E1729" s="18" t="s">
        <v>124</v>
      </c>
      <c r="F1729" s="18" t="s">
        <v>119</v>
      </c>
      <c r="G1729" s="18" t="s">
        <v>100</v>
      </c>
      <c r="H1729" s="18" t="s">
        <v>107</v>
      </c>
      <c r="I1729" s="18" t="s">
        <v>125</v>
      </c>
      <c r="J1729" s="18" t="s">
        <v>235</v>
      </c>
      <c r="K1729" s="18" t="s">
        <v>195</v>
      </c>
      <c r="L1729" s="64" t="n">
        <v>2124.67829811155</v>
      </c>
      <c r="M1729" s="64" t="n">
        <v>7.92</v>
      </c>
      <c r="N1729" s="18" t="s">
        <v>1675</v>
      </c>
      <c r="O1729" s="65" t="n">
        <v>16827.4521</v>
      </c>
      <c r="P1729" s="65"/>
      <c r="Q1729" s="65"/>
      <c r="R1729" s="65" t="s">
        <v>232</v>
      </c>
      <c r="S1729" s="66" t="n">
        <f aca="false">Model_Calc!AL292</f>
        <v>16827.4521210434</v>
      </c>
      <c r="T1729" s="66" t="n">
        <f aca="false">ROUND(S1729-O1729,4)</f>
        <v>0</v>
      </c>
    </row>
    <row r="1730" customFormat="false" ht="15" hidden="false" customHeight="false" outlineLevel="0" collapsed="false">
      <c r="A1730" s="18" t="s">
        <v>210</v>
      </c>
      <c r="B1730" s="18" t="s">
        <v>207</v>
      </c>
      <c r="C1730" s="18" t="s">
        <v>211</v>
      </c>
      <c r="D1730" s="49" t="n">
        <v>46266</v>
      </c>
      <c r="E1730" s="18" t="s">
        <v>124</v>
      </c>
      <c r="F1730" s="18" t="s">
        <v>119</v>
      </c>
      <c r="G1730" s="18" t="s">
        <v>100</v>
      </c>
      <c r="H1730" s="18" t="s">
        <v>107</v>
      </c>
      <c r="I1730" s="18" t="s">
        <v>125</v>
      </c>
      <c r="J1730" s="18" t="s">
        <v>237</v>
      </c>
      <c r="K1730" s="18" t="s">
        <v>195</v>
      </c>
      <c r="L1730" s="64" t="n">
        <v>798.634178496</v>
      </c>
      <c r="M1730" s="64" t="n">
        <v>7.92</v>
      </c>
      <c r="N1730" s="18" t="s">
        <v>1676</v>
      </c>
      <c r="O1730" s="65" t="n">
        <v>6325.1827</v>
      </c>
      <c r="P1730" s="65"/>
      <c r="Q1730" s="65"/>
      <c r="R1730" s="65" t="s">
        <v>232</v>
      </c>
      <c r="S1730" s="66" t="n">
        <f aca="false">Model_Calc!AQ292</f>
        <v>6325.18269368832</v>
      </c>
      <c r="T1730" s="66" t="n">
        <f aca="false">ROUND(S1730-O1730,4)</f>
        <v>0</v>
      </c>
    </row>
    <row r="1731" customFormat="false" ht="15" hidden="false" customHeight="false" outlineLevel="0" collapsed="false">
      <c r="A1731" s="18" t="s">
        <v>210</v>
      </c>
      <c r="B1731" s="18" t="s">
        <v>207</v>
      </c>
      <c r="C1731" s="18" t="s">
        <v>211</v>
      </c>
      <c r="D1731" s="49" t="n">
        <v>46266</v>
      </c>
      <c r="E1731" s="18" t="s">
        <v>124</v>
      </c>
      <c r="F1731" s="18" t="s">
        <v>119</v>
      </c>
      <c r="G1731" s="18" t="s">
        <v>100</v>
      </c>
      <c r="H1731" s="18" t="s">
        <v>107</v>
      </c>
      <c r="I1731" s="18" t="s">
        <v>125</v>
      </c>
      <c r="J1731" s="18" t="s">
        <v>239</v>
      </c>
      <c r="K1731" s="18" t="s">
        <v>199</v>
      </c>
      <c r="L1731" s="64" t="n">
        <v>728.64582912</v>
      </c>
      <c r="M1731" s="64" t="n">
        <v>9.15</v>
      </c>
      <c r="N1731" s="18" t="s">
        <v>1677</v>
      </c>
      <c r="O1731" s="65" t="n">
        <v>6667.1093</v>
      </c>
      <c r="P1731" s="65"/>
      <c r="Q1731" s="65"/>
      <c r="R1731" s="65" t="s">
        <v>232</v>
      </c>
      <c r="S1731" s="66" t="n">
        <f aca="false">Model_Calc!AV292</f>
        <v>6667.109336448</v>
      </c>
      <c r="T1731" s="66" t="n">
        <f aca="false">ROUND(S1731-O1731,4)</f>
        <v>0</v>
      </c>
    </row>
    <row r="1732" customFormat="false" ht="15" hidden="false" customHeight="false" outlineLevel="0" collapsed="false">
      <c r="A1732" s="18" t="s">
        <v>210</v>
      </c>
      <c r="B1732" s="18" t="s">
        <v>207</v>
      </c>
      <c r="C1732" s="18" t="s">
        <v>211</v>
      </c>
      <c r="D1732" s="49" t="n">
        <v>46266</v>
      </c>
      <c r="E1732" s="18" t="s">
        <v>124</v>
      </c>
      <c r="F1732" s="18" t="s">
        <v>119</v>
      </c>
      <c r="G1732" s="18" t="s">
        <v>100</v>
      </c>
      <c r="H1732" s="18" t="s">
        <v>107</v>
      </c>
      <c r="I1732" s="18" t="s">
        <v>125</v>
      </c>
      <c r="J1732" s="18" t="s">
        <v>241</v>
      </c>
      <c r="K1732" s="18" t="s">
        <v>199</v>
      </c>
      <c r="L1732" s="64" t="n">
        <v>85.18764570624</v>
      </c>
      <c r="M1732" s="64" t="n">
        <v>9.15</v>
      </c>
      <c r="N1732" s="18" t="s">
        <v>1678</v>
      </c>
      <c r="O1732" s="65" t="n">
        <v>779.467</v>
      </c>
      <c r="P1732" s="65"/>
      <c r="Q1732" s="65"/>
      <c r="R1732" s="65" t="s">
        <v>232</v>
      </c>
      <c r="S1732" s="66" t="n">
        <f aca="false">Model_Calc!BA292</f>
        <v>779.466958212096</v>
      </c>
      <c r="T1732" s="66" t="n">
        <f aca="false">ROUND(S1732-O1732,4)</f>
        <v>0</v>
      </c>
    </row>
    <row r="1733" customFormat="false" ht="15" hidden="false" customHeight="false" outlineLevel="0" collapsed="false">
      <c r="A1733" s="18" t="s">
        <v>210</v>
      </c>
      <c r="B1733" s="18" t="s">
        <v>207</v>
      </c>
      <c r="C1733" s="18" t="s">
        <v>211</v>
      </c>
      <c r="D1733" s="49" t="n">
        <v>46266</v>
      </c>
      <c r="E1733" s="18" t="s">
        <v>127</v>
      </c>
      <c r="F1733" s="18" t="s">
        <v>119</v>
      </c>
      <c r="G1733" s="18" t="s">
        <v>100</v>
      </c>
      <c r="H1733" s="18" t="s">
        <v>128</v>
      </c>
      <c r="I1733" s="18" t="s">
        <v>125</v>
      </c>
      <c r="J1733" s="18" t="s">
        <v>230</v>
      </c>
      <c r="K1733" s="18" t="s">
        <v>199</v>
      </c>
      <c r="L1733" s="64" t="n">
        <v>15888.0922377337</v>
      </c>
      <c r="M1733" s="64" t="n">
        <v>9.15</v>
      </c>
      <c r="N1733" s="18" t="s">
        <v>1679</v>
      </c>
      <c r="O1733" s="65" t="n">
        <v>145376.044</v>
      </c>
      <c r="P1733" s="65"/>
      <c r="Q1733" s="65"/>
      <c r="R1733" s="65" t="s">
        <v>232</v>
      </c>
      <c r="S1733" s="66" t="n">
        <f aca="false">Model_Calc!AF293</f>
        <v>145376.043975263</v>
      </c>
      <c r="T1733" s="66" t="n">
        <f aca="false">ROUND(S1733-O1733,4)</f>
        <v>0</v>
      </c>
    </row>
    <row r="1734" customFormat="false" ht="15" hidden="false" customHeight="false" outlineLevel="0" collapsed="false">
      <c r="A1734" s="18" t="s">
        <v>210</v>
      </c>
      <c r="B1734" s="18" t="s">
        <v>207</v>
      </c>
      <c r="C1734" s="18" t="s">
        <v>211</v>
      </c>
      <c r="D1734" s="49" t="n">
        <v>46266</v>
      </c>
      <c r="E1734" s="18" t="s">
        <v>127</v>
      </c>
      <c r="F1734" s="18" t="s">
        <v>119</v>
      </c>
      <c r="G1734" s="18" t="s">
        <v>100</v>
      </c>
      <c r="H1734" s="18" t="s">
        <v>128</v>
      </c>
      <c r="I1734" s="18" t="s">
        <v>125</v>
      </c>
      <c r="J1734" s="18" t="s">
        <v>233</v>
      </c>
      <c r="K1734" s="18" t="s">
        <v>199</v>
      </c>
      <c r="L1734" s="64" t="n">
        <v>1228.67913305141</v>
      </c>
      <c r="M1734" s="64" t="n">
        <v>9.15</v>
      </c>
      <c r="N1734" s="18" t="s">
        <v>1680</v>
      </c>
      <c r="O1734" s="65" t="n">
        <v>11242.4141</v>
      </c>
      <c r="P1734" s="65"/>
      <c r="Q1734" s="65"/>
      <c r="R1734" s="65" t="s">
        <v>232</v>
      </c>
      <c r="S1734" s="66" t="n">
        <f aca="false">Model_Calc!AG293</f>
        <v>11242.4140674204</v>
      </c>
      <c r="T1734" s="66" t="n">
        <f aca="false">ROUND(S1734-O1734,4)</f>
        <v>0</v>
      </c>
    </row>
    <row r="1735" customFormat="false" ht="15" hidden="false" customHeight="false" outlineLevel="0" collapsed="false">
      <c r="A1735" s="18" t="s">
        <v>210</v>
      </c>
      <c r="B1735" s="18" t="s">
        <v>207</v>
      </c>
      <c r="C1735" s="18" t="s">
        <v>211</v>
      </c>
      <c r="D1735" s="49" t="n">
        <v>46266</v>
      </c>
      <c r="E1735" s="18" t="s">
        <v>127</v>
      </c>
      <c r="F1735" s="18" t="s">
        <v>119</v>
      </c>
      <c r="G1735" s="18" t="s">
        <v>100</v>
      </c>
      <c r="H1735" s="18" t="s">
        <v>128</v>
      </c>
      <c r="I1735" s="18" t="s">
        <v>125</v>
      </c>
      <c r="J1735" s="18" t="s">
        <v>235</v>
      </c>
      <c r="K1735" s="18" t="s">
        <v>195</v>
      </c>
      <c r="L1735" s="64" t="n">
        <v>2379.63969388493</v>
      </c>
      <c r="M1735" s="64" t="n">
        <v>7.92</v>
      </c>
      <c r="N1735" s="18" t="s">
        <v>1681</v>
      </c>
      <c r="O1735" s="65" t="n">
        <v>18846.7464</v>
      </c>
      <c r="P1735" s="65"/>
      <c r="Q1735" s="65"/>
      <c r="R1735" s="65" t="s">
        <v>232</v>
      </c>
      <c r="S1735" s="66" t="n">
        <f aca="false">Model_Calc!AL293</f>
        <v>18846.7463755687</v>
      </c>
      <c r="T1735" s="66" t="n">
        <f aca="false">ROUND(S1735-O1735,4)</f>
        <v>0</v>
      </c>
    </row>
    <row r="1736" customFormat="false" ht="15" hidden="false" customHeight="false" outlineLevel="0" collapsed="false">
      <c r="A1736" s="18" t="s">
        <v>210</v>
      </c>
      <c r="B1736" s="18" t="s">
        <v>207</v>
      </c>
      <c r="C1736" s="18" t="s">
        <v>211</v>
      </c>
      <c r="D1736" s="49" t="n">
        <v>46266</v>
      </c>
      <c r="E1736" s="18" t="s">
        <v>127</v>
      </c>
      <c r="F1736" s="18" t="s">
        <v>119</v>
      </c>
      <c r="G1736" s="18" t="s">
        <v>100</v>
      </c>
      <c r="H1736" s="18" t="s">
        <v>128</v>
      </c>
      <c r="I1736" s="18" t="s">
        <v>125</v>
      </c>
      <c r="J1736" s="18" t="s">
        <v>237</v>
      </c>
      <c r="K1736" s="18" t="s">
        <v>195</v>
      </c>
      <c r="L1736" s="64" t="n">
        <v>894.47027991552</v>
      </c>
      <c r="M1736" s="64" t="n">
        <v>7.92</v>
      </c>
      <c r="N1736" s="18" t="s">
        <v>1682</v>
      </c>
      <c r="O1736" s="65" t="n">
        <v>7084.2046</v>
      </c>
      <c r="P1736" s="65"/>
      <c r="Q1736" s="65"/>
      <c r="R1736" s="65" t="s">
        <v>232</v>
      </c>
      <c r="S1736" s="66" t="n">
        <f aca="false">Model_Calc!AQ293</f>
        <v>7084.20461693092</v>
      </c>
      <c r="T1736" s="66" t="n">
        <f aca="false">ROUND(S1736-O1736,4)</f>
        <v>0</v>
      </c>
    </row>
    <row r="1737" customFormat="false" ht="15" hidden="false" customHeight="false" outlineLevel="0" collapsed="false">
      <c r="A1737" s="18" t="s">
        <v>210</v>
      </c>
      <c r="B1737" s="18" t="s">
        <v>207</v>
      </c>
      <c r="C1737" s="18" t="s">
        <v>211</v>
      </c>
      <c r="D1737" s="49" t="n">
        <v>46266</v>
      </c>
      <c r="E1737" s="18" t="s">
        <v>127</v>
      </c>
      <c r="F1737" s="18" t="s">
        <v>119</v>
      </c>
      <c r="G1737" s="18" t="s">
        <v>100</v>
      </c>
      <c r="H1737" s="18" t="s">
        <v>128</v>
      </c>
      <c r="I1737" s="18" t="s">
        <v>125</v>
      </c>
      <c r="J1737" s="18" t="s">
        <v>239</v>
      </c>
      <c r="K1737" s="18" t="s">
        <v>199</v>
      </c>
      <c r="L1737" s="64" t="n">
        <v>816.0833286144</v>
      </c>
      <c r="M1737" s="64" t="n">
        <v>9.15</v>
      </c>
      <c r="N1737" s="18" t="s">
        <v>1683</v>
      </c>
      <c r="O1737" s="65" t="n">
        <v>7467.1625</v>
      </c>
      <c r="P1737" s="65"/>
      <c r="Q1737" s="65"/>
      <c r="R1737" s="65" t="s">
        <v>232</v>
      </c>
      <c r="S1737" s="66" t="n">
        <f aca="false">Model_Calc!AV293</f>
        <v>7467.16245682176</v>
      </c>
      <c r="T1737" s="66" t="n">
        <f aca="false">ROUND(S1737-O1737,4)</f>
        <v>0</v>
      </c>
    </row>
    <row r="1738" customFormat="false" ht="15" hidden="false" customHeight="false" outlineLevel="0" collapsed="false">
      <c r="A1738" s="18" t="s">
        <v>210</v>
      </c>
      <c r="B1738" s="18" t="s">
        <v>207</v>
      </c>
      <c r="C1738" s="18" t="s">
        <v>211</v>
      </c>
      <c r="D1738" s="49" t="n">
        <v>46266</v>
      </c>
      <c r="E1738" s="18" t="s">
        <v>127</v>
      </c>
      <c r="F1738" s="18" t="s">
        <v>119</v>
      </c>
      <c r="G1738" s="18" t="s">
        <v>100</v>
      </c>
      <c r="H1738" s="18" t="s">
        <v>128</v>
      </c>
      <c r="I1738" s="18" t="s">
        <v>125</v>
      </c>
      <c r="J1738" s="18" t="s">
        <v>241</v>
      </c>
      <c r="K1738" s="18" t="s">
        <v>199</v>
      </c>
      <c r="L1738" s="64" t="n">
        <v>84.3357692491776</v>
      </c>
      <c r="M1738" s="64" t="n">
        <v>9.15</v>
      </c>
      <c r="N1738" s="18" t="s">
        <v>1684</v>
      </c>
      <c r="O1738" s="65" t="n">
        <v>771.6723</v>
      </c>
      <c r="P1738" s="65"/>
      <c r="Q1738" s="65"/>
      <c r="R1738" s="65" t="s">
        <v>232</v>
      </c>
      <c r="S1738" s="66" t="n">
        <f aca="false">Model_Calc!BA293</f>
        <v>771.672288629975</v>
      </c>
      <c r="T1738" s="66" t="n">
        <f aca="false">ROUND(S1738-O1738,4)</f>
        <v>0</v>
      </c>
    </row>
    <row r="1739" customFormat="false" ht="15" hidden="false" customHeight="false" outlineLevel="0" collapsed="false">
      <c r="A1739" s="18" t="s">
        <v>210</v>
      </c>
      <c r="B1739" s="18" t="s">
        <v>207</v>
      </c>
      <c r="C1739" s="18" t="s">
        <v>211</v>
      </c>
      <c r="D1739" s="49" t="n">
        <v>46266</v>
      </c>
      <c r="E1739" s="18" t="s">
        <v>130</v>
      </c>
      <c r="F1739" s="18" t="s">
        <v>119</v>
      </c>
      <c r="G1739" s="18" t="s">
        <v>110</v>
      </c>
      <c r="H1739" s="18" t="s">
        <v>107</v>
      </c>
      <c r="I1739" s="18" t="s">
        <v>125</v>
      </c>
      <c r="J1739" s="18" t="s">
        <v>230</v>
      </c>
      <c r="K1739" s="18" t="s">
        <v>195</v>
      </c>
      <c r="L1739" s="64" t="n">
        <v>1916.47754853984</v>
      </c>
      <c r="M1739" s="64" t="n">
        <v>7.92</v>
      </c>
      <c r="N1739" s="18" t="s">
        <v>1685</v>
      </c>
      <c r="O1739" s="65" t="n">
        <v>15178.5022</v>
      </c>
      <c r="P1739" s="65"/>
      <c r="Q1739" s="65"/>
      <c r="R1739" s="65" t="s">
        <v>232</v>
      </c>
      <c r="S1739" s="66" t="n">
        <f aca="false">Model_Calc!AF294</f>
        <v>15178.5021844355</v>
      </c>
      <c r="T1739" s="66" t="n">
        <f aca="false">ROUND(S1739-O1739,4)</f>
        <v>0</v>
      </c>
    </row>
    <row r="1740" customFormat="false" ht="15" hidden="false" customHeight="false" outlineLevel="0" collapsed="false">
      <c r="A1740" s="18" t="s">
        <v>210</v>
      </c>
      <c r="B1740" s="18" t="s">
        <v>207</v>
      </c>
      <c r="C1740" s="18" t="s">
        <v>211</v>
      </c>
      <c r="D1740" s="49" t="n">
        <v>46266</v>
      </c>
      <c r="E1740" s="18" t="s">
        <v>130</v>
      </c>
      <c r="F1740" s="18" t="s">
        <v>119</v>
      </c>
      <c r="G1740" s="18" t="s">
        <v>110</v>
      </c>
      <c r="H1740" s="18" t="s">
        <v>107</v>
      </c>
      <c r="I1740" s="18" t="s">
        <v>125</v>
      </c>
      <c r="J1740" s="18" t="s">
        <v>233</v>
      </c>
      <c r="K1740" s="18" t="s">
        <v>195</v>
      </c>
      <c r="L1740" s="64" t="n">
        <v>208.273197587567</v>
      </c>
      <c r="M1740" s="64" t="n">
        <v>7.92</v>
      </c>
      <c r="N1740" s="18" t="s">
        <v>1686</v>
      </c>
      <c r="O1740" s="65" t="n">
        <v>1649.5237</v>
      </c>
      <c r="P1740" s="65"/>
      <c r="Q1740" s="65"/>
      <c r="R1740" s="65" t="s">
        <v>232</v>
      </c>
      <c r="S1740" s="66" t="n">
        <f aca="false">Model_Calc!AG294</f>
        <v>1649.52372489353</v>
      </c>
      <c r="T1740" s="66" t="n">
        <f aca="false">ROUND(S1740-O1740,4)</f>
        <v>0</v>
      </c>
    </row>
    <row r="1741" customFormat="false" ht="15" hidden="false" customHeight="false" outlineLevel="0" collapsed="false">
      <c r="A1741" s="18" t="s">
        <v>210</v>
      </c>
      <c r="B1741" s="18" t="s">
        <v>207</v>
      </c>
      <c r="C1741" s="18" t="s">
        <v>211</v>
      </c>
      <c r="D1741" s="49" t="n">
        <v>46266</v>
      </c>
      <c r="E1741" s="18" t="s">
        <v>130</v>
      </c>
      <c r="F1741" s="18" t="s">
        <v>119</v>
      </c>
      <c r="G1741" s="18" t="s">
        <v>110</v>
      </c>
      <c r="H1741" s="18" t="s">
        <v>107</v>
      </c>
      <c r="I1741" s="18" t="s">
        <v>125</v>
      </c>
      <c r="J1741" s="18" t="s">
        <v>235</v>
      </c>
      <c r="K1741" s="18" t="s">
        <v>195</v>
      </c>
      <c r="L1741" s="64" t="n">
        <v>279.633816</v>
      </c>
      <c r="M1741" s="64" t="n">
        <v>7.92</v>
      </c>
      <c r="N1741" s="18" t="s">
        <v>1687</v>
      </c>
      <c r="O1741" s="65" t="n">
        <v>2214.6998</v>
      </c>
      <c r="P1741" s="65"/>
      <c r="Q1741" s="65"/>
      <c r="R1741" s="65" t="s">
        <v>232</v>
      </c>
      <c r="S1741" s="66" t="n">
        <f aca="false">Model_Calc!AL294</f>
        <v>2214.69982272</v>
      </c>
      <c r="T1741" s="66" t="n">
        <f aca="false">ROUND(S1741-O1741,4)</f>
        <v>0</v>
      </c>
    </row>
    <row r="1742" customFormat="false" ht="15" hidden="false" customHeight="false" outlineLevel="0" collapsed="false">
      <c r="A1742" s="18" t="s">
        <v>210</v>
      </c>
      <c r="B1742" s="18" t="s">
        <v>207</v>
      </c>
      <c r="C1742" s="18" t="s">
        <v>211</v>
      </c>
      <c r="D1742" s="49" t="n">
        <v>46266</v>
      </c>
      <c r="E1742" s="18" t="s">
        <v>130</v>
      </c>
      <c r="F1742" s="18" t="s">
        <v>119</v>
      </c>
      <c r="G1742" s="18" t="s">
        <v>110</v>
      </c>
      <c r="H1742" s="18" t="s">
        <v>107</v>
      </c>
      <c r="I1742" s="18" t="s">
        <v>125</v>
      </c>
      <c r="J1742" s="18" t="s">
        <v>237</v>
      </c>
      <c r="K1742" s="18" t="s">
        <v>195</v>
      </c>
      <c r="L1742" s="64" t="n">
        <v>118.404947232</v>
      </c>
      <c r="M1742" s="64" t="n">
        <v>7.92</v>
      </c>
      <c r="N1742" s="18" t="s">
        <v>1688</v>
      </c>
      <c r="O1742" s="65" t="n">
        <v>937.7672</v>
      </c>
      <c r="P1742" s="65"/>
      <c r="Q1742" s="65"/>
      <c r="R1742" s="65" t="s">
        <v>232</v>
      </c>
      <c r="S1742" s="66" t="n">
        <f aca="false">Model_Calc!AQ294</f>
        <v>937.76718207744</v>
      </c>
      <c r="T1742" s="66" t="n">
        <f aca="false">ROUND(S1742-O1742,4)</f>
        <v>0</v>
      </c>
    </row>
    <row r="1743" customFormat="false" ht="15" hidden="false" customHeight="false" outlineLevel="0" collapsed="false">
      <c r="A1743" s="18" t="s">
        <v>210</v>
      </c>
      <c r="B1743" s="18" t="s">
        <v>207</v>
      </c>
      <c r="C1743" s="18" t="s">
        <v>211</v>
      </c>
      <c r="D1743" s="49" t="n">
        <v>46266</v>
      </c>
      <c r="E1743" s="18" t="s">
        <v>130</v>
      </c>
      <c r="F1743" s="18" t="s">
        <v>119</v>
      </c>
      <c r="G1743" s="18" t="s">
        <v>110</v>
      </c>
      <c r="H1743" s="18" t="s">
        <v>107</v>
      </c>
      <c r="I1743" s="18" t="s">
        <v>125</v>
      </c>
      <c r="J1743" s="18" t="s">
        <v>239</v>
      </c>
      <c r="K1743" s="18" t="s">
        <v>195</v>
      </c>
      <c r="L1743" s="64" t="n">
        <v>131.56105248</v>
      </c>
      <c r="M1743" s="64" t="n">
        <v>7.92</v>
      </c>
      <c r="N1743" s="18" t="s">
        <v>1689</v>
      </c>
      <c r="O1743" s="65" t="n">
        <v>1041.9635</v>
      </c>
      <c r="P1743" s="65"/>
      <c r="Q1743" s="65"/>
      <c r="R1743" s="65" t="s">
        <v>232</v>
      </c>
      <c r="S1743" s="66" t="n">
        <f aca="false">Model_Calc!AV294</f>
        <v>1041.9635356416</v>
      </c>
      <c r="T1743" s="66" t="n">
        <f aca="false">ROUND(S1743-O1743,4)</f>
        <v>0</v>
      </c>
    </row>
    <row r="1744" customFormat="false" ht="15" hidden="false" customHeight="false" outlineLevel="0" collapsed="false">
      <c r="A1744" s="18" t="s">
        <v>210</v>
      </c>
      <c r="B1744" s="18" t="s">
        <v>207</v>
      </c>
      <c r="C1744" s="18" t="s">
        <v>211</v>
      </c>
      <c r="D1744" s="49" t="n">
        <v>46266</v>
      </c>
      <c r="E1744" s="18" t="s">
        <v>130</v>
      </c>
      <c r="F1744" s="18" t="s">
        <v>119</v>
      </c>
      <c r="G1744" s="18" t="s">
        <v>110</v>
      </c>
      <c r="H1744" s="18" t="s">
        <v>107</v>
      </c>
      <c r="I1744" s="18" t="s">
        <v>125</v>
      </c>
      <c r="J1744" s="18" t="s">
        <v>241</v>
      </c>
      <c r="K1744" s="18" t="s">
        <v>195</v>
      </c>
      <c r="L1744" s="64" t="n">
        <v>12.21440508288</v>
      </c>
      <c r="M1744" s="64" t="n">
        <v>7.92</v>
      </c>
      <c r="N1744" s="18" t="s">
        <v>1690</v>
      </c>
      <c r="O1744" s="65" t="n">
        <v>96.7381</v>
      </c>
      <c r="P1744" s="65"/>
      <c r="Q1744" s="65"/>
      <c r="R1744" s="65" t="s">
        <v>232</v>
      </c>
      <c r="S1744" s="66" t="n">
        <f aca="false">Model_Calc!BA294</f>
        <v>96.7380882564096</v>
      </c>
      <c r="T1744" s="66" t="n">
        <f aca="false">ROUND(S1744-O1744,4)</f>
        <v>0</v>
      </c>
    </row>
    <row r="1745" customFormat="false" ht="15" hidden="false" customHeight="false" outlineLevel="0" collapsed="false">
      <c r="A1745" s="18" t="s">
        <v>210</v>
      </c>
      <c r="B1745" s="18" t="s">
        <v>207</v>
      </c>
      <c r="C1745" s="18" t="s">
        <v>211</v>
      </c>
      <c r="D1745" s="49" t="n">
        <v>46296</v>
      </c>
      <c r="E1745" s="18" t="s">
        <v>98</v>
      </c>
      <c r="F1745" s="18" t="s">
        <v>99</v>
      </c>
      <c r="G1745" s="18" t="s">
        <v>100</v>
      </c>
      <c r="H1745" s="18" t="s">
        <v>101</v>
      </c>
      <c r="I1745" s="18" t="s">
        <v>102</v>
      </c>
      <c r="J1745" s="18" t="s">
        <v>230</v>
      </c>
      <c r="K1745" s="18" t="s">
        <v>195</v>
      </c>
      <c r="L1745" s="64" t="n">
        <v>7267.8309862158</v>
      </c>
      <c r="M1745" s="64" t="n">
        <v>7.9</v>
      </c>
      <c r="N1745" s="18" t="s">
        <v>1691</v>
      </c>
      <c r="O1745" s="65" t="n">
        <v>57415.8648</v>
      </c>
      <c r="P1745" s="65"/>
      <c r="Q1745" s="65"/>
      <c r="R1745" s="65" t="s">
        <v>232</v>
      </c>
      <c r="S1745" s="66" t="n">
        <f aca="false">Model_Calc!AF295</f>
        <v>57415.8647911048</v>
      </c>
      <c r="T1745" s="66" t="n">
        <f aca="false">ROUND(S1745-O1745,4)</f>
        <v>0</v>
      </c>
    </row>
    <row r="1746" customFormat="false" ht="15" hidden="false" customHeight="false" outlineLevel="0" collapsed="false">
      <c r="A1746" s="18" t="s">
        <v>210</v>
      </c>
      <c r="B1746" s="18" t="s">
        <v>207</v>
      </c>
      <c r="C1746" s="18" t="s">
        <v>211</v>
      </c>
      <c r="D1746" s="49" t="n">
        <v>46296</v>
      </c>
      <c r="E1746" s="18" t="s">
        <v>98</v>
      </c>
      <c r="F1746" s="18" t="s">
        <v>99</v>
      </c>
      <c r="G1746" s="18" t="s">
        <v>100</v>
      </c>
      <c r="H1746" s="18" t="s">
        <v>101</v>
      </c>
      <c r="I1746" s="18" t="s">
        <v>102</v>
      </c>
      <c r="J1746" s="18" t="s">
        <v>233</v>
      </c>
      <c r="K1746" s="18" t="s">
        <v>195</v>
      </c>
      <c r="L1746" s="64" t="n">
        <v>714.609481719669</v>
      </c>
      <c r="M1746" s="64" t="n">
        <v>7.9</v>
      </c>
      <c r="N1746" s="18" t="s">
        <v>1692</v>
      </c>
      <c r="O1746" s="65" t="n">
        <v>5645.4149</v>
      </c>
      <c r="P1746" s="65"/>
      <c r="Q1746" s="65"/>
      <c r="R1746" s="65" t="s">
        <v>232</v>
      </c>
      <c r="S1746" s="66" t="n">
        <f aca="false">Model_Calc!AG295</f>
        <v>5645.41490558538</v>
      </c>
      <c r="T1746" s="66" t="n">
        <f aca="false">ROUND(S1746-O1746,4)</f>
        <v>0</v>
      </c>
    </row>
    <row r="1747" customFormat="false" ht="15" hidden="false" customHeight="false" outlineLevel="0" collapsed="false">
      <c r="A1747" s="18" t="s">
        <v>210</v>
      </c>
      <c r="B1747" s="18" t="s">
        <v>207</v>
      </c>
      <c r="C1747" s="18" t="s">
        <v>211</v>
      </c>
      <c r="D1747" s="49" t="n">
        <v>46296</v>
      </c>
      <c r="E1747" s="18" t="s">
        <v>98</v>
      </c>
      <c r="F1747" s="18" t="s">
        <v>99</v>
      </c>
      <c r="G1747" s="18" t="s">
        <v>100</v>
      </c>
      <c r="H1747" s="18" t="s">
        <v>101</v>
      </c>
      <c r="I1747" s="18" t="s">
        <v>102</v>
      </c>
      <c r="J1747" s="18" t="s">
        <v>235</v>
      </c>
      <c r="K1747" s="18" t="s">
        <v>195</v>
      </c>
      <c r="L1747" s="64" t="n">
        <v>5239.94894393426</v>
      </c>
      <c r="M1747" s="64" t="n">
        <v>7.9</v>
      </c>
      <c r="N1747" s="18" t="s">
        <v>1458</v>
      </c>
      <c r="O1747" s="65" t="n">
        <v>41395.5967</v>
      </c>
      <c r="P1747" s="65"/>
      <c r="Q1747" s="65"/>
      <c r="R1747" s="65" t="s">
        <v>232</v>
      </c>
      <c r="S1747" s="66" t="n">
        <f aca="false">Model_Calc!AL295</f>
        <v>41395.5966570807</v>
      </c>
      <c r="T1747" s="66" t="n">
        <f aca="false">ROUND(S1747-O1747,4)</f>
        <v>0</v>
      </c>
    </row>
    <row r="1748" customFormat="false" ht="15" hidden="false" customHeight="false" outlineLevel="0" collapsed="false">
      <c r="A1748" s="18" t="s">
        <v>210</v>
      </c>
      <c r="B1748" s="18" t="s">
        <v>207</v>
      </c>
      <c r="C1748" s="18" t="s">
        <v>211</v>
      </c>
      <c r="D1748" s="49" t="n">
        <v>46296</v>
      </c>
      <c r="E1748" s="18" t="s">
        <v>98</v>
      </c>
      <c r="F1748" s="18" t="s">
        <v>99</v>
      </c>
      <c r="G1748" s="18" t="s">
        <v>100</v>
      </c>
      <c r="H1748" s="18" t="s">
        <v>101</v>
      </c>
      <c r="I1748" s="18" t="s">
        <v>102</v>
      </c>
      <c r="J1748" s="18" t="s">
        <v>237</v>
      </c>
      <c r="K1748" s="18" t="s">
        <v>195</v>
      </c>
      <c r="L1748" s="64" t="n">
        <v>1761.2274771</v>
      </c>
      <c r="M1748" s="64" t="n">
        <v>7.9</v>
      </c>
      <c r="N1748" s="18" t="s">
        <v>1693</v>
      </c>
      <c r="O1748" s="65" t="n">
        <v>13913.6971</v>
      </c>
      <c r="P1748" s="65"/>
      <c r="Q1748" s="65"/>
      <c r="R1748" s="65" t="s">
        <v>232</v>
      </c>
      <c r="S1748" s="66" t="n">
        <f aca="false">Model_Calc!AQ295</f>
        <v>13913.69706909</v>
      </c>
      <c r="T1748" s="66" t="n">
        <f aca="false">ROUND(S1748-O1748,4)</f>
        <v>0</v>
      </c>
    </row>
    <row r="1749" customFormat="false" ht="15" hidden="false" customHeight="false" outlineLevel="0" collapsed="false">
      <c r="A1749" s="18" t="s">
        <v>210</v>
      </c>
      <c r="B1749" s="18" t="s">
        <v>207</v>
      </c>
      <c r="C1749" s="18" t="s">
        <v>211</v>
      </c>
      <c r="D1749" s="49" t="n">
        <v>46296</v>
      </c>
      <c r="E1749" s="18" t="s">
        <v>98</v>
      </c>
      <c r="F1749" s="18" t="s">
        <v>99</v>
      </c>
      <c r="G1749" s="18" t="s">
        <v>100</v>
      </c>
      <c r="H1749" s="18" t="s">
        <v>101</v>
      </c>
      <c r="I1749" s="18" t="s">
        <v>102</v>
      </c>
      <c r="J1749" s="18" t="s">
        <v>239</v>
      </c>
      <c r="K1749" s="18" t="s">
        <v>195</v>
      </c>
      <c r="L1749" s="64" t="n">
        <v>638.994096</v>
      </c>
      <c r="M1749" s="64" t="n">
        <v>7.9</v>
      </c>
      <c r="N1749" s="18" t="s">
        <v>1694</v>
      </c>
      <c r="O1749" s="65" t="n">
        <v>5048.0534</v>
      </c>
      <c r="P1749" s="65"/>
      <c r="Q1749" s="65"/>
      <c r="R1749" s="65" t="s">
        <v>232</v>
      </c>
      <c r="S1749" s="66" t="n">
        <f aca="false">Model_Calc!AV295</f>
        <v>5048.0533584</v>
      </c>
      <c r="T1749" s="66" t="n">
        <f aca="false">ROUND(S1749-O1749,4)</f>
        <v>0</v>
      </c>
    </row>
    <row r="1750" customFormat="false" ht="15" hidden="false" customHeight="false" outlineLevel="0" collapsed="false">
      <c r="A1750" s="18" t="s">
        <v>210</v>
      </c>
      <c r="B1750" s="18" t="s">
        <v>207</v>
      </c>
      <c r="C1750" s="18" t="s">
        <v>211</v>
      </c>
      <c r="D1750" s="49" t="n">
        <v>46296</v>
      </c>
      <c r="E1750" s="18" t="s">
        <v>98</v>
      </c>
      <c r="F1750" s="18" t="s">
        <v>99</v>
      </c>
      <c r="G1750" s="18" t="s">
        <v>100</v>
      </c>
      <c r="H1750" s="18" t="s">
        <v>101</v>
      </c>
      <c r="I1750" s="18" t="s">
        <v>102</v>
      </c>
      <c r="J1750" s="18" t="s">
        <v>241</v>
      </c>
      <c r="K1750" s="18" t="s">
        <v>195</v>
      </c>
      <c r="L1750" s="64" t="n">
        <v>154.317074184</v>
      </c>
      <c r="M1750" s="64" t="n">
        <v>7.9</v>
      </c>
      <c r="N1750" s="18" t="s">
        <v>1695</v>
      </c>
      <c r="O1750" s="65" t="n">
        <v>1219.1049</v>
      </c>
      <c r="P1750" s="65"/>
      <c r="Q1750" s="65"/>
      <c r="R1750" s="65" t="s">
        <v>232</v>
      </c>
      <c r="S1750" s="66" t="n">
        <f aca="false">Model_Calc!BA295</f>
        <v>1219.1048860536</v>
      </c>
      <c r="T1750" s="66" t="n">
        <f aca="false">ROUND(S1750-O1750,4)</f>
        <v>0</v>
      </c>
    </row>
    <row r="1751" customFormat="false" ht="15" hidden="false" customHeight="false" outlineLevel="0" collapsed="false">
      <c r="A1751" s="18" t="s">
        <v>210</v>
      </c>
      <c r="B1751" s="18" t="s">
        <v>207</v>
      </c>
      <c r="C1751" s="18" t="s">
        <v>211</v>
      </c>
      <c r="D1751" s="49" t="n">
        <v>46296</v>
      </c>
      <c r="E1751" s="18" t="s">
        <v>106</v>
      </c>
      <c r="F1751" s="18" t="s">
        <v>99</v>
      </c>
      <c r="G1751" s="18" t="s">
        <v>100</v>
      </c>
      <c r="H1751" s="18" t="s">
        <v>107</v>
      </c>
      <c r="I1751" s="18" t="s">
        <v>102</v>
      </c>
      <c r="J1751" s="18" t="s">
        <v>230</v>
      </c>
      <c r="K1751" s="18" t="s">
        <v>195</v>
      </c>
      <c r="L1751" s="64" t="n">
        <v>6211.82135574</v>
      </c>
      <c r="M1751" s="64" t="n">
        <v>7.9</v>
      </c>
      <c r="N1751" s="18" t="s">
        <v>1696</v>
      </c>
      <c r="O1751" s="65" t="n">
        <v>49073.3887</v>
      </c>
      <c r="P1751" s="65"/>
      <c r="Q1751" s="65"/>
      <c r="R1751" s="65" t="s">
        <v>232</v>
      </c>
      <c r="S1751" s="66" t="n">
        <f aca="false">Model_Calc!AF296</f>
        <v>49073.388710346</v>
      </c>
      <c r="T1751" s="66" t="n">
        <f aca="false">ROUND(S1751-O1751,4)</f>
        <v>0</v>
      </c>
    </row>
    <row r="1752" customFormat="false" ht="15" hidden="false" customHeight="false" outlineLevel="0" collapsed="false">
      <c r="A1752" s="18" t="s">
        <v>210</v>
      </c>
      <c r="B1752" s="18" t="s">
        <v>207</v>
      </c>
      <c r="C1752" s="18" t="s">
        <v>211</v>
      </c>
      <c r="D1752" s="49" t="n">
        <v>46296</v>
      </c>
      <c r="E1752" s="18" t="s">
        <v>106</v>
      </c>
      <c r="F1752" s="18" t="s">
        <v>99</v>
      </c>
      <c r="G1752" s="18" t="s">
        <v>100</v>
      </c>
      <c r="H1752" s="18" t="s">
        <v>107</v>
      </c>
      <c r="I1752" s="18" t="s">
        <v>102</v>
      </c>
      <c r="J1752" s="18" t="s">
        <v>233</v>
      </c>
      <c r="K1752" s="18" t="s">
        <v>195</v>
      </c>
      <c r="L1752" s="64" t="n">
        <v>474.3572671656</v>
      </c>
      <c r="M1752" s="64" t="n">
        <v>7.9</v>
      </c>
      <c r="N1752" s="18" t="s">
        <v>1697</v>
      </c>
      <c r="O1752" s="65" t="n">
        <v>3747.4224</v>
      </c>
      <c r="P1752" s="65"/>
      <c r="Q1752" s="65"/>
      <c r="R1752" s="65" t="s">
        <v>232</v>
      </c>
      <c r="S1752" s="66" t="n">
        <f aca="false">Model_Calc!AG296</f>
        <v>3747.42241060824</v>
      </c>
      <c r="T1752" s="66" t="n">
        <f aca="false">ROUND(S1752-O1752,4)</f>
        <v>0</v>
      </c>
    </row>
    <row r="1753" customFormat="false" ht="15" hidden="false" customHeight="false" outlineLevel="0" collapsed="false">
      <c r="A1753" s="18" t="s">
        <v>210</v>
      </c>
      <c r="B1753" s="18" t="s">
        <v>207</v>
      </c>
      <c r="C1753" s="18" t="s">
        <v>211</v>
      </c>
      <c r="D1753" s="49" t="n">
        <v>46296</v>
      </c>
      <c r="E1753" s="18" t="s">
        <v>106</v>
      </c>
      <c r="F1753" s="18" t="s">
        <v>99</v>
      </c>
      <c r="G1753" s="18" t="s">
        <v>100</v>
      </c>
      <c r="H1753" s="18" t="s">
        <v>107</v>
      </c>
      <c r="I1753" s="18" t="s">
        <v>102</v>
      </c>
      <c r="J1753" s="18" t="s">
        <v>235</v>
      </c>
      <c r="K1753" s="18" t="s">
        <v>195</v>
      </c>
      <c r="L1753" s="64" t="n">
        <v>3493.29929595617</v>
      </c>
      <c r="M1753" s="64" t="n">
        <v>7.9</v>
      </c>
      <c r="N1753" s="18" t="s">
        <v>1464</v>
      </c>
      <c r="O1753" s="65" t="n">
        <v>27597.0644</v>
      </c>
      <c r="P1753" s="65"/>
      <c r="Q1753" s="65"/>
      <c r="R1753" s="65" t="s">
        <v>232</v>
      </c>
      <c r="S1753" s="66" t="n">
        <f aca="false">Model_Calc!AL296</f>
        <v>27597.0644380538</v>
      </c>
      <c r="T1753" s="66" t="n">
        <f aca="false">ROUND(S1753-O1753,4)</f>
        <v>0</v>
      </c>
    </row>
    <row r="1754" customFormat="false" ht="15" hidden="false" customHeight="false" outlineLevel="0" collapsed="false">
      <c r="A1754" s="18" t="s">
        <v>210</v>
      </c>
      <c r="B1754" s="18" t="s">
        <v>207</v>
      </c>
      <c r="C1754" s="18" t="s">
        <v>211</v>
      </c>
      <c r="D1754" s="49" t="n">
        <v>46296</v>
      </c>
      <c r="E1754" s="18" t="s">
        <v>106</v>
      </c>
      <c r="F1754" s="18" t="s">
        <v>99</v>
      </c>
      <c r="G1754" s="18" t="s">
        <v>100</v>
      </c>
      <c r="H1754" s="18" t="s">
        <v>107</v>
      </c>
      <c r="I1754" s="18" t="s">
        <v>102</v>
      </c>
      <c r="J1754" s="18" t="s">
        <v>237</v>
      </c>
      <c r="K1754" s="18" t="s">
        <v>195</v>
      </c>
      <c r="L1754" s="64" t="n">
        <v>1174.1516514</v>
      </c>
      <c r="M1754" s="64" t="n">
        <v>7.9</v>
      </c>
      <c r="N1754" s="18" t="s">
        <v>1698</v>
      </c>
      <c r="O1754" s="65" t="n">
        <v>9275.798</v>
      </c>
      <c r="P1754" s="65"/>
      <c r="Q1754" s="65"/>
      <c r="R1754" s="65" t="s">
        <v>232</v>
      </c>
      <c r="S1754" s="66" t="n">
        <f aca="false">Model_Calc!AQ296</f>
        <v>9275.79804606</v>
      </c>
      <c r="T1754" s="66" t="n">
        <f aca="false">ROUND(S1754-O1754,4)</f>
        <v>0</v>
      </c>
    </row>
    <row r="1755" customFormat="false" ht="15" hidden="false" customHeight="false" outlineLevel="0" collapsed="false">
      <c r="A1755" s="18" t="s">
        <v>210</v>
      </c>
      <c r="B1755" s="18" t="s">
        <v>207</v>
      </c>
      <c r="C1755" s="18" t="s">
        <v>211</v>
      </c>
      <c r="D1755" s="49" t="n">
        <v>46296</v>
      </c>
      <c r="E1755" s="18" t="s">
        <v>106</v>
      </c>
      <c r="F1755" s="18" t="s">
        <v>99</v>
      </c>
      <c r="G1755" s="18" t="s">
        <v>100</v>
      </c>
      <c r="H1755" s="18" t="s">
        <v>107</v>
      </c>
      <c r="I1755" s="18" t="s">
        <v>102</v>
      </c>
      <c r="J1755" s="18" t="s">
        <v>239</v>
      </c>
      <c r="K1755" s="18" t="s">
        <v>195</v>
      </c>
      <c r="L1755" s="64" t="n">
        <v>425.996064</v>
      </c>
      <c r="M1755" s="64" t="n">
        <v>7.9</v>
      </c>
      <c r="N1755" s="18" t="s">
        <v>1699</v>
      </c>
      <c r="O1755" s="65" t="n">
        <v>3365.3689</v>
      </c>
      <c r="P1755" s="65"/>
      <c r="Q1755" s="65"/>
      <c r="R1755" s="65" t="s">
        <v>232</v>
      </c>
      <c r="S1755" s="66" t="n">
        <f aca="false">Model_Calc!AV296</f>
        <v>3365.3689056</v>
      </c>
      <c r="T1755" s="66" t="n">
        <f aca="false">ROUND(S1755-O1755,4)</f>
        <v>0</v>
      </c>
    </row>
    <row r="1756" customFormat="false" ht="15" hidden="false" customHeight="false" outlineLevel="0" collapsed="false">
      <c r="A1756" s="18" t="s">
        <v>210</v>
      </c>
      <c r="B1756" s="18" t="s">
        <v>207</v>
      </c>
      <c r="C1756" s="18" t="s">
        <v>211</v>
      </c>
      <c r="D1756" s="49" t="n">
        <v>46296</v>
      </c>
      <c r="E1756" s="18" t="s">
        <v>106</v>
      </c>
      <c r="F1756" s="18" t="s">
        <v>99</v>
      </c>
      <c r="G1756" s="18" t="s">
        <v>100</v>
      </c>
      <c r="H1756" s="18" t="s">
        <v>107</v>
      </c>
      <c r="I1756" s="18" t="s">
        <v>102</v>
      </c>
      <c r="J1756" s="18" t="s">
        <v>241</v>
      </c>
      <c r="K1756" s="18" t="s">
        <v>195</v>
      </c>
      <c r="L1756" s="64" t="n">
        <v>83.588415183</v>
      </c>
      <c r="M1756" s="64" t="n">
        <v>7.9</v>
      </c>
      <c r="N1756" s="18" t="s">
        <v>1700</v>
      </c>
      <c r="O1756" s="65" t="n">
        <v>660.3485</v>
      </c>
      <c r="P1756" s="65"/>
      <c r="Q1756" s="65"/>
      <c r="R1756" s="65" t="s">
        <v>232</v>
      </c>
      <c r="S1756" s="66" t="n">
        <f aca="false">Model_Calc!BA296</f>
        <v>660.3484799457</v>
      </c>
      <c r="T1756" s="66" t="n">
        <f aca="false">ROUND(S1756-O1756,4)</f>
        <v>0</v>
      </c>
    </row>
    <row r="1757" customFormat="false" ht="15" hidden="false" customHeight="false" outlineLevel="0" collapsed="false">
      <c r="A1757" s="18" t="s">
        <v>210</v>
      </c>
      <c r="B1757" s="18" t="s">
        <v>207</v>
      </c>
      <c r="C1757" s="18" t="s">
        <v>211</v>
      </c>
      <c r="D1757" s="49" t="n">
        <v>46296</v>
      </c>
      <c r="E1757" s="18" t="s">
        <v>109</v>
      </c>
      <c r="F1757" s="18" t="s">
        <v>99</v>
      </c>
      <c r="G1757" s="18" t="s">
        <v>110</v>
      </c>
      <c r="H1757" s="18" t="s">
        <v>107</v>
      </c>
      <c r="I1757" s="18" t="s">
        <v>102</v>
      </c>
      <c r="J1757" s="18" t="s">
        <v>230</v>
      </c>
      <c r="K1757" s="18" t="s">
        <v>195</v>
      </c>
      <c r="L1757" s="64" t="n">
        <v>637.2834692796</v>
      </c>
      <c r="M1757" s="64" t="n">
        <v>7.9</v>
      </c>
      <c r="N1757" s="18" t="s">
        <v>1701</v>
      </c>
      <c r="O1757" s="65" t="n">
        <v>5034.5394</v>
      </c>
      <c r="P1757" s="65"/>
      <c r="Q1757" s="65"/>
      <c r="R1757" s="65" t="s">
        <v>232</v>
      </c>
      <c r="S1757" s="66" t="n">
        <f aca="false">Model_Calc!AF297</f>
        <v>5034.53940730884</v>
      </c>
      <c r="T1757" s="66" t="n">
        <f aca="false">ROUND(S1757-O1757,4)</f>
        <v>0</v>
      </c>
    </row>
    <row r="1758" customFormat="false" ht="15" hidden="false" customHeight="false" outlineLevel="0" collapsed="false">
      <c r="A1758" s="18" t="s">
        <v>210</v>
      </c>
      <c r="B1758" s="18" t="s">
        <v>207</v>
      </c>
      <c r="C1758" s="18" t="s">
        <v>211</v>
      </c>
      <c r="D1758" s="49" t="n">
        <v>46296</v>
      </c>
      <c r="E1758" s="18" t="s">
        <v>109</v>
      </c>
      <c r="F1758" s="18" t="s">
        <v>99</v>
      </c>
      <c r="G1758" s="18" t="s">
        <v>110</v>
      </c>
      <c r="H1758" s="18" t="s">
        <v>107</v>
      </c>
      <c r="I1758" s="18" t="s">
        <v>102</v>
      </c>
      <c r="J1758" s="18" t="s">
        <v>233</v>
      </c>
      <c r="K1758" s="18" t="s">
        <v>195</v>
      </c>
      <c r="L1758" s="64" t="n">
        <v>46.34788867488</v>
      </c>
      <c r="M1758" s="64" t="n">
        <v>7.9</v>
      </c>
      <c r="N1758" s="18" t="s">
        <v>1702</v>
      </c>
      <c r="O1758" s="65" t="n">
        <v>366.1483</v>
      </c>
      <c r="P1758" s="65"/>
      <c r="Q1758" s="65"/>
      <c r="R1758" s="65" t="s">
        <v>232</v>
      </c>
      <c r="S1758" s="66" t="n">
        <f aca="false">Model_Calc!AG297</f>
        <v>366.148320531552</v>
      </c>
      <c r="T1758" s="66" t="n">
        <f aca="false">ROUND(S1758-O1758,4)</f>
        <v>0</v>
      </c>
    </row>
    <row r="1759" customFormat="false" ht="15" hidden="false" customHeight="false" outlineLevel="0" collapsed="false">
      <c r="A1759" s="18" t="s">
        <v>210</v>
      </c>
      <c r="B1759" s="18" t="s">
        <v>207</v>
      </c>
      <c r="C1759" s="18" t="s">
        <v>211</v>
      </c>
      <c r="D1759" s="49" t="n">
        <v>46296</v>
      </c>
      <c r="E1759" s="18" t="s">
        <v>109</v>
      </c>
      <c r="F1759" s="18" t="s">
        <v>99</v>
      </c>
      <c r="G1759" s="18" t="s">
        <v>110</v>
      </c>
      <c r="H1759" s="18" t="s">
        <v>107</v>
      </c>
      <c r="I1759" s="18" t="s">
        <v>102</v>
      </c>
      <c r="J1759" s="18" t="s">
        <v>235</v>
      </c>
      <c r="K1759" s="18" t="s">
        <v>195</v>
      </c>
      <c r="L1759" s="64" t="n">
        <v>216.154575</v>
      </c>
      <c r="M1759" s="64" t="n">
        <v>7.9</v>
      </c>
      <c r="N1759" s="18" t="s">
        <v>1703</v>
      </c>
      <c r="O1759" s="65" t="n">
        <v>1707.6211</v>
      </c>
      <c r="P1759" s="65"/>
      <c r="Q1759" s="65"/>
      <c r="R1759" s="65" t="s">
        <v>232</v>
      </c>
      <c r="S1759" s="66" t="n">
        <f aca="false">Model_Calc!AL297</f>
        <v>1707.6211425</v>
      </c>
      <c r="T1759" s="66" t="n">
        <f aca="false">ROUND(S1759-O1759,4)</f>
        <v>0</v>
      </c>
    </row>
    <row r="1760" customFormat="false" ht="15" hidden="false" customHeight="false" outlineLevel="0" collapsed="false">
      <c r="A1760" s="18" t="s">
        <v>210</v>
      </c>
      <c r="B1760" s="18" t="s">
        <v>207</v>
      </c>
      <c r="C1760" s="18" t="s">
        <v>211</v>
      </c>
      <c r="D1760" s="49" t="n">
        <v>46296</v>
      </c>
      <c r="E1760" s="18" t="s">
        <v>109</v>
      </c>
      <c r="F1760" s="18" t="s">
        <v>99</v>
      </c>
      <c r="G1760" s="18" t="s">
        <v>110</v>
      </c>
      <c r="H1760" s="18" t="s">
        <v>107</v>
      </c>
      <c r="I1760" s="18" t="s">
        <v>102</v>
      </c>
      <c r="J1760" s="18" t="s">
        <v>237</v>
      </c>
      <c r="K1760" s="18" t="s">
        <v>195</v>
      </c>
      <c r="L1760" s="64" t="n">
        <v>84.4855596</v>
      </c>
      <c r="M1760" s="64" t="n">
        <v>7.9</v>
      </c>
      <c r="N1760" s="18" t="s">
        <v>1704</v>
      </c>
      <c r="O1760" s="65" t="n">
        <v>667.4359</v>
      </c>
      <c r="P1760" s="65"/>
      <c r="Q1760" s="65"/>
      <c r="R1760" s="65" t="s">
        <v>232</v>
      </c>
      <c r="S1760" s="66" t="n">
        <f aca="false">Model_Calc!AQ297</f>
        <v>667.43592084</v>
      </c>
      <c r="T1760" s="66" t="n">
        <f aca="false">ROUND(S1760-O1760,4)</f>
        <v>0</v>
      </c>
    </row>
    <row r="1761" customFormat="false" ht="15" hidden="false" customHeight="false" outlineLevel="0" collapsed="false">
      <c r="A1761" s="18" t="s">
        <v>210</v>
      </c>
      <c r="B1761" s="18" t="s">
        <v>207</v>
      </c>
      <c r="C1761" s="18" t="s">
        <v>211</v>
      </c>
      <c r="D1761" s="49" t="n">
        <v>46296</v>
      </c>
      <c r="E1761" s="18" t="s">
        <v>109</v>
      </c>
      <c r="F1761" s="18" t="s">
        <v>99</v>
      </c>
      <c r="G1761" s="18" t="s">
        <v>110</v>
      </c>
      <c r="H1761" s="18" t="s">
        <v>107</v>
      </c>
      <c r="I1761" s="18" t="s">
        <v>102</v>
      </c>
      <c r="J1761" s="18" t="s">
        <v>239</v>
      </c>
      <c r="K1761" s="18" t="s">
        <v>195</v>
      </c>
      <c r="L1761" s="64" t="n">
        <v>39.113685</v>
      </c>
      <c r="M1761" s="64" t="n">
        <v>7.9</v>
      </c>
      <c r="N1761" s="18" t="s">
        <v>1705</v>
      </c>
      <c r="O1761" s="65" t="n">
        <v>308.9981</v>
      </c>
      <c r="P1761" s="65"/>
      <c r="Q1761" s="65"/>
      <c r="R1761" s="65" t="s">
        <v>232</v>
      </c>
      <c r="S1761" s="66" t="n">
        <f aca="false">Model_Calc!AV297</f>
        <v>308.9981115</v>
      </c>
      <c r="T1761" s="66" t="n">
        <f aca="false">ROUND(S1761-O1761,4)</f>
        <v>0</v>
      </c>
    </row>
    <row r="1762" customFormat="false" ht="15" hidden="false" customHeight="false" outlineLevel="0" collapsed="false">
      <c r="A1762" s="18" t="s">
        <v>210</v>
      </c>
      <c r="B1762" s="18" t="s">
        <v>207</v>
      </c>
      <c r="C1762" s="18" t="s">
        <v>211</v>
      </c>
      <c r="D1762" s="49" t="n">
        <v>46296</v>
      </c>
      <c r="E1762" s="18" t="s">
        <v>109</v>
      </c>
      <c r="F1762" s="18" t="s">
        <v>99</v>
      </c>
      <c r="G1762" s="18" t="s">
        <v>110</v>
      </c>
      <c r="H1762" s="18" t="s">
        <v>107</v>
      </c>
      <c r="I1762" s="18" t="s">
        <v>102</v>
      </c>
      <c r="J1762" s="18" t="s">
        <v>241</v>
      </c>
      <c r="K1762" s="18" t="s">
        <v>195</v>
      </c>
      <c r="L1762" s="64" t="n">
        <v>7.159039524</v>
      </c>
      <c r="M1762" s="64" t="n">
        <v>7.9</v>
      </c>
      <c r="N1762" s="18" t="s">
        <v>1706</v>
      </c>
      <c r="O1762" s="65" t="n">
        <v>56.5564</v>
      </c>
      <c r="P1762" s="65"/>
      <c r="Q1762" s="65"/>
      <c r="R1762" s="65" t="s">
        <v>232</v>
      </c>
      <c r="S1762" s="66" t="n">
        <f aca="false">Model_Calc!BA297</f>
        <v>56.5564122396</v>
      </c>
      <c r="T1762" s="66" t="n">
        <f aca="false">ROUND(S1762-O1762,4)</f>
        <v>0</v>
      </c>
    </row>
    <row r="1763" customFormat="false" ht="15" hidden="false" customHeight="false" outlineLevel="0" collapsed="false">
      <c r="A1763" s="18" t="s">
        <v>210</v>
      </c>
      <c r="B1763" s="18" t="s">
        <v>207</v>
      </c>
      <c r="C1763" s="18" t="s">
        <v>211</v>
      </c>
      <c r="D1763" s="49" t="n">
        <v>46296</v>
      </c>
      <c r="E1763" s="18" t="s">
        <v>112</v>
      </c>
      <c r="F1763" s="18" t="s">
        <v>113</v>
      </c>
      <c r="G1763" s="18" t="s">
        <v>110</v>
      </c>
      <c r="H1763" s="18" t="s">
        <v>101</v>
      </c>
      <c r="I1763" s="18" t="s">
        <v>102</v>
      </c>
      <c r="J1763" s="18" t="s">
        <v>230</v>
      </c>
      <c r="K1763" s="18" t="s">
        <v>195</v>
      </c>
      <c r="L1763" s="64" t="n">
        <v>3620.96549451</v>
      </c>
      <c r="M1763" s="64" t="n">
        <v>7.9</v>
      </c>
      <c r="N1763" s="18" t="s">
        <v>1707</v>
      </c>
      <c r="O1763" s="65" t="n">
        <v>28605.6274</v>
      </c>
      <c r="P1763" s="65"/>
      <c r="Q1763" s="65"/>
      <c r="R1763" s="65" t="s">
        <v>232</v>
      </c>
      <c r="S1763" s="66" t="n">
        <f aca="false">Model_Calc!AF298</f>
        <v>28605.627406629</v>
      </c>
      <c r="T1763" s="66" t="n">
        <f aca="false">ROUND(S1763-O1763,4)</f>
        <v>0</v>
      </c>
    </row>
    <row r="1764" customFormat="false" ht="15" hidden="false" customHeight="false" outlineLevel="0" collapsed="false">
      <c r="A1764" s="18" t="s">
        <v>210</v>
      </c>
      <c r="B1764" s="18" t="s">
        <v>207</v>
      </c>
      <c r="C1764" s="18" t="s">
        <v>211</v>
      </c>
      <c r="D1764" s="49" t="n">
        <v>46296</v>
      </c>
      <c r="E1764" s="18" t="s">
        <v>112</v>
      </c>
      <c r="F1764" s="18" t="s">
        <v>113</v>
      </c>
      <c r="G1764" s="18" t="s">
        <v>110</v>
      </c>
      <c r="H1764" s="18" t="s">
        <v>101</v>
      </c>
      <c r="I1764" s="18" t="s">
        <v>102</v>
      </c>
      <c r="J1764" s="18" t="s">
        <v>233</v>
      </c>
      <c r="K1764" s="18" t="s">
        <v>195</v>
      </c>
      <c r="L1764" s="64" t="n">
        <v>337.292935813607</v>
      </c>
      <c r="M1764" s="64" t="n">
        <v>7.9</v>
      </c>
      <c r="N1764" s="18" t="s">
        <v>1708</v>
      </c>
      <c r="O1764" s="65" t="n">
        <v>2664.6142</v>
      </c>
      <c r="P1764" s="65"/>
      <c r="Q1764" s="65"/>
      <c r="R1764" s="65" t="s">
        <v>232</v>
      </c>
      <c r="S1764" s="66" t="n">
        <f aca="false">Model_Calc!AG298</f>
        <v>2664.61419292749</v>
      </c>
      <c r="T1764" s="66" t="n">
        <f aca="false">ROUND(S1764-O1764,4)</f>
        <v>0</v>
      </c>
    </row>
    <row r="1765" customFormat="false" ht="15" hidden="false" customHeight="false" outlineLevel="0" collapsed="false">
      <c r="A1765" s="18" t="s">
        <v>210</v>
      </c>
      <c r="B1765" s="18" t="s">
        <v>207</v>
      </c>
      <c r="C1765" s="18" t="s">
        <v>211</v>
      </c>
      <c r="D1765" s="49" t="n">
        <v>46296</v>
      </c>
      <c r="E1765" s="18" t="s">
        <v>112</v>
      </c>
      <c r="F1765" s="18" t="s">
        <v>113</v>
      </c>
      <c r="G1765" s="18" t="s">
        <v>110</v>
      </c>
      <c r="H1765" s="18" t="s">
        <v>101</v>
      </c>
      <c r="I1765" s="18" t="s">
        <v>102</v>
      </c>
      <c r="J1765" s="18" t="s">
        <v>235</v>
      </c>
      <c r="K1765" s="18" t="s">
        <v>195</v>
      </c>
      <c r="L1765" s="64" t="n">
        <v>2225.120625</v>
      </c>
      <c r="M1765" s="64" t="n">
        <v>7.9</v>
      </c>
      <c r="N1765" s="18" t="s">
        <v>1709</v>
      </c>
      <c r="O1765" s="65" t="n">
        <v>17578.4529</v>
      </c>
      <c r="P1765" s="65"/>
      <c r="Q1765" s="65"/>
      <c r="R1765" s="65" t="s">
        <v>232</v>
      </c>
      <c r="S1765" s="66" t="n">
        <f aca="false">Model_Calc!AL298</f>
        <v>17578.4529375</v>
      </c>
      <c r="T1765" s="66" t="n">
        <f aca="false">ROUND(S1765-O1765,4)</f>
        <v>0</v>
      </c>
    </row>
    <row r="1766" customFormat="false" ht="15" hidden="false" customHeight="false" outlineLevel="0" collapsed="false">
      <c r="A1766" s="18" t="s">
        <v>210</v>
      </c>
      <c r="B1766" s="18" t="s">
        <v>207</v>
      </c>
      <c r="C1766" s="18" t="s">
        <v>211</v>
      </c>
      <c r="D1766" s="49" t="n">
        <v>46296</v>
      </c>
      <c r="E1766" s="18" t="s">
        <v>112</v>
      </c>
      <c r="F1766" s="18" t="s">
        <v>113</v>
      </c>
      <c r="G1766" s="18" t="s">
        <v>110</v>
      </c>
      <c r="H1766" s="18" t="s">
        <v>101</v>
      </c>
      <c r="I1766" s="18" t="s">
        <v>102</v>
      </c>
      <c r="J1766" s="18" t="s">
        <v>237</v>
      </c>
      <c r="K1766" s="18" t="s">
        <v>195</v>
      </c>
      <c r="L1766" s="64" t="n">
        <v>853.598655</v>
      </c>
      <c r="M1766" s="64" t="n">
        <v>7.9</v>
      </c>
      <c r="N1766" s="18" t="s">
        <v>1710</v>
      </c>
      <c r="O1766" s="65" t="n">
        <v>6743.4294</v>
      </c>
      <c r="P1766" s="65"/>
      <c r="Q1766" s="65"/>
      <c r="R1766" s="65" t="s">
        <v>232</v>
      </c>
      <c r="S1766" s="66" t="n">
        <f aca="false">Model_Calc!AQ298</f>
        <v>6743.4293745</v>
      </c>
      <c r="T1766" s="66" t="n">
        <f aca="false">ROUND(S1766-O1766,4)</f>
        <v>0</v>
      </c>
    </row>
    <row r="1767" customFormat="false" ht="15" hidden="false" customHeight="false" outlineLevel="0" collapsed="false">
      <c r="A1767" s="18" t="s">
        <v>210</v>
      </c>
      <c r="B1767" s="18" t="s">
        <v>207</v>
      </c>
      <c r="C1767" s="18" t="s">
        <v>211</v>
      </c>
      <c r="D1767" s="49" t="n">
        <v>46296</v>
      </c>
      <c r="E1767" s="18" t="s">
        <v>112</v>
      </c>
      <c r="F1767" s="18" t="s">
        <v>113</v>
      </c>
      <c r="G1767" s="18" t="s">
        <v>110</v>
      </c>
      <c r="H1767" s="18" t="s">
        <v>101</v>
      </c>
      <c r="I1767" s="18" t="s">
        <v>102</v>
      </c>
      <c r="J1767" s="18" t="s">
        <v>239</v>
      </c>
      <c r="K1767" s="18" t="s">
        <v>195</v>
      </c>
      <c r="L1767" s="64" t="n">
        <v>381.44925</v>
      </c>
      <c r="M1767" s="64" t="n">
        <v>7.9</v>
      </c>
      <c r="N1767" s="18" t="s">
        <v>1711</v>
      </c>
      <c r="O1767" s="65" t="n">
        <v>3013.4491</v>
      </c>
      <c r="P1767" s="65"/>
      <c r="Q1767" s="65"/>
      <c r="R1767" s="65" t="s">
        <v>232</v>
      </c>
      <c r="S1767" s="66" t="n">
        <f aca="false">Model_Calc!AV298</f>
        <v>3013.449075</v>
      </c>
      <c r="T1767" s="66" t="n">
        <f aca="false">ROUND(S1767-O1767,4)</f>
        <v>0</v>
      </c>
    </row>
    <row r="1768" customFormat="false" ht="15" hidden="false" customHeight="false" outlineLevel="0" collapsed="false">
      <c r="A1768" s="18" t="s">
        <v>210</v>
      </c>
      <c r="B1768" s="18" t="s">
        <v>207</v>
      </c>
      <c r="C1768" s="18" t="s">
        <v>211</v>
      </c>
      <c r="D1768" s="49" t="n">
        <v>46296</v>
      </c>
      <c r="E1768" s="18" t="s">
        <v>112</v>
      </c>
      <c r="F1768" s="18" t="s">
        <v>113</v>
      </c>
      <c r="G1768" s="18" t="s">
        <v>110</v>
      </c>
      <c r="H1768" s="18" t="s">
        <v>101</v>
      </c>
      <c r="I1768" s="18" t="s">
        <v>102</v>
      </c>
      <c r="J1768" s="18" t="s">
        <v>241</v>
      </c>
      <c r="K1768" s="18" t="s">
        <v>195</v>
      </c>
      <c r="L1768" s="64" t="n">
        <v>87.830808975</v>
      </c>
      <c r="M1768" s="64" t="n">
        <v>7.9</v>
      </c>
      <c r="N1768" s="18" t="s">
        <v>1712</v>
      </c>
      <c r="O1768" s="65" t="n">
        <v>693.8634</v>
      </c>
      <c r="P1768" s="65"/>
      <c r="Q1768" s="65"/>
      <c r="R1768" s="65" t="s">
        <v>232</v>
      </c>
      <c r="S1768" s="66" t="n">
        <f aca="false">Model_Calc!BA298</f>
        <v>693.8633909025</v>
      </c>
      <c r="T1768" s="66" t="n">
        <f aca="false">ROUND(S1768-O1768,4)</f>
        <v>0</v>
      </c>
    </row>
    <row r="1769" customFormat="false" ht="15" hidden="false" customHeight="false" outlineLevel="0" collapsed="false">
      <c r="A1769" s="18" t="s">
        <v>210</v>
      </c>
      <c r="B1769" s="18" t="s">
        <v>207</v>
      </c>
      <c r="C1769" s="18" t="s">
        <v>211</v>
      </c>
      <c r="D1769" s="49" t="n">
        <v>46296</v>
      </c>
      <c r="E1769" s="18" t="s">
        <v>116</v>
      </c>
      <c r="F1769" s="18" t="s">
        <v>113</v>
      </c>
      <c r="G1769" s="18" t="s">
        <v>110</v>
      </c>
      <c r="H1769" s="18" t="s">
        <v>107</v>
      </c>
      <c r="I1769" s="18" t="s">
        <v>102</v>
      </c>
      <c r="J1769" s="18" t="s">
        <v>230</v>
      </c>
      <c r="K1769" s="18" t="s">
        <v>195</v>
      </c>
      <c r="L1769" s="64" t="n">
        <v>8654.405713785</v>
      </c>
      <c r="M1769" s="64" t="n">
        <v>7.9</v>
      </c>
      <c r="N1769" s="18" t="s">
        <v>1713</v>
      </c>
      <c r="O1769" s="65" t="n">
        <v>68369.8051</v>
      </c>
      <c r="P1769" s="65"/>
      <c r="Q1769" s="65"/>
      <c r="R1769" s="65" t="s">
        <v>232</v>
      </c>
      <c r="S1769" s="66" t="n">
        <f aca="false">Model_Calc!AF299</f>
        <v>68369.8051389015</v>
      </c>
      <c r="T1769" s="66" t="n">
        <f aca="false">ROUND(S1769-O1769,4)</f>
        <v>0</v>
      </c>
    </row>
    <row r="1770" customFormat="false" ht="15" hidden="false" customHeight="false" outlineLevel="0" collapsed="false">
      <c r="A1770" s="18" t="s">
        <v>210</v>
      </c>
      <c r="B1770" s="18" t="s">
        <v>207</v>
      </c>
      <c r="C1770" s="18" t="s">
        <v>211</v>
      </c>
      <c r="D1770" s="49" t="n">
        <v>46296</v>
      </c>
      <c r="E1770" s="18" t="s">
        <v>116</v>
      </c>
      <c r="F1770" s="18" t="s">
        <v>113</v>
      </c>
      <c r="G1770" s="18" t="s">
        <v>110</v>
      </c>
      <c r="H1770" s="18" t="s">
        <v>107</v>
      </c>
      <c r="I1770" s="18" t="s">
        <v>102</v>
      </c>
      <c r="J1770" s="18" t="s">
        <v>233</v>
      </c>
      <c r="K1770" s="18" t="s">
        <v>195</v>
      </c>
      <c r="L1770" s="64" t="n">
        <v>665.723516445</v>
      </c>
      <c r="M1770" s="64" t="n">
        <v>7.9</v>
      </c>
      <c r="N1770" s="18" t="s">
        <v>1714</v>
      </c>
      <c r="O1770" s="65" t="n">
        <v>5259.2158</v>
      </c>
      <c r="P1770" s="65"/>
      <c r="Q1770" s="65"/>
      <c r="R1770" s="65" t="s">
        <v>232</v>
      </c>
      <c r="S1770" s="66" t="n">
        <f aca="false">Model_Calc!AG299</f>
        <v>5259.2157799155</v>
      </c>
      <c r="T1770" s="66" t="n">
        <f aca="false">ROUND(S1770-O1770,4)</f>
        <v>0</v>
      </c>
    </row>
    <row r="1771" customFormat="false" ht="15" hidden="false" customHeight="false" outlineLevel="0" collapsed="false">
      <c r="A1771" s="18" t="s">
        <v>210</v>
      </c>
      <c r="B1771" s="18" t="s">
        <v>207</v>
      </c>
      <c r="C1771" s="18" t="s">
        <v>211</v>
      </c>
      <c r="D1771" s="49" t="n">
        <v>46296</v>
      </c>
      <c r="E1771" s="18" t="s">
        <v>116</v>
      </c>
      <c r="F1771" s="18" t="s">
        <v>113</v>
      </c>
      <c r="G1771" s="18" t="s">
        <v>110</v>
      </c>
      <c r="H1771" s="18" t="s">
        <v>107</v>
      </c>
      <c r="I1771" s="18" t="s">
        <v>102</v>
      </c>
      <c r="J1771" s="18" t="s">
        <v>235</v>
      </c>
      <c r="K1771" s="18" t="s">
        <v>195</v>
      </c>
      <c r="L1771" s="64" t="n">
        <v>4132.366875</v>
      </c>
      <c r="M1771" s="64" t="n">
        <v>7.9</v>
      </c>
      <c r="N1771" s="18" t="s">
        <v>1715</v>
      </c>
      <c r="O1771" s="65" t="n">
        <v>32645.6983</v>
      </c>
      <c r="P1771" s="65"/>
      <c r="Q1771" s="65"/>
      <c r="R1771" s="65" t="s">
        <v>232</v>
      </c>
      <c r="S1771" s="66" t="n">
        <f aca="false">Model_Calc!AL299</f>
        <v>32645.6983125</v>
      </c>
      <c r="T1771" s="66" t="n">
        <f aca="false">ROUND(S1771-O1771,4)</f>
        <v>0</v>
      </c>
    </row>
    <row r="1772" customFormat="false" ht="15" hidden="false" customHeight="false" outlineLevel="0" collapsed="false">
      <c r="A1772" s="18" t="s">
        <v>210</v>
      </c>
      <c r="B1772" s="18" t="s">
        <v>207</v>
      </c>
      <c r="C1772" s="18" t="s">
        <v>211</v>
      </c>
      <c r="D1772" s="49" t="n">
        <v>46296</v>
      </c>
      <c r="E1772" s="18" t="s">
        <v>116</v>
      </c>
      <c r="F1772" s="18" t="s">
        <v>113</v>
      </c>
      <c r="G1772" s="18" t="s">
        <v>110</v>
      </c>
      <c r="H1772" s="18" t="s">
        <v>107</v>
      </c>
      <c r="I1772" s="18" t="s">
        <v>102</v>
      </c>
      <c r="J1772" s="18" t="s">
        <v>237</v>
      </c>
      <c r="K1772" s="18" t="s">
        <v>195</v>
      </c>
      <c r="L1772" s="64" t="n">
        <v>1585.254645</v>
      </c>
      <c r="M1772" s="64" t="n">
        <v>7.9</v>
      </c>
      <c r="N1772" s="18" t="s">
        <v>1716</v>
      </c>
      <c r="O1772" s="65" t="n">
        <v>12523.5117</v>
      </c>
      <c r="P1772" s="65"/>
      <c r="Q1772" s="65"/>
      <c r="R1772" s="65" t="s">
        <v>232</v>
      </c>
      <c r="S1772" s="66" t="n">
        <f aca="false">Model_Calc!AQ299</f>
        <v>12523.5116955</v>
      </c>
      <c r="T1772" s="66" t="n">
        <f aca="false">ROUND(S1772-O1772,4)</f>
        <v>0</v>
      </c>
    </row>
    <row r="1773" customFormat="false" ht="15" hidden="false" customHeight="false" outlineLevel="0" collapsed="false">
      <c r="A1773" s="18" t="s">
        <v>210</v>
      </c>
      <c r="B1773" s="18" t="s">
        <v>207</v>
      </c>
      <c r="C1773" s="18" t="s">
        <v>211</v>
      </c>
      <c r="D1773" s="49" t="n">
        <v>46296</v>
      </c>
      <c r="E1773" s="18" t="s">
        <v>116</v>
      </c>
      <c r="F1773" s="18" t="s">
        <v>113</v>
      </c>
      <c r="G1773" s="18" t="s">
        <v>110</v>
      </c>
      <c r="H1773" s="18" t="s">
        <v>107</v>
      </c>
      <c r="I1773" s="18" t="s">
        <v>102</v>
      </c>
      <c r="J1773" s="18" t="s">
        <v>239</v>
      </c>
      <c r="K1773" s="18" t="s">
        <v>195</v>
      </c>
      <c r="L1773" s="64" t="n">
        <v>708.40575</v>
      </c>
      <c r="M1773" s="64" t="n">
        <v>7.9</v>
      </c>
      <c r="N1773" s="18" t="s">
        <v>1717</v>
      </c>
      <c r="O1773" s="65" t="n">
        <v>5596.4054</v>
      </c>
      <c r="P1773" s="65"/>
      <c r="Q1773" s="65"/>
      <c r="R1773" s="65" t="s">
        <v>232</v>
      </c>
      <c r="S1773" s="66" t="n">
        <f aca="false">Model_Calc!AV299</f>
        <v>5596.405425</v>
      </c>
      <c r="T1773" s="66" t="n">
        <f aca="false">ROUND(S1773-O1773,4)</f>
        <v>0</v>
      </c>
    </row>
    <row r="1774" customFormat="false" ht="15" hidden="false" customHeight="false" outlineLevel="0" collapsed="false">
      <c r="A1774" s="18" t="s">
        <v>210</v>
      </c>
      <c r="B1774" s="18" t="s">
        <v>207</v>
      </c>
      <c r="C1774" s="18" t="s">
        <v>211</v>
      </c>
      <c r="D1774" s="49" t="n">
        <v>46296</v>
      </c>
      <c r="E1774" s="18" t="s">
        <v>116</v>
      </c>
      <c r="F1774" s="18" t="s">
        <v>113</v>
      </c>
      <c r="G1774" s="18" t="s">
        <v>110</v>
      </c>
      <c r="H1774" s="18" t="s">
        <v>107</v>
      </c>
      <c r="I1774" s="18" t="s">
        <v>102</v>
      </c>
      <c r="J1774" s="18" t="s">
        <v>241</v>
      </c>
      <c r="K1774" s="18" t="s">
        <v>195</v>
      </c>
      <c r="L1774" s="64" t="n">
        <v>134.32947255</v>
      </c>
      <c r="M1774" s="64" t="n">
        <v>7.9</v>
      </c>
      <c r="N1774" s="18" t="s">
        <v>1718</v>
      </c>
      <c r="O1774" s="65" t="n">
        <v>1061.2028</v>
      </c>
      <c r="P1774" s="65"/>
      <c r="Q1774" s="65"/>
      <c r="R1774" s="65" t="s">
        <v>232</v>
      </c>
      <c r="S1774" s="66" t="n">
        <f aca="false">Model_Calc!BA299</f>
        <v>1061.202833145</v>
      </c>
      <c r="T1774" s="66" t="n">
        <f aca="false">ROUND(S1774-O1774,4)</f>
        <v>0</v>
      </c>
    </row>
    <row r="1775" customFormat="false" ht="15" hidden="false" customHeight="false" outlineLevel="0" collapsed="false">
      <c r="A1775" s="18" t="s">
        <v>210</v>
      </c>
      <c r="B1775" s="18" t="s">
        <v>207</v>
      </c>
      <c r="C1775" s="18" t="s">
        <v>211</v>
      </c>
      <c r="D1775" s="49" t="n">
        <v>46296</v>
      </c>
      <c r="E1775" s="18" t="s">
        <v>118</v>
      </c>
      <c r="F1775" s="18" t="s">
        <v>119</v>
      </c>
      <c r="G1775" s="18" t="s">
        <v>100</v>
      </c>
      <c r="H1775" s="18" t="s">
        <v>101</v>
      </c>
      <c r="I1775" s="18" t="s">
        <v>102</v>
      </c>
      <c r="J1775" s="18" t="s">
        <v>230</v>
      </c>
      <c r="K1775" s="18" t="s">
        <v>199</v>
      </c>
      <c r="L1775" s="64" t="n">
        <v>13583.4926241627</v>
      </c>
      <c r="M1775" s="64" t="n">
        <v>9.1</v>
      </c>
      <c r="N1775" s="18" t="s">
        <v>1719</v>
      </c>
      <c r="O1775" s="65" t="n">
        <v>123609.7829</v>
      </c>
      <c r="P1775" s="65"/>
      <c r="Q1775" s="65"/>
      <c r="R1775" s="65" t="s">
        <v>232</v>
      </c>
      <c r="S1775" s="66" t="n">
        <f aca="false">Model_Calc!AF300</f>
        <v>123609.78287988</v>
      </c>
      <c r="T1775" s="66" t="n">
        <f aca="false">ROUND(S1775-O1775,4)</f>
        <v>0</v>
      </c>
    </row>
    <row r="1776" customFormat="false" ht="15" hidden="false" customHeight="false" outlineLevel="0" collapsed="false">
      <c r="A1776" s="18" t="s">
        <v>210</v>
      </c>
      <c r="B1776" s="18" t="s">
        <v>207</v>
      </c>
      <c r="C1776" s="18" t="s">
        <v>211</v>
      </c>
      <c r="D1776" s="49" t="n">
        <v>46296</v>
      </c>
      <c r="E1776" s="18" t="s">
        <v>118</v>
      </c>
      <c r="F1776" s="18" t="s">
        <v>119</v>
      </c>
      <c r="G1776" s="18" t="s">
        <v>100</v>
      </c>
      <c r="H1776" s="18" t="s">
        <v>101</v>
      </c>
      <c r="I1776" s="18" t="s">
        <v>102</v>
      </c>
      <c r="J1776" s="18" t="s">
        <v>233</v>
      </c>
      <c r="K1776" s="18" t="s">
        <v>199</v>
      </c>
      <c r="L1776" s="64" t="n">
        <v>1405.89148660084</v>
      </c>
      <c r="M1776" s="64" t="n">
        <v>9.1</v>
      </c>
      <c r="N1776" s="18" t="s">
        <v>1720</v>
      </c>
      <c r="O1776" s="65" t="n">
        <v>12793.6125</v>
      </c>
      <c r="P1776" s="65"/>
      <c r="Q1776" s="65"/>
      <c r="R1776" s="65" t="s">
        <v>232</v>
      </c>
      <c r="S1776" s="66" t="n">
        <f aca="false">Model_Calc!AG300</f>
        <v>12793.6125280676</v>
      </c>
      <c r="T1776" s="66" t="n">
        <f aca="false">ROUND(S1776-O1776,4)</f>
        <v>0</v>
      </c>
    </row>
    <row r="1777" customFormat="false" ht="15" hidden="false" customHeight="false" outlineLevel="0" collapsed="false">
      <c r="A1777" s="18" t="s">
        <v>210</v>
      </c>
      <c r="B1777" s="18" t="s">
        <v>207</v>
      </c>
      <c r="C1777" s="18" t="s">
        <v>211</v>
      </c>
      <c r="D1777" s="49" t="n">
        <v>46296</v>
      </c>
      <c r="E1777" s="18" t="s">
        <v>118</v>
      </c>
      <c r="F1777" s="18" t="s">
        <v>119</v>
      </c>
      <c r="G1777" s="18" t="s">
        <v>100</v>
      </c>
      <c r="H1777" s="18" t="s">
        <v>101</v>
      </c>
      <c r="I1777" s="18" t="s">
        <v>102</v>
      </c>
      <c r="J1777" s="18" t="s">
        <v>235</v>
      </c>
      <c r="K1777" s="18" t="s">
        <v>195</v>
      </c>
      <c r="L1777" s="64" t="n">
        <v>3624.04910344339</v>
      </c>
      <c r="M1777" s="64" t="n">
        <v>7.9</v>
      </c>
      <c r="N1777" s="18" t="s">
        <v>1721</v>
      </c>
      <c r="O1777" s="65" t="n">
        <v>28629.9879</v>
      </c>
      <c r="P1777" s="65"/>
      <c r="Q1777" s="65"/>
      <c r="R1777" s="65" t="s">
        <v>232</v>
      </c>
      <c r="S1777" s="66" t="n">
        <f aca="false">Model_Calc!AL300</f>
        <v>28629.9879172028</v>
      </c>
      <c r="T1777" s="66" t="n">
        <f aca="false">ROUND(S1777-O1777,4)</f>
        <v>0</v>
      </c>
    </row>
    <row r="1778" customFormat="false" ht="15" hidden="false" customHeight="false" outlineLevel="0" collapsed="false">
      <c r="A1778" s="18" t="s">
        <v>210</v>
      </c>
      <c r="B1778" s="18" t="s">
        <v>207</v>
      </c>
      <c r="C1778" s="18" t="s">
        <v>211</v>
      </c>
      <c r="D1778" s="49" t="n">
        <v>46296</v>
      </c>
      <c r="E1778" s="18" t="s">
        <v>118</v>
      </c>
      <c r="F1778" s="18" t="s">
        <v>119</v>
      </c>
      <c r="G1778" s="18" t="s">
        <v>100</v>
      </c>
      <c r="H1778" s="18" t="s">
        <v>101</v>
      </c>
      <c r="I1778" s="18" t="s">
        <v>102</v>
      </c>
      <c r="J1778" s="18" t="s">
        <v>237</v>
      </c>
      <c r="K1778" s="18" t="s">
        <v>195</v>
      </c>
      <c r="L1778" s="64" t="n">
        <v>1357.3099507968</v>
      </c>
      <c r="M1778" s="64" t="n">
        <v>7.9</v>
      </c>
      <c r="N1778" s="18" t="s">
        <v>1722</v>
      </c>
      <c r="O1778" s="65" t="n">
        <v>10722.7486</v>
      </c>
      <c r="P1778" s="65"/>
      <c r="Q1778" s="65"/>
      <c r="R1778" s="65" t="s">
        <v>232</v>
      </c>
      <c r="S1778" s="66" t="n">
        <f aca="false">Model_Calc!AQ300</f>
        <v>10722.7486112947</v>
      </c>
      <c r="T1778" s="66" t="n">
        <f aca="false">ROUND(S1778-O1778,4)</f>
        <v>0</v>
      </c>
    </row>
    <row r="1779" customFormat="false" ht="15" hidden="false" customHeight="false" outlineLevel="0" collapsed="false">
      <c r="A1779" s="18" t="s">
        <v>210</v>
      </c>
      <c r="B1779" s="18" t="s">
        <v>207</v>
      </c>
      <c r="C1779" s="18" t="s">
        <v>211</v>
      </c>
      <c r="D1779" s="49" t="n">
        <v>46296</v>
      </c>
      <c r="E1779" s="18" t="s">
        <v>118</v>
      </c>
      <c r="F1779" s="18" t="s">
        <v>119</v>
      </c>
      <c r="G1779" s="18" t="s">
        <v>100</v>
      </c>
      <c r="H1779" s="18" t="s">
        <v>101</v>
      </c>
      <c r="I1779" s="18" t="s">
        <v>102</v>
      </c>
      <c r="J1779" s="18" t="s">
        <v>239</v>
      </c>
      <c r="K1779" s="18" t="s">
        <v>199</v>
      </c>
      <c r="L1779" s="64" t="n">
        <v>1193.239517184</v>
      </c>
      <c r="M1779" s="64" t="n">
        <v>9.1</v>
      </c>
      <c r="N1779" s="18" t="s">
        <v>1723</v>
      </c>
      <c r="O1779" s="65" t="n">
        <v>10858.4796</v>
      </c>
      <c r="P1779" s="65"/>
      <c r="Q1779" s="65"/>
      <c r="R1779" s="65" t="s">
        <v>232</v>
      </c>
      <c r="S1779" s="66" t="n">
        <f aca="false">Model_Calc!AV300</f>
        <v>10858.4796063744</v>
      </c>
      <c r="T1779" s="66" t="n">
        <f aca="false">ROUND(S1779-O1779,4)</f>
        <v>0</v>
      </c>
    </row>
    <row r="1780" customFormat="false" ht="15" hidden="false" customHeight="false" outlineLevel="0" collapsed="false">
      <c r="A1780" s="18" t="s">
        <v>210</v>
      </c>
      <c r="B1780" s="18" t="s">
        <v>207</v>
      </c>
      <c r="C1780" s="18" t="s">
        <v>211</v>
      </c>
      <c r="D1780" s="49" t="n">
        <v>46296</v>
      </c>
      <c r="E1780" s="18" t="s">
        <v>118</v>
      </c>
      <c r="F1780" s="18" t="s">
        <v>119</v>
      </c>
      <c r="G1780" s="18" t="s">
        <v>100</v>
      </c>
      <c r="H1780" s="18" t="s">
        <v>101</v>
      </c>
      <c r="I1780" s="18" t="s">
        <v>102</v>
      </c>
      <c r="J1780" s="18" t="s">
        <v>241</v>
      </c>
      <c r="K1780" s="18" t="s">
        <v>199</v>
      </c>
      <c r="L1780" s="64" t="n">
        <v>200.687971296384</v>
      </c>
      <c r="M1780" s="64" t="n">
        <v>9.1</v>
      </c>
      <c r="N1780" s="18" t="s">
        <v>1724</v>
      </c>
      <c r="O1780" s="65" t="n">
        <v>1826.2605</v>
      </c>
      <c r="P1780" s="65"/>
      <c r="Q1780" s="65"/>
      <c r="R1780" s="65" t="s">
        <v>232</v>
      </c>
      <c r="S1780" s="66" t="n">
        <f aca="false">Model_Calc!BA300</f>
        <v>1826.26053879709</v>
      </c>
      <c r="T1780" s="66" t="n">
        <f aca="false">ROUND(S1780-O1780,4)</f>
        <v>0</v>
      </c>
    </row>
    <row r="1781" customFormat="false" ht="15" hidden="false" customHeight="false" outlineLevel="0" collapsed="false">
      <c r="A1781" s="18" t="s">
        <v>210</v>
      </c>
      <c r="B1781" s="18" t="s">
        <v>207</v>
      </c>
      <c r="C1781" s="18" t="s">
        <v>211</v>
      </c>
      <c r="D1781" s="49" t="n">
        <v>46296</v>
      </c>
      <c r="E1781" s="18" t="s">
        <v>122</v>
      </c>
      <c r="F1781" s="18" t="s">
        <v>119</v>
      </c>
      <c r="G1781" s="18" t="s">
        <v>100</v>
      </c>
      <c r="H1781" s="18" t="s">
        <v>107</v>
      </c>
      <c r="I1781" s="18" t="s">
        <v>102</v>
      </c>
      <c r="J1781" s="18" t="s">
        <v>230</v>
      </c>
      <c r="K1781" s="18" t="s">
        <v>199</v>
      </c>
      <c r="L1781" s="64" t="n">
        <v>8693.13934280563</v>
      </c>
      <c r="M1781" s="64" t="n">
        <v>9.1</v>
      </c>
      <c r="N1781" s="18" t="s">
        <v>1725</v>
      </c>
      <c r="O1781" s="65" t="n">
        <v>79107.568</v>
      </c>
      <c r="P1781" s="65"/>
      <c r="Q1781" s="65"/>
      <c r="R1781" s="65" t="s">
        <v>232</v>
      </c>
      <c r="S1781" s="66" t="n">
        <f aca="false">Model_Calc!AF301</f>
        <v>79107.5680195312</v>
      </c>
      <c r="T1781" s="66" t="n">
        <f aca="false">ROUND(S1781-O1781,4)</f>
        <v>0</v>
      </c>
    </row>
    <row r="1782" customFormat="false" ht="15" hidden="false" customHeight="false" outlineLevel="0" collapsed="false">
      <c r="A1782" s="18" t="s">
        <v>210</v>
      </c>
      <c r="B1782" s="18" t="s">
        <v>207</v>
      </c>
      <c r="C1782" s="18" t="s">
        <v>211</v>
      </c>
      <c r="D1782" s="49" t="n">
        <v>46296</v>
      </c>
      <c r="E1782" s="18" t="s">
        <v>122</v>
      </c>
      <c r="F1782" s="18" t="s">
        <v>119</v>
      </c>
      <c r="G1782" s="18" t="s">
        <v>100</v>
      </c>
      <c r="H1782" s="18" t="s">
        <v>107</v>
      </c>
      <c r="I1782" s="18" t="s">
        <v>102</v>
      </c>
      <c r="J1782" s="18" t="s">
        <v>233</v>
      </c>
      <c r="K1782" s="18" t="s">
        <v>199</v>
      </c>
      <c r="L1782" s="64" t="n">
        <v>610.369358111885</v>
      </c>
      <c r="M1782" s="64" t="n">
        <v>9.1</v>
      </c>
      <c r="N1782" s="18" t="s">
        <v>1726</v>
      </c>
      <c r="O1782" s="65" t="n">
        <v>5554.3612</v>
      </c>
      <c r="P1782" s="65"/>
      <c r="Q1782" s="65"/>
      <c r="R1782" s="65" t="s">
        <v>232</v>
      </c>
      <c r="S1782" s="66" t="n">
        <f aca="false">Model_Calc!AG301</f>
        <v>5554.36115881815</v>
      </c>
      <c r="T1782" s="66" t="n">
        <f aca="false">ROUND(S1782-O1782,4)</f>
        <v>0</v>
      </c>
    </row>
    <row r="1783" customFormat="false" ht="15" hidden="false" customHeight="false" outlineLevel="0" collapsed="false">
      <c r="A1783" s="18" t="s">
        <v>210</v>
      </c>
      <c r="B1783" s="18" t="s">
        <v>207</v>
      </c>
      <c r="C1783" s="18" t="s">
        <v>211</v>
      </c>
      <c r="D1783" s="49" t="n">
        <v>46296</v>
      </c>
      <c r="E1783" s="18" t="s">
        <v>122</v>
      </c>
      <c r="F1783" s="18" t="s">
        <v>119</v>
      </c>
      <c r="G1783" s="18" t="s">
        <v>100</v>
      </c>
      <c r="H1783" s="18" t="s">
        <v>107</v>
      </c>
      <c r="I1783" s="18" t="s">
        <v>102</v>
      </c>
      <c r="J1783" s="18" t="s">
        <v>235</v>
      </c>
      <c r="K1783" s="18" t="s">
        <v>195</v>
      </c>
      <c r="L1783" s="64" t="n">
        <v>2013.3606130241</v>
      </c>
      <c r="M1783" s="64" t="n">
        <v>7.9</v>
      </c>
      <c r="N1783" s="18" t="s">
        <v>1727</v>
      </c>
      <c r="O1783" s="65" t="n">
        <v>15905.5488</v>
      </c>
      <c r="P1783" s="65"/>
      <c r="Q1783" s="65"/>
      <c r="R1783" s="65" t="s">
        <v>232</v>
      </c>
      <c r="S1783" s="66" t="n">
        <f aca="false">Model_Calc!AL301</f>
        <v>15905.5488428904</v>
      </c>
      <c r="T1783" s="66" t="n">
        <f aca="false">ROUND(S1783-O1783,4)</f>
        <v>0</v>
      </c>
    </row>
    <row r="1784" customFormat="false" ht="15" hidden="false" customHeight="false" outlineLevel="0" collapsed="false">
      <c r="A1784" s="18" t="s">
        <v>210</v>
      </c>
      <c r="B1784" s="18" t="s">
        <v>207</v>
      </c>
      <c r="C1784" s="18" t="s">
        <v>211</v>
      </c>
      <c r="D1784" s="49" t="n">
        <v>46296</v>
      </c>
      <c r="E1784" s="18" t="s">
        <v>122</v>
      </c>
      <c r="F1784" s="18" t="s">
        <v>119</v>
      </c>
      <c r="G1784" s="18" t="s">
        <v>100</v>
      </c>
      <c r="H1784" s="18" t="s">
        <v>107</v>
      </c>
      <c r="I1784" s="18" t="s">
        <v>102</v>
      </c>
      <c r="J1784" s="18" t="s">
        <v>237</v>
      </c>
      <c r="K1784" s="18" t="s">
        <v>195</v>
      </c>
      <c r="L1784" s="64" t="n">
        <v>754.061083776</v>
      </c>
      <c r="M1784" s="64" t="n">
        <v>7.9</v>
      </c>
      <c r="N1784" s="18" t="s">
        <v>1728</v>
      </c>
      <c r="O1784" s="65" t="n">
        <v>5957.0826</v>
      </c>
      <c r="P1784" s="65"/>
      <c r="Q1784" s="65"/>
      <c r="R1784" s="65" t="s">
        <v>232</v>
      </c>
      <c r="S1784" s="66" t="n">
        <f aca="false">Model_Calc!AQ301</f>
        <v>5957.0825618304</v>
      </c>
      <c r="T1784" s="66" t="n">
        <f aca="false">ROUND(S1784-O1784,4)</f>
        <v>0</v>
      </c>
    </row>
    <row r="1785" customFormat="false" ht="15" hidden="false" customHeight="false" outlineLevel="0" collapsed="false">
      <c r="A1785" s="18" t="s">
        <v>210</v>
      </c>
      <c r="B1785" s="18" t="s">
        <v>207</v>
      </c>
      <c r="C1785" s="18" t="s">
        <v>211</v>
      </c>
      <c r="D1785" s="49" t="n">
        <v>46296</v>
      </c>
      <c r="E1785" s="18" t="s">
        <v>122</v>
      </c>
      <c r="F1785" s="18" t="s">
        <v>119</v>
      </c>
      <c r="G1785" s="18" t="s">
        <v>100</v>
      </c>
      <c r="H1785" s="18" t="s">
        <v>107</v>
      </c>
      <c r="I1785" s="18" t="s">
        <v>102</v>
      </c>
      <c r="J1785" s="18" t="s">
        <v>239</v>
      </c>
      <c r="K1785" s="18" t="s">
        <v>199</v>
      </c>
      <c r="L1785" s="64" t="n">
        <v>662.91084288</v>
      </c>
      <c r="M1785" s="64" t="n">
        <v>9.1</v>
      </c>
      <c r="N1785" s="18" t="s">
        <v>1729</v>
      </c>
      <c r="O1785" s="65" t="n">
        <v>6032.4887</v>
      </c>
      <c r="P1785" s="65"/>
      <c r="Q1785" s="65"/>
      <c r="R1785" s="65" t="s">
        <v>232</v>
      </c>
      <c r="S1785" s="66" t="n">
        <f aca="false">Model_Calc!AV301</f>
        <v>6032.488670208</v>
      </c>
      <c r="T1785" s="66" t="n">
        <f aca="false">ROUND(S1785-O1785,4)</f>
        <v>0</v>
      </c>
    </row>
    <row r="1786" customFormat="false" ht="15" hidden="false" customHeight="false" outlineLevel="0" collapsed="false">
      <c r="A1786" s="18" t="s">
        <v>210</v>
      </c>
      <c r="B1786" s="18" t="s">
        <v>207</v>
      </c>
      <c r="C1786" s="18" t="s">
        <v>211</v>
      </c>
      <c r="D1786" s="49" t="n">
        <v>46296</v>
      </c>
      <c r="E1786" s="18" t="s">
        <v>122</v>
      </c>
      <c r="F1786" s="18" t="s">
        <v>119</v>
      </c>
      <c r="G1786" s="18" t="s">
        <v>100</v>
      </c>
      <c r="H1786" s="18" t="s">
        <v>107</v>
      </c>
      <c r="I1786" s="18" t="s">
        <v>102</v>
      </c>
      <c r="J1786" s="18" t="s">
        <v>241</v>
      </c>
      <c r="K1786" s="18" t="s">
        <v>199</v>
      </c>
      <c r="L1786" s="64" t="n">
        <v>82.5876425088</v>
      </c>
      <c r="M1786" s="64" t="n">
        <v>9.1</v>
      </c>
      <c r="N1786" s="18" t="s">
        <v>1730</v>
      </c>
      <c r="O1786" s="65" t="n">
        <v>751.5475</v>
      </c>
      <c r="P1786" s="65"/>
      <c r="Q1786" s="65"/>
      <c r="R1786" s="65" t="s">
        <v>232</v>
      </c>
      <c r="S1786" s="66" t="n">
        <f aca="false">Model_Calc!BA301</f>
        <v>751.54754683008</v>
      </c>
      <c r="T1786" s="66" t="n">
        <f aca="false">ROUND(S1786-O1786,4)</f>
        <v>0</v>
      </c>
    </row>
    <row r="1787" customFormat="false" ht="15" hidden="false" customHeight="false" outlineLevel="0" collapsed="false">
      <c r="A1787" s="18" t="s">
        <v>210</v>
      </c>
      <c r="B1787" s="18" t="s">
        <v>207</v>
      </c>
      <c r="C1787" s="18" t="s">
        <v>211</v>
      </c>
      <c r="D1787" s="49" t="n">
        <v>46296</v>
      </c>
      <c r="E1787" s="18" t="s">
        <v>124</v>
      </c>
      <c r="F1787" s="18" t="s">
        <v>119</v>
      </c>
      <c r="G1787" s="18" t="s">
        <v>100</v>
      </c>
      <c r="H1787" s="18" t="s">
        <v>107</v>
      </c>
      <c r="I1787" s="18" t="s">
        <v>125</v>
      </c>
      <c r="J1787" s="18" t="s">
        <v>230</v>
      </c>
      <c r="K1787" s="18" t="s">
        <v>199</v>
      </c>
      <c r="L1787" s="64" t="n">
        <v>13452.8069957786</v>
      </c>
      <c r="M1787" s="64" t="n">
        <v>9.1</v>
      </c>
      <c r="N1787" s="18" t="s">
        <v>1731</v>
      </c>
      <c r="O1787" s="65" t="n">
        <v>122420.5437</v>
      </c>
      <c r="P1787" s="65"/>
      <c r="Q1787" s="65"/>
      <c r="R1787" s="65" t="s">
        <v>232</v>
      </c>
      <c r="S1787" s="66" t="n">
        <f aca="false">Model_Calc!AF302</f>
        <v>122420.543661585</v>
      </c>
      <c r="T1787" s="66" t="n">
        <f aca="false">ROUND(S1787-O1787,4)</f>
        <v>0</v>
      </c>
    </row>
    <row r="1788" customFormat="false" ht="15" hidden="false" customHeight="false" outlineLevel="0" collapsed="false">
      <c r="A1788" s="18" t="s">
        <v>210</v>
      </c>
      <c r="B1788" s="18" t="s">
        <v>207</v>
      </c>
      <c r="C1788" s="18" t="s">
        <v>211</v>
      </c>
      <c r="D1788" s="49" t="n">
        <v>46296</v>
      </c>
      <c r="E1788" s="18" t="s">
        <v>124</v>
      </c>
      <c r="F1788" s="18" t="s">
        <v>119</v>
      </c>
      <c r="G1788" s="18" t="s">
        <v>100</v>
      </c>
      <c r="H1788" s="18" t="s">
        <v>107</v>
      </c>
      <c r="I1788" s="18" t="s">
        <v>125</v>
      </c>
      <c r="J1788" s="18" t="s">
        <v>233</v>
      </c>
      <c r="K1788" s="18" t="s">
        <v>199</v>
      </c>
      <c r="L1788" s="64" t="n">
        <v>1665.26916677945</v>
      </c>
      <c r="M1788" s="64" t="n">
        <v>9.1</v>
      </c>
      <c r="N1788" s="18" t="s">
        <v>1732</v>
      </c>
      <c r="O1788" s="65" t="n">
        <v>15153.9494</v>
      </c>
      <c r="P1788" s="65"/>
      <c r="Q1788" s="65"/>
      <c r="R1788" s="65" t="s">
        <v>232</v>
      </c>
      <c r="S1788" s="66" t="n">
        <f aca="false">Model_Calc!AG302</f>
        <v>15153.949417693</v>
      </c>
      <c r="T1788" s="66" t="n">
        <f aca="false">ROUND(S1788-O1788,4)</f>
        <v>0</v>
      </c>
    </row>
    <row r="1789" customFormat="false" ht="15" hidden="false" customHeight="false" outlineLevel="0" collapsed="false">
      <c r="A1789" s="18" t="s">
        <v>210</v>
      </c>
      <c r="B1789" s="18" t="s">
        <v>207</v>
      </c>
      <c r="C1789" s="18" t="s">
        <v>211</v>
      </c>
      <c r="D1789" s="49" t="n">
        <v>46296</v>
      </c>
      <c r="E1789" s="18" t="s">
        <v>124</v>
      </c>
      <c r="F1789" s="18" t="s">
        <v>119</v>
      </c>
      <c r="G1789" s="18" t="s">
        <v>100</v>
      </c>
      <c r="H1789" s="18" t="s">
        <v>107</v>
      </c>
      <c r="I1789" s="18" t="s">
        <v>125</v>
      </c>
      <c r="J1789" s="18" t="s">
        <v>235</v>
      </c>
      <c r="K1789" s="18" t="s">
        <v>195</v>
      </c>
      <c r="L1789" s="64" t="n">
        <v>2416.03273562893</v>
      </c>
      <c r="M1789" s="64" t="n">
        <v>7.9</v>
      </c>
      <c r="N1789" s="18" t="s">
        <v>1733</v>
      </c>
      <c r="O1789" s="65" t="n">
        <v>19086.6586</v>
      </c>
      <c r="P1789" s="65"/>
      <c r="Q1789" s="65"/>
      <c r="R1789" s="65" t="s">
        <v>232</v>
      </c>
      <c r="S1789" s="66" t="n">
        <f aca="false">Model_Calc!AL302</f>
        <v>19086.6586114685</v>
      </c>
      <c r="T1789" s="66" t="n">
        <f aca="false">ROUND(S1789-O1789,4)</f>
        <v>0</v>
      </c>
    </row>
    <row r="1790" customFormat="false" ht="15" hidden="false" customHeight="false" outlineLevel="0" collapsed="false">
      <c r="A1790" s="18" t="s">
        <v>210</v>
      </c>
      <c r="B1790" s="18" t="s">
        <v>207</v>
      </c>
      <c r="C1790" s="18" t="s">
        <v>211</v>
      </c>
      <c r="D1790" s="49" t="n">
        <v>46296</v>
      </c>
      <c r="E1790" s="18" t="s">
        <v>124</v>
      </c>
      <c r="F1790" s="18" t="s">
        <v>119</v>
      </c>
      <c r="G1790" s="18" t="s">
        <v>100</v>
      </c>
      <c r="H1790" s="18" t="s">
        <v>107</v>
      </c>
      <c r="I1790" s="18" t="s">
        <v>125</v>
      </c>
      <c r="J1790" s="18" t="s">
        <v>237</v>
      </c>
      <c r="K1790" s="18" t="s">
        <v>195</v>
      </c>
      <c r="L1790" s="64" t="n">
        <v>904.8733005312</v>
      </c>
      <c r="M1790" s="64" t="n">
        <v>7.9</v>
      </c>
      <c r="N1790" s="18" t="s">
        <v>1734</v>
      </c>
      <c r="O1790" s="65" t="n">
        <v>7148.4991</v>
      </c>
      <c r="P1790" s="65"/>
      <c r="Q1790" s="65"/>
      <c r="R1790" s="65" t="s">
        <v>232</v>
      </c>
      <c r="S1790" s="66" t="n">
        <f aca="false">Model_Calc!AQ302</f>
        <v>7148.49907419648</v>
      </c>
      <c r="T1790" s="66" t="n">
        <f aca="false">ROUND(S1790-O1790,4)</f>
        <v>0</v>
      </c>
    </row>
    <row r="1791" customFormat="false" ht="15" hidden="false" customHeight="false" outlineLevel="0" collapsed="false">
      <c r="A1791" s="18" t="s">
        <v>210</v>
      </c>
      <c r="B1791" s="18" t="s">
        <v>207</v>
      </c>
      <c r="C1791" s="18" t="s">
        <v>211</v>
      </c>
      <c r="D1791" s="49" t="n">
        <v>46296</v>
      </c>
      <c r="E1791" s="18" t="s">
        <v>124</v>
      </c>
      <c r="F1791" s="18" t="s">
        <v>119</v>
      </c>
      <c r="G1791" s="18" t="s">
        <v>100</v>
      </c>
      <c r="H1791" s="18" t="s">
        <v>107</v>
      </c>
      <c r="I1791" s="18" t="s">
        <v>125</v>
      </c>
      <c r="J1791" s="18" t="s">
        <v>239</v>
      </c>
      <c r="K1791" s="18" t="s">
        <v>199</v>
      </c>
      <c r="L1791" s="64" t="n">
        <v>795.493011456</v>
      </c>
      <c r="M1791" s="64" t="n">
        <v>9.1</v>
      </c>
      <c r="N1791" s="18" t="s">
        <v>1735</v>
      </c>
      <c r="O1791" s="65" t="n">
        <v>7238.9864</v>
      </c>
      <c r="P1791" s="65"/>
      <c r="Q1791" s="65"/>
      <c r="R1791" s="65" t="s">
        <v>232</v>
      </c>
      <c r="S1791" s="66" t="n">
        <f aca="false">Model_Calc!AV302</f>
        <v>7238.9864042496</v>
      </c>
      <c r="T1791" s="66" t="n">
        <f aca="false">ROUND(S1791-O1791,4)</f>
        <v>0</v>
      </c>
    </row>
    <row r="1792" customFormat="false" ht="15" hidden="false" customHeight="false" outlineLevel="0" collapsed="false">
      <c r="A1792" s="18" t="s">
        <v>210</v>
      </c>
      <c r="B1792" s="18" t="s">
        <v>207</v>
      </c>
      <c r="C1792" s="18" t="s">
        <v>211</v>
      </c>
      <c r="D1792" s="49" t="n">
        <v>46296</v>
      </c>
      <c r="E1792" s="18" t="s">
        <v>124</v>
      </c>
      <c r="F1792" s="18" t="s">
        <v>119</v>
      </c>
      <c r="G1792" s="18" t="s">
        <v>100</v>
      </c>
      <c r="H1792" s="18" t="s">
        <v>107</v>
      </c>
      <c r="I1792" s="18" t="s">
        <v>125</v>
      </c>
      <c r="J1792" s="18" t="s">
        <v>241</v>
      </c>
      <c r="K1792" s="18" t="s">
        <v>199</v>
      </c>
      <c r="L1792" s="64" t="n">
        <v>96.519818723328</v>
      </c>
      <c r="M1792" s="64" t="n">
        <v>9.1</v>
      </c>
      <c r="N1792" s="18" t="s">
        <v>1736</v>
      </c>
      <c r="O1792" s="65" t="n">
        <v>878.3304</v>
      </c>
      <c r="P1792" s="65"/>
      <c r="Q1792" s="65"/>
      <c r="R1792" s="65" t="s">
        <v>232</v>
      </c>
      <c r="S1792" s="66" t="n">
        <f aca="false">Model_Calc!BA302</f>
        <v>878.330350382285</v>
      </c>
      <c r="T1792" s="66" t="n">
        <f aca="false">ROUND(S1792-O1792,4)</f>
        <v>0</v>
      </c>
    </row>
    <row r="1793" customFormat="false" ht="15" hidden="false" customHeight="false" outlineLevel="0" collapsed="false">
      <c r="A1793" s="18" t="s">
        <v>210</v>
      </c>
      <c r="B1793" s="18" t="s">
        <v>207</v>
      </c>
      <c r="C1793" s="18" t="s">
        <v>211</v>
      </c>
      <c r="D1793" s="49" t="n">
        <v>46296</v>
      </c>
      <c r="E1793" s="18" t="s">
        <v>127</v>
      </c>
      <c r="F1793" s="18" t="s">
        <v>119</v>
      </c>
      <c r="G1793" s="18" t="s">
        <v>100</v>
      </c>
      <c r="H1793" s="18" t="s">
        <v>128</v>
      </c>
      <c r="I1793" s="18" t="s">
        <v>125</v>
      </c>
      <c r="J1793" s="18" t="s">
        <v>230</v>
      </c>
      <c r="K1793" s="18" t="s">
        <v>199</v>
      </c>
      <c r="L1793" s="64" t="n">
        <v>13528.004500698</v>
      </c>
      <c r="M1793" s="64" t="n">
        <v>9.1</v>
      </c>
      <c r="N1793" s="18" t="s">
        <v>1737</v>
      </c>
      <c r="O1793" s="65" t="n">
        <v>123104.841</v>
      </c>
      <c r="P1793" s="65"/>
      <c r="Q1793" s="65"/>
      <c r="R1793" s="65" t="s">
        <v>232</v>
      </c>
      <c r="S1793" s="66" t="n">
        <f aca="false">Model_Calc!AF303</f>
        <v>123104.840956351</v>
      </c>
      <c r="T1793" s="66" t="n">
        <f aca="false">ROUND(S1793-O1793,4)</f>
        <v>0</v>
      </c>
    </row>
    <row r="1794" customFormat="false" ht="15" hidden="false" customHeight="false" outlineLevel="0" collapsed="false">
      <c r="A1794" s="18" t="s">
        <v>210</v>
      </c>
      <c r="B1794" s="18" t="s">
        <v>207</v>
      </c>
      <c r="C1794" s="18" t="s">
        <v>211</v>
      </c>
      <c r="D1794" s="49" t="n">
        <v>46296</v>
      </c>
      <c r="E1794" s="18" t="s">
        <v>127</v>
      </c>
      <c r="F1794" s="18" t="s">
        <v>119</v>
      </c>
      <c r="G1794" s="18" t="s">
        <v>100</v>
      </c>
      <c r="H1794" s="18" t="s">
        <v>128</v>
      </c>
      <c r="I1794" s="18" t="s">
        <v>125</v>
      </c>
      <c r="J1794" s="18" t="s">
        <v>233</v>
      </c>
      <c r="K1794" s="18" t="s">
        <v>199</v>
      </c>
      <c r="L1794" s="64" t="n">
        <v>1046.16568138731</v>
      </c>
      <c r="M1794" s="64" t="n">
        <v>9.1</v>
      </c>
      <c r="N1794" s="18" t="s">
        <v>1738</v>
      </c>
      <c r="O1794" s="65" t="n">
        <v>9520.1077</v>
      </c>
      <c r="P1794" s="65"/>
      <c r="Q1794" s="65"/>
      <c r="R1794" s="65" t="s">
        <v>232</v>
      </c>
      <c r="S1794" s="66" t="n">
        <f aca="false">Model_Calc!AG303</f>
        <v>9520.10770062451</v>
      </c>
      <c r="T1794" s="66" t="n">
        <f aca="false">ROUND(S1794-O1794,4)</f>
        <v>0</v>
      </c>
    </row>
    <row r="1795" customFormat="false" ht="15" hidden="false" customHeight="false" outlineLevel="0" collapsed="false">
      <c r="A1795" s="18" t="s">
        <v>210</v>
      </c>
      <c r="B1795" s="18" t="s">
        <v>207</v>
      </c>
      <c r="C1795" s="18" t="s">
        <v>211</v>
      </c>
      <c r="D1795" s="49" t="n">
        <v>46296</v>
      </c>
      <c r="E1795" s="18" t="s">
        <v>127</v>
      </c>
      <c r="F1795" s="18" t="s">
        <v>119</v>
      </c>
      <c r="G1795" s="18" t="s">
        <v>100</v>
      </c>
      <c r="H1795" s="18" t="s">
        <v>128</v>
      </c>
      <c r="I1795" s="18" t="s">
        <v>125</v>
      </c>
      <c r="J1795" s="18" t="s">
        <v>235</v>
      </c>
      <c r="K1795" s="18" t="s">
        <v>195</v>
      </c>
      <c r="L1795" s="64" t="n">
        <v>2013.3606130241</v>
      </c>
      <c r="M1795" s="64" t="n">
        <v>7.9</v>
      </c>
      <c r="N1795" s="18" t="s">
        <v>1727</v>
      </c>
      <c r="O1795" s="65" t="n">
        <v>15905.5488</v>
      </c>
      <c r="P1795" s="65"/>
      <c r="Q1795" s="65"/>
      <c r="R1795" s="65" t="s">
        <v>232</v>
      </c>
      <c r="S1795" s="66" t="n">
        <f aca="false">Model_Calc!AL303</f>
        <v>15905.5488428904</v>
      </c>
      <c r="T1795" s="66" t="n">
        <f aca="false">ROUND(S1795-O1795,4)</f>
        <v>0</v>
      </c>
    </row>
    <row r="1796" customFormat="false" ht="15" hidden="false" customHeight="false" outlineLevel="0" collapsed="false">
      <c r="A1796" s="18" t="s">
        <v>210</v>
      </c>
      <c r="B1796" s="18" t="s">
        <v>207</v>
      </c>
      <c r="C1796" s="18" t="s">
        <v>211</v>
      </c>
      <c r="D1796" s="49" t="n">
        <v>46296</v>
      </c>
      <c r="E1796" s="18" t="s">
        <v>127</v>
      </c>
      <c r="F1796" s="18" t="s">
        <v>119</v>
      </c>
      <c r="G1796" s="18" t="s">
        <v>100</v>
      </c>
      <c r="H1796" s="18" t="s">
        <v>128</v>
      </c>
      <c r="I1796" s="18" t="s">
        <v>125</v>
      </c>
      <c r="J1796" s="18" t="s">
        <v>237</v>
      </c>
      <c r="K1796" s="18" t="s">
        <v>195</v>
      </c>
      <c r="L1796" s="64" t="n">
        <v>754.061083776</v>
      </c>
      <c r="M1796" s="64" t="n">
        <v>7.9</v>
      </c>
      <c r="N1796" s="18" t="s">
        <v>1728</v>
      </c>
      <c r="O1796" s="65" t="n">
        <v>5957.0826</v>
      </c>
      <c r="P1796" s="65"/>
      <c r="Q1796" s="65"/>
      <c r="R1796" s="65" t="s">
        <v>232</v>
      </c>
      <c r="S1796" s="66" t="n">
        <f aca="false">Model_Calc!AQ303</f>
        <v>5957.0825618304</v>
      </c>
      <c r="T1796" s="66" t="n">
        <f aca="false">ROUND(S1796-O1796,4)</f>
        <v>0</v>
      </c>
    </row>
    <row r="1797" customFormat="false" ht="15" hidden="false" customHeight="false" outlineLevel="0" collapsed="false">
      <c r="A1797" s="18" t="s">
        <v>210</v>
      </c>
      <c r="B1797" s="18" t="s">
        <v>207</v>
      </c>
      <c r="C1797" s="18" t="s">
        <v>211</v>
      </c>
      <c r="D1797" s="49" t="n">
        <v>46296</v>
      </c>
      <c r="E1797" s="18" t="s">
        <v>127</v>
      </c>
      <c r="F1797" s="18" t="s">
        <v>119</v>
      </c>
      <c r="G1797" s="18" t="s">
        <v>100</v>
      </c>
      <c r="H1797" s="18" t="s">
        <v>128</v>
      </c>
      <c r="I1797" s="18" t="s">
        <v>125</v>
      </c>
      <c r="J1797" s="18" t="s">
        <v>239</v>
      </c>
      <c r="K1797" s="18" t="s">
        <v>199</v>
      </c>
      <c r="L1797" s="64" t="n">
        <v>662.91084288</v>
      </c>
      <c r="M1797" s="64" t="n">
        <v>9.1</v>
      </c>
      <c r="N1797" s="18" t="s">
        <v>1729</v>
      </c>
      <c r="O1797" s="65" t="n">
        <v>6032.4887</v>
      </c>
      <c r="P1797" s="65"/>
      <c r="Q1797" s="65"/>
      <c r="R1797" s="65" t="s">
        <v>232</v>
      </c>
      <c r="S1797" s="66" t="n">
        <f aca="false">Model_Calc!AV303</f>
        <v>6032.488670208</v>
      </c>
      <c r="T1797" s="66" t="n">
        <f aca="false">ROUND(S1797-O1797,4)</f>
        <v>0</v>
      </c>
    </row>
    <row r="1798" customFormat="false" ht="15" hidden="false" customHeight="false" outlineLevel="0" collapsed="false">
      <c r="A1798" s="18" t="s">
        <v>210</v>
      </c>
      <c r="B1798" s="18" t="s">
        <v>207</v>
      </c>
      <c r="C1798" s="18" t="s">
        <v>211</v>
      </c>
      <c r="D1798" s="49" t="n">
        <v>46296</v>
      </c>
      <c r="E1798" s="18" t="s">
        <v>127</v>
      </c>
      <c r="F1798" s="18" t="s">
        <v>119</v>
      </c>
      <c r="G1798" s="18" t="s">
        <v>100</v>
      </c>
      <c r="H1798" s="18" t="s">
        <v>128</v>
      </c>
      <c r="I1798" s="18" t="s">
        <v>125</v>
      </c>
      <c r="J1798" s="18" t="s">
        <v>241</v>
      </c>
      <c r="K1798" s="18" t="s">
        <v>199</v>
      </c>
      <c r="L1798" s="64" t="n">
        <v>71.09718789888</v>
      </c>
      <c r="M1798" s="64" t="n">
        <v>9.1</v>
      </c>
      <c r="N1798" s="18" t="s">
        <v>1739</v>
      </c>
      <c r="O1798" s="65" t="n">
        <v>646.9844</v>
      </c>
      <c r="P1798" s="65"/>
      <c r="Q1798" s="65"/>
      <c r="R1798" s="65" t="s">
        <v>232</v>
      </c>
      <c r="S1798" s="66" t="n">
        <f aca="false">Model_Calc!BA303</f>
        <v>646.984409879808</v>
      </c>
      <c r="T1798" s="66" t="n">
        <f aca="false">ROUND(S1798-O1798,4)</f>
        <v>0</v>
      </c>
    </row>
    <row r="1799" customFormat="false" ht="15" hidden="false" customHeight="false" outlineLevel="0" collapsed="false">
      <c r="A1799" s="18" t="s">
        <v>210</v>
      </c>
      <c r="B1799" s="18" t="s">
        <v>207</v>
      </c>
      <c r="C1799" s="18" t="s">
        <v>211</v>
      </c>
      <c r="D1799" s="49" t="n">
        <v>46296</v>
      </c>
      <c r="E1799" s="18" t="s">
        <v>130</v>
      </c>
      <c r="F1799" s="18" t="s">
        <v>119</v>
      </c>
      <c r="G1799" s="18" t="s">
        <v>110</v>
      </c>
      <c r="H1799" s="18" t="s">
        <v>107</v>
      </c>
      <c r="I1799" s="18" t="s">
        <v>125</v>
      </c>
      <c r="J1799" s="18" t="s">
        <v>230</v>
      </c>
      <c r="K1799" s="18" t="s">
        <v>195</v>
      </c>
      <c r="L1799" s="64" t="n">
        <v>2323.56517008502</v>
      </c>
      <c r="M1799" s="64" t="n">
        <v>7.9</v>
      </c>
      <c r="N1799" s="18" t="s">
        <v>1740</v>
      </c>
      <c r="O1799" s="65" t="n">
        <v>18356.1648</v>
      </c>
      <c r="P1799" s="65"/>
      <c r="Q1799" s="65"/>
      <c r="R1799" s="65" t="s">
        <v>232</v>
      </c>
      <c r="S1799" s="66" t="n">
        <f aca="false">Model_Calc!AF304</f>
        <v>18356.1648436716</v>
      </c>
      <c r="T1799" s="66" t="n">
        <f aca="false">ROUND(S1799-O1799,4)</f>
        <v>0</v>
      </c>
    </row>
    <row r="1800" customFormat="false" ht="15" hidden="false" customHeight="false" outlineLevel="0" collapsed="false">
      <c r="A1800" s="18" t="s">
        <v>210</v>
      </c>
      <c r="B1800" s="18" t="s">
        <v>207</v>
      </c>
      <c r="C1800" s="18" t="s">
        <v>211</v>
      </c>
      <c r="D1800" s="49" t="n">
        <v>46296</v>
      </c>
      <c r="E1800" s="18" t="s">
        <v>130</v>
      </c>
      <c r="F1800" s="18" t="s">
        <v>119</v>
      </c>
      <c r="G1800" s="18" t="s">
        <v>110</v>
      </c>
      <c r="H1800" s="18" t="s">
        <v>107</v>
      </c>
      <c r="I1800" s="18" t="s">
        <v>125</v>
      </c>
      <c r="J1800" s="18" t="s">
        <v>233</v>
      </c>
      <c r="K1800" s="18" t="s">
        <v>195</v>
      </c>
      <c r="L1800" s="64" t="n">
        <v>252.513444858989</v>
      </c>
      <c r="M1800" s="64" t="n">
        <v>7.9</v>
      </c>
      <c r="N1800" s="18" t="s">
        <v>1741</v>
      </c>
      <c r="O1800" s="65" t="n">
        <v>1994.8562</v>
      </c>
      <c r="P1800" s="65"/>
      <c r="Q1800" s="65"/>
      <c r="R1800" s="65" t="s">
        <v>232</v>
      </c>
      <c r="S1800" s="66" t="n">
        <f aca="false">Model_Calc!AG304</f>
        <v>1994.85621438601</v>
      </c>
      <c r="T1800" s="66" t="n">
        <f aca="false">ROUND(S1800-O1800,4)</f>
        <v>0</v>
      </c>
    </row>
    <row r="1801" customFormat="false" ht="15" hidden="false" customHeight="false" outlineLevel="0" collapsed="false">
      <c r="A1801" s="18" t="s">
        <v>210</v>
      </c>
      <c r="B1801" s="18" t="s">
        <v>207</v>
      </c>
      <c r="C1801" s="18" t="s">
        <v>211</v>
      </c>
      <c r="D1801" s="49" t="n">
        <v>46296</v>
      </c>
      <c r="E1801" s="18" t="s">
        <v>130</v>
      </c>
      <c r="F1801" s="18" t="s">
        <v>119</v>
      </c>
      <c r="G1801" s="18" t="s">
        <v>110</v>
      </c>
      <c r="H1801" s="18" t="s">
        <v>107</v>
      </c>
      <c r="I1801" s="18" t="s">
        <v>125</v>
      </c>
      <c r="J1801" s="18" t="s">
        <v>235</v>
      </c>
      <c r="K1801" s="18" t="s">
        <v>195</v>
      </c>
      <c r="L1801" s="64" t="n">
        <v>335.67534</v>
      </c>
      <c r="M1801" s="64" t="n">
        <v>7.9</v>
      </c>
      <c r="N1801" s="18" t="s">
        <v>1742</v>
      </c>
      <c r="O1801" s="65" t="n">
        <v>2651.8352</v>
      </c>
      <c r="P1801" s="65"/>
      <c r="Q1801" s="65"/>
      <c r="R1801" s="65" t="s">
        <v>232</v>
      </c>
      <c r="S1801" s="66" t="n">
        <f aca="false">Model_Calc!AL304</f>
        <v>2651.835186</v>
      </c>
      <c r="T1801" s="66" t="n">
        <f aca="false">ROUND(S1801-O1801,4)</f>
        <v>0</v>
      </c>
    </row>
    <row r="1802" customFormat="false" ht="15" hidden="false" customHeight="false" outlineLevel="0" collapsed="false">
      <c r="A1802" s="18" t="s">
        <v>210</v>
      </c>
      <c r="B1802" s="18" t="s">
        <v>207</v>
      </c>
      <c r="C1802" s="18" t="s">
        <v>211</v>
      </c>
      <c r="D1802" s="49" t="n">
        <v>46296</v>
      </c>
      <c r="E1802" s="18" t="s">
        <v>130</v>
      </c>
      <c r="F1802" s="18" t="s">
        <v>119</v>
      </c>
      <c r="G1802" s="18" t="s">
        <v>110</v>
      </c>
      <c r="H1802" s="18" t="s">
        <v>107</v>
      </c>
      <c r="I1802" s="18" t="s">
        <v>125</v>
      </c>
      <c r="J1802" s="18" t="s">
        <v>237</v>
      </c>
      <c r="K1802" s="18" t="s">
        <v>195</v>
      </c>
      <c r="L1802" s="64" t="n">
        <v>142.13452968</v>
      </c>
      <c r="M1802" s="64" t="n">
        <v>7.9</v>
      </c>
      <c r="N1802" s="18" t="s">
        <v>1743</v>
      </c>
      <c r="O1802" s="65" t="n">
        <v>1122.8628</v>
      </c>
      <c r="P1802" s="65"/>
      <c r="Q1802" s="65"/>
      <c r="R1802" s="65" t="s">
        <v>232</v>
      </c>
      <c r="S1802" s="66" t="n">
        <f aca="false">Model_Calc!AQ304</f>
        <v>1122.862784472</v>
      </c>
      <c r="T1802" s="66" t="n">
        <f aca="false">ROUND(S1802-O1802,4)</f>
        <v>0</v>
      </c>
    </row>
    <row r="1803" customFormat="false" ht="15" hidden="false" customHeight="false" outlineLevel="0" collapsed="false">
      <c r="A1803" s="18" t="s">
        <v>210</v>
      </c>
      <c r="B1803" s="18" t="s">
        <v>207</v>
      </c>
      <c r="C1803" s="18" t="s">
        <v>211</v>
      </c>
      <c r="D1803" s="49" t="n">
        <v>46296</v>
      </c>
      <c r="E1803" s="18" t="s">
        <v>130</v>
      </c>
      <c r="F1803" s="18" t="s">
        <v>119</v>
      </c>
      <c r="G1803" s="18" t="s">
        <v>110</v>
      </c>
      <c r="H1803" s="18" t="s">
        <v>107</v>
      </c>
      <c r="I1803" s="18" t="s">
        <v>125</v>
      </c>
      <c r="J1803" s="18" t="s">
        <v>239</v>
      </c>
      <c r="K1803" s="18" t="s">
        <v>195</v>
      </c>
      <c r="L1803" s="64" t="n">
        <v>149.6152944</v>
      </c>
      <c r="M1803" s="64" t="n">
        <v>7.9</v>
      </c>
      <c r="N1803" s="18" t="s">
        <v>1744</v>
      </c>
      <c r="O1803" s="65" t="n">
        <v>1181.9608</v>
      </c>
      <c r="P1803" s="65"/>
      <c r="Q1803" s="65"/>
      <c r="R1803" s="65" t="s">
        <v>232</v>
      </c>
      <c r="S1803" s="66" t="n">
        <f aca="false">Model_Calc!AV304</f>
        <v>1181.96082576</v>
      </c>
      <c r="T1803" s="66" t="n">
        <f aca="false">ROUND(S1803-O1803,4)</f>
        <v>0</v>
      </c>
    </row>
    <row r="1804" customFormat="false" ht="15" hidden="false" customHeight="false" outlineLevel="0" collapsed="false">
      <c r="A1804" s="18" t="s">
        <v>210</v>
      </c>
      <c r="B1804" s="18" t="s">
        <v>207</v>
      </c>
      <c r="C1804" s="18" t="s">
        <v>211</v>
      </c>
      <c r="D1804" s="49" t="n">
        <v>46296</v>
      </c>
      <c r="E1804" s="18" t="s">
        <v>130</v>
      </c>
      <c r="F1804" s="18" t="s">
        <v>119</v>
      </c>
      <c r="G1804" s="18" t="s">
        <v>110</v>
      </c>
      <c r="H1804" s="18" t="s">
        <v>107</v>
      </c>
      <c r="I1804" s="18" t="s">
        <v>125</v>
      </c>
      <c r="J1804" s="18" t="s">
        <v>241</v>
      </c>
      <c r="K1804" s="18" t="s">
        <v>195</v>
      </c>
      <c r="L1804" s="64" t="n">
        <v>14.6622988512</v>
      </c>
      <c r="M1804" s="64" t="n">
        <v>7.9</v>
      </c>
      <c r="N1804" s="18" t="s">
        <v>1745</v>
      </c>
      <c r="O1804" s="65" t="n">
        <v>115.8322</v>
      </c>
      <c r="P1804" s="65"/>
      <c r="Q1804" s="65"/>
      <c r="R1804" s="65" t="s">
        <v>232</v>
      </c>
      <c r="S1804" s="66" t="n">
        <f aca="false">Model_Calc!BA304</f>
        <v>115.83216092448</v>
      </c>
      <c r="T1804" s="66" t="n">
        <f aca="false">ROUND(S1804-O1804,4)</f>
        <v>0</v>
      </c>
    </row>
    <row r="1805" customFormat="false" ht="15" hidden="false" customHeight="false" outlineLevel="0" collapsed="false">
      <c r="A1805" s="18" t="s">
        <v>210</v>
      </c>
      <c r="B1805" s="18" t="s">
        <v>207</v>
      </c>
      <c r="C1805" s="18" t="s">
        <v>211</v>
      </c>
      <c r="D1805" s="49" t="n">
        <v>46327</v>
      </c>
      <c r="E1805" s="18" t="s">
        <v>98</v>
      </c>
      <c r="F1805" s="18" t="s">
        <v>99</v>
      </c>
      <c r="G1805" s="18" t="s">
        <v>100</v>
      </c>
      <c r="H1805" s="18" t="s">
        <v>101</v>
      </c>
      <c r="I1805" s="18" t="s">
        <v>102</v>
      </c>
      <c r="J1805" s="18" t="s">
        <v>230</v>
      </c>
      <c r="K1805" s="18" t="s">
        <v>195</v>
      </c>
      <c r="L1805" s="64" t="n">
        <v>8699.47310808576</v>
      </c>
      <c r="M1805" s="64" t="n">
        <v>7.88</v>
      </c>
      <c r="N1805" s="18" t="s">
        <v>1746</v>
      </c>
      <c r="O1805" s="65" t="n">
        <v>68551.8481</v>
      </c>
      <c r="P1805" s="65"/>
      <c r="Q1805" s="65"/>
      <c r="R1805" s="65" t="s">
        <v>232</v>
      </c>
      <c r="S1805" s="66" t="n">
        <f aca="false">Model_Calc!AF305</f>
        <v>68551.8480917158</v>
      </c>
      <c r="T1805" s="66" t="n">
        <f aca="false">ROUND(S1805-O1805,4)</f>
        <v>0</v>
      </c>
    </row>
    <row r="1806" customFormat="false" ht="15" hidden="false" customHeight="false" outlineLevel="0" collapsed="false">
      <c r="A1806" s="18" t="s">
        <v>210</v>
      </c>
      <c r="B1806" s="18" t="s">
        <v>207</v>
      </c>
      <c r="C1806" s="18" t="s">
        <v>211</v>
      </c>
      <c r="D1806" s="49" t="n">
        <v>46327</v>
      </c>
      <c r="E1806" s="18" t="s">
        <v>98</v>
      </c>
      <c r="F1806" s="18" t="s">
        <v>99</v>
      </c>
      <c r="G1806" s="18" t="s">
        <v>100</v>
      </c>
      <c r="H1806" s="18" t="s">
        <v>101</v>
      </c>
      <c r="I1806" s="18" t="s">
        <v>102</v>
      </c>
      <c r="J1806" s="18" t="s">
        <v>233</v>
      </c>
      <c r="K1806" s="18" t="s">
        <v>195</v>
      </c>
      <c r="L1806" s="64" t="n">
        <v>855.375693352532</v>
      </c>
      <c r="M1806" s="64" t="n">
        <v>7.88</v>
      </c>
      <c r="N1806" s="18" t="s">
        <v>1747</v>
      </c>
      <c r="O1806" s="65" t="n">
        <v>6740.3605</v>
      </c>
      <c r="P1806" s="65"/>
      <c r="Q1806" s="65"/>
      <c r="R1806" s="65" t="s">
        <v>232</v>
      </c>
      <c r="S1806" s="66" t="n">
        <f aca="false">Model_Calc!AG305</f>
        <v>6740.36046361795</v>
      </c>
      <c r="T1806" s="66" t="n">
        <f aca="false">ROUND(S1806-O1806,4)</f>
        <v>0</v>
      </c>
    </row>
    <row r="1807" customFormat="false" ht="15" hidden="false" customHeight="false" outlineLevel="0" collapsed="false">
      <c r="A1807" s="18" t="s">
        <v>210</v>
      </c>
      <c r="B1807" s="18" t="s">
        <v>207</v>
      </c>
      <c r="C1807" s="18" t="s">
        <v>211</v>
      </c>
      <c r="D1807" s="49" t="n">
        <v>46327</v>
      </c>
      <c r="E1807" s="18" t="s">
        <v>98</v>
      </c>
      <c r="F1807" s="18" t="s">
        <v>99</v>
      </c>
      <c r="G1807" s="18" t="s">
        <v>100</v>
      </c>
      <c r="H1807" s="18" t="s">
        <v>101</v>
      </c>
      <c r="I1807" s="18" t="s">
        <v>102</v>
      </c>
      <c r="J1807" s="18" t="s">
        <v>235</v>
      </c>
      <c r="K1807" s="18" t="s">
        <v>195</v>
      </c>
      <c r="L1807" s="64" t="n">
        <v>5858.45191105794</v>
      </c>
      <c r="M1807" s="64" t="n">
        <v>7.88</v>
      </c>
      <c r="N1807" s="18" t="s">
        <v>1748</v>
      </c>
      <c r="O1807" s="65" t="n">
        <v>46164.6011</v>
      </c>
      <c r="P1807" s="65"/>
      <c r="Q1807" s="65"/>
      <c r="R1807" s="65" t="s">
        <v>232</v>
      </c>
      <c r="S1807" s="66" t="n">
        <f aca="false">Model_Calc!AL305</f>
        <v>46164.6010591366</v>
      </c>
      <c r="T1807" s="66" t="n">
        <f aca="false">ROUND(S1807-O1807,4)</f>
        <v>0</v>
      </c>
    </row>
    <row r="1808" customFormat="false" ht="15" hidden="false" customHeight="false" outlineLevel="0" collapsed="false">
      <c r="A1808" s="18" t="s">
        <v>210</v>
      </c>
      <c r="B1808" s="18" t="s">
        <v>207</v>
      </c>
      <c r="C1808" s="18" t="s">
        <v>211</v>
      </c>
      <c r="D1808" s="49" t="n">
        <v>46327</v>
      </c>
      <c r="E1808" s="18" t="s">
        <v>98</v>
      </c>
      <c r="F1808" s="18" t="s">
        <v>99</v>
      </c>
      <c r="G1808" s="18" t="s">
        <v>100</v>
      </c>
      <c r="H1808" s="18" t="s">
        <v>101</v>
      </c>
      <c r="I1808" s="18" t="s">
        <v>102</v>
      </c>
      <c r="J1808" s="18" t="s">
        <v>237</v>
      </c>
      <c r="K1808" s="18" t="s">
        <v>195</v>
      </c>
      <c r="L1808" s="64" t="n">
        <v>2108.16006912</v>
      </c>
      <c r="M1808" s="64" t="n">
        <v>7.88</v>
      </c>
      <c r="N1808" s="18" t="s">
        <v>1749</v>
      </c>
      <c r="O1808" s="65" t="n">
        <v>16612.3013</v>
      </c>
      <c r="P1808" s="65"/>
      <c r="Q1808" s="65"/>
      <c r="R1808" s="65" t="s">
        <v>232</v>
      </c>
      <c r="S1808" s="66" t="n">
        <f aca="false">Model_Calc!AQ305</f>
        <v>16612.3013446656</v>
      </c>
      <c r="T1808" s="66" t="n">
        <f aca="false">ROUND(S1808-O1808,4)</f>
        <v>0</v>
      </c>
    </row>
    <row r="1809" customFormat="false" ht="15" hidden="false" customHeight="false" outlineLevel="0" collapsed="false">
      <c r="A1809" s="18" t="s">
        <v>210</v>
      </c>
      <c r="B1809" s="18" t="s">
        <v>207</v>
      </c>
      <c r="C1809" s="18" t="s">
        <v>211</v>
      </c>
      <c r="D1809" s="49" t="n">
        <v>46327</v>
      </c>
      <c r="E1809" s="18" t="s">
        <v>98</v>
      </c>
      <c r="F1809" s="18" t="s">
        <v>99</v>
      </c>
      <c r="G1809" s="18" t="s">
        <v>100</v>
      </c>
      <c r="H1809" s="18" t="s">
        <v>101</v>
      </c>
      <c r="I1809" s="18" t="s">
        <v>102</v>
      </c>
      <c r="J1809" s="18" t="s">
        <v>239</v>
      </c>
      <c r="K1809" s="18" t="s">
        <v>195</v>
      </c>
      <c r="L1809" s="64" t="n">
        <v>764.8653312</v>
      </c>
      <c r="M1809" s="64" t="n">
        <v>7.88</v>
      </c>
      <c r="N1809" s="18" t="s">
        <v>1750</v>
      </c>
      <c r="O1809" s="65" t="n">
        <v>6027.1388</v>
      </c>
      <c r="P1809" s="65"/>
      <c r="Q1809" s="65"/>
      <c r="R1809" s="65" t="s">
        <v>232</v>
      </c>
      <c r="S1809" s="66" t="n">
        <f aca="false">Model_Calc!AV305</f>
        <v>6027.138809856</v>
      </c>
      <c r="T1809" s="66" t="n">
        <f aca="false">ROUND(S1809-O1809,4)</f>
        <v>0</v>
      </c>
    </row>
    <row r="1810" customFormat="false" ht="15" hidden="false" customHeight="false" outlineLevel="0" collapsed="false">
      <c r="A1810" s="18" t="s">
        <v>210</v>
      </c>
      <c r="B1810" s="18" t="s">
        <v>207</v>
      </c>
      <c r="C1810" s="18" t="s">
        <v>211</v>
      </c>
      <c r="D1810" s="49" t="n">
        <v>46327</v>
      </c>
      <c r="E1810" s="18" t="s">
        <v>98</v>
      </c>
      <c r="F1810" s="18" t="s">
        <v>99</v>
      </c>
      <c r="G1810" s="18" t="s">
        <v>100</v>
      </c>
      <c r="H1810" s="18" t="s">
        <v>101</v>
      </c>
      <c r="I1810" s="18" t="s">
        <v>102</v>
      </c>
      <c r="J1810" s="18" t="s">
        <v>241</v>
      </c>
      <c r="K1810" s="18" t="s">
        <v>195</v>
      </c>
      <c r="L1810" s="64" t="n">
        <v>184.7149774848</v>
      </c>
      <c r="M1810" s="64" t="n">
        <v>7.88</v>
      </c>
      <c r="N1810" s="18" t="s">
        <v>1751</v>
      </c>
      <c r="O1810" s="65" t="n">
        <v>1455.554</v>
      </c>
      <c r="P1810" s="65"/>
      <c r="Q1810" s="65"/>
      <c r="R1810" s="65" t="s">
        <v>232</v>
      </c>
      <c r="S1810" s="66" t="n">
        <f aca="false">Model_Calc!BA305</f>
        <v>1455.55402258022</v>
      </c>
      <c r="T1810" s="66" t="n">
        <f aca="false">ROUND(S1810-O1810,4)</f>
        <v>0</v>
      </c>
    </row>
    <row r="1811" customFormat="false" ht="15" hidden="false" customHeight="false" outlineLevel="0" collapsed="false">
      <c r="A1811" s="18" t="s">
        <v>210</v>
      </c>
      <c r="B1811" s="18" t="s">
        <v>207</v>
      </c>
      <c r="C1811" s="18" t="s">
        <v>211</v>
      </c>
      <c r="D1811" s="49" t="n">
        <v>46327</v>
      </c>
      <c r="E1811" s="18" t="s">
        <v>106</v>
      </c>
      <c r="F1811" s="18" t="s">
        <v>99</v>
      </c>
      <c r="G1811" s="18" t="s">
        <v>100</v>
      </c>
      <c r="H1811" s="18" t="s">
        <v>107</v>
      </c>
      <c r="I1811" s="18" t="s">
        <v>102</v>
      </c>
      <c r="J1811" s="18" t="s">
        <v>230</v>
      </c>
      <c r="K1811" s="18" t="s">
        <v>195</v>
      </c>
      <c r="L1811" s="64" t="n">
        <v>7435.447100928</v>
      </c>
      <c r="M1811" s="64" t="n">
        <v>7.88</v>
      </c>
      <c r="N1811" s="18" t="s">
        <v>1752</v>
      </c>
      <c r="O1811" s="65" t="n">
        <v>58591.3232</v>
      </c>
      <c r="P1811" s="65"/>
      <c r="Q1811" s="65"/>
      <c r="R1811" s="65" t="s">
        <v>232</v>
      </c>
      <c r="S1811" s="66" t="n">
        <f aca="false">Model_Calc!AF306</f>
        <v>58591.3231553126</v>
      </c>
      <c r="T1811" s="66" t="n">
        <f aca="false">ROUND(S1811-O1811,4)</f>
        <v>0</v>
      </c>
    </row>
    <row r="1812" customFormat="false" ht="15" hidden="false" customHeight="false" outlineLevel="0" collapsed="false">
      <c r="A1812" s="18" t="s">
        <v>210</v>
      </c>
      <c r="B1812" s="18" t="s">
        <v>207</v>
      </c>
      <c r="C1812" s="18" t="s">
        <v>211</v>
      </c>
      <c r="D1812" s="49" t="n">
        <v>46327</v>
      </c>
      <c r="E1812" s="18" t="s">
        <v>106</v>
      </c>
      <c r="F1812" s="18" t="s">
        <v>99</v>
      </c>
      <c r="G1812" s="18" t="s">
        <v>100</v>
      </c>
      <c r="H1812" s="18" t="s">
        <v>107</v>
      </c>
      <c r="I1812" s="18" t="s">
        <v>102</v>
      </c>
      <c r="J1812" s="18" t="s">
        <v>233</v>
      </c>
      <c r="K1812" s="18" t="s">
        <v>195</v>
      </c>
      <c r="L1812" s="64" t="n">
        <v>567.79777861632</v>
      </c>
      <c r="M1812" s="64" t="n">
        <v>7.88</v>
      </c>
      <c r="N1812" s="18" t="s">
        <v>1753</v>
      </c>
      <c r="O1812" s="65" t="n">
        <v>4474.2465</v>
      </c>
      <c r="P1812" s="65"/>
      <c r="Q1812" s="65"/>
      <c r="R1812" s="65" t="s">
        <v>232</v>
      </c>
      <c r="S1812" s="66" t="n">
        <f aca="false">Model_Calc!AG306</f>
        <v>4474.2464954966</v>
      </c>
      <c r="T1812" s="66" t="n">
        <f aca="false">ROUND(S1812-O1812,4)</f>
        <v>0</v>
      </c>
    </row>
    <row r="1813" customFormat="false" ht="15" hidden="false" customHeight="false" outlineLevel="0" collapsed="false">
      <c r="A1813" s="18" t="s">
        <v>210</v>
      </c>
      <c r="B1813" s="18" t="s">
        <v>207</v>
      </c>
      <c r="C1813" s="18" t="s">
        <v>211</v>
      </c>
      <c r="D1813" s="49" t="n">
        <v>46327</v>
      </c>
      <c r="E1813" s="18" t="s">
        <v>106</v>
      </c>
      <c r="F1813" s="18" t="s">
        <v>99</v>
      </c>
      <c r="G1813" s="18" t="s">
        <v>100</v>
      </c>
      <c r="H1813" s="18" t="s">
        <v>107</v>
      </c>
      <c r="I1813" s="18" t="s">
        <v>102</v>
      </c>
      <c r="J1813" s="18" t="s">
        <v>235</v>
      </c>
      <c r="K1813" s="18" t="s">
        <v>195</v>
      </c>
      <c r="L1813" s="64" t="n">
        <v>3905.63460737196</v>
      </c>
      <c r="M1813" s="64" t="n">
        <v>7.88</v>
      </c>
      <c r="N1813" s="18" t="s">
        <v>1521</v>
      </c>
      <c r="O1813" s="65" t="n">
        <v>30776.4007</v>
      </c>
      <c r="P1813" s="65"/>
      <c r="Q1813" s="65"/>
      <c r="R1813" s="65" t="s">
        <v>232</v>
      </c>
      <c r="S1813" s="66" t="n">
        <f aca="false">Model_Calc!AL306</f>
        <v>30776.4007060911</v>
      </c>
      <c r="T1813" s="66" t="n">
        <f aca="false">ROUND(S1813-O1813,4)</f>
        <v>0</v>
      </c>
    </row>
    <row r="1814" customFormat="false" ht="15" hidden="false" customHeight="false" outlineLevel="0" collapsed="false">
      <c r="A1814" s="18" t="s">
        <v>210</v>
      </c>
      <c r="B1814" s="18" t="s">
        <v>207</v>
      </c>
      <c r="C1814" s="18" t="s">
        <v>211</v>
      </c>
      <c r="D1814" s="49" t="n">
        <v>46327</v>
      </c>
      <c r="E1814" s="18" t="s">
        <v>106</v>
      </c>
      <c r="F1814" s="18" t="s">
        <v>99</v>
      </c>
      <c r="G1814" s="18" t="s">
        <v>100</v>
      </c>
      <c r="H1814" s="18" t="s">
        <v>107</v>
      </c>
      <c r="I1814" s="18" t="s">
        <v>102</v>
      </c>
      <c r="J1814" s="18" t="s">
        <v>237</v>
      </c>
      <c r="K1814" s="18" t="s">
        <v>195</v>
      </c>
      <c r="L1814" s="64" t="n">
        <v>1405.44004608</v>
      </c>
      <c r="M1814" s="64" t="n">
        <v>7.88</v>
      </c>
      <c r="N1814" s="18" t="s">
        <v>1754</v>
      </c>
      <c r="O1814" s="65" t="n">
        <v>11074.8676</v>
      </c>
      <c r="P1814" s="65"/>
      <c r="Q1814" s="65"/>
      <c r="R1814" s="65" t="s">
        <v>232</v>
      </c>
      <c r="S1814" s="66" t="n">
        <f aca="false">Model_Calc!AQ306</f>
        <v>11074.8675631104</v>
      </c>
      <c r="T1814" s="66" t="n">
        <f aca="false">ROUND(S1814-O1814,4)</f>
        <v>0</v>
      </c>
    </row>
    <row r="1815" customFormat="false" ht="15" hidden="false" customHeight="false" outlineLevel="0" collapsed="false">
      <c r="A1815" s="18" t="s">
        <v>210</v>
      </c>
      <c r="B1815" s="18" t="s">
        <v>207</v>
      </c>
      <c r="C1815" s="18" t="s">
        <v>211</v>
      </c>
      <c r="D1815" s="49" t="n">
        <v>46327</v>
      </c>
      <c r="E1815" s="18" t="s">
        <v>106</v>
      </c>
      <c r="F1815" s="18" t="s">
        <v>99</v>
      </c>
      <c r="G1815" s="18" t="s">
        <v>100</v>
      </c>
      <c r="H1815" s="18" t="s">
        <v>107</v>
      </c>
      <c r="I1815" s="18" t="s">
        <v>102</v>
      </c>
      <c r="J1815" s="18" t="s">
        <v>239</v>
      </c>
      <c r="K1815" s="18" t="s">
        <v>195</v>
      </c>
      <c r="L1815" s="64" t="n">
        <v>509.9102208</v>
      </c>
      <c r="M1815" s="64" t="n">
        <v>7.88</v>
      </c>
      <c r="N1815" s="18" t="s">
        <v>1755</v>
      </c>
      <c r="O1815" s="65" t="n">
        <v>4018.0925</v>
      </c>
      <c r="P1815" s="65"/>
      <c r="Q1815" s="65"/>
      <c r="R1815" s="65" t="s">
        <v>232</v>
      </c>
      <c r="S1815" s="66" t="n">
        <f aca="false">Model_Calc!AV306</f>
        <v>4018.092539904</v>
      </c>
      <c r="T1815" s="66" t="n">
        <f aca="false">ROUND(S1815-O1815,4)</f>
        <v>0</v>
      </c>
    </row>
    <row r="1816" customFormat="false" ht="15" hidden="false" customHeight="false" outlineLevel="0" collapsed="false">
      <c r="A1816" s="18" t="s">
        <v>210</v>
      </c>
      <c r="B1816" s="18" t="s">
        <v>207</v>
      </c>
      <c r="C1816" s="18" t="s">
        <v>211</v>
      </c>
      <c r="D1816" s="49" t="n">
        <v>46327</v>
      </c>
      <c r="E1816" s="18" t="s">
        <v>106</v>
      </c>
      <c r="F1816" s="18" t="s">
        <v>99</v>
      </c>
      <c r="G1816" s="18" t="s">
        <v>100</v>
      </c>
      <c r="H1816" s="18" t="s">
        <v>107</v>
      </c>
      <c r="I1816" s="18" t="s">
        <v>102</v>
      </c>
      <c r="J1816" s="18" t="s">
        <v>241</v>
      </c>
      <c r="K1816" s="18" t="s">
        <v>195</v>
      </c>
      <c r="L1816" s="64" t="n">
        <v>100.0539461376</v>
      </c>
      <c r="M1816" s="64" t="n">
        <v>7.88</v>
      </c>
      <c r="N1816" s="18" t="s">
        <v>1756</v>
      </c>
      <c r="O1816" s="65" t="n">
        <v>788.4251</v>
      </c>
      <c r="P1816" s="65"/>
      <c r="Q1816" s="65"/>
      <c r="R1816" s="65" t="s">
        <v>232</v>
      </c>
      <c r="S1816" s="66" t="n">
        <f aca="false">Model_Calc!BA306</f>
        <v>788.425095564288</v>
      </c>
      <c r="T1816" s="66" t="n">
        <f aca="false">ROUND(S1816-O1816,4)</f>
        <v>0</v>
      </c>
    </row>
    <row r="1817" customFormat="false" ht="15" hidden="false" customHeight="false" outlineLevel="0" collapsed="false">
      <c r="A1817" s="18" t="s">
        <v>210</v>
      </c>
      <c r="B1817" s="18" t="s">
        <v>207</v>
      </c>
      <c r="C1817" s="18" t="s">
        <v>211</v>
      </c>
      <c r="D1817" s="49" t="n">
        <v>46327</v>
      </c>
      <c r="E1817" s="18" t="s">
        <v>109</v>
      </c>
      <c r="F1817" s="18" t="s">
        <v>99</v>
      </c>
      <c r="G1817" s="18" t="s">
        <v>110</v>
      </c>
      <c r="H1817" s="18" t="s">
        <v>107</v>
      </c>
      <c r="I1817" s="18" t="s">
        <v>102</v>
      </c>
      <c r="J1817" s="18" t="s">
        <v>230</v>
      </c>
      <c r="K1817" s="18" t="s">
        <v>195</v>
      </c>
      <c r="L1817" s="64" t="n">
        <v>762.81773939712</v>
      </c>
      <c r="M1817" s="64" t="n">
        <v>7.88</v>
      </c>
      <c r="N1817" s="18" t="s">
        <v>1757</v>
      </c>
      <c r="O1817" s="65" t="n">
        <v>6011.0038</v>
      </c>
      <c r="P1817" s="65"/>
      <c r="Q1817" s="65"/>
      <c r="R1817" s="65" t="s">
        <v>232</v>
      </c>
      <c r="S1817" s="66" t="n">
        <f aca="false">Model_Calc!AF307</f>
        <v>6011.00378644931</v>
      </c>
      <c r="T1817" s="66" t="n">
        <f aca="false">ROUND(S1817-O1817,4)</f>
        <v>0</v>
      </c>
    </row>
    <row r="1818" customFormat="false" ht="15" hidden="false" customHeight="false" outlineLevel="0" collapsed="false">
      <c r="A1818" s="18" t="s">
        <v>210</v>
      </c>
      <c r="B1818" s="18" t="s">
        <v>207</v>
      </c>
      <c r="C1818" s="18" t="s">
        <v>211</v>
      </c>
      <c r="D1818" s="49" t="n">
        <v>46327</v>
      </c>
      <c r="E1818" s="18" t="s">
        <v>109</v>
      </c>
      <c r="F1818" s="18" t="s">
        <v>99</v>
      </c>
      <c r="G1818" s="18" t="s">
        <v>110</v>
      </c>
      <c r="H1818" s="18" t="s">
        <v>107</v>
      </c>
      <c r="I1818" s="18" t="s">
        <v>102</v>
      </c>
      <c r="J1818" s="18" t="s">
        <v>233</v>
      </c>
      <c r="K1818" s="18" t="s">
        <v>195</v>
      </c>
      <c r="L1818" s="64" t="n">
        <v>55.477653774336</v>
      </c>
      <c r="M1818" s="64" t="n">
        <v>7.88</v>
      </c>
      <c r="N1818" s="18" t="s">
        <v>1758</v>
      </c>
      <c r="O1818" s="65" t="n">
        <v>437.1639</v>
      </c>
      <c r="P1818" s="65"/>
      <c r="Q1818" s="65"/>
      <c r="R1818" s="65" t="s">
        <v>232</v>
      </c>
      <c r="S1818" s="66" t="n">
        <f aca="false">Model_Calc!AG307</f>
        <v>437.163911741768</v>
      </c>
      <c r="T1818" s="66" t="n">
        <f aca="false">ROUND(S1818-O1818,4)</f>
        <v>0</v>
      </c>
    </row>
    <row r="1819" customFormat="false" ht="15" hidden="false" customHeight="false" outlineLevel="0" collapsed="false">
      <c r="A1819" s="18" t="s">
        <v>210</v>
      </c>
      <c r="B1819" s="18" t="s">
        <v>207</v>
      </c>
      <c r="C1819" s="18" t="s">
        <v>211</v>
      </c>
      <c r="D1819" s="49" t="n">
        <v>46327</v>
      </c>
      <c r="E1819" s="18" t="s">
        <v>109</v>
      </c>
      <c r="F1819" s="18" t="s">
        <v>99</v>
      </c>
      <c r="G1819" s="18" t="s">
        <v>110</v>
      </c>
      <c r="H1819" s="18" t="s">
        <v>107</v>
      </c>
      <c r="I1819" s="18" t="s">
        <v>102</v>
      </c>
      <c r="J1819" s="18" t="s">
        <v>235</v>
      </c>
      <c r="K1819" s="18" t="s">
        <v>195</v>
      </c>
      <c r="L1819" s="64" t="n">
        <v>258.73344</v>
      </c>
      <c r="M1819" s="64" t="n">
        <v>7.88</v>
      </c>
      <c r="N1819" s="18" t="s">
        <v>1759</v>
      </c>
      <c r="O1819" s="65" t="n">
        <v>2038.8195</v>
      </c>
      <c r="P1819" s="65"/>
      <c r="Q1819" s="65"/>
      <c r="R1819" s="65" t="s">
        <v>232</v>
      </c>
      <c r="S1819" s="66" t="n">
        <f aca="false">Model_Calc!AL307</f>
        <v>2038.8195072</v>
      </c>
      <c r="T1819" s="66" t="n">
        <f aca="false">ROUND(S1819-O1819,4)</f>
        <v>0</v>
      </c>
    </row>
    <row r="1820" customFormat="false" ht="15" hidden="false" customHeight="false" outlineLevel="0" collapsed="false">
      <c r="A1820" s="18" t="s">
        <v>210</v>
      </c>
      <c r="B1820" s="18" t="s">
        <v>207</v>
      </c>
      <c r="C1820" s="18" t="s">
        <v>211</v>
      </c>
      <c r="D1820" s="49" t="n">
        <v>46327</v>
      </c>
      <c r="E1820" s="18" t="s">
        <v>109</v>
      </c>
      <c r="F1820" s="18" t="s">
        <v>99</v>
      </c>
      <c r="G1820" s="18" t="s">
        <v>110</v>
      </c>
      <c r="H1820" s="18" t="s">
        <v>107</v>
      </c>
      <c r="I1820" s="18" t="s">
        <v>102</v>
      </c>
      <c r="J1820" s="18" t="s">
        <v>237</v>
      </c>
      <c r="K1820" s="18" t="s">
        <v>195</v>
      </c>
      <c r="L1820" s="64" t="n">
        <v>101.12781312</v>
      </c>
      <c r="M1820" s="64" t="n">
        <v>7.88</v>
      </c>
      <c r="N1820" s="18" t="s">
        <v>1760</v>
      </c>
      <c r="O1820" s="65" t="n">
        <v>796.8872</v>
      </c>
      <c r="P1820" s="65"/>
      <c r="Q1820" s="65"/>
      <c r="R1820" s="65" t="s">
        <v>232</v>
      </c>
      <c r="S1820" s="66" t="n">
        <f aca="false">Model_Calc!AQ307</f>
        <v>796.8871673856</v>
      </c>
      <c r="T1820" s="66" t="n">
        <f aca="false">ROUND(S1820-O1820,4)</f>
        <v>0</v>
      </c>
    </row>
    <row r="1821" customFormat="false" ht="15" hidden="false" customHeight="false" outlineLevel="0" collapsed="false">
      <c r="A1821" s="18" t="s">
        <v>210</v>
      </c>
      <c r="B1821" s="18" t="s">
        <v>207</v>
      </c>
      <c r="C1821" s="18" t="s">
        <v>211</v>
      </c>
      <c r="D1821" s="49" t="n">
        <v>46327</v>
      </c>
      <c r="E1821" s="18" t="s">
        <v>109</v>
      </c>
      <c r="F1821" s="18" t="s">
        <v>99</v>
      </c>
      <c r="G1821" s="18" t="s">
        <v>110</v>
      </c>
      <c r="H1821" s="18" t="s">
        <v>107</v>
      </c>
      <c r="I1821" s="18" t="s">
        <v>102</v>
      </c>
      <c r="J1821" s="18" t="s">
        <v>239</v>
      </c>
      <c r="K1821" s="18" t="s">
        <v>195</v>
      </c>
      <c r="L1821" s="64" t="n">
        <v>46.818432</v>
      </c>
      <c r="M1821" s="64" t="n">
        <v>7.88</v>
      </c>
      <c r="N1821" s="18" t="s">
        <v>1761</v>
      </c>
      <c r="O1821" s="65" t="n">
        <v>368.9292</v>
      </c>
      <c r="P1821" s="65"/>
      <c r="Q1821" s="65"/>
      <c r="R1821" s="65" t="s">
        <v>232</v>
      </c>
      <c r="S1821" s="66" t="n">
        <f aca="false">Model_Calc!AV307</f>
        <v>368.92924416</v>
      </c>
      <c r="T1821" s="66" t="n">
        <f aca="false">ROUND(S1821-O1821,4)</f>
        <v>0</v>
      </c>
    </row>
    <row r="1822" customFormat="false" ht="15" hidden="false" customHeight="false" outlineLevel="0" collapsed="false">
      <c r="A1822" s="18" t="s">
        <v>210</v>
      </c>
      <c r="B1822" s="18" t="s">
        <v>207</v>
      </c>
      <c r="C1822" s="18" t="s">
        <v>211</v>
      </c>
      <c r="D1822" s="49" t="n">
        <v>46327</v>
      </c>
      <c r="E1822" s="18" t="s">
        <v>109</v>
      </c>
      <c r="F1822" s="18" t="s">
        <v>99</v>
      </c>
      <c r="G1822" s="18" t="s">
        <v>110</v>
      </c>
      <c r="H1822" s="18" t="s">
        <v>107</v>
      </c>
      <c r="I1822" s="18" t="s">
        <v>102</v>
      </c>
      <c r="J1822" s="18" t="s">
        <v>241</v>
      </c>
      <c r="K1822" s="18" t="s">
        <v>195</v>
      </c>
      <c r="L1822" s="64" t="n">
        <v>8.5692515328</v>
      </c>
      <c r="M1822" s="64" t="n">
        <v>7.88</v>
      </c>
      <c r="N1822" s="18" t="s">
        <v>1762</v>
      </c>
      <c r="O1822" s="65" t="n">
        <v>67.5257</v>
      </c>
      <c r="P1822" s="65"/>
      <c r="Q1822" s="65"/>
      <c r="R1822" s="65" t="s">
        <v>232</v>
      </c>
      <c r="S1822" s="66" t="n">
        <f aca="false">Model_Calc!BA307</f>
        <v>67.525702078464</v>
      </c>
      <c r="T1822" s="66" t="n">
        <f aca="false">ROUND(S1822-O1822,4)</f>
        <v>0</v>
      </c>
    </row>
    <row r="1823" customFormat="false" ht="15" hidden="false" customHeight="false" outlineLevel="0" collapsed="false">
      <c r="A1823" s="18" t="s">
        <v>210</v>
      </c>
      <c r="B1823" s="18" t="s">
        <v>207</v>
      </c>
      <c r="C1823" s="18" t="s">
        <v>211</v>
      </c>
      <c r="D1823" s="49" t="n">
        <v>46327</v>
      </c>
      <c r="E1823" s="18" t="s">
        <v>112</v>
      </c>
      <c r="F1823" s="18" t="s">
        <v>113</v>
      </c>
      <c r="G1823" s="18" t="s">
        <v>110</v>
      </c>
      <c r="H1823" s="18" t="s">
        <v>101</v>
      </c>
      <c r="I1823" s="18" t="s">
        <v>102</v>
      </c>
      <c r="J1823" s="18" t="s">
        <v>230</v>
      </c>
      <c r="K1823" s="18" t="s">
        <v>195</v>
      </c>
      <c r="L1823" s="64" t="n">
        <v>4451.6211686352</v>
      </c>
      <c r="M1823" s="64" t="n">
        <v>7.88</v>
      </c>
      <c r="N1823" s="18" t="s">
        <v>1763</v>
      </c>
      <c r="O1823" s="65" t="n">
        <v>35078.7748</v>
      </c>
      <c r="P1823" s="65"/>
      <c r="Q1823" s="65"/>
      <c r="R1823" s="65" t="s">
        <v>232</v>
      </c>
      <c r="S1823" s="66" t="n">
        <f aca="false">Model_Calc!AF308</f>
        <v>35078.7748088454</v>
      </c>
      <c r="T1823" s="66" t="n">
        <f aca="false">ROUND(S1823-O1823,4)</f>
        <v>0</v>
      </c>
    </row>
    <row r="1824" customFormat="false" ht="15" hidden="false" customHeight="false" outlineLevel="0" collapsed="false">
      <c r="A1824" s="18" t="s">
        <v>210</v>
      </c>
      <c r="B1824" s="18" t="s">
        <v>207</v>
      </c>
      <c r="C1824" s="18" t="s">
        <v>211</v>
      </c>
      <c r="D1824" s="49" t="n">
        <v>46327</v>
      </c>
      <c r="E1824" s="18" t="s">
        <v>112</v>
      </c>
      <c r="F1824" s="18" t="s">
        <v>113</v>
      </c>
      <c r="G1824" s="18" t="s">
        <v>110</v>
      </c>
      <c r="H1824" s="18" t="s">
        <v>101</v>
      </c>
      <c r="I1824" s="18" t="s">
        <v>102</v>
      </c>
      <c r="J1824" s="18" t="s">
        <v>233</v>
      </c>
      <c r="K1824" s="18" t="s">
        <v>195</v>
      </c>
      <c r="L1824" s="64" t="n">
        <v>414.668511858369</v>
      </c>
      <c r="M1824" s="64" t="n">
        <v>7.88</v>
      </c>
      <c r="N1824" s="18" t="s">
        <v>1764</v>
      </c>
      <c r="O1824" s="65" t="n">
        <v>3267.5879</v>
      </c>
      <c r="P1824" s="65"/>
      <c r="Q1824" s="65"/>
      <c r="R1824" s="65" t="s">
        <v>232</v>
      </c>
      <c r="S1824" s="66" t="n">
        <f aca="false">Model_Calc!AG308</f>
        <v>3267.58787344395</v>
      </c>
      <c r="T1824" s="66" t="n">
        <f aca="false">ROUND(S1824-O1824,4)</f>
        <v>0</v>
      </c>
    </row>
    <row r="1825" customFormat="false" ht="15" hidden="false" customHeight="false" outlineLevel="0" collapsed="false">
      <c r="A1825" s="18" t="s">
        <v>210</v>
      </c>
      <c r="B1825" s="18" t="s">
        <v>207</v>
      </c>
      <c r="C1825" s="18" t="s">
        <v>211</v>
      </c>
      <c r="D1825" s="49" t="n">
        <v>46327</v>
      </c>
      <c r="E1825" s="18" t="s">
        <v>112</v>
      </c>
      <c r="F1825" s="18" t="s">
        <v>113</v>
      </c>
      <c r="G1825" s="18" t="s">
        <v>110</v>
      </c>
      <c r="H1825" s="18" t="s">
        <v>101</v>
      </c>
      <c r="I1825" s="18" t="s">
        <v>102</v>
      </c>
      <c r="J1825" s="18" t="s">
        <v>235</v>
      </c>
      <c r="K1825" s="18" t="s">
        <v>195</v>
      </c>
      <c r="L1825" s="64" t="n">
        <v>2735.5671</v>
      </c>
      <c r="M1825" s="64" t="n">
        <v>7.88</v>
      </c>
      <c r="N1825" s="18" t="s">
        <v>1765</v>
      </c>
      <c r="O1825" s="65" t="n">
        <v>21556.2687</v>
      </c>
      <c r="P1825" s="65"/>
      <c r="Q1825" s="65"/>
      <c r="R1825" s="65" t="s">
        <v>232</v>
      </c>
      <c r="S1825" s="66" t="n">
        <f aca="false">Model_Calc!AL308</f>
        <v>21556.268748</v>
      </c>
      <c r="T1825" s="66" t="n">
        <f aca="false">ROUND(S1825-O1825,4)</f>
        <v>0</v>
      </c>
    </row>
    <row r="1826" customFormat="false" ht="15" hidden="false" customHeight="false" outlineLevel="0" collapsed="false">
      <c r="A1826" s="18" t="s">
        <v>210</v>
      </c>
      <c r="B1826" s="18" t="s">
        <v>207</v>
      </c>
      <c r="C1826" s="18" t="s">
        <v>211</v>
      </c>
      <c r="D1826" s="49" t="n">
        <v>46327</v>
      </c>
      <c r="E1826" s="18" t="s">
        <v>112</v>
      </c>
      <c r="F1826" s="18" t="s">
        <v>113</v>
      </c>
      <c r="G1826" s="18" t="s">
        <v>110</v>
      </c>
      <c r="H1826" s="18" t="s">
        <v>101</v>
      </c>
      <c r="I1826" s="18" t="s">
        <v>102</v>
      </c>
      <c r="J1826" s="18" t="s">
        <v>237</v>
      </c>
      <c r="K1826" s="18" t="s">
        <v>195</v>
      </c>
      <c r="L1826" s="64" t="n">
        <v>1049.4156456</v>
      </c>
      <c r="M1826" s="64" t="n">
        <v>7.88</v>
      </c>
      <c r="N1826" s="18" t="s">
        <v>1766</v>
      </c>
      <c r="O1826" s="65" t="n">
        <v>8269.3953</v>
      </c>
      <c r="P1826" s="65"/>
      <c r="Q1826" s="65"/>
      <c r="R1826" s="65" t="s">
        <v>232</v>
      </c>
      <c r="S1826" s="66" t="n">
        <f aca="false">Model_Calc!AQ308</f>
        <v>8269.395287328</v>
      </c>
      <c r="T1826" s="66" t="n">
        <f aca="false">ROUND(S1826-O1826,4)</f>
        <v>0</v>
      </c>
    </row>
    <row r="1827" customFormat="false" ht="15" hidden="false" customHeight="false" outlineLevel="0" collapsed="false">
      <c r="A1827" s="18" t="s">
        <v>210</v>
      </c>
      <c r="B1827" s="18" t="s">
        <v>207</v>
      </c>
      <c r="C1827" s="18" t="s">
        <v>211</v>
      </c>
      <c r="D1827" s="49" t="n">
        <v>46327</v>
      </c>
      <c r="E1827" s="18" t="s">
        <v>112</v>
      </c>
      <c r="F1827" s="18" t="s">
        <v>113</v>
      </c>
      <c r="G1827" s="18" t="s">
        <v>110</v>
      </c>
      <c r="H1827" s="18" t="s">
        <v>101</v>
      </c>
      <c r="I1827" s="18" t="s">
        <v>102</v>
      </c>
      <c r="J1827" s="18" t="s">
        <v>239</v>
      </c>
      <c r="K1827" s="18" t="s">
        <v>195</v>
      </c>
      <c r="L1827" s="64" t="n">
        <v>468.95436</v>
      </c>
      <c r="M1827" s="64" t="n">
        <v>7.88</v>
      </c>
      <c r="N1827" s="18" t="s">
        <v>1767</v>
      </c>
      <c r="O1827" s="65" t="n">
        <v>3695.3604</v>
      </c>
      <c r="P1827" s="65"/>
      <c r="Q1827" s="65"/>
      <c r="R1827" s="65" t="s">
        <v>232</v>
      </c>
      <c r="S1827" s="66" t="n">
        <f aca="false">Model_Calc!AV308</f>
        <v>3695.3603568</v>
      </c>
      <c r="T1827" s="66" t="n">
        <f aca="false">ROUND(S1827-O1827,4)</f>
        <v>0</v>
      </c>
    </row>
    <row r="1828" customFormat="false" ht="15" hidden="false" customHeight="false" outlineLevel="0" collapsed="false">
      <c r="A1828" s="18" t="s">
        <v>210</v>
      </c>
      <c r="B1828" s="18" t="s">
        <v>207</v>
      </c>
      <c r="C1828" s="18" t="s">
        <v>211</v>
      </c>
      <c r="D1828" s="49" t="n">
        <v>46327</v>
      </c>
      <c r="E1828" s="18" t="s">
        <v>112</v>
      </c>
      <c r="F1828" s="18" t="s">
        <v>113</v>
      </c>
      <c r="G1828" s="18" t="s">
        <v>110</v>
      </c>
      <c r="H1828" s="18" t="s">
        <v>101</v>
      </c>
      <c r="I1828" s="18" t="s">
        <v>102</v>
      </c>
      <c r="J1828" s="18" t="s">
        <v>241</v>
      </c>
      <c r="K1828" s="18" t="s">
        <v>195</v>
      </c>
      <c r="L1828" s="64" t="n">
        <v>107.979346692</v>
      </c>
      <c r="M1828" s="64" t="n">
        <v>7.88</v>
      </c>
      <c r="N1828" s="18" t="s">
        <v>1768</v>
      </c>
      <c r="O1828" s="65" t="n">
        <v>850.8773</v>
      </c>
      <c r="P1828" s="65"/>
      <c r="Q1828" s="65"/>
      <c r="R1828" s="65" t="s">
        <v>232</v>
      </c>
      <c r="S1828" s="66" t="n">
        <f aca="false">Model_Calc!BA308</f>
        <v>850.87725193296</v>
      </c>
      <c r="T1828" s="66" t="n">
        <f aca="false">ROUND(S1828-O1828,4)</f>
        <v>0</v>
      </c>
    </row>
    <row r="1829" customFormat="false" ht="15" hidden="false" customHeight="false" outlineLevel="0" collapsed="false">
      <c r="A1829" s="18" t="s">
        <v>210</v>
      </c>
      <c r="B1829" s="18" t="s">
        <v>207</v>
      </c>
      <c r="C1829" s="18" t="s">
        <v>211</v>
      </c>
      <c r="D1829" s="49" t="n">
        <v>46327</v>
      </c>
      <c r="E1829" s="18" t="s">
        <v>116</v>
      </c>
      <c r="F1829" s="18" t="s">
        <v>113</v>
      </c>
      <c r="G1829" s="18" t="s">
        <v>110</v>
      </c>
      <c r="H1829" s="18" t="s">
        <v>107</v>
      </c>
      <c r="I1829" s="18" t="s">
        <v>102</v>
      </c>
      <c r="J1829" s="18" t="s">
        <v>230</v>
      </c>
      <c r="K1829" s="18" t="s">
        <v>195</v>
      </c>
      <c r="L1829" s="64" t="n">
        <v>10639.7411783832</v>
      </c>
      <c r="M1829" s="64" t="n">
        <v>7.88</v>
      </c>
      <c r="N1829" s="18" t="s">
        <v>1769</v>
      </c>
      <c r="O1829" s="65" t="n">
        <v>83841.1605</v>
      </c>
      <c r="P1829" s="65"/>
      <c r="Q1829" s="65"/>
      <c r="R1829" s="65" t="s">
        <v>232</v>
      </c>
      <c r="S1829" s="66" t="n">
        <f aca="false">Model_Calc!AF309</f>
        <v>83841.1604856596</v>
      </c>
      <c r="T1829" s="66" t="n">
        <f aca="false">ROUND(S1829-O1829,4)</f>
        <v>0</v>
      </c>
    </row>
    <row r="1830" customFormat="false" ht="15" hidden="false" customHeight="false" outlineLevel="0" collapsed="false">
      <c r="A1830" s="18" t="s">
        <v>210</v>
      </c>
      <c r="B1830" s="18" t="s">
        <v>207</v>
      </c>
      <c r="C1830" s="18" t="s">
        <v>211</v>
      </c>
      <c r="D1830" s="49" t="n">
        <v>46327</v>
      </c>
      <c r="E1830" s="18" t="s">
        <v>116</v>
      </c>
      <c r="F1830" s="18" t="s">
        <v>113</v>
      </c>
      <c r="G1830" s="18" t="s">
        <v>110</v>
      </c>
      <c r="H1830" s="18" t="s">
        <v>107</v>
      </c>
      <c r="I1830" s="18" t="s">
        <v>102</v>
      </c>
      <c r="J1830" s="18" t="s">
        <v>233</v>
      </c>
      <c r="K1830" s="18" t="s">
        <v>195</v>
      </c>
      <c r="L1830" s="64" t="n">
        <v>818.4416291064</v>
      </c>
      <c r="M1830" s="64" t="n">
        <v>7.88</v>
      </c>
      <c r="N1830" s="18" t="s">
        <v>1770</v>
      </c>
      <c r="O1830" s="65" t="n">
        <v>6449.32</v>
      </c>
      <c r="P1830" s="65"/>
      <c r="Q1830" s="65"/>
      <c r="R1830" s="65" t="s">
        <v>232</v>
      </c>
      <c r="S1830" s="66" t="n">
        <f aca="false">Model_Calc!AG309</f>
        <v>6449.32003735843</v>
      </c>
      <c r="T1830" s="66" t="n">
        <f aca="false">ROUND(S1830-O1830,4)</f>
        <v>0</v>
      </c>
    </row>
    <row r="1831" customFormat="false" ht="15" hidden="false" customHeight="false" outlineLevel="0" collapsed="false">
      <c r="A1831" s="18" t="s">
        <v>210</v>
      </c>
      <c r="B1831" s="18" t="s">
        <v>207</v>
      </c>
      <c r="C1831" s="18" t="s">
        <v>211</v>
      </c>
      <c r="D1831" s="49" t="n">
        <v>46327</v>
      </c>
      <c r="E1831" s="18" t="s">
        <v>116</v>
      </c>
      <c r="F1831" s="18" t="s">
        <v>113</v>
      </c>
      <c r="G1831" s="18" t="s">
        <v>110</v>
      </c>
      <c r="H1831" s="18" t="s">
        <v>107</v>
      </c>
      <c r="I1831" s="18" t="s">
        <v>102</v>
      </c>
      <c r="J1831" s="18" t="s">
        <v>235</v>
      </c>
      <c r="K1831" s="18" t="s">
        <v>195</v>
      </c>
      <c r="L1831" s="64" t="n">
        <v>5080.3389</v>
      </c>
      <c r="M1831" s="64" t="n">
        <v>7.88</v>
      </c>
      <c r="N1831" s="18" t="s">
        <v>1771</v>
      </c>
      <c r="O1831" s="65" t="n">
        <v>40033.0705</v>
      </c>
      <c r="P1831" s="65"/>
      <c r="Q1831" s="65"/>
      <c r="R1831" s="65" t="s">
        <v>232</v>
      </c>
      <c r="S1831" s="66" t="n">
        <f aca="false">Model_Calc!AL309</f>
        <v>40033.070532</v>
      </c>
      <c r="T1831" s="66" t="n">
        <f aca="false">ROUND(S1831-O1831,4)</f>
        <v>0</v>
      </c>
    </row>
    <row r="1832" customFormat="false" ht="15" hidden="false" customHeight="false" outlineLevel="0" collapsed="false">
      <c r="A1832" s="18" t="s">
        <v>210</v>
      </c>
      <c r="B1832" s="18" t="s">
        <v>207</v>
      </c>
      <c r="C1832" s="18" t="s">
        <v>211</v>
      </c>
      <c r="D1832" s="49" t="n">
        <v>46327</v>
      </c>
      <c r="E1832" s="18" t="s">
        <v>116</v>
      </c>
      <c r="F1832" s="18" t="s">
        <v>113</v>
      </c>
      <c r="G1832" s="18" t="s">
        <v>110</v>
      </c>
      <c r="H1832" s="18" t="s">
        <v>107</v>
      </c>
      <c r="I1832" s="18" t="s">
        <v>102</v>
      </c>
      <c r="J1832" s="18" t="s">
        <v>237</v>
      </c>
      <c r="K1832" s="18" t="s">
        <v>195</v>
      </c>
      <c r="L1832" s="64" t="n">
        <v>1948.9147704</v>
      </c>
      <c r="M1832" s="64" t="n">
        <v>7.88</v>
      </c>
      <c r="N1832" s="18" t="s">
        <v>1772</v>
      </c>
      <c r="O1832" s="65" t="n">
        <v>15357.4484</v>
      </c>
      <c r="P1832" s="65"/>
      <c r="Q1832" s="65"/>
      <c r="R1832" s="65" t="s">
        <v>232</v>
      </c>
      <c r="S1832" s="66" t="n">
        <f aca="false">Model_Calc!AQ309</f>
        <v>15357.448390752</v>
      </c>
      <c r="T1832" s="66" t="n">
        <f aca="false">ROUND(S1832-O1832,4)</f>
        <v>0</v>
      </c>
    </row>
    <row r="1833" customFormat="false" ht="15" hidden="false" customHeight="false" outlineLevel="0" collapsed="false">
      <c r="A1833" s="18" t="s">
        <v>210</v>
      </c>
      <c r="B1833" s="18" t="s">
        <v>207</v>
      </c>
      <c r="C1833" s="18" t="s">
        <v>211</v>
      </c>
      <c r="D1833" s="49" t="n">
        <v>46327</v>
      </c>
      <c r="E1833" s="18" t="s">
        <v>116</v>
      </c>
      <c r="F1833" s="18" t="s">
        <v>113</v>
      </c>
      <c r="G1833" s="18" t="s">
        <v>110</v>
      </c>
      <c r="H1833" s="18" t="s">
        <v>107</v>
      </c>
      <c r="I1833" s="18" t="s">
        <v>102</v>
      </c>
      <c r="J1833" s="18" t="s">
        <v>239</v>
      </c>
      <c r="K1833" s="18" t="s">
        <v>195</v>
      </c>
      <c r="L1833" s="64" t="n">
        <v>870.91524</v>
      </c>
      <c r="M1833" s="64" t="n">
        <v>7.88</v>
      </c>
      <c r="N1833" s="18" t="s">
        <v>1773</v>
      </c>
      <c r="O1833" s="65" t="n">
        <v>6862.8121</v>
      </c>
      <c r="P1833" s="65"/>
      <c r="Q1833" s="65"/>
      <c r="R1833" s="65" t="s">
        <v>232</v>
      </c>
      <c r="S1833" s="66" t="n">
        <f aca="false">Model_Calc!AV309</f>
        <v>6862.8120912</v>
      </c>
      <c r="T1833" s="66" t="n">
        <f aca="false">ROUND(S1833-O1833,4)</f>
        <v>0</v>
      </c>
    </row>
    <row r="1834" customFormat="false" ht="15" hidden="false" customHeight="false" outlineLevel="0" collapsed="false">
      <c r="A1834" s="18" t="s">
        <v>210</v>
      </c>
      <c r="B1834" s="18" t="s">
        <v>207</v>
      </c>
      <c r="C1834" s="18" t="s">
        <v>211</v>
      </c>
      <c r="D1834" s="49" t="n">
        <v>46327</v>
      </c>
      <c r="E1834" s="18" t="s">
        <v>116</v>
      </c>
      <c r="F1834" s="18" t="s">
        <v>113</v>
      </c>
      <c r="G1834" s="18" t="s">
        <v>110</v>
      </c>
      <c r="H1834" s="18" t="s">
        <v>107</v>
      </c>
      <c r="I1834" s="18" t="s">
        <v>102</v>
      </c>
      <c r="J1834" s="18" t="s">
        <v>241</v>
      </c>
      <c r="K1834" s="18" t="s">
        <v>195</v>
      </c>
      <c r="L1834" s="64" t="n">
        <v>165.144883176</v>
      </c>
      <c r="M1834" s="64" t="n">
        <v>7.88</v>
      </c>
      <c r="N1834" s="18" t="s">
        <v>1774</v>
      </c>
      <c r="O1834" s="65" t="n">
        <v>1301.3417</v>
      </c>
      <c r="P1834" s="65"/>
      <c r="Q1834" s="65"/>
      <c r="R1834" s="65" t="s">
        <v>232</v>
      </c>
      <c r="S1834" s="66" t="n">
        <f aca="false">Model_Calc!BA309</f>
        <v>1301.34167942688</v>
      </c>
      <c r="T1834" s="66" t="n">
        <f aca="false">ROUND(S1834-O1834,4)</f>
        <v>0</v>
      </c>
    </row>
    <row r="1835" customFormat="false" ht="15" hidden="false" customHeight="false" outlineLevel="0" collapsed="false">
      <c r="A1835" s="18" t="s">
        <v>210</v>
      </c>
      <c r="B1835" s="18" t="s">
        <v>207</v>
      </c>
      <c r="C1835" s="18" t="s">
        <v>211</v>
      </c>
      <c r="D1835" s="49" t="n">
        <v>46327</v>
      </c>
      <c r="E1835" s="18" t="s">
        <v>118</v>
      </c>
      <c r="F1835" s="18" t="s">
        <v>119</v>
      </c>
      <c r="G1835" s="18" t="s">
        <v>100</v>
      </c>
      <c r="H1835" s="18" t="s">
        <v>101</v>
      </c>
      <c r="I1835" s="18" t="s">
        <v>102</v>
      </c>
      <c r="J1835" s="18" t="s">
        <v>230</v>
      </c>
      <c r="K1835" s="18" t="s">
        <v>199</v>
      </c>
      <c r="L1835" s="64" t="n">
        <v>21834.206662543</v>
      </c>
      <c r="M1835" s="64" t="n">
        <v>9.05</v>
      </c>
      <c r="N1835" s="18" t="s">
        <v>1775</v>
      </c>
      <c r="O1835" s="65" t="n">
        <v>197599.5703</v>
      </c>
      <c r="P1835" s="65"/>
      <c r="Q1835" s="65"/>
      <c r="R1835" s="65" t="s">
        <v>232</v>
      </c>
      <c r="S1835" s="66" t="n">
        <f aca="false">Model_Calc!AF310</f>
        <v>197599.570296014</v>
      </c>
      <c r="T1835" s="66" t="n">
        <f aca="false">ROUND(S1835-O1835,4)</f>
        <v>0</v>
      </c>
    </row>
    <row r="1836" customFormat="false" ht="15" hidden="false" customHeight="false" outlineLevel="0" collapsed="false">
      <c r="A1836" s="18" t="s">
        <v>210</v>
      </c>
      <c r="B1836" s="18" t="s">
        <v>207</v>
      </c>
      <c r="C1836" s="18" t="s">
        <v>211</v>
      </c>
      <c r="D1836" s="49" t="n">
        <v>46327</v>
      </c>
      <c r="E1836" s="18" t="s">
        <v>118</v>
      </c>
      <c r="F1836" s="18" t="s">
        <v>119</v>
      </c>
      <c r="G1836" s="18" t="s">
        <v>100</v>
      </c>
      <c r="H1836" s="18" t="s">
        <v>101</v>
      </c>
      <c r="I1836" s="18" t="s">
        <v>102</v>
      </c>
      <c r="J1836" s="18" t="s">
        <v>233</v>
      </c>
      <c r="K1836" s="18" t="s">
        <v>199</v>
      </c>
      <c r="L1836" s="64" t="n">
        <v>2259.8403895732</v>
      </c>
      <c r="M1836" s="64" t="n">
        <v>9.05</v>
      </c>
      <c r="N1836" s="18" t="s">
        <v>1776</v>
      </c>
      <c r="O1836" s="65" t="n">
        <v>20451.5555</v>
      </c>
      <c r="P1836" s="65"/>
      <c r="Q1836" s="65"/>
      <c r="R1836" s="65" t="s">
        <v>232</v>
      </c>
      <c r="S1836" s="66" t="n">
        <f aca="false">Model_Calc!AG310</f>
        <v>20451.5555256374</v>
      </c>
      <c r="T1836" s="66" t="n">
        <f aca="false">ROUND(S1836-O1836,4)</f>
        <v>0</v>
      </c>
    </row>
    <row r="1837" customFormat="false" ht="15" hidden="false" customHeight="false" outlineLevel="0" collapsed="false">
      <c r="A1837" s="18" t="s">
        <v>210</v>
      </c>
      <c r="B1837" s="18" t="s">
        <v>207</v>
      </c>
      <c r="C1837" s="18" t="s">
        <v>211</v>
      </c>
      <c r="D1837" s="49" t="n">
        <v>46327</v>
      </c>
      <c r="E1837" s="18" t="s">
        <v>118</v>
      </c>
      <c r="F1837" s="18" t="s">
        <v>119</v>
      </c>
      <c r="G1837" s="18" t="s">
        <v>100</v>
      </c>
      <c r="H1837" s="18" t="s">
        <v>101</v>
      </c>
      <c r="I1837" s="18" t="s">
        <v>102</v>
      </c>
      <c r="J1837" s="18" t="s">
        <v>235</v>
      </c>
      <c r="K1837" s="18" t="s">
        <v>195</v>
      </c>
      <c r="L1837" s="64" t="n">
        <v>5441.11270790938</v>
      </c>
      <c r="M1837" s="64" t="n">
        <v>7.88</v>
      </c>
      <c r="N1837" s="18" t="s">
        <v>1777</v>
      </c>
      <c r="O1837" s="65" t="n">
        <v>42875.9681</v>
      </c>
      <c r="P1837" s="65"/>
      <c r="Q1837" s="65"/>
      <c r="R1837" s="65" t="s">
        <v>232</v>
      </c>
      <c r="S1837" s="66" t="n">
        <f aca="false">Model_Calc!AL310</f>
        <v>42875.9681383259</v>
      </c>
      <c r="T1837" s="66" t="n">
        <f aca="false">ROUND(S1837-O1837,4)</f>
        <v>0</v>
      </c>
    </row>
    <row r="1838" customFormat="false" ht="15" hidden="false" customHeight="false" outlineLevel="0" collapsed="false">
      <c r="A1838" s="18" t="s">
        <v>210</v>
      </c>
      <c r="B1838" s="18" t="s">
        <v>207</v>
      </c>
      <c r="C1838" s="18" t="s">
        <v>211</v>
      </c>
      <c r="D1838" s="49" t="n">
        <v>46327</v>
      </c>
      <c r="E1838" s="18" t="s">
        <v>118</v>
      </c>
      <c r="F1838" s="18" t="s">
        <v>119</v>
      </c>
      <c r="G1838" s="18" t="s">
        <v>100</v>
      </c>
      <c r="H1838" s="18" t="s">
        <v>101</v>
      </c>
      <c r="I1838" s="18" t="s">
        <v>102</v>
      </c>
      <c r="J1838" s="18" t="s">
        <v>237</v>
      </c>
      <c r="K1838" s="18" t="s">
        <v>195</v>
      </c>
      <c r="L1838" s="64" t="n">
        <v>2181.75006905856</v>
      </c>
      <c r="M1838" s="64" t="n">
        <v>7.88</v>
      </c>
      <c r="N1838" s="18" t="s">
        <v>1778</v>
      </c>
      <c r="O1838" s="65" t="n">
        <v>17192.1905</v>
      </c>
      <c r="P1838" s="65"/>
      <c r="Q1838" s="65"/>
      <c r="R1838" s="65" t="s">
        <v>232</v>
      </c>
      <c r="S1838" s="66" t="n">
        <f aca="false">Model_Calc!AQ310</f>
        <v>17192.1905441815</v>
      </c>
      <c r="T1838" s="66" t="n">
        <f aca="false">ROUND(S1838-O1838,4)</f>
        <v>0</v>
      </c>
    </row>
    <row r="1839" customFormat="false" ht="15" hidden="false" customHeight="false" outlineLevel="0" collapsed="false">
      <c r="A1839" s="18" t="s">
        <v>210</v>
      </c>
      <c r="B1839" s="18" t="s">
        <v>207</v>
      </c>
      <c r="C1839" s="18" t="s">
        <v>211</v>
      </c>
      <c r="D1839" s="49" t="n">
        <v>46327</v>
      </c>
      <c r="E1839" s="18" t="s">
        <v>118</v>
      </c>
      <c r="F1839" s="18" t="s">
        <v>119</v>
      </c>
      <c r="G1839" s="18" t="s">
        <v>100</v>
      </c>
      <c r="H1839" s="18" t="s">
        <v>101</v>
      </c>
      <c r="I1839" s="18" t="s">
        <v>102</v>
      </c>
      <c r="J1839" s="18" t="s">
        <v>239</v>
      </c>
      <c r="K1839" s="18" t="s">
        <v>199</v>
      </c>
      <c r="L1839" s="64" t="n">
        <v>1918.0220387328</v>
      </c>
      <c r="M1839" s="64" t="n">
        <v>9.05</v>
      </c>
      <c r="N1839" s="18" t="s">
        <v>1779</v>
      </c>
      <c r="O1839" s="65" t="n">
        <v>17358.0995</v>
      </c>
      <c r="P1839" s="65"/>
      <c r="Q1839" s="65"/>
      <c r="R1839" s="65" t="s">
        <v>232</v>
      </c>
      <c r="S1839" s="66" t="n">
        <f aca="false">Model_Calc!AV310</f>
        <v>17358.0994505318</v>
      </c>
      <c r="T1839" s="66" t="n">
        <f aca="false">ROUND(S1839-O1839,4)</f>
        <v>0</v>
      </c>
    </row>
    <row r="1840" customFormat="false" ht="15" hidden="false" customHeight="false" outlineLevel="0" collapsed="false">
      <c r="A1840" s="18" t="s">
        <v>210</v>
      </c>
      <c r="B1840" s="18" t="s">
        <v>207</v>
      </c>
      <c r="C1840" s="18" t="s">
        <v>211</v>
      </c>
      <c r="D1840" s="49" t="n">
        <v>46327</v>
      </c>
      <c r="E1840" s="18" t="s">
        <v>118</v>
      </c>
      <c r="F1840" s="18" t="s">
        <v>119</v>
      </c>
      <c r="G1840" s="18" t="s">
        <v>100</v>
      </c>
      <c r="H1840" s="18" t="s">
        <v>101</v>
      </c>
      <c r="I1840" s="18" t="s">
        <v>102</v>
      </c>
      <c r="J1840" s="18" t="s">
        <v>241</v>
      </c>
      <c r="K1840" s="18" t="s">
        <v>199</v>
      </c>
      <c r="L1840" s="64" t="n">
        <v>322.587331639373</v>
      </c>
      <c r="M1840" s="64" t="n">
        <v>9.05</v>
      </c>
      <c r="N1840" s="18" t="s">
        <v>1780</v>
      </c>
      <c r="O1840" s="65" t="n">
        <v>2919.4154</v>
      </c>
      <c r="P1840" s="65"/>
      <c r="Q1840" s="65"/>
      <c r="R1840" s="65" t="s">
        <v>232</v>
      </c>
      <c r="S1840" s="66" t="n">
        <f aca="false">Model_Calc!BA310</f>
        <v>2919.41535133632</v>
      </c>
      <c r="T1840" s="66" t="n">
        <f aca="false">ROUND(S1840-O1840,4)</f>
        <v>0</v>
      </c>
    </row>
    <row r="1841" customFormat="false" ht="15" hidden="false" customHeight="false" outlineLevel="0" collapsed="false">
      <c r="A1841" s="18" t="s">
        <v>210</v>
      </c>
      <c r="B1841" s="18" t="s">
        <v>207</v>
      </c>
      <c r="C1841" s="18" t="s">
        <v>211</v>
      </c>
      <c r="D1841" s="49" t="n">
        <v>46327</v>
      </c>
      <c r="E1841" s="18" t="s">
        <v>122</v>
      </c>
      <c r="F1841" s="18" t="s">
        <v>119</v>
      </c>
      <c r="G1841" s="18" t="s">
        <v>100</v>
      </c>
      <c r="H1841" s="18" t="s">
        <v>107</v>
      </c>
      <c r="I1841" s="18" t="s">
        <v>102</v>
      </c>
      <c r="J1841" s="18" t="s">
        <v>230</v>
      </c>
      <c r="K1841" s="18" t="s">
        <v>199</v>
      </c>
      <c r="L1841" s="64" t="n">
        <v>13773.7963364898</v>
      </c>
      <c r="M1841" s="64" t="n">
        <v>9.05</v>
      </c>
      <c r="N1841" s="18" t="s">
        <v>1781</v>
      </c>
      <c r="O1841" s="65" t="n">
        <v>124652.8568</v>
      </c>
      <c r="P1841" s="65"/>
      <c r="Q1841" s="65"/>
      <c r="R1841" s="65" t="s">
        <v>232</v>
      </c>
      <c r="S1841" s="66" t="n">
        <f aca="false">Model_Calc!AF311</f>
        <v>124652.856845233</v>
      </c>
      <c r="T1841" s="66" t="n">
        <f aca="false">ROUND(S1841-O1841,4)</f>
        <v>0</v>
      </c>
    </row>
    <row r="1842" customFormat="false" ht="15" hidden="false" customHeight="false" outlineLevel="0" collapsed="false">
      <c r="A1842" s="18" t="s">
        <v>210</v>
      </c>
      <c r="B1842" s="18" t="s">
        <v>207</v>
      </c>
      <c r="C1842" s="18" t="s">
        <v>211</v>
      </c>
      <c r="D1842" s="49" t="n">
        <v>46327</v>
      </c>
      <c r="E1842" s="18" t="s">
        <v>122</v>
      </c>
      <c r="F1842" s="18" t="s">
        <v>119</v>
      </c>
      <c r="G1842" s="18" t="s">
        <v>100</v>
      </c>
      <c r="H1842" s="18" t="s">
        <v>107</v>
      </c>
      <c r="I1842" s="18" t="s">
        <v>102</v>
      </c>
      <c r="J1842" s="18" t="s">
        <v>233</v>
      </c>
      <c r="K1842" s="18" t="s">
        <v>199</v>
      </c>
      <c r="L1842" s="64" t="n">
        <v>967.096338519498</v>
      </c>
      <c r="M1842" s="64" t="n">
        <v>9.05</v>
      </c>
      <c r="N1842" s="18" t="s">
        <v>1782</v>
      </c>
      <c r="O1842" s="65" t="n">
        <v>8752.2219</v>
      </c>
      <c r="P1842" s="65"/>
      <c r="Q1842" s="65"/>
      <c r="R1842" s="65" t="s">
        <v>232</v>
      </c>
      <c r="S1842" s="66" t="n">
        <f aca="false">Model_Calc!AG311</f>
        <v>8752.22186360146</v>
      </c>
      <c r="T1842" s="66" t="n">
        <f aca="false">ROUND(S1842-O1842,4)</f>
        <v>0</v>
      </c>
    </row>
    <row r="1843" customFormat="false" ht="15" hidden="false" customHeight="false" outlineLevel="0" collapsed="false">
      <c r="A1843" s="18" t="s">
        <v>210</v>
      </c>
      <c r="B1843" s="18" t="s">
        <v>207</v>
      </c>
      <c r="C1843" s="18" t="s">
        <v>211</v>
      </c>
      <c r="D1843" s="49" t="n">
        <v>46327</v>
      </c>
      <c r="E1843" s="18" t="s">
        <v>122</v>
      </c>
      <c r="F1843" s="18" t="s">
        <v>119</v>
      </c>
      <c r="G1843" s="18" t="s">
        <v>100</v>
      </c>
      <c r="H1843" s="18" t="s">
        <v>107</v>
      </c>
      <c r="I1843" s="18" t="s">
        <v>102</v>
      </c>
      <c r="J1843" s="18" t="s">
        <v>235</v>
      </c>
      <c r="K1843" s="18" t="s">
        <v>195</v>
      </c>
      <c r="L1843" s="64" t="n">
        <v>2979.65695909323</v>
      </c>
      <c r="M1843" s="64" t="n">
        <v>7.88</v>
      </c>
      <c r="N1843" s="18" t="s">
        <v>1783</v>
      </c>
      <c r="O1843" s="65" t="n">
        <v>23479.6968</v>
      </c>
      <c r="P1843" s="65"/>
      <c r="Q1843" s="65"/>
      <c r="R1843" s="65" t="s">
        <v>232</v>
      </c>
      <c r="S1843" s="66" t="n">
        <f aca="false">Model_Calc!AL311</f>
        <v>23479.6968376547</v>
      </c>
      <c r="T1843" s="66" t="n">
        <f aca="false">ROUND(S1843-O1843,4)</f>
        <v>0</v>
      </c>
    </row>
    <row r="1844" customFormat="false" ht="15" hidden="false" customHeight="false" outlineLevel="0" collapsed="false">
      <c r="A1844" s="18" t="s">
        <v>210</v>
      </c>
      <c r="B1844" s="18" t="s">
        <v>207</v>
      </c>
      <c r="C1844" s="18" t="s">
        <v>211</v>
      </c>
      <c r="D1844" s="49" t="n">
        <v>46327</v>
      </c>
      <c r="E1844" s="18" t="s">
        <v>122</v>
      </c>
      <c r="F1844" s="18" t="s">
        <v>119</v>
      </c>
      <c r="G1844" s="18" t="s">
        <v>100</v>
      </c>
      <c r="H1844" s="18" t="s">
        <v>107</v>
      </c>
      <c r="I1844" s="18" t="s">
        <v>102</v>
      </c>
      <c r="J1844" s="18" t="s">
        <v>237</v>
      </c>
      <c r="K1844" s="18" t="s">
        <v>195</v>
      </c>
      <c r="L1844" s="64" t="n">
        <v>1194.76789496064</v>
      </c>
      <c r="M1844" s="64" t="n">
        <v>7.88</v>
      </c>
      <c r="N1844" s="18" t="s">
        <v>1784</v>
      </c>
      <c r="O1844" s="65" t="n">
        <v>9414.771</v>
      </c>
      <c r="P1844" s="65"/>
      <c r="Q1844" s="65"/>
      <c r="R1844" s="65" t="s">
        <v>232</v>
      </c>
      <c r="S1844" s="66" t="n">
        <f aca="false">Model_Calc!AQ311</f>
        <v>9414.77101228984</v>
      </c>
      <c r="T1844" s="66" t="n">
        <f aca="false">ROUND(S1844-O1844,4)</f>
        <v>0</v>
      </c>
    </row>
    <row r="1845" customFormat="false" ht="15" hidden="false" customHeight="false" outlineLevel="0" collapsed="false">
      <c r="A1845" s="18" t="s">
        <v>210</v>
      </c>
      <c r="B1845" s="18" t="s">
        <v>207</v>
      </c>
      <c r="C1845" s="18" t="s">
        <v>211</v>
      </c>
      <c r="D1845" s="49" t="n">
        <v>46327</v>
      </c>
      <c r="E1845" s="18" t="s">
        <v>122</v>
      </c>
      <c r="F1845" s="18" t="s">
        <v>119</v>
      </c>
      <c r="G1845" s="18" t="s">
        <v>100</v>
      </c>
      <c r="H1845" s="18" t="s">
        <v>107</v>
      </c>
      <c r="I1845" s="18" t="s">
        <v>102</v>
      </c>
      <c r="J1845" s="18" t="s">
        <v>239</v>
      </c>
      <c r="K1845" s="18" t="s">
        <v>199</v>
      </c>
      <c r="L1845" s="64" t="n">
        <v>1050.3454021632</v>
      </c>
      <c r="M1845" s="64" t="n">
        <v>9.05</v>
      </c>
      <c r="N1845" s="18" t="s">
        <v>1785</v>
      </c>
      <c r="O1845" s="65" t="n">
        <v>9505.6259</v>
      </c>
      <c r="P1845" s="65"/>
      <c r="Q1845" s="65"/>
      <c r="R1845" s="65" t="s">
        <v>232</v>
      </c>
      <c r="S1845" s="66" t="n">
        <f aca="false">Model_Calc!AV311</f>
        <v>9505.62588957696</v>
      </c>
      <c r="T1845" s="66" t="n">
        <f aca="false">ROUND(S1845-O1845,4)</f>
        <v>0</v>
      </c>
    </row>
    <row r="1846" customFormat="false" ht="15" hidden="false" customHeight="false" outlineLevel="0" collapsed="false">
      <c r="A1846" s="18" t="s">
        <v>210</v>
      </c>
      <c r="B1846" s="18" t="s">
        <v>207</v>
      </c>
      <c r="C1846" s="18" t="s">
        <v>211</v>
      </c>
      <c r="D1846" s="49" t="n">
        <v>46327</v>
      </c>
      <c r="E1846" s="18" t="s">
        <v>122</v>
      </c>
      <c r="F1846" s="18" t="s">
        <v>119</v>
      </c>
      <c r="G1846" s="18" t="s">
        <v>100</v>
      </c>
      <c r="H1846" s="18" t="s">
        <v>107</v>
      </c>
      <c r="I1846" s="18" t="s">
        <v>102</v>
      </c>
      <c r="J1846" s="18" t="s">
        <v>241</v>
      </c>
      <c r="K1846" s="18" t="s">
        <v>199</v>
      </c>
      <c r="L1846" s="64" t="n">
        <v>130.855531352832</v>
      </c>
      <c r="M1846" s="64" t="n">
        <v>9.05</v>
      </c>
      <c r="N1846" s="18" t="s">
        <v>1786</v>
      </c>
      <c r="O1846" s="65" t="n">
        <v>1184.2426</v>
      </c>
      <c r="P1846" s="65"/>
      <c r="Q1846" s="65"/>
      <c r="R1846" s="65" t="s">
        <v>232</v>
      </c>
      <c r="S1846" s="66" t="n">
        <f aca="false">Model_Calc!BA311</f>
        <v>1184.24255874313</v>
      </c>
      <c r="T1846" s="66" t="n">
        <f aca="false">ROUND(S1846-O1846,4)</f>
        <v>0</v>
      </c>
    </row>
    <row r="1847" customFormat="false" ht="15" hidden="false" customHeight="false" outlineLevel="0" collapsed="false">
      <c r="A1847" s="18" t="s">
        <v>210</v>
      </c>
      <c r="B1847" s="18" t="s">
        <v>207</v>
      </c>
      <c r="C1847" s="18" t="s">
        <v>211</v>
      </c>
      <c r="D1847" s="49" t="n">
        <v>46327</v>
      </c>
      <c r="E1847" s="18" t="s">
        <v>124</v>
      </c>
      <c r="F1847" s="18" t="s">
        <v>119</v>
      </c>
      <c r="G1847" s="18" t="s">
        <v>100</v>
      </c>
      <c r="H1847" s="18" t="s">
        <v>107</v>
      </c>
      <c r="I1847" s="18" t="s">
        <v>125</v>
      </c>
      <c r="J1847" s="18" t="s">
        <v>230</v>
      </c>
      <c r="K1847" s="18" t="s">
        <v>199</v>
      </c>
      <c r="L1847" s="64" t="n">
        <v>16990.3969835574</v>
      </c>
      <c r="M1847" s="64" t="n">
        <v>9.05</v>
      </c>
      <c r="N1847" s="18" t="s">
        <v>1787</v>
      </c>
      <c r="O1847" s="65" t="n">
        <v>153763.0927</v>
      </c>
      <c r="P1847" s="65"/>
      <c r="Q1847" s="65"/>
      <c r="R1847" s="65" t="s">
        <v>232</v>
      </c>
      <c r="S1847" s="66" t="n">
        <f aca="false">Model_Calc!AF312</f>
        <v>153763.092701194</v>
      </c>
      <c r="T1847" s="66" t="n">
        <f aca="false">ROUND(S1847-O1847,4)</f>
        <v>0</v>
      </c>
    </row>
    <row r="1848" customFormat="false" ht="15" hidden="false" customHeight="false" outlineLevel="0" collapsed="false">
      <c r="A1848" s="18" t="s">
        <v>210</v>
      </c>
      <c r="B1848" s="18" t="s">
        <v>207</v>
      </c>
      <c r="C1848" s="18" t="s">
        <v>211</v>
      </c>
      <c r="D1848" s="49" t="n">
        <v>46327</v>
      </c>
      <c r="E1848" s="18" t="s">
        <v>124</v>
      </c>
      <c r="F1848" s="18" t="s">
        <v>119</v>
      </c>
      <c r="G1848" s="18" t="s">
        <v>100</v>
      </c>
      <c r="H1848" s="18" t="s">
        <v>107</v>
      </c>
      <c r="I1848" s="18" t="s">
        <v>125</v>
      </c>
      <c r="J1848" s="18" t="s">
        <v>233</v>
      </c>
      <c r="K1848" s="18" t="s">
        <v>199</v>
      </c>
      <c r="L1848" s="64" t="n">
        <v>2103.17328100663</v>
      </c>
      <c r="M1848" s="64" t="n">
        <v>9.05</v>
      </c>
      <c r="N1848" s="18" t="s">
        <v>1788</v>
      </c>
      <c r="O1848" s="65" t="n">
        <v>19033.7182</v>
      </c>
      <c r="P1848" s="65"/>
      <c r="Q1848" s="65"/>
      <c r="R1848" s="65" t="s">
        <v>232</v>
      </c>
      <c r="S1848" s="66" t="n">
        <f aca="false">Model_Calc!AG312</f>
        <v>19033.71819311</v>
      </c>
      <c r="T1848" s="66" t="n">
        <f aca="false">ROUND(S1848-O1848,4)</f>
        <v>0</v>
      </c>
    </row>
    <row r="1849" customFormat="false" ht="15" hidden="false" customHeight="false" outlineLevel="0" collapsed="false">
      <c r="A1849" s="18" t="s">
        <v>210</v>
      </c>
      <c r="B1849" s="18" t="s">
        <v>207</v>
      </c>
      <c r="C1849" s="18" t="s">
        <v>211</v>
      </c>
      <c r="D1849" s="49" t="n">
        <v>46327</v>
      </c>
      <c r="E1849" s="18" t="s">
        <v>124</v>
      </c>
      <c r="F1849" s="18" t="s">
        <v>119</v>
      </c>
      <c r="G1849" s="18" t="s">
        <v>100</v>
      </c>
      <c r="H1849" s="18" t="s">
        <v>107</v>
      </c>
      <c r="I1849" s="18" t="s">
        <v>125</v>
      </c>
      <c r="J1849" s="18" t="s">
        <v>235</v>
      </c>
      <c r="K1849" s="18" t="s">
        <v>195</v>
      </c>
      <c r="L1849" s="64" t="n">
        <v>2850.10665652396</v>
      </c>
      <c r="M1849" s="64" t="n">
        <v>7.88</v>
      </c>
      <c r="N1849" s="18" t="s">
        <v>1789</v>
      </c>
      <c r="O1849" s="65" t="n">
        <v>22458.8405</v>
      </c>
      <c r="P1849" s="65"/>
      <c r="Q1849" s="65"/>
      <c r="R1849" s="65" t="s">
        <v>232</v>
      </c>
      <c r="S1849" s="66" t="n">
        <f aca="false">Model_Calc!AL312</f>
        <v>22458.8404534088</v>
      </c>
      <c r="T1849" s="66" t="n">
        <f aca="false">ROUND(S1849-O1849,4)</f>
        <v>0</v>
      </c>
    </row>
    <row r="1850" customFormat="false" ht="15" hidden="false" customHeight="false" outlineLevel="0" collapsed="false">
      <c r="A1850" s="18" t="s">
        <v>210</v>
      </c>
      <c r="B1850" s="18" t="s">
        <v>207</v>
      </c>
      <c r="C1850" s="18" t="s">
        <v>211</v>
      </c>
      <c r="D1850" s="49" t="n">
        <v>46327</v>
      </c>
      <c r="E1850" s="18" t="s">
        <v>124</v>
      </c>
      <c r="F1850" s="18" t="s">
        <v>119</v>
      </c>
      <c r="G1850" s="18" t="s">
        <v>100</v>
      </c>
      <c r="H1850" s="18" t="s">
        <v>107</v>
      </c>
      <c r="I1850" s="18" t="s">
        <v>125</v>
      </c>
      <c r="J1850" s="18" t="s">
        <v>237</v>
      </c>
      <c r="K1850" s="18" t="s">
        <v>195</v>
      </c>
      <c r="L1850" s="64" t="n">
        <v>1142.82146474496</v>
      </c>
      <c r="M1850" s="64" t="n">
        <v>7.88</v>
      </c>
      <c r="N1850" s="18" t="s">
        <v>1790</v>
      </c>
      <c r="O1850" s="65" t="n">
        <v>9005.4331</v>
      </c>
      <c r="P1850" s="65"/>
      <c r="Q1850" s="65"/>
      <c r="R1850" s="65" t="s">
        <v>232</v>
      </c>
      <c r="S1850" s="66" t="n">
        <f aca="false">Model_Calc!AQ312</f>
        <v>9005.43314219028</v>
      </c>
      <c r="T1850" s="66" t="n">
        <f aca="false">ROUND(S1850-O1850,4)</f>
        <v>0</v>
      </c>
    </row>
    <row r="1851" customFormat="false" ht="15" hidden="false" customHeight="false" outlineLevel="0" collapsed="false">
      <c r="A1851" s="18" t="s">
        <v>210</v>
      </c>
      <c r="B1851" s="18" t="s">
        <v>207</v>
      </c>
      <c r="C1851" s="18" t="s">
        <v>211</v>
      </c>
      <c r="D1851" s="49" t="n">
        <v>46327</v>
      </c>
      <c r="E1851" s="18" t="s">
        <v>124</v>
      </c>
      <c r="F1851" s="18" t="s">
        <v>119</v>
      </c>
      <c r="G1851" s="18" t="s">
        <v>100</v>
      </c>
      <c r="H1851" s="18" t="s">
        <v>107</v>
      </c>
      <c r="I1851" s="18" t="s">
        <v>125</v>
      </c>
      <c r="J1851" s="18" t="s">
        <v>239</v>
      </c>
      <c r="K1851" s="18" t="s">
        <v>199</v>
      </c>
      <c r="L1851" s="64" t="n">
        <v>1004.6782107648</v>
      </c>
      <c r="M1851" s="64" t="n">
        <v>9.05</v>
      </c>
      <c r="N1851" s="18" t="s">
        <v>1791</v>
      </c>
      <c r="O1851" s="65" t="n">
        <v>9092.3378</v>
      </c>
      <c r="P1851" s="65"/>
      <c r="Q1851" s="65"/>
      <c r="R1851" s="65" t="s">
        <v>232</v>
      </c>
      <c r="S1851" s="66" t="n">
        <f aca="false">Model_Calc!AV312</f>
        <v>9092.33780742144</v>
      </c>
      <c r="T1851" s="66" t="n">
        <f aca="false">ROUND(S1851-O1851,4)</f>
        <v>0</v>
      </c>
    </row>
    <row r="1852" customFormat="false" ht="15" hidden="false" customHeight="false" outlineLevel="0" collapsed="false">
      <c r="A1852" s="18" t="s">
        <v>210</v>
      </c>
      <c r="B1852" s="18" t="s">
        <v>207</v>
      </c>
      <c r="C1852" s="18" t="s">
        <v>211</v>
      </c>
      <c r="D1852" s="49" t="n">
        <v>46327</v>
      </c>
      <c r="E1852" s="18" t="s">
        <v>124</v>
      </c>
      <c r="F1852" s="18" t="s">
        <v>119</v>
      </c>
      <c r="G1852" s="18" t="s">
        <v>100</v>
      </c>
      <c r="H1852" s="18" t="s">
        <v>107</v>
      </c>
      <c r="I1852" s="18" t="s">
        <v>125</v>
      </c>
      <c r="J1852" s="18" t="s">
        <v>241</v>
      </c>
      <c r="K1852" s="18" t="s">
        <v>199</v>
      </c>
      <c r="L1852" s="64" t="n">
        <v>121.900956239462</v>
      </c>
      <c r="M1852" s="64" t="n">
        <v>9.05</v>
      </c>
      <c r="N1852" s="18" t="s">
        <v>1792</v>
      </c>
      <c r="O1852" s="65" t="n">
        <v>1103.2037</v>
      </c>
      <c r="P1852" s="65"/>
      <c r="Q1852" s="65"/>
      <c r="R1852" s="65" t="s">
        <v>232</v>
      </c>
      <c r="S1852" s="66" t="n">
        <f aca="false">Model_Calc!BA312</f>
        <v>1103.20365396713</v>
      </c>
      <c r="T1852" s="66" t="n">
        <f aca="false">ROUND(S1852-O1852,4)</f>
        <v>0</v>
      </c>
    </row>
    <row r="1853" customFormat="false" ht="15" hidden="false" customHeight="false" outlineLevel="0" collapsed="false">
      <c r="A1853" s="18" t="s">
        <v>210</v>
      </c>
      <c r="B1853" s="18" t="s">
        <v>207</v>
      </c>
      <c r="C1853" s="18" t="s">
        <v>211</v>
      </c>
      <c r="D1853" s="49" t="n">
        <v>46327</v>
      </c>
      <c r="E1853" s="18" t="s">
        <v>127</v>
      </c>
      <c r="F1853" s="18" t="s">
        <v>119</v>
      </c>
      <c r="G1853" s="18" t="s">
        <v>100</v>
      </c>
      <c r="H1853" s="18" t="s">
        <v>128</v>
      </c>
      <c r="I1853" s="18" t="s">
        <v>125</v>
      </c>
      <c r="J1853" s="18" t="s">
        <v>230</v>
      </c>
      <c r="K1853" s="18" t="s">
        <v>199</v>
      </c>
      <c r="L1853" s="64" t="n">
        <v>12115.0795861806</v>
      </c>
      <c r="M1853" s="64" t="n">
        <v>9.05</v>
      </c>
      <c r="N1853" s="18" t="s">
        <v>1793</v>
      </c>
      <c r="O1853" s="65" t="n">
        <v>109641.4703</v>
      </c>
      <c r="P1853" s="65"/>
      <c r="Q1853" s="65"/>
      <c r="R1853" s="65" t="s">
        <v>232</v>
      </c>
      <c r="S1853" s="66" t="n">
        <f aca="false">Model_Calc!AF313</f>
        <v>109641.470254935</v>
      </c>
      <c r="T1853" s="66" t="n">
        <f aca="false">ROUND(S1853-O1853,4)</f>
        <v>0</v>
      </c>
    </row>
    <row r="1854" customFormat="false" ht="15" hidden="false" customHeight="false" outlineLevel="0" collapsed="false">
      <c r="A1854" s="18" t="s">
        <v>210</v>
      </c>
      <c r="B1854" s="18" t="s">
        <v>207</v>
      </c>
      <c r="C1854" s="18" t="s">
        <v>211</v>
      </c>
      <c r="D1854" s="49" t="n">
        <v>46327</v>
      </c>
      <c r="E1854" s="18" t="s">
        <v>127</v>
      </c>
      <c r="F1854" s="18" t="s">
        <v>119</v>
      </c>
      <c r="G1854" s="18" t="s">
        <v>100</v>
      </c>
      <c r="H1854" s="18" t="s">
        <v>128</v>
      </c>
      <c r="I1854" s="18" t="s">
        <v>125</v>
      </c>
      <c r="J1854" s="18" t="s">
        <v>233</v>
      </c>
      <c r="K1854" s="18" t="s">
        <v>199</v>
      </c>
      <c r="L1854" s="64" t="n">
        <v>936.899487997967</v>
      </c>
      <c r="M1854" s="64" t="n">
        <v>9.05</v>
      </c>
      <c r="N1854" s="18" t="s">
        <v>1794</v>
      </c>
      <c r="O1854" s="65" t="n">
        <v>8478.9404</v>
      </c>
      <c r="P1854" s="65"/>
      <c r="Q1854" s="65"/>
      <c r="R1854" s="65" t="s">
        <v>232</v>
      </c>
      <c r="S1854" s="66" t="n">
        <f aca="false">Model_Calc!AG313</f>
        <v>8478.94036638161</v>
      </c>
      <c r="T1854" s="66" t="n">
        <f aca="false">ROUND(S1854-O1854,4)</f>
        <v>0</v>
      </c>
    </row>
    <row r="1855" customFormat="false" ht="15" hidden="false" customHeight="false" outlineLevel="0" collapsed="false">
      <c r="A1855" s="18" t="s">
        <v>210</v>
      </c>
      <c r="B1855" s="18" t="s">
        <v>207</v>
      </c>
      <c r="C1855" s="18" t="s">
        <v>211</v>
      </c>
      <c r="D1855" s="49" t="n">
        <v>46327</v>
      </c>
      <c r="E1855" s="18" t="s">
        <v>127</v>
      </c>
      <c r="F1855" s="18" t="s">
        <v>119</v>
      </c>
      <c r="G1855" s="18" t="s">
        <v>100</v>
      </c>
      <c r="H1855" s="18" t="s">
        <v>128</v>
      </c>
      <c r="I1855" s="18" t="s">
        <v>125</v>
      </c>
      <c r="J1855" s="18" t="s">
        <v>235</v>
      </c>
      <c r="K1855" s="18" t="s">
        <v>195</v>
      </c>
      <c r="L1855" s="64" t="n">
        <v>1684.15393340052</v>
      </c>
      <c r="M1855" s="64" t="n">
        <v>7.88</v>
      </c>
      <c r="N1855" s="18" t="s">
        <v>1795</v>
      </c>
      <c r="O1855" s="65" t="n">
        <v>13271.133</v>
      </c>
      <c r="P1855" s="65"/>
      <c r="Q1855" s="65"/>
      <c r="R1855" s="65" t="s">
        <v>232</v>
      </c>
      <c r="S1855" s="66" t="n">
        <f aca="false">Model_Calc!AL313</f>
        <v>13271.1329951961</v>
      </c>
      <c r="T1855" s="66" t="n">
        <f aca="false">ROUND(S1855-O1855,4)</f>
        <v>0</v>
      </c>
    </row>
    <row r="1856" customFormat="false" ht="15" hidden="false" customHeight="false" outlineLevel="0" collapsed="false">
      <c r="A1856" s="18" t="s">
        <v>210</v>
      </c>
      <c r="B1856" s="18" t="s">
        <v>207</v>
      </c>
      <c r="C1856" s="18" t="s">
        <v>211</v>
      </c>
      <c r="D1856" s="49" t="n">
        <v>46327</v>
      </c>
      <c r="E1856" s="18" t="s">
        <v>127</v>
      </c>
      <c r="F1856" s="18" t="s">
        <v>119</v>
      </c>
      <c r="G1856" s="18" t="s">
        <v>100</v>
      </c>
      <c r="H1856" s="18" t="s">
        <v>128</v>
      </c>
      <c r="I1856" s="18" t="s">
        <v>125</v>
      </c>
      <c r="J1856" s="18" t="s">
        <v>237</v>
      </c>
      <c r="K1856" s="18" t="s">
        <v>195</v>
      </c>
      <c r="L1856" s="64" t="n">
        <v>675.30359280384</v>
      </c>
      <c r="M1856" s="64" t="n">
        <v>7.88</v>
      </c>
      <c r="N1856" s="18" t="s">
        <v>1796</v>
      </c>
      <c r="O1856" s="65" t="n">
        <v>5321.3923</v>
      </c>
      <c r="P1856" s="65"/>
      <c r="Q1856" s="65"/>
      <c r="R1856" s="65" t="s">
        <v>232</v>
      </c>
      <c r="S1856" s="66" t="n">
        <f aca="false">Model_Calc!AQ313</f>
        <v>5321.39231129426</v>
      </c>
      <c r="T1856" s="66" t="n">
        <f aca="false">ROUND(S1856-O1856,4)</f>
        <v>0</v>
      </c>
    </row>
    <row r="1857" customFormat="false" ht="15" hidden="false" customHeight="false" outlineLevel="0" collapsed="false">
      <c r="A1857" s="18" t="s">
        <v>210</v>
      </c>
      <c r="B1857" s="18" t="s">
        <v>207</v>
      </c>
      <c r="C1857" s="18" t="s">
        <v>211</v>
      </c>
      <c r="D1857" s="49" t="n">
        <v>46327</v>
      </c>
      <c r="E1857" s="18" t="s">
        <v>127</v>
      </c>
      <c r="F1857" s="18" t="s">
        <v>119</v>
      </c>
      <c r="G1857" s="18" t="s">
        <v>100</v>
      </c>
      <c r="H1857" s="18" t="s">
        <v>128</v>
      </c>
      <c r="I1857" s="18" t="s">
        <v>125</v>
      </c>
      <c r="J1857" s="18" t="s">
        <v>239</v>
      </c>
      <c r="K1857" s="18" t="s">
        <v>199</v>
      </c>
      <c r="L1857" s="64" t="n">
        <v>593.6734881792</v>
      </c>
      <c r="M1857" s="64" t="n">
        <v>9.05</v>
      </c>
      <c r="N1857" s="18" t="s">
        <v>1797</v>
      </c>
      <c r="O1857" s="65" t="n">
        <v>5372.7451</v>
      </c>
      <c r="P1857" s="65"/>
      <c r="Q1857" s="65"/>
      <c r="R1857" s="65" t="s">
        <v>232</v>
      </c>
      <c r="S1857" s="66" t="n">
        <f aca="false">Model_Calc!AV313</f>
        <v>5372.74506802176</v>
      </c>
      <c r="T1857" s="66" t="n">
        <f aca="false">ROUND(S1857-O1857,4)</f>
        <v>0</v>
      </c>
    </row>
    <row r="1858" customFormat="false" ht="15" hidden="false" customHeight="false" outlineLevel="0" collapsed="false">
      <c r="A1858" s="18" t="s">
        <v>210</v>
      </c>
      <c r="B1858" s="18" t="s">
        <v>207</v>
      </c>
      <c r="C1858" s="18" t="s">
        <v>211</v>
      </c>
      <c r="D1858" s="49" t="n">
        <v>46327</v>
      </c>
      <c r="E1858" s="18" t="s">
        <v>127</v>
      </c>
      <c r="F1858" s="18" t="s">
        <v>119</v>
      </c>
      <c r="G1858" s="18" t="s">
        <v>100</v>
      </c>
      <c r="H1858" s="18" t="s">
        <v>128</v>
      </c>
      <c r="I1858" s="18" t="s">
        <v>125</v>
      </c>
      <c r="J1858" s="18" t="s">
        <v>241</v>
      </c>
      <c r="K1858" s="18" t="s">
        <v>199</v>
      </c>
      <c r="L1858" s="64" t="n">
        <v>63.6714816072192</v>
      </c>
      <c r="M1858" s="64" t="n">
        <v>9.05</v>
      </c>
      <c r="N1858" s="18" t="s">
        <v>1798</v>
      </c>
      <c r="O1858" s="65" t="n">
        <v>576.2269</v>
      </c>
      <c r="P1858" s="65"/>
      <c r="Q1858" s="65"/>
      <c r="R1858" s="65" t="s">
        <v>232</v>
      </c>
      <c r="S1858" s="66" t="n">
        <f aca="false">Model_Calc!BA313</f>
        <v>576.226908545334</v>
      </c>
      <c r="T1858" s="66" t="n">
        <f aca="false">ROUND(S1858-O1858,4)</f>
        <v>0</v>
      </c>
    </row>
    <row r="1859" customFormat="false" ht="15" hidden="false" customHeight="false" outlineLevel="0" collapsed="false">
      <c r="A1859" s="18" t="s">
        <v>210</v>
      </c>
      <c r="B1859" s="18" t="s">
        <v>207</v>
      </c>
      <c r="C1859" s="18" t="s">
        <v>211</v>
      </c>
      <c r="D1859" s="49" t="n">
        <v>46327</v>
      </c>
      <c r="E1859" s="18" t="s">
        <v>130</v>
      </c>
      <c r="F1859" s="18" t="s">
        <v>119</v>
      </c>
      <c r="G1859" s="18" t="s">
        <v>110</v>
      </c>
      <c r="H1859" s="18" t="s">
        <v>107</v>
      </c>
      <c r="I1859" s="18" t="s">
        <v>125</v>
      </c>
      <c r="J1859" s="18" t="s">
        <v>230</v>
      </c>
      <c r="K1859" s="18" t="s">
        <v>195</v>
      </c>
      <c r="L1859" s="64" t="n">
        <v>3201.35645656158</v>
      </c>
      <c r="M1859" s="64" t="n">
        <v>7.88</v>
      </c>
      <c r="N1859" s="18" t="s">
        <v>1799</v>
      </c>
      <c r="O1859" s="65" t="n">
        <v>25226.6889</v>
      </c>
      <c r="P1859" s="65"/>
      <c r="Q1859" s="65"/>
      <c r="R1859" s="65" t="s">
        <v>232</v>
      </c>
      <c r="S1859" s="66" t="n">
        <f aca="false">Model_Calc!AF314</f>
        <v>25226.6888777052</v>
      </c>
      <c r="T1859" s="66" t="n">
        <f aca="false">ROUND(S1859-O1859,4)</f>
        <v>0</v>
      </c>
    </row>
    <row r="1860" customFormat="false" ht="15" hidden="false" customHeight="false" outlineLevel="0" collapsed="false">
      <c r="A1860" s="18" t="s">
        <v>210</v>
      </c>
      <c r="B1860" s="18" t="s">
        <v>207</v>
      </c>
      <c r="C1860" s="18" t="s">
        <v>211</v>
      </c>
      <c r="D1860" s="49" t="n">
        <v>46327</v>
      </c>
      <c r="E1860" s="18" t="s">
        <v>130</v>
      </c>
      <c r="F1860" s="18" t="s">
        <v>119</v>
      </c>
      <c r="G1860" s="18" t="s">
        <v>110</v>
      </c>
      <c r="H1860" s="18" t="s">
        <v>107</v>
      </c>
      <c r="I1860" s="18" t="s">
        <v>125</v>
      </c>
      <c r="J1860" s="18" t="s">
        <v>233</v>
      </c>
      <c r="K1860" s="18" t="s">
        <v>195</v>
      </c>
      <c r="L1860" s="64" t="n">
        <v>347.907412916829</v>
      </c>
      <c r="M1860" s="64" t="n">
        <v>7.88</v>
      </c>
      <c r="N1860" s="18" t="s">
        <v>1800</v>
      </c>
      <c r="O1860" s="65" t="n">
        <v>2741.5104</v>
      </c>
      <c r="P1860" s="65"/>
      <c r="Q1860" s="65"/>
      <c r="R1860" s="65" t="s">
        <v>232</v>
      </c>
      <c r="S1860" s="66" t="n">
        <f aca="false">Model_Calc!AG314</f>
        <v>2741.51041378462</v>
      </c>
      <c r="T1860" s="66" t="n">
        <f aca="false">ROUND(S1860-O1860,4)</f>
        <v>0</v>
      </c>
    </row>
    <row r="1861" customFormat="false" ht="15" hidden="false" customHeight="false" outlineLevel="0" collapsed="false">
      <c r="A1861" s="18" t="s">
        <v>210</v>
      </c>
      <c r="B1861" s="18" t="s">
        <v>207</v>
      </c>
      <c r="C1861" s="18" t="s">
        <v>211</v>
      </c>
      <c r="D1861" s="49" t="n">
        <v>46327</v>
      </c>
      <c r="E1861" s="18" t="s">
        <v>130</v>
      </c>
      <c r="F1861" s="18" t="s">
        <v>119</v>
      </c>
      <c r="G1861" s="18" t="s">
        <v>110</v>
      </c>
      <c r="H1861" s="18" t="s">
        <v>107</v>
      </c>
      <c r="I1861" s="18" t="s">
        <v>125</v>
      </c>
      <c r="J1861" s="18" t="s">
        <v>235</v>
      </c>
      <c r="K1861" s="18" t="s">
        <v>195</v>
      </c>
      <c r="L1861" s="64" t="n">
        <v>462.486024</v>
      </c>
      <c r="M1861" s="64" t="n">
        <v>7.88</v>
      </c>
      <c r="N1861" s="18" t="s">
        <v>1801</v>
      </c>
      <c r="O1861" s="65" t="n">
        <v>3644.3899</v>
      </c>
      <c r="P1861" s="65"/>
      <c r="Q1861" s="65"/>
      <c r="R1861" s="65" t="s">
        <v>232</v>
      </c>
      <c r="S1861" s="66" t="n">
        <f aca="false">Model_Calc!AL314</f>
        <v>3644.38986912</v>
      </c>
      <c r="T1861" s="66" t="n">
        <f aca="false">ROUND(S1861-O1861,4)</f>
        <v>0</v>
      </c>
    </row>
    <row r="1862" customFormat="false" ht="15" hidden="false" customHeight="false" outlineLevel="0" collapsed="false">
      <c r="A1862" s="18" t="s">
        <v>210</v>
      </c>
      <c r="B1862" s="18" t="s">
        <v>207</v>
      </c>
      <c r="C1862" s="18" t="s">
        <v>211</v>
      </c>
      <c r="D1862" s="49" t="n">
        <v>46327</v>
      </c>
      <c r="E1862" s="18" t="s">
        <v>130</v>
      </c>
      <c r="F1862" s="18" t="s">
        <v>119</v>
      </c>
      <c r="G1862" s="18" t="s">
        <v>110</v>
      </c>
      <c r="H1862" s="18" t="s">
        <v>107</v>
      </c>
      <c r="I1862" s="18" t="s">
        <v>125</v>
      </c>
      <c r="J1862" s="18" t="s">
        <v>237</v>
      </c>
      <c r="K1862" s="18" t="s">
        <v>195</v>
      </c>
      <c r="L1862" s="64" t="n">
        <v>195.829796448</v>
      </c>
      <c r="M1862" s="64" t="n">
        <v>7.88</v>
      </c>
      <c r="N1862" s="18" t="s">
        <v>1802</v>
      </c>
      <c r="O1862" s="65" t="n">
        <v>1543.1388</v>
      </c>
      <c r="P1862" s="65"/>
      <c r="Q1862" s="65"/>
      <c r="R1862" s="65" t="s">
        <v>232</v>
      </c>
      <c r="S1862" s="66" t="n">
        <f aca="false">Model_Calc!AQ314</f>
        <v>1543.13879601024</v>
      </c>
      <c r="T1862" s="66" t="n">
        <f aca="false">ROUND(S1862-O1862,4)</f>
        <v>0</v>
      </c>
    </row>
    <row r="1863" customFormat="false" ht="15" hidden="false" customHeight="false" outlineLevel="0" collapsed="false">
      <c r="A1863" s="18" t="s">
        <v>210</v>
      </c>
      <c r="B1863" s="18" t="s">
        <v>207</v>
      </c>
      <c r="C1863" s="18" t="s">
        <v>211</v>
      </c>
      <c r="D1863" s="49" t="n">
        <v>46327</v>
      </c>
      <c r="E1863" s="18" t="s">
        <v>130</v>
      </c>
      <c r="F1863" s="18" t="s">
        <v>119</v>
      </c>
      <c r="G1863" s="18" t="s">
        <v>110</v>
      </c>
      <c r="H1863" s="18" t="s">
        <v>107</v>
      </c>
      <c r="I1863" s="18" t="s">
        <v>125</v>
      </c>
      <c r="J1863" s="18" t="s">
        <v>239</v>
      </c>
      <c r="K1863" s="18" t="s">
        <v>195</v>
      </c>
      <c r="L1863" s="64" t="n">
        <v>206.13662784</v>
      </c>
      <c r="M1863" s="64" t="n">
        <v>7.88</v>
      </c>
      <c r="N1863" s="18" t="s">
        <v>1803</v>
      </c>
      <c r="O1863" s="65" t="n">
        <v>1624.3566</v>
      </c>
      <c r="P1863" s="65"/>
      <c r="Q1863" s="65"/>
      <c r="R1863" s="65" t="s">
        <v>232</v>
      </c>
      <c r="S1863" s="66" t="n">
        <f aca="false">Model_Calc!AV314</f>
        <v>1624.3566273792</v>
      </c>
      <c r="T1863" s="66" t="n">
        <f aca="false">ROUND(S1863-O1863,4)</f>
        <v>0</v>
      </c>
    </row>
    <row r="1864" customFormat="false" ht="15" hidden="false" customHeight="false" outlineLevel="0" collapsed="false">
      <c r="A1864" s="18" t="s">
        <v>210</v>
      </c>
      <c r="B1864" s="18" t="s">
        <v>207</v>
      </c>
      <c r="C1864" s="18" t="s">
        <v>211</v>
      </c>
      <c r="D1864" s="49" t="n">
        <v>46327</v>
      </c>
      <c r="E1864" s="18" t="s">
        <v>130</v>
      </c>
      <c r="F1864" s="18" t="s">
        <v>119</v>
      </c>
      <c r="G1864" s="18" t="s">
        <v>110</v>
      </c>
      <c r="H1864" s="18" t="s">
        <v>107</v>
      </c>
      <c r="I1864" s="18" t="s">
        <v>125</v>
      </c>
      <c r="J1864" s="18" t="s">
        <v>241</v>
      </c>
      <c r="K1864" s="18" t="s">
        <v>195</v>
      </c>
      <c r="L1864" s="64" t="n">
        <v>20.20138952832</v>
      </c>
      <c r="M1864" s="64" t="n">
        <v>7.88</v>
      </c>
      <c r="N1864" s="18" t="s">
        <v>1804</v>
      </c>
      <c r="O1864" s="65" t="n">
        <v>159.1869</v>
      </c>
      <c r="P1864" s="65"/>
      <c r="Q1864" s="65"/>
      <c r="R1864" s="65" t="s">
        <v>232</v>
      </c>
      <c r="S1864" s="66" t="n">
        <f aca="false">Model_Calc!BA314</f>
        <v>159.186949483162</v>
      </c>
      <c r="T1864" s="66" t="n">
        <f aca="false">ROUND(S1864-O1864,4)</f>
        <v>0</v>
      </c>
    </row>
    <row r="1865" customFormat="false" ht="15" hidden="false" customHeight="false" outlineLevel="0" collapsed="false">
      <c r="A1865" s="18" t="s">
        <v>210</v>
      </c>
      <c r="B1865" s="18" t="s">
        <v>207</v>
      </c>
      <c r="C1865" s="18" t="s">
        <v>211</v>
      </c>
      <c r="D1865" s="49" t="n">
        <v>46357</v>
      </c>
      <c r="E1865" s="18" t="s">
        <v>98</v>
      </c>
      <c r="F1865" s="18" t="s">
        <v>99</v>
      </c>
      <c r="G1865" s="18" t="s">
        <v>100</v>
      </c>
      <c r="H1865" s="18" t="s">
        <v>101</v>
      </c>
      <c r="I1865" s="18" t="s">
        <v>102</v>
      </c>
      <c r="J1865" s="18" t="s">
        <v>230</v>
      </c>
      <c r="K1865" s="18" t="s">
        <v>195</v>
      </c>
      <c r="L1865" s="64" t="n">
        <v>10032.4568907763</v>
      </c>
      <c r="M1865" s="64" t="n">
        <v>7.86</v>
      </c>
      <c r="N1865" s="18" t="s">
        <v>1805</v>
      </c>
      <c r="O1865" s="65" t="n">
        <v>78855.1112</v>
      </c>
      <c r="P1865" s="65"/>
      <c r="Q1865" s="65"/>
      <c r="R1865" s="65" t="s">
        <v>232</v>
      </c>
      <c r="S1865" s="66" t="n">
        <f aca="false">Model_Calc!AF315</f>
        <v>78855.1111615019</v>
      </c>
      <c r="T1865" s="66" t="n">
        <f aca="false">ROUND(S1865-O1865,4)</f>
        <v>0</v>
      </c>
    </row>
    <row r="1866" customFormat="false" ht="15" hidden="false" customHeight="false" outlineLevel="0" collapsed="false">
      <c r="A1866" s="18" t="s">
        <v>210</v>
      </c>
      <c r="B1866" s="18" t="s">
        <v>207</v>
      </c>
      <c r="C1866" s="18" t="s">
        <v>211</v>
      </c>
      <c r="D1866" s="49" t="n">
        <v>46357</v>
      </c>
      <c r="E1866" s="18" t="s">
        <v>98</v>
      </c>
      <c r="F1866" s="18" t="s">
        <v>99</v>
      </c>
      <c r="G1866" s="18" t="s">
        <v>100</v>
      </c>
      <c r="H1866" s="18" t="s">
        <v>101</v>
      </c>
      <c r="I1866" s="18" t="s">
        <v>102</v>
      </c>
      <c r="J1866" s="18" t="s">
        <v>233</v>
      </c>
      <c r="K1866" s="18" t="s">
        <v>195</v>
      </c>
      <c r="L1866" s="64" t="n">
        <v>986.441323785582</v>
      </c>
      <c r="M1866" s="64" t="n">
        <v>7.86</v>
      </c>
      <c r="N1866" s="18" t="s">
        <v>1806</v>
      </c>
      <c r="O1866" s="65" t="n">
        <v>7753.4288</v>
      </c>
      <c r="P1866" s="65"/>
      <c r="Q1866" s="65"/>
      <c r="R1866" s="65" t="s">
        <v>232</v>
      </c>
      <c r="S1866" s="66" t="n">
        <f aca="false">Model_Calc!AG315</f>
        <v>7753.42880495467</v>
      </c>
      <c r="T1866" s="66" t="n">
        <f aca="false">ROUND(S1866-O1866,4)</f>
        <v>0</v>
      </c>
    </row>
    <row r="1867" customFormat="false" ht="15" hidden="false" customHeight="false" outlineLevel="0" collapsed="false">
      <c r="A1867" s="18" t="s">
        <v>210</v>
      </c>
      <c r="B1867" s="18" t="s">
        <v>207</v>
      </c>
      <c r="C1867" s="18" t="s">
        <v>211</v>
      </c>
      <c r="D1867" s="49" t="n">
        <v>46357</v>
      </c>
      <c r="E1867" s="18" t="s">
        <v>98</v>
      </c>
      <c r="F1867" s="18" t="s">
        <v>99</v>
      </c>
      <c r="G1867" s="18" t="s">
        <v>100</v>
      </c>
      <c r="H1867" s="18" t="s">
        <v>101</v>
      </c>
      <c r="I1867" s="18" t="s">
        <v>102</v>
      </c>
      <c r="J1867" s="18" t="s">
        <v>235</v>
      </c>
      <c r="K1867" s="18" t="s">
        <v>195</v>
      </c>
      <c r="L1867" s="64" t="n">
        <v>6719.77269518157</v>
      </c>
      <c r="M1867" s="64" t="n">
        <v>7.86</v>
      </c>
      <c r="N1867" s="18" t="s">
        <v>1807</v>
      </c>
      <c r="O1867" s="65" t="n">
        <v>52817.4134</v>
      </c>
      <c r="P1867" s="65"/>
      <c r="Q1867" s="65"/>
      <c r="R1867" s="65" t="s">
        <v>232</v>
      </c>
      <c r="S1867" s="66" t="n">
        <f aca="false">Model_Calc!AL315</f>
        <v>52817.4133841271</v>
      </c>
      <c r="T1867" s="66" t="n">
        <f aca="false">ROUND(S1867-O1867,4)</f>
        <v>0</v>
      </c>
    </row>
    <row r="1868" customFormat="false" ht="15" hidden="false" customHeight="false" outlineLevel="0" collapsed="false">
      <c r="A1868" s="18" t="s">
        <v>210</v>
      </c>
      <c r="B1868" s="18" t="s">
        <v>207</v>
      </c>
      <c r="C1868" s="18" t="s">
        <v>211</v>
      </c>
      <c r="D1868" s="49" t="n">
        <v>46357</v>
      </c>
      <c r="E1868" s="18" t="s">
        <v>98</v>
      </c>
      <c r="F1868" s="18" t="s">
        <v>99</v>
      </c>
      <c r="G1868" s="18" t="s">
        <v>100</v>
      </c>
      <c r="H1868" s="18" t="s">
        <v>101</v>
      </c>
      <c r="I1868" s="18" t="s">
        <v>102</v>
      </c>
      <c r="J1868" s="18" t="s">
        <v>237</v>
      </c>
      <c r="K1868" s="18" t="s">
        <v>195</v>
      </c>
      <c r="L1868" s="64" t="n">
        <v>2431.18459584</v>
      </c>
      <c r="M1868" s="64" t="n">
        <v>7.86</v>
      </c>
      <c r="N1868" s="18" t="s">
        <v>1808</v>
      </c>
      <c r="O1868" s="65" t="n">
        <v>19109.1109</v>
      </c>
      <c r="P1868" s="65"/>
      <c r="Q1868" s="65"/>
      <c r="R1868" s="65" t="s">
        <v>232</v>
      </c>
      <c r="S1868" s="66" t="n">
        <f aca="false">Model_Calc!AQ315</f>
        <v>19109.1109233024</v>
      </c>
      <c r="T1868" s="66" t="n">
        <f aca="false">ROUND(S1868-O1868,4)</f>
        <v>0</v>
      </c>
    </row>
    <row r="1869" customFormat="false" ht="15" hidden="false" customHeight="false" outlineLevel="0" collapsed="false">
      <c r="A1869" s="18" t="s">
        <v>210</v>
      </c>
      <c r="B1869" s="18" t="s">
        <v>207</v>
      </c>
      <c r="C1869" s="18" t="s">
        <v>211</v>
      </c>
      <c r="D1869" s="49" t="n">
        <v>46357</v>
      </c>
      <c r="E1869" s="18" t="s">
        <v>98</v>
      </c>
      <c r="F1869" s="18" t="s">
        <v>99</v>
      </c>
      <c r="G1869" s="18" t="s">
        <v>100</v>
      </c>
      <c r="H1869" s="18" t="s">
        <v>101</v>
      </c>
      <c r="I1869" s="18" t="s">
        <v>102</v>
      </c>
      <c r="J1869" s="18" t="s">
        <v>239</v>
      </c>
      <c r="K1869" s="18" t="s">
        <v>195</v>
      </c>
      <c r="L1869" s="64" t="n">
        <v>882.0624384</v>
      </c>
      <c r="M1869" s="64" t="n">
        <v>7.86</v>
      </c>
      <c r="N1869" s="18" t="s">
        <v>1809</v>
      </c>
      <c r="O1869" s="65" t="n">
        <v>6933.0108</v>
      </c>
      <c r="P1869" s="65"/>
      <c r="Q1869" s="65"/>
      <c r="R1869" s="65" t="s">
        <v>232</v>
      </c>
      <c r="S1869" s="66" t="n">
        <f aca="false">Model_Calc!AV315</f>
        <v>6933.010765824</v>
      </c>
      <c r="T1869" s="66" t="n">
        <f aca="false">ROUND(S1869-O1869,4)</f>
        <v>0</v>
      </c>
    </row>
    <row r="1870" customFormat="false" ht="15" hidden="false" customHeight="false" outlineLevel="0" collapsed="false">
      <c r="A1870" s="18" t="s">
        <v>210</v>
      </c>
      <c r="B1870" s="18" t="s">
        <v>207</v>
      </c>
      <c r="C1870" s="18" t="s">
        <v>211</v>
      </c>
      <c r="D1870" s="49" t="n">
        <v>46357</v>
      </c>
      <c r="E1870" s="18" t="s">
        <v>98</v>
      </c>
      <c r="F1870" s="18" t="s">
        <v>99</v>
      </c>
      <c r="G1870" s="18" t="s">
        <v>100</v>
      </c>
      <c r="H1870" s="18" t="s">
        <v>101</v>
      </c>
      <c r="I1870" s="18" t="s">
        <v>102</v>
      </c>
      <c r="J1870" s="18" t="s">
        <v>241</v>
      </c>
      <c r="K1870" s="18" t="s">
        <v>195</v>
      </c>
      <c r="L1870" s="64" t="n">
        <v>213.0180788736</v>
      </c>
      <c r="M1870" s="64" t="n">
        <v>7.86</v>
      </c>
      <c r="N1870" s="18" t="s">
        <v>1810</v>
      </c>
      <c r="O1870" s="65" t="n">
        <v>1674.3221</v>
      </c>
      <c r="P1870" s="65"/>
      <c r="Q1870" s="65"/>
      <c r="R1870" s="65" t="s">
        <v>232</v>
      </c>
      <c r="S1870" s="66" t="n">
        <f aca="false">Model_Calc!BA315</f>
        <v>1674.3220999465</v>
      </c>
      <c r="T1870" s="66" t="n">
        <f aca="false">ROUND(S1870-O1870,4)</f>
        <v>0</v>
      </c>
    </row>
    <row r="1871" customFormat="false" ht="15" hidden="false" customHeight="false" outlineLevel="0" collapsed="false">
      <c r="A1871" s="18" t="s">
        <v>210</v>
      </c>
      <c r="B1871" s="18" t="s">
        <v>207</v>
      </c>
      <c r="C1871" s="18" t="s">
        <v>211</v>
      </c>
      <c r="D1871" s="49" t="n">
        <v>46357</v>
      </c>
      <c r="E1871" s="18" t="s">
        <v>106</v>
      </c>
      <c r="F1871" s="18" t="s">
        <v>99</v>
      </c>
      <c r="G1871" s="18" t="s">
        <v>100</v>
      </c>
      <c r="H1871" s="18" t="s">
        <v>107</v>
      </c>
      <c r="I1871" s="18" t="s">
        <v>102</v>
      </c>
      <c r="J1871" s="18" t="s">
        <v>230</v>
      </c>
      <c r="K1871" s="18" t="s">
        <v>195</v>
      </c>
      <c r="L1871" s="64" t="n">
        <v>8574.749479296</v>
      </c>
      <c r="M1871" s="64" t="n">
        <v>7.86</v>
      </c>
      <c r="N1871" s="18" t="s">
        <v>1811</v>
      </c>
      <c r="O1871" s="65" t="n">
        <v>67397.5309</v>
      </c>
      <c r="P1871" s="65"/>
      <c r="Q1871" s="65"/>
      <c r="R1871" s="65" t="s">
        <v>232</v>
      </c>
      <c r="S1871" s="66" t="n">
        <f aca="false">Model_Calc!AF316</f>
        <v>67397.5309072666</v>
      </c>
      <c r="T1871" s="66" t="n">
        <f aca="false">ROUND(S1871-O1871,4)</f>
        <v>0</v>
      </c>
    </row>
    <row r="1872" customFormat="false" ht="15" hidden="false" customHeight="false" outlineLevel="0" collapsed="false">
      <c r="A1872" s="18" t="s">
        <v>210</v>
      </c>
      <c r="B1872" s="18" t="s">
        <v>207</v>
      </c>
      <c r="C1872" s="18" t="s">
        <v>211</v>
      </c>
      <c r="D1872" s="49" t="n">
        <v>46357</v>
      </c>
      <c r="E1872" s="18" t="s">
        <v>106</v>
      </c>
      <c r="F1872" s="18" t="s">
        <v>99</v>
      </c>
      <c r="G1872" s="18" t="s">
        <v>100</v>
      </c>
      <c r="H1872" s="18" t="s">
        <v>107</v>
      </c>
      <c r="I1872" s="18" t="s">
        <v>102</v>
      </c>
      <c r="J1872" s="18" t="s">
        <v>233</v>
      </c>
      <c r="K1872" s="18" t="s">
        <v>195</v>
      </c>
      <c r="L1872" s="64" t="n">
        <v>654.79905114624</v>
      </c>
      <c r="M1872" s="64" t="n">
        <v>7.86</v>
      </c>
      <c r="N1872" s="18" t="s">
        <v>1812</v>
      </c>
      <c r="O1872" s="65" t="n">
        <v>5146.7205</v>
      </c>
      <c r="P1872" s="65"/>
      <c r="Q1872" s="65"/>
      <c r="R1872" s="65" t="s">
        <v>232</v>
      </c>
      <c r="S1872" s="66" t="n">
        <f aca="false">Model_Calc!AG316</f>
        <v>5146.72054200945</v>
      </c>
      <c r="T1872" s="66" t="n">
        <f aca="false">ROUND(S1872-O1872,4)</f>
        <v>0</v>
      </c>
    </row>
    <row r="1873" customFormat="false" ht="15" hidden="false" customHeight="false" outlineLevel="0" collapsed="false">
      <c r="A1873" s="18" t="s">
        <v>210</v>
      </c>
      <c r="B1873" s="18" t="s">
        <v>207</v>
      </c>
      <c r="C1873" s="18" t="s">
        <v>211</v>
      </c>
      <c r="D1873" s="49" t="n">
        <v>46357</v>
      </c>
      <c r="E1873" s="18" t="s">
        <v>106</v>
      </c>
      <c r="F1873" s="18" t="s">
        <v>99</v>
      </c>
      <c r="G1873" s="18" t="s">
        <v>100</v>
      </c>
      <c r="H1873" s="18" t="s">
        <v>107</v>
      </c>
      <c r="I1873" s="18" t="s">
        <v>102</v>
      </c>
      <c r="J1873" s="18" t="s">
        <v>235</v>
      </c>
      <c r="K1873" s="18" t="s">
        <v>195</v>
      </c>
      <c r="L1873" s="64" t="n">
        <v>4479.84846345438</v>
      </c>
      <c r="M1873" s="64" t="n">
        <v>7.86</v>
      </c>
      <c r="N1873" s="18" t="s">
        <v>1581</v>
      </c>
      <c r="O1873" s="65" t="n">
        <v>35211.6089</v>
      </c>
      <c r="P1873" s="65"/>
      <c r="Q1873" s="65"/>
      <c r="R1873" s="65" t="s">
        <v>232</v>
      </c>
      <c r="S1873" s="66" t="n">
        <f aca="false">Model_Calc!AL316</f>
        <v>35211.6089227514</v>
      </c>
      <c r="T1873" s="66" t="n">
        <f aca="false">ROUND(S1873-O1873,4)</f>
        <v>0</v>
      </c>
    </row>
    <row r="1874" customFormat="false" ht="15" hidden="false" customHeight="false" outlineLevel="0" collapsed="false">
      <c r="A1874" s="18" t="s">
        <v>210</v>
      </c>
      <c r="B1874" s="18" t="s">
        <v>207</v>
      </c>
      <c r="C1874" s="18" t="s">
        <v>211</v>
      </c>
      <c r="D1874" s="49" t="n">
        <v>46357</v>
      </c>
      <c r="E1874" s="18" t="s">
        <v>106</v>
      </c>
      <c r="F1874" s="18" t="s">
        <v>99</v>
      </c>
      <c r="G1874" s="18" t="s">
        <v>100</v>
      </c>
      <c r="H1874" s="18" t="s">
        <v>107</v>
      </c>
      <c r="I1874" s="18" t="s">
        <v>102</v>
      </c>
      <c r="J1874" s="18" t="s">
        <v>237</v>
      </c>
      <c r="K1874" s="18" t="s">
        <v>195</v>
      </c>
      <c r="L1874" s="64" t="n">
        <v>1620.78973056</v>
      </c>
      <c r="M1874" s="64" t="n">
        <v>7.86</v>
      </c>
      <c r="N1874" s="18" t="s">
        <v>1813</v>
      </c>
      <c r="O1874" s="65" t="n">
        <v>12739.4073</v>
      </c>
      <c r="P1874" s="65"/>
      <c r="Q1874" s="65"/>
      <c r="R1874" s="65" t="s">
        <v>232</v>
      </c>
      <c r="S1874" s="66" t="n">
        <f aca="false">Model_Calc!AQ316</f>
        <v>12739.4072822016</v>
      </c>
      <c r="T1874" s="66" t="n">
        <f aca="false">ROUND(S1874-O1874,4)</f>
        <v>0</v>
      </c>
    </row>
    <row r="1875" customFormat="false" ht="15" hidden="false" customHeight="false" outlineLevel="0" collapsed="false">
      <c r="A1875" s="18" t="s">
        <v>210</v>
      </c>
      <c r="B1875" s="18" t="s">
        <v>207</v>
      </c>
      <c r="C1875" s="18" t="s">
        <v>211</v>
      </c>
      <c r="D1875" s="49" t="n">
        <v>46357</v>
      </c>
      <c r="E1875" s="18" t="s">
        <v>106</v>
      </c>
      <c r="F1875" s="18" t="s">
        <v>99</v>
      </c>
      <c r="G1875" s="18" t="s">
        <v>100</v>
      </c>
      <c r="H1875" s="18" t="s">
        <v>107</v>
      </c>
      <c r="I1875" s="18" t="s">
        <v>102</v>
      </c>
      <c r="J1875" s="18" t="s">
        <v>239</v>
      </c>
      <c r="K1875" s="18" t="s">
        <v>195</v>
      </c>
      <c r="L1875" s="64" t="n">
        <v>588.0416256</v>
      </c>
      <c r="M1875" s="64" t="n">
        <v>7.86</v>
      </c>
      <c r="N1875" s="18" t="s">
        <v>1814</v>
      </c>
      <c r="O1875" s="65" t="n">
        <v>4622.0072</v>
      </c>
      <c r="P1875" s="65"/>
      <c r="Q1875" s="65"/>
      <c r="R1875" s="65" t="s">
        <v>232</v>
      </c>
      <c r="S1875" s="66" t="n">
        <f aca="false">Model_Calc!AV316</f>
        <v>4622.007177216</v>
      </c>
      <c r="T1875" s="66" t="n">
        <f aca="false">ROUND(S1875-O1875,4)</f>
        <v>0</v>
      </c>
    </row>
    <row r="1876" customFormat="false" ht="15" hidden="false" customHeight="false" outlineLevel="0" collapsed="false">
      <c r="A1876" s="18" t="s">
        <v>210</v>
      </c>
      <c r="B1876" s="18" t="s">
        <v>207</v>
      </c>
      <c r="C1876" s="18" t="s">
        <v>211</v>
      </c>
      <c r="D1876" s="49" t="n">
        <v>46357</v>
      </c>
      <c r="E1876" s="18" t="s">
        <v>106</v>
      </c>
      <c r="F1876" s="18" t="s">
        <v>99</v>
      </c>
      <c r="G1876" s="18" t="s">
        <v>100</v>
      </c>
      <c r="H1876" s="18" t="s">
        <v>107</v>
      </c>
      <c r="I1876" s="18" t="s">
        <v>102</v>
      </c>
      <c r="J1876" s="18" t="s">
        <v>241</v>
      </c>
      <c r="K1876" s="18" t="s">
        <v>195</v>
      </c>
      <c r="L1876" s="64" t="n">
        <v>115.3847927232</v>
      </c>
      <c r="M1876" s="64" t="n">
        <v>7.86</v>
      </c>
      <c r="N1876" s="18" t="s">
        <v>1815</v>
      </c>
      <c r="O1876" s="65" t="n">
        <v>906.9245</v>
      </c>
      <c r="P1876" s="65"/>
      <c r="Q1876" s="65"/>
      <c r="R1876" s="65" t="s">
        <v>232</v>
      </c>
      <c r="S1876" s="66" t="n">
        <f aca="false">Model_Calc!BA316</f>
        <v>906.924470804352</v>
      </c>
      <c r="T1876" s="66" t="n">
        <f aca="false">ROUND(S1876-O1876,4)</f>
        <v>0</v>
      </c>
    </row>
    <row r="1877" customFormat="false" ht="15" hidden="false" customHeight="false" outlineLevel="0" collapsed="false">
      <c r="A1877" s="18" t="s">
        <v>210</v>
      </c>
      <c r="B1877" s="18" t="s">
        <v>207</v>
      </c>
      <c r="C1877" s="18" t="s">
        <v>211</v>
      </c>
      <c r="D1877" s="49" t="n">
        <v>46357</v>
      </c>
      <c r="E1877" s="18" t="s">
        <v>109</v>
      </c>
      <c r="F1877" s="18" t="s">
        <v>99</v>
      </c>
      <c r="G1877" s="18" t="s">
        <v>110</v>
      </c>
      <c r="H1877" s="18" t="s">
        <v>107</v>
      </c>
      <c r="I1877" s="18" t="s">
        <v>102</v>
      </c>
      <c r="J1877" s="18" t="s">
        <v>230</v>
      </c>
      <c r="K1877" s="18" t="s">
        <v>195</v>
      </c>
      <c r="L1877" s="64" t="n">
        <v>879.70110269184</v>
      </c>
      <c r="M1877" s="64" t="n">
        <v>7.86</v>
      </c>
      <c r="N1877" s="18" t="s">
        <v>1816</v>
      </c>
      <c r="O1877" s="65" t="n">
        <v>6914.4507</v>
      </c>
      <c r="P1877" s="65"/>
      <c r="Q1877" s="65"/>
      <c r="R1877" s="65" t="s">
        <v>232</v>
      </c>
      <c r="S1877" s="66" t="n">
        <f aca="false">Model_Calc!AF317</f>
        <v>6914.45066715787</v>
      </c>
      <c r="T1877" s="66" t="n">
        <f aca="false">ROUND(S1877-O1877,4)</f>
        <v>0</v>
      </c>
    </row>
    <row r="1878" customFormat="false" ht="15" hidden="false" customHeight="false" outlineLevel="0" collapsed="false">
      <c r="A1878" s="18" t="s">
        <v>210</v>
      </c>
      <c r="B1878" s="18" t="s">
        <v>207</v>
      </c>
      <c r="C1878" s="18" t="s">
        <v>211</v>
      </c>
      <c r="D1878" s="49" t="n">
        <v>46357</v>
      </c>
      <c r="E1878" s="18" t="s">
        <v>109</v>
      </c>
      <c r="F1878" s="18" t="s">
        <v>99</v>
      </c>
      <c r="G1878" s="18" t="s">
        <v>110</v>
      </c>
      <c r="H1878" s="18" t="s">
        <v>107</v>
      </c>
      <c r="I1878" s="18" t="s">
        <v>102</v>
      </c>
      <c r="J1878" s="18" t="s">
        <v>233</v>
      </c>
      <c r="K1878" s="18" t="s">
        <v>195</v>
      </c>
      <c r="L1878" s="64" t="n">
        <v>63.978262013952</v>
      </c>
      <c r="M1878" s="64" t="n">
        <v>7.86</v>
      </c>
      <c r="N1878" s="18" t="s">
        <v>1817</v>
      </c>
      <c r="O1878" s="65" t="n">
        <v>502.8691</v>
      </c>
      <c r="P1878" s="65"/>
      <c r="Q1878" s="65"/>
      <c r="R1878" s="65" t="s">
        <v>232</v>
      </c>
      <c r="S1878" s="66" t="n">
        <f aca="false">Model_Calc!AG317</f>
        <v>502.869139429663</v>
      </c>
      <c r="T1878" s="66" t="n">
        <f aca="false">ROUND(S1878-O1878,4)</f>
        <v>0</v>
      </c>
    </row>
    <row r="1879" customFormat="false" ht="15" hidden="false" customHeight="false" outlineLevel="0" collapsed="false">
      <c r="A1879" s="18" t="s">
        <v>210</v>
      </c>
      <c r="B1879" s="18" t="s">
        <v>207</v>
      </c>
      <c r="C1879" s="18" t="s">
        <v>211</v>
      </c>
      <c r="D1879" s="49" t="n">
        <v>46357</v>
      </c>
      <c r="E1879" s="18" t="s">
        <v>109</v>
      </c>
      <c r="F1879" s="18" t="s">
        <v>99</v>
      </c>
      <c r="G1879" s="18" t="s">
        <v>110</v>
      </c>
      <c r="H1879" s="18" t="s">
        <v>107</v>
      </c>
      <c r="I1879" s="18" t="s">
        <v>102</v>
      </c>
      <c r="J1879" s="18" t="s">
        <v>235</v>
      </c>
      <c r="K1879" s="18" t="s">
        <v>195</v>
      </c>
      <c r="L1879" s="64" t="n">
        <v>298.37808</v>
      </c>
      <c r="M1879" s="64" t="n">
        <v>7.86</v>
      </c>
      <c r="N1879" s="18" t="s">
        <v>1818</v>
      </c>
      <c r="O1879" s="65" t="n">
        <v>2345.2517</v>
      </c>
      <c r="P1879" s="65"/>
      <c r="Q1879" s="65"/>
      <c r="R1879" s="65" t="s">
        <v>232</v>
      </c>
      <c r="S1879" s="66" t="n">
        <f aca="false">Model_Calc!AL317</f>
        <v>2345.2517088</v>
      </c>
      <c r="T1879" s="66" t="n">
        <f aca="false">ROUND(S1879-O1879,4)</f>
        <v>0</v>
      </c>
    </row>
    <row r="1880" customFormat="false" ht="15" hidden="false" customHeight="false" outlineLevel="0" collapsed="false">
      <c r="A1880" s="18" t="s">
        <v>210</v>
      </c>
      <c r="B1880" s="18" t="s">
        <v>207</v>
      </c>
      <c r="C1880" s="18" t="s">
        <v>211</v>
      </c>
      <c r="D1880" s="49" t="n">
        <v>46357</v>
      </c>
      <c r="E1880" s="18" t="s">
        <v>109</v>
      </c>
      <c r="F1880" s="18" t="s">
        <v>99</v>
      </c>
      <c r="G1880" s="18" t="s">
        <v>110</v>
      </c>
      <c r="H1880" s="18" t="s">
        <v>107</v>
      </c>
      <c r="I1880" s="18" t="s">
        <v>102</v>
      </c>
      <c r="J1880" s="18" t="s">
        <v>237</v>
      </c>
      <c r="K1880" s="18" t="s">
        <v>195</v>
      </c>
      <c r="L1880" s="64" t="n">
        <v>116.62320384</v>
      </c>
      <c r="M1880" s="64" t="n">
        <v>7.86</v>
      </c>
      <c r="N1880" s="18" t="s">
        <v>1819</v>
      </c>
      <c r="O1880" s="65" t="n">
        <v>916.6584</v>
      </c>
      <c r="P1880" s="65"/>
      <c r="Q1880" s="65"/>
      <c r="R1880" s="65" t="s">
        <v>232</v>
      </c>
      <c r="S1880" s="66" t="n">
        <f aca="false">Model_Calc!AQ317</f>
        <v>916.6583821824</v>
      </c>
      <c r="T1880" s="66" t="n">
        <f aca="false">ROUND(S1880-O1880,4)</f>
        <v>0</v>
      </c>
    </row>
    <row r="1881" customFormat="false" ht="15" hidden="false" customHeight="false" outlineLevel="0" collapsed="false">
      <c r="A1881" s="18" t="s">
        <v>210</v>
      </c>
      <c r="B1881" s="18" t="s">
        <v>207</v>
      </c>
      <c r="C1881" s="18" t="s">
        <v>211</v>
      </c>
      <c r="D1881" s="49" t="n">
        <v>46357</v>
      </c>
      <c r="E1881" s="18" t="s">
        <v>109</v>
      </c>
      <c r="F1881" s="18" t="s">
        <v>99</v>
      </c>
      <c r="G1881" s="18" t="s">
        <v>110</v>
      </c>
      <c r="H1881" s="18" t="s">
        <v>107</v>
      </c>
      <c r="I1881" s="18" t="s">
        <v>102</v>
      </c>
      <c r="J1881" s="18" t="s">
        <v>239</v>
      </c>
      <c r="K1881" s="18" t="s">
        <v>195</v>
      </c>
      <c r="L1881" s="64" t="n">
        <v>53.992224</v>
      </c>
      <c r="M1881" s="64" t="n">
        <v>7.86</v>
      </c>
      <c r="N1881" s="18" t="s">
        <v>1820</v>
      </c>
      <c r="O1881" s="65" t="n">
        <v>424.3789</v>
      </c>
      <c r="P1881" s="65"/>
      <c r="Q1881" s="65"/>
      <c r="R1881" s="65" t="s">
        <v>232</v>
      </c>
      <c r="S1881" s="66" t="n">
        <f aca="false">Model_Calc!AV317</f>
        <v>424.37888064</v>
      </c>
      <c r="T1881" s="66" t="n">
        <f aca="false">ROUND(S1881-O1881,4)</f>
        <v>0</v>
      </c>
    </row>
    <row r="1882" customFormat="false" ht="15" hidden="false" customHeight="false" outlineLevel="0" collapsed="false">
      <c r="A1882" s="18" t="s">
        <v>210</v>
      </c>
      <c r="B1882" s="18" t="s">
        <v>207</v>
      </c>
      <c r="C1882" s="18" t="s">
        <v>211</v>
      </c>
      <c r="D1882" s="49" t="n">
        <v>46357</v>
      </c>
      <c r="E1882" s="18" t="s">
        <v>109</v>
      </c>
      <c r="F1882" s="18" t="s">
        <v>99</v>
      </c>
      <c r="G1882" s="18" t="s">
        <v>110</v>
      </c>
      <c r="H1882" s="18" t="s">
        <v>107</v>
      </c>
      <c r="I1882" s="18" t="s">
        <v>102</v>
      </c>
      <c r="J1882" s="18" t="s">
        <v>241</v>
      </c>
      <c r="K1882" s="18" t="s">
        <v>195</v>
      </c>
      <c r="L1882" s="64" t="n">
        <v>9.8822820096</v>
      </c>
      <c r="M1882" s="64" t="n">
        <v>7.86</v>
      </c>
      <c r="N1882" s="18" t="s">
        <v>1821</v>
      </c>
      <c r="O1882" s="65" t="n">
        <v>77.6747</v>
      </c>
      <c r="P1882" s="65"/>
      <c r="Q1882" s="65"/>
      <c r="R1882" s="65" t="s">
        <v>232</v>
      </c>
      <c r="S1882" s="66" t="n">
        <f aca="false">Model_Calc!BA317</f>
        <v>77.674736595456</v>
      </c>
      <c r="T1882" s="66" t="n">
        <f aca="false">ROUND(S1882-O1882,4)</f>
        <v>0</v>
      </c>
    </row>
    <row r="1883" customFormat="false" ht="15" hidden="false" customHeight="false" outlineLevel="0" collapsed="false">
      <c r="A1883" s="18" t="s">
        <v>210</v>
      </c>
      <c r="B1883" s="18" t="s">
        <v>207</v>
      </c>
      <c r="C1883" s="18" t="s">
        <v>211</v>
      </c>
      <c r="D1883" s="49" t="n">
        <v>46357</v>
      </c>
      <c r="E1883" s="18" t="s">
        <v>112</v>
      </c>
      <c r="F1883" s="18" t="s">
        <v>113</v>
      </c>
      <c r="G1883" s="18" t="s">
        <v>110</v>
      </c>
      <c r="H1883" s="18" t="s">
        <v>101</v>
      </c>
      <c r="I1883" s="18" t="s">
        <v>102</v>
      </c>
      <c r="J1883" s="18" t="s">
        <v>230</v>
      </c>
      <c r="K1883" s="18" t="s">
        <v>195</v>
      </c>
      <c r="L1883" s="64" t="n">
        <v>4956.6994324848</v>
      </c>
      <c r="M1883" s="64" t="n">
        <v>7.86</v>
      </c>
      <c r="N1883" s="18" t="s">
        <v>1822</v>
      </c>
      <c r="O1883" s="65" t="n">
        <v>38959.6575</v>
      </c>
      <c r="P1883" s="65"/>
      <c r="Q1883" s="65"/>
      <c r="R1883" s="65" t="s">
        <v>232</v>
      </c>
      <c r="S1883" s="66" t="n">
        <f aca="false">Model_Calc!AF318</f>
        <v>38959.6575393305</v>
      </c>
      <c r="T1883" s="66" t="n">
        <f aca="false">ROUND(S1883-O1883,4)</f>
        <v>0</v>
      </c>
    </row>
    <row r="1884" customFormat="false" ht="15" hidden="false" customHeight="false" outlineLevel="0" collapsed="false">
      <c r="A1884" s="18" t="s">
        <v>210</v>
      </c>
      <c r="B1884" s="18" t="s">
        <v>207</v>
      </c>
      <c r="C1884" s="18" t="s">
        <v>211</v>
      </c>
      <c r="D1884" s="49" t="n">
        <v>46357</v>
      </c>
      <c r="E1884" s="18" t="s">
        <v>112</v>
      </c>
      <c r="F1884" s="18" t="s">
        <v>113</v>
      </c>
      <c r="G1884" s="18" t="s">
        <v>110</v>
      </c>
      <c r="H1884" s="18" t="s">
        <v>101</v>
      </c>
      <c r="I1884" s="18" t="s">
        <v>102</v>
      </c>
      <c r="J1884" s="18" t="s">
        <v>233</v>
      </c>
      <c r="K1884" s="18" t="s">
        <v>195</v>
      </c>
      <c r="L1884" s="64" t="n">
        <v>461.716552135959</v>
      </c>
      <c r="M1884" s="64" t="n">
        <v>7.86</v>
      </c>
      <c r="N1884" s="18" t="s">
        <v>1823</v>
      </c>
      <c r="O1884" s="65" t="n">
        <v>3629.0921</v>
      </c>
      <c r="P1884" s="65"/>
      <c r="Q1884" s="65"/>
      <c r="R1884" s="65" t="s">
        <v>232</v>
      </c>
      <c r="S1884" s="66" t="n">
        <f aca="false">Model_Calc!AG318</f>
        <v>3629.09209978864</v>
      </c>
      <c r="T1884" s="66" t="n">
        <f aca="false">ROUND(S1884-O1884,4)</f>
        <v>0</v>
      </c>
    </row>
    <row r="1885" customFormat="false" ht="15" hidden="false" customHeight="false" outlineLevel="0" collapsed="false">
      <c r="A1885" s="18" t="s">
        <v>210</v>
      </c>
      <c r="B1885" s="18" t="s">
        <v>207</v>
      </c>
      <c r="C1885" s="18" t="s">
        <v>211</v>
      </c>
      <c r="D1885" s="49" t="n">
        <v>46357</v>
      </c>
      <c r="E1885" s="18" t="s">
        <v>112</v>
      </c>
      <c r="F1885" s="18" t="s">
        <v>113</v>
      </c>
      <c r="G1885" s="18" t="s">
        <v>110</v>
      </c>
      <c r="H1885" s="18" t="s">
        <v>101</v>
      </c>
      <c r="I1885" s="18" t="s">
        <v>102</v>
      </c>
      <c r="J1885" s="18" t="s">
        <v>235</v>
      </c>
      <c r="K1885" s="18" t="s">
        <v>195</v>
      </c>
      <c r="L1885" s="64" t="n">
        <v>3045.9429</v>
      </c>
      <c r="M1885" s="64" t="n">
        <v>7.86</v>
      </c>
      <c r="N1885" s="18" t="s">
        <v>1824</v>
      </c>
      <c r="O1885" s="65" t="n">
        <v>23941.1112</v>
      </c>
      <c r="P1885" s="65"/>
      <c r="Q1885" s="65"/>
      <c r="R1885" s="65" t="s">
        <v>232</v>
      </c>
      <c r="S1885" s="66" t="n">
        <f aca="false">Model_Calc!AL318</f>
        <v>23941.111194</v>
      </c>
      <c r="T1885" s="66" t="n">
        <f aca="false">ROUND(S1885-O1885,4)</f>
        <v>0</v>
      </c>
    </row>
    <row r="1886" customFormat="false" ht="15" hidden="false" customHeight="false" outlineLevel="0" collapsed="false">
      <c r="A1886" s="18" t="s">
        <v>210</v>
      </c>
      <c r="B1886" s="18" t="s">
        <v>207</v>
      </c>
      <c r="C1886" s="18" t="s">
        <v>211</v>
      </c>
      <c r="D1886" s="49" t="n">
        <v>46357</v>
      </c>
      <c r="E1886" s="18" t="s">
        <v>112</v>
      </c>
      <c r="F1886" s="18" t="s">
        <v>113</v>
      </c>
      <c r="G1886" s="18" t="s">
        <v>110</v>
      </c>
      <c r="H1886" s="18" t="s">
        <v>101</v>
      </c>
      <c r="I1886" s="18" t="s">
        <v>102</v>
      </c>
      <c r="J1886" s="18" t="s">
        <v>237</v>
      </c>
      <c r="K1886" s="18" t="s">
        <v>195</v>
      </c>
      <c r="L1886" s="64" t="n">
        <v>1168.4817144</v>
      </c>
      <c r="M1886" s="64" t="n">
        <v>7.86</v>
      </c>
      <c r="N1886" s="18" t="s">
        <v>1825</v>
      </c>
      <c r="O1886" s="65" t="n">
        <v>9184.2663</v>
      </c>
      <c r="P1886" s="65"/>
      <c r="Q1886" s="65"/>
      <c r="R1886" s="65" t="s">
        <v>232</v>
      </c>
      <c r="S1886" s="66" t="n">
        <f aca="false">Model_Calc!AQ318</f>
        <v>9184.266275184</v>
      </c>
      <c r="T1886" s="66" t="n">
        <f aca="false">ROUND(S1886-O1886,4)</f>
        <v>0</v>
      </c>
    </row>
    <row r="1887" customFormat="false" ht="15" hidden="false" customHeight="false" outlineLevel="0" collapsed="false">
      <c r="A1887" s="18" t="s">
        <v>210</v>
      </c>
      <c r="B1887" s="18" t="s">
        <v>207</v>
      </c>
      <c r="C1887" s="18" t="s">
        <v>211</v>
      </c>
      <c r="D1887" s="49" t="n">
        <v>46357</v>
      </c>
      <c r="E1887" s="18" t="s">
        <v>112</v>
      </c>
      <c r="F1887" s="18" t="s">
        <v>113</v>
      </c>
      <c r="G1887" s="18" t="s">
        <v>110</v>
      </c>
      <c r="H1887" s="18" t="s">
        <v>101</v>
      </c>
      <c r="I1887" s="18" t="s">
        <v>102</v>
      </c>
      <c r="J1887" s="18" t="s">
        <v>239</v>
      </c>
      <c r="K1887" s="18" t="s">
        <v>195</v>
      </c>
      <c r="L1887" s="64" t="n">
        <v>522.16164</v>
      </c>
      <c r="M1887" s="64" t="n">
        <v>7.86</v>
      </c>
      <c r="N1887" s="18" t="s">
        <v>1826</v>
      </c>
      <c r="O1887" s="65" t="n">
        <v>4104.1905</v>
      </c>
      <c r="P1887" s="65"/>
      <c r="Q1887" s="65"/>
      <c r="R1887" s="65" t="s">
        <v>232</v>
      </c>
      <c r="S1887" s="66" t="n">
        <f aca="false">Model_Calc!AV318</f>
        <v>4104.1904904</v>
      </c>
      <c r="T1887" s="66" t="n">
        <f aca="false">ROUND(S1887-O1887,4)</f>
        <v>0</v>
      </c>
    </row>
    <row r="1888" customFormat="false" ht="15" hidden="false" customHeight="false" outlineLevel="0" collapsed="false">
      <c r="A1888" s="18" t="s">
        <v>210</v>
      </c>
      <c r="B1888" s="18" t="s">
        <v>207</v>
      </c>
      <c r="C1888" s="18" t="s">
        <v>211</v>
      </c>
      <c r="D1888" s="49" t="n">
        <v>46357</v>
      </c>
      <c r="E1888" s="18" t="s">
        <v>112</v>
      </c>
      <c r="F1888" s="18" t="s">
        <v>113</v>
      </c>
      <c r="G1888" s="18" t="s">
        <v>110</v>
      </c>
      <c r="H1888" s="18" t="s">
        <v>101</v>
      </c>
      <c r="I1888" s="18" t="s">
        <v>102</v>
      </c>
      <c r="J1888" s="18" t="s">
        <v>241</v>
      </c>
      <c r="K1888" s="18" t="s">
        <v>195</v>
      </c>
      <c r="L1888" s="64" t="n">
        <v>120.230618508</v>
      </c>
      <c r="M1888" s="64" t="n">
        <v>7.86</v>
      </c>
      <c r="N1888" s="18" t="s">
        <v>1827</v>
      </c>
      <c r="O1888" s="65" t="n">
        <v>945.0127</v>
      </c>
      <c r="P1888" s="65"/>
      <c r="Q1888" s="65"/>
      <c r="R1888" s="65" t="s">
        <v>232</v>
      </c>
      <c r="S1888" s="66" t="n">
        <f aca="false">Model_Calc!BA318</f>
        <v>945.01266147288</v>
      </c>
      <c r="T1888" s="66" t="n">
        <f aca="false">ROUND(S1888-O1888,4)</f>
        <v>0</v>
      </c>
    </row>
    <row r="1889" customFormat="false" ht="15" hidden="false" customHeight="false" outlineLevel="0" collapsed="false">
      <c r="A1889" s="18" t="s">
        <v>210</v>
      </c>
      <c r="B1889" s="18" t="s">
        <v>207</v>
      </c>
      <c r="C1889" s="18" t="s">
        <v>211</v>
      </c>
      <c r="D1889" s="49" t="n">
        <v>46357</v>
      </c>
      <c r="E1889" s="18" t="s">
        <v>116</v>
      </c>
      <c r="F1889" s="18" t="s">
        <v>113</v>
      </c>
      <c r="G1889" s="18" t="s">
        <v>110</v>
      </c>
      <c r="H1889" s="18" t="s">
        <v>107</v>
      </c>
      <c r="I1889" s="18" t="s">
        <v>102</v>
      </c>
      <c r="J1889" s="18" t="s">
        <v>230</v>
      </c>
      <c r="K1889" s="18" t="s">
        <v>195</v>
      </c>
      <c r="L1889" s="64" t="n">
        <v>11846.9198215368</v>
      </c>
      <c r="M1889" s="64" t="n">
        <v>7.86</v>
      </c>
      <c r="N1889" s="18" t="s">
        <v>1828</v>
      </c>
      <c r="O1889" s="65" t="n">
        <v>93116.7898</v>
      </c>
      <c r="P1889" s="65"/>
      <c r="Q1889" s="65"/>
      <c r="R1889" s="65" t="s">
        <v>232</v>
      </c>
      <c r="S1889" s="66" t="n">
        <f aca="false">Model_Calc!AF319</f>
        <v>93116.7897972793</v>
      </c>
      <c r="T1889" s="66" t="n">
        <f aca="false">ROUND(S1889-O1889,4)</f>
        <v>0</v>
      </c>
    </row>
    <row r="1890" customFormat="false" ht="15" hidden="false" customHeight="false" outlineLevel="0" collapsed="false">
      <c r="A1890" s="18" t="s">
        <v>210</v>
      </c>
      <c r="B1890" s="18" t="s">
        <v>207</v>
      </c>
      <c r="C1890" s="18" t="s">
        <v>211</v>
      </c>
      <c r="D1890" s="49" t="n">
        <v>46357</v>
      </c>
      <c r="E1890" s="18" t="s">
        <v>116</v>
      </c>
      <c r="F1890" s="18" t="s">
        <v>113</v>
      </c>
      <c r="G1890" s="18" t="s">
        <v>110</v>
      </c>
      <c r="H1890" s="18" t="s">
        <v>107</v>
      </c>
      <c r="I1890" s="18" t="s">
        <v>102</v>
      </c>
      <c r="J1890" s="18" t="s">
        <v>233</v>
      </c>
      <c r="K1890" s="18" t="s">
        <v>195</v>
      </c>
      <c r="L1890" s="64" t="n">
        <v>911.3015247336</v>
      </c>
      <c r="M1890" s="64" t="n">
        <v>7.86</v>
      </c>
      <c r="N1890" s="18" t="s">
        <v>1829</v>
      </c>
      <c r="O1890" s="65" t="n">
        <v>7162.83</v>
      </c>
      <c r="P1890" s="65"/>
      <c r="Q1890" s="65"/>
      <c r="R1890" s="65" t="s">
        <v>232</v>
      </c>
      <c r="S1890" s="66" t="n">
        <f aca="false">Model_Calc!AG319</f>
        <v>7162.8299844061</v>
      </c>
      <c r="T1890" s="66" t="n">
        <f aca="false">ROUND(S1890-O1890,4)</f>
        <v>0</v>
      </c>
    </row>
    <row r="1891" customFormat="false" ht="15" hidden="false" customHeight="false" outlineLevel="0" collapsed="false">
      <c r="A1891" s="18" t="s">
        <v>210</v>
      </c>
      <c r="B1891" s="18" t="s">
        <v>207</v>
      </c>
      <c r="C1891" s="18" t="s">
        <v>211</v>
      </c>
      <c r="D1891" s="49" t="n">
        <v>46357</v>
      </c>
      <c r="E1891" s="18" t="s">
        <v>116</v>
      </c>
      <c r="F1891" s="18" t="s">
        <v>113</v>
      </c>
      <c r="G1891" s="18" t="s">
        <v>110</v>
      </c>
      <c r="H1891" s="18" t="s">
        <v>107</v>
      </c>
      <c r="I1891" s="18" t="s">
        <v>102</v>
      </c>
      <c r="J1891" s="18" t="s">
        <v>235</v>
      </c>
      <c r="K1891" s="18" t="s">
        <v>195</v>
      </c>
      <c r="L1891" s="64" t="n">
        <v>5656.7511</v>
      </c>
      <c r="M1891" s="64" t="n">
        <v>7.86</v>
      </c>
      <c r="N1891" s="18" t="s">
        <v>1830</v>
      </c>
      <c r="O1891" s="65" t="n">
        <v>44462.0636</v>
      </c>
      <c r="P1891" s="65"/>
      <c r="Q1891" s="65"/>
      <c r="R1891" s="65" t="s">
        <v>232</v>
      </c>
      <c r="S1891" s="66" t="n">
        <f aca="false">Model_Calc!AL319</f>
        <v>44462.063646</v>
      </c>
      <c r="T1891" s="66" t="n">
        <f aca="false">ROUND(S1891-O1891,4)</f>
        <v>0</v>
      </c>
    </row>
    <row r="1892" customFormat="false" ht="15" hidden="false" customHeight="false" outlineLevel="0" collapsed="false">
      <c r="A1892" s="18" t="s">
        <v>210</v>
      </c>
      <c r="B1892" s="18" t="s">
        <v>207</v>
      </c>
      <c r="C1892" s="18" t="s">
        <v>211</v>
      </c>
      <c r="D1892" s="49" t="n">
        <v>46357</v>
      </c>
      <c r="E1892" s="18" t="s">
        <v>116</v>
      </c>
      <c r="F1892" s="18" t="s">
        <v>113</v>
      </c>
      <c r="G1892" s="18" t="s">
        <v>110</v>
      </c>
      <c r="H1892" s="18" t="s">
        <v>107</v>
      </c>
      <c r="I1892" s="18" t="s">
        <v>102</v>
      </c>
      <c r="J1892" s="18" t="s">
        <v>237</v>
      </c>
      <c r="K1892" s="18" t="s">
        <v>195</v>
      </c>
      <c r="L1892" s="64" t="n">
        <v>2170.0374696</v>
      </c>
      <c r="M1892" s="64" t="n">
        <v>7.86</v>
      </c>
      <c r="N1892" s="18" t="s">
        <v>1831</v>
      </c>
      <c r="O1892" s="65" t="n">
        <v>17056.4945</v>
      </c>
      <c r="P1892" s="65"/>
      <c r="Q1892" s="65"/>
      <c r="R1892" s="65" t="s">
        <v>232</v>
      </c>
      <c r="S1892" s="66" t="n">
        <f aca="false">Model_Calc!AQ319</f>
        <v>17056.494511056</v>
      </c>
      <c r="T1892" s="66" t="n">
        <f aca="false">ROUND(S1892-O1892,4)</f>
        <v>0</v>
      </c>
    </row>
    <row r="1893" customFormat="false" ht="15" hidden="false" customHeight="false" outlineLevel="0" collapsed="false">
      <c r="A1893" s="18" t="s">
        <v>210</v>
      </c>
      <c r="B1893" s="18" t="s">
        <v>207</v>
      </c>
      <c r="C1893" s="18" t="s">
        <v>211</v>
      </c>
      <c r="D1893" s="49" t="n">
        <v>46357</v>
      </c>
      <c r="E1893" s="18" t="s">
        <v>116</v>
      </c>
      <c r="F1893" s="18" t="s">
        <v>113</v>
      </c>
      <c r="G1893" s="18" t="s">
        <v>110</v>
      </c>
      <c r="H1893" s="18" t="s">
        <v>107</v>
      </c>
      <c r="I1893" s="18" t="s">
        <v>102</v>
      </c>
      <c r="J1893" s="18" t="s">
        <v>239</v>
      </c>
      <c r="K1893" s="18" t="s">
        <v>195</v>
      </c>
      <c r="L1893" s="64" t="n">
        <v>969.72876</v>
      </c>
      <c r="M1893" s="64" t="n">
        <v>7.86</v>
      </c>
      <c r="N1893" s="18" t="s">
        <v>1832</v>
      </c>
      <c r="O1893" s="65" t="n">
        <v>7622.0681</v>
      </c>
      <c r="P1893" s="65"/>
      <c r="Q1893" s="65"/>
      <c r="R1893" s="65" t="s">
        <v>232</v>
      </c>
      <c r="S1893" s="66" t="n">
        <f aca="false">Model_Calc!AV319</f>
        <v>7622.0680536</v>
      </c>
      <c r="T1893" s="66" t="n">
        <f aca="false">ROUND(S1893-O1893,4)</f>
        <v>0</v>
      </c>
    </row>
    <row r="1894" customFormat="false" ht="15" hidden="false" customHeight="false" outlineLevel="0" collapsed="false">
      <c r="A1894" s="18" t="s">
        <v>210</v>
      </c>
      <c r="B1894" s="18" t="s">
        <v>207</v>
      </c>
      <c r="C1894" s="18" t="s">
        <v>211</v>
      </c>
      <c r="D1894" s="49" t="n">
        <v>46357</v>
      </c>
      <c r="E1894" s="18" t="s">
        <v>116</v>
      </c>
      <c r="F1894" s="18" t="s">
        <v>113</v>
      </c>
      <c r="G1894" s="18" t="s">
        <v>110</v>
      </c>
      <c r="H1894" s="18" t="s">
        <v>107</v>
      </c>
      <c r="I1894" s="18" t="s">
        <v>102</v>
      </c>
      <c r="J1894" s="18" t="s">
        <v>241</v>
      </c>
      <c r="K1894" s="18" t="s">
        <v>195</v>
      </c>
      <c r="L1894" s="64" t="n">
        <v>183.882122424</v>
      </c>
      <c r="M1894" s="64" t="n">
        <v>7.86</v>
      </c>
      <c r="N1894" s="18" t="s">
        <v>1833</v>
      </c>
      <c r="O1894" s="65" t="n">
        <v>1445.3135</v>
      </c>
      <c r="P1894" s="65"/>
      <c r="Q1894" s="65"/>
      <c r="R1894" s="65" t="s">
        <v>232</v>
      </c>
      <c r="S1894" s="66" t="n">
        <f aca="false">Model_Calc!BA319</f>
        <v>1445.31348225264</v>
      </c>
      <c r="T1894" s="66" t="n">
        <f aca="false">ROUND(S1894-O1894,4)</f>
        <v>0</v>
      </c>
    </row>
    <row r="1895" customFormat="false" ht="15" hidden="false" customHeight="false" outlineLevel="0" collapsed="false">
      <c r="A1895" s="18" t="s">
        <v>210</v>
      </c>
      <c r="B1895" s="18" t="s">
        <v>207</v>
      </c>
      <c r="C1895" s="18" t="s">
        <v>211</v>
      </c>
      <c r="D1895" s="49" t="n">
        <v>46357</v>
      </c>
      <c r="E1895" s="18" t="s">
        <v>118</v>
      </c>
      <c r="F1895" s="18" t="s">
        <v>119</v>
      </c>
      <c r="G1895" s="18" t="s">
        <v>100</v>
      </c>
      <c r="H1895" s="18" t="s">
        <v>101</v>
      </c>
      <c r="I1895" s="18" t="s">
        <v>102</v>
      </c>
      <c r="J1895" s="18" t="s">
        <v>230</v>
      </c>
      <c r="K1895" s="18" t="s">
        <v>199</v>
      </c>
      <c r="L1895" s="64" t="n">
        <v>29514.749405588</v>
      </c>
      <c r="M1895" s="64" t="n">
        <v>9</v>
      </c>
      <c r="N1895" s="18" t="s">
        <v>1834</v>
      </c>
      <c r="O1895" s="65" t="n">
        <v>265632.7447</v>
      </c>
      <c r="P1895" s="65"/>
      <c r="Q1895" s="65"/>
      <c r="R1895" s="65" t="s">
        <v>232</v>
      </c>
      <c r="S1895" s="66" t="n">
        <f aca="false">Model_Calc!AF320</f>
        <v>265632.744650292</v>
      </c>
      <c r="T1895" s="66" t="n">
        <f aca="false">ROUND(S1895-O1895,4)</f>
        <v>0</v>
      </c>
    </row>
    <row r="1896" customFormat="false" ht="15" hidden="false" customHeight="false" outlineLevel="0" collapsed="false">
      <c r="A1896" s="18" t="s">
        <v>210</v>
      </c>
      <c r="B1896" s="18" t="s">
        <v>207</v>
      </c>
      <c r="C1896" s="18" t="s">
        <v>211</v>
      </c>
      <c r="D1896" s="49" t="n">
        <v>46357</v>
      </c>
      <c r="E1896" s="18" t="s">
        <v>118</v>
      </c>
      <c r="F1896" s="18" t="s">
        <v>119</v>
      </c>
      <c r="G1896" s="18" t="s">
        <v>100</v>
      </c>
      <c r="H1896" s="18" t="s">
        <v>101</v>
      </c>
      <c r="I1896" s="18" t="s">
        <v>102</v>
      </c>
      <c r="J1896" s="18" t="s">
        <v>233</v>
      </c>
      <c r="K1896" s="18" t="s">
        <v>199</v>
      </c>
      <c r="L1896" s="64" t="n">
        <v>3054.77656347836</v>
      </c>
      <c r="M1896" s="64" t="n">
        <v>9</v>
      </c>
      <c r="N1896" s="18" t="s">
        <v>1835</v>
      </c>
      <c r="O1896" s="65" t="n">
        <v>27492.9891</v>
      </c>
      <c r="P1896" s="65"/>
      <c r="Q1896" s="65"/>
      <c r="R1896" s="65" t="s">
        <v>232</v>
      </c>
      <c r="S1896" s="66" t="n">
        <f aca="false">Model_Calc!AG320</f>
        <v>27492.9890713052</v>
      </c>
      <c r="T1896" s="66" t="n">
        <f aca="false">ROUND(S1896-O1896,4)</f>
        <v>0</v>
      </c>
    </row>
    <row r="1897" customFormat="false" ht="15" hidden="false" customHeight="false" outlineLevel="0" collapsed="false">
      <c r="A1897" s="18" t="s">
        <v>210</v>
      </c>
      <c r="B1897" s="18" t="s">
        <v>207</v>
      </c>
      <c r="C1897" s="18" t="s">
        <v>211</v>
      </c>
      <c r="D1897" s="49" t="n">
        <v>46357</v>
      </c>
      <c r="E1897" s="18" t="s">
        <v>118</v>
      </c>
      <c r="F1897" s="18" t="s">
        <v>119</v>
      </c>
      <c r="G1897" s="18" t="s">
        <v>100</v>
      </c>
      <c r="H1897" s="18" t="s">
        <v>101</v>
      </c>
      <c r="I1897" s="18" t="s">
        <v>102</v>
      </c>
      <c r="J1897" s="18" t="s">
        <v>235</v>
      </c>
      <c r="K1897" s="18" t="s">
        <v>195</v>
      </c>
      <c r="L1897" s="64" t="n">
        <v>7315.54635681622</v>
      </c>
      <c r="M1897" s="64" t="n">
        <v>7.86</v>
      </c>
      <c r="N1897" s="18" t="s">
        <v>1836</v>
      </c>
      <c r="O1897" s="65" t="n">
        <v>57500.1944</v>
      </c>
      <c r="P1897" s="65"/>
      <c r="Q1897" s="65"/>
      <c r="R1897" s="65" t="s">
        <v>232</v>
      </c>
      <c r="S1897" s="66" t="n">
        <f aca="false">Model_Calc!AL320</f>
        <v>57500.1943645755</v>
      </c>
      <c r="T1897" s="66" t="n">
        <f aca="false">ROUND(S1897-O1897,4)</f>
        <v>0</v>
      </c>
    </row>
    <row r="1898" customFormat="false" ht="15" hidden="false" customHeight="false" outlineLevel="0" collapsed="false">
      <c r="A1898" s="18" t="s">
        <v>210</v>
      </c>
      <c r="B1898" s="18" t="s">
        <v>207</v>
      </c>
      <c r="C1898" s="18" t="s">
        <v>211</v>
      </c>
      <c r="D1898" s="49" t="n">
        <v>46357</v>
      </c>
      <c r="E1898" s="18" t="s">
        <v>118</v>
      </c>
      <c r="F1898" s="18" t="s">
        <v>119</v>
      </c>
      <c r="G1898" s="18" t="s">
        <v>100</v>
      </c>
      <c r="H1898" s="18" t="s">
        <v>101</v>
      </c>
      <c r="I1898" s="18" t="s">
        <v>102</v>
      </c>
      <c r="J1898" s="18" t="s">
        <v>237</v>
      </c>
      <c r="K1898" s="18" t="s">
        <v>195</v>
      </c>
      <c r="L1898" s="64" t="n">
        <v>2949.2166832128</v>
      </c>
      <c r="M1898" s="64" t="n">
        <v>7.86</v>
      </c>
      <c r="N1898" s="18" t="s">
        <v>1837</v>
      </c>
      <c r="O1898" s="65" t="n">
        <v>23180.8431</v>
      </c>
      <c r="P1898" s="65"/>
      <c r="Q1898" s="65"/>
      <c r="R1898" s="65" t="s">
        <v>232</v>
      </c>
      <c r="S1898" s="66" t="n">
        <f aca="false">Model_Calc!AQ320</f>
        <v>23180.8431300526</v>
      </c>
      <c r="T1898" s="66" t="n">
        <f aca="false">ROUND(S1898-O1898,4)</f>
        <v>0</v>
      </c>
    </row>
    <row r="1899" customFormat="false" ht="15" hidden="false" customHeight="false" outlineLevel="0" collapsed="false">
      <c r="A1899" s="18" t="s">
        <v>210</v>
      </c>
      <c r="B1899" s="18" t="s">
        <v>207</v>
      </c>
      <c r="C1899" s="18" t="s">
        <v>211</v>
      </c>
      <c r="D1899" s="49" t="n">
        <v>46357</v>
      </c>
      <c r="E1899" s="18" t="s">
        <v>118</v>
      </c>
      <c r="F1899" s="18" t="s">
        <v>119</v>
      </c>
      <c r="G1899" s="18" t="s">
        <v>100</v>
      </c>
      <c r="H1899" s="18" t="s">
        <v>101</v>
      </c>
      <c r="I1899" s="18" t="s">
        <v>102</v>
      </c>
      <c r="J1899" s="18" t="s">
        <v>239</v>
      </c>
      <c r="K1899" s="18" t="s">
        <v>199</v>
      </c>
      <c r="L1899" s="64" t="n">
        <v>2592.717963264</v>
      </c>
      <c r="M1899" s="64" t="n">
        <v>9</v>
      </c>
      <c r="N1899" s="18" t="s">
        <v>1838</v>
      </c>
      <c r="O1899" s="65" t="n">
        <v>23334.4617</v>
      </c>
      <c r="P1899" s="65"/>
      <c r="Q1899" s="65"/>
      <c r="R1899" s="65" t="s">
        <v>232</v>
      </c>
      <c r="S1899" s="66" t="n">
        <f aca="false">Model_Calc!AV320</f>
        <v>23334.461669376</v>
      </c>
      <c r="T1899" s="66" t="n">
        <f aca="false">ROUND(S1899-O1899,4)</f>
        <v>0</v>
      </c>
    </row>
    <row r="1900" customFormat="false" ht="15" hidden="false" customHeight="false" outlineLevel="0" collapsed="false">
      <c r="A1900" s="18" t="s">
        <v>210</v>
      </c>
      <c r="B1900" s="18" t="s">
        <v>207</v>
      </c>
      <c r="C1900" s="18" t="s">
        <v>211</v>
      </c>
      <c r="D1900" s="49" t="n">
        <v>46357</v>
      </c>
      <c r="E1900" s="18" t="s">
        <v>118</v>
      </c>
      <c r="F1900" s="18" t="s">
        <v>119</v>
      </c>
      <c r="G1900" s="18" t="s">
        <v>100</v>
      </c>
      <c r="H1900" s="18" t="s">
        <v>101</v>
      </c>
      <c r="I1900" s="18" t="s">
        <v>102</v>
      </c>
      <c r="J1900" s="18" t="s">
        <v>241</v>
      </c>
      <c r="K1900" s="18" t="s">
        <v>199</v>
      </c>
      <c r="L1900" s="64" t="n">
        <v>436.062752446464</v>
      </c>
      <c r="M1900" s="64" t="n">
        <v>9</v>
      </c>
      <c r="N1900" s="18" t="s">
        <v>1839</v>
      </c>
      <c r="O1900" s="65" t="n">
        <v>3924.5648</v>
      </c>
      <c r="P1900" s="65"/>
      <c r="Q1900" s="65"/>
      <c r="R1900" s="65" t="s">
        <v>232</v>
      </c>
      <c r="S1900" s="66" t="n">
        <f aca="false">Model_Calc!BA320</f>
        <v>3924.56477201818</v>
      </c>
      <c r="T1900" s="66" t="n">
        <f aca="false">ROUND(S1900-O1900,4)</f>
        <v>0</v>
      </c>
    </row>
    <row r="1901" customFormat="false" ht="15" hidden="false" customHeight="false" outlineLevel="0" collapsed="false">
      <c r="A1901" s="18" t="s">
        <v>210</v>
      </c>
      <c r="B1901" s="18" t="s">
        <v>207</v>
      </c>
      <c r="C1901" s="18" t="s">
        <v>211</v>
      </c>
      <c r="D1901" s="49" t="n">
        <v>46357</v>
      </c>
      <c r="E1901" s="18" t="s">
        <v>122</v>
      </c>
      <c r="F1901" s="18" t="s">
        <v>119</v>
      </c>
      <c r="G1901" s="18" t="s">
        <v>100</v>
      </c>
      <c r="H1901" s="18" t="s">
        <v>107</v>
      </c>
      <c r="I1901" s="18" t="s">
        <v>102</v>
      </c>
      <c r="J1901" s="18" t="s">
        <v>230</v>
      </c>
      <c r="K1901" s="18" t="s">
        <v>199</v>
      </c>
      <c r="L1901" s="64" t="n">
        <v>17708.2468094189</v>
      </c>
      <c r="M1901" s="64" t="n">
        <v>9</v>
      </c>
      <c r="N1901" s="18" t="s">
        <v>1840</v>
      </c>
      <c r="O1901" s="65" t="n">
        <v>159374.2213</v>
      </c>
      <c r="P1901" s="65"/>
      <c r="Q1901" s="65"/>
      <c r="R1901" s="65" t="s">
        <v>232</v>
      </c>
      <c r="S1901" s="66" t="n">
        <f aca="false">Model_Calc!AF321</f>
        <v>159374.22128477</v>
      </c>
      <c r="T1901" s="66" t="n">
        <f aca="false">ROUND(S1901-O1901,4)</f>
        <v>0</v>
      </c>
    </row>
    <row r="1902" customFormat="false" ht="15" hidden="false" customHeight="false" outlineLevel="0" collapsed="false">
      <c r="A1902" s="18" t="s">
        <v>210</v>
      </c>
      <c r="B1902" s="18" t="s">
        <v>207</v>
      </c>
      <c r="C1902" s="18" t="s">
        <v>211</v>
      </c>
      <c r="D1902" s="49" t="n">
        <v>46357</v>
      </c>
      <c r="E1902" s="18" t="s">
        <v>122</v>
      </c>
      <c r="F1902" s="18" t="s">
        <v>119</v>
      </c>
      <c r="G1902" s="18" t="s">
        <v>100</v>
      </c>
      <c r="H1902" s="18" t="s">
        <v>107</v>
      </c>
      <c r="I1902" s="18" t="s">
        <v>102</v>
      </c>
      <c r="J1902" s="18" t="s">
        <v>233</v>
      </c>
      <c r="K1902" s="18" t="s">
        <v>199</v>
      </c>
      <c r="L1902" s="64" t="n">
        <v>1243.34498874643</v>
      </c>
      <c r="M1902" s="64" t="n">
        <v>9</v>
      </c>
      <c r="N1902" s="18" t="s">
        <v>1841</v>
      </c>
      <c r="O1902" s="65" t="n">
        <v>11190.1049</v>
      </c>
      <c r="P1902" s="65"/>
      <c r="Q1902" s="65"/>
      <c r="R1902" s="65" t="s">
        <v>232</v>
      </c>
      <c r="S1902" s="66" t="n">
        <f aca="false">Model_Calc!AG321</f>
        <v>11190.1048987179</v>
      </c>
      <c r="T1902" s="66" t="n">
        <f aca="false">ROUND(S1902-O1902,4)</f>
        <v>0</v>
      </c>
    </row>
    <row r="1903" customFormat="false" ht="15" hidden="false" customHeight="false" outlineLevel="0" collapsed="false">
      <c r="A1903" s="18" t="s">
        <v>210</v>
      </c>
      <c r="B1903" s="18" t="s">
        <v>207</v>
      </c>
      <c r="C1903" s="18" t="s">
        <v>211</v>
      </c>
      <c r="D1903" s="49" t="n">
        <v>46357</v>
      </c>
      <c r="E1903" s="18" t="s">
        <v>122</v>
      </c>
      <c r="F1903" s="18" t="s">
        <v>119</v>
      </c>
      <c r="G1903" s="18" t="s">
        <v>100</v>
      </c>
      <c r="H1903" s="18" t="s">
        <v>107</v>
      </c>
      <c r="I1903" s="18" t="s">
        <v>102</v>
      </c>
      <c r="J1903" s="18" t="s">
        <v>235</v>
      </c>
      <c r="K1903" s="18" t="s">
        <v>195</v>
      </c>
      <c r="L1903" s="64" t="n">
        <v>3810.18039417512</v>
      </c>
      <c r="M1903" s="64" t="n">
        <v>7.86</v>
      </c>
      <c r="N1903" s="18" t="s">
        <v>1842</v>
      </c>
      <c r="O1903" s="65" t="n">
        <v>29948.0179</v>
      </c>
      <c r="P1903" s="65"/>
      <c r="Q1903" s="65"/>
      <c r="R1903" s="65" t="s">
        <v>232</v>
      </c>
      <c r="S1903" s="66" t="n">
        <f aca="false">Model_Calc!AL321</f>
        <v>29948.0178982164</v>
      </c>
      <c r="T1903" s="66" t="n">
        <f aca="false">ROUND(S1903-O1903,4)</f>
        <v>0</v>
      </c>
    </row>
    <row r="1904" customFormat="false" ht="15" hidden="false" customHeight="false" outlineLevel="0" collapsed="false">
      <c r="A1904" s="18" t="s">
        <v>210</v>
      </c>
      <c r="B1904" s="18" t="s">
        <v>207</v>
      </c>
      <c r="C1904" s="18" t="s">
        <v>211</v>
      </c>
      <c r="D1904" s="49" t="n">
        <v>46357</v>
      </c>
      <c r="E1904" s="18" t="s">
        <v>122</v>
      </c>
      <c r="F1904" s="18" t="s">
        <v>119</v>
      </c>
      <c r="G1904" s="18" t="s">
        <v>100</v>
      </c>
      <c r="H1904" s="18" t="s">
        <v>107</v>
      </c>
      <c r="I1904" s="18" t="s">
        <v>102</v>
      </c>
      <c r="J1904" s="18" t="s">
        <v>237</v>
      </c>
      <c r="K1904" s="18" t="s">
        <v>195</v>
      </c>
      <c r="L1904" s="64" t="n">
        <v>1536.05035584</v>
      </c>
      <c r="M1904" s="64" t="n">
        <v>7.86</v>
      </c>
      <c r="N1904" s="18" t="s">
        <v>1843</v>
      </c>
      <c r="O1904" s="65" t="n">
        <v>12073.3558</v>
      </c>
      <c r="P1904" s="65"/>
      <c r="Q1904" s="65"/>
      <c r="R1904" s="65" t="s">
        <v>232</v>
      </c>
      <c r="S1904" s="66" t="n">
        <f aca="false">Model_Calc!AQ321</f>
        <v>12073.3557969024</v>
      </c>
      <c r="T1904" s="66" t="n">
        <f aca="false">ROUND(S1904-O1904,4)</f>
        <v>0</v>
      </c>
    </row>
    <row r="1905" customFormat="false" ht="15" hidden="false" customHeight="false" outlineLevel="0" collapsed="false">
      <c r="A1905" s="18" t="s">
        <v>210</v>
      </c>
      <c r="B1905" s="18" t="s">
        <v>207</v>
      </c>
      <c r="C1905" s="18" t="s">
        <v>211</v>
      </c>
      <c r="D1905" s="49" t="n">
        <v>46357</v>
      </c>
      <c r="E1905" s="18" t="s">
        <v>122</v>
      </c>
      <c r="F1905" s="18" t="s">
        <v>119</v>
      </c>
      <c r="G1905" s="18" t="s">
        <v>100</v>
      </c>
      <c r="H1905" s="18" t="s">
        <v>107</v>
      </c>
      <c r="I1905" s="18" t="s">
        <v>102</v>
      </c>
      <c r="J1905" s="18" t="s">
        <v>239</v>
      </c>
      <c r="K1905" s="18" t="s">
        <v>199</v>
      </c>
      <c r="L1905" s="64" t="n">
        <v>1350.3739392</v>
      </c>
      <c r="M1905" s="64" t="n">
        <v>9</v>
      </c>
      <c r="N1905" s="18" t="s">
        <v>1844</v>
      </c>
      <c r="O1905" s="65" t="n">
        <v>12153.3655</v>
      </c>
      <c r="P1905" s="65"/>
      <c r="Q1905" s="65"/>
      <c r="R1905" s="65" t="s">
        <v>232</v>
      </c>
      <c r="S1905" s="66" t="n">
        <f aca="false">Model_Calc!AV321</f>
        <v>12153.3654528</v>
      </c>
      <c r="T1905" s="66" t="n">
        <f aca="false">ROUND(S1905-O1905,4)</f>
        <v>0</v>
      </c>
    </row>
    <row r="1906" customFormat="false" ht="15" hidden="false" customHeight="false" outlineLevel="0" collapsed="false">
      <c r="A1906" s="18" t="s">
        <v>210</v>
      </c>
      <c r="B1906" s="18" t="s">
        <v>207</v>
      </c>
      <c r="C1906" s="18" t="s">
        <v>211</v>
      </c>
      <c r="D1906" s="49" t="n">
        <v>46357</v>
      </c>
      <c r="E1906" s="18" t="s">
        <v>122</v>
      </c>
      <c r="F1906" s="18" t="s">
        <v>119</v>
      </c>
      <c r="G1906" s="18" t="s">
        <v>100</v>
      </c>
      <c r="H1906" s="18" t="s">
        <v>107</v>
      </c>
      <c r="I1906" s="18" t="s">
        <v>102</v>
      </c>
      <c r="J1906" s="18" t="s">
        <v>241</v>
      </c>
      <c r="K1906" s="18" t="s">
        <v>199</v>
      </c>
      <c r="L1906" s="64" t="n">
        <v>168.234086592</v>
      </c>
      <c r="M1906" s="64" t="n">
        <v>9</v>
      </c>
      <c r="N1906" s="18" t="s">
        <v>1845</v>
      </c>
      <c r="O1906" s="65" t="n">
        <v>1514.1068</v>
      </c>
      <c r="P1906" s="65"/>
      <c r="Q1906" s="65"/>
      <c r="R1906" s="65" t="s">
        <v>232</v>
      </c>
      <c r="S1906" s="66" t="n">
        <f aca="false">Model_Calc!BA321</f>
        <v>1514.106779328</v>
      </c>
      <c r="T1906" s="66" t="n">
        <f aca="false">ROUND(S1906-O1906,4)</f>
        <v>0</v>
      </c>
    </row>
    <row r="1907" customFormat="false" ht="15" hidden="false" customHeight="false" outlineLevel="0" collapsed="false">
      <c r="A1907" s="18" t="s">
        <v>210</v>
      </c>
      <c r="B1907" s="18" t="s">
        <v>207</v>
      </c>
      <c r="C1907" s="18" t="s">
        <v>211</v>
      </c>
      <c r="D1907" s="49" t="n">
        <v>46357</v>
      </c>
      <c r="E1907" s="18" t="s">
        <v>124</v>
      </c>
      <c r="F1907" s="18" t="s">
        <v>119</v>
      </c>
      <c r="G1907" s="18" t="s">
        <v>100</v>
      </c>
      <c r="H1907" s="18" t="s">
        <v>107</v>
      </c>
      <c r="I1907" s="18" t="s">
        <v>125</v>
      </c>
      <c r="J1907" s="18" t="s">
        <v>230</v>
      </c>
      <c r="K1907" s="18" t="s">
        <v>199</v>
      </c>
      <c r="L1907" s="64" t="n">
        <v>17355.7818649242</v>
      </c>
      <c r="M1907" s="64" t="n">
        <v>9</v>
      </c>
      <c r="N1907" s="18" t="s">
        <v>1846</v>
      </c>
      <c r="O1907" s="65" t="n">
        <v>156202.0368</v>
      </c>
      <c r="P1907" s="65"/>
      <c r="Q1907" s="65"/>
      <c r="R1907" s="65" t="s">
        <v>232</v>
      </c>
      <c r="S1907" s="66" t="n">
        <f aca="false">Model_Calc!AF322</f>
        <v>156202.036784318</v>
      </c>
      <c r="T1907" s="66" t="n">
        <f aca="false">ROUND(S1907-O1907,4)</f>
        <v>0</v>
      </c>
    </row>
    <row r="1908" customFormat="false" ht="15" hidden="false" customHeight="false" outlineLevel="0" collapsed="false">
      <c r="A1908" s="18" t="s">
        <v>210</v>
      </c>
      <c r="B1908" s="18" t="s">
        <v>207</v>
      </c>
      <c r="C1908" s="18" t="s">
        <v>211</v>
      </c>
      <c r="D1908" s="49" t="n">
        <v>46357</v>
      </c>
      <c r="E1908" s="18" t="s">
        <v>124</v>
      </c>
      <c r="F1908" s="18" t="s">
        <v>119</v>
      </c>
      <c r="G1908" s="18" t="s">
        <v>100</v>
      </c>
      <c r="H1908" s="18" t="s">
        <v>107</v>
      </c>
      <c r="I1908" s="18" t="s">
        <v>125</v>
      </c>
      <c r="J1908" s="18" t="s">
        <v>233</v>
      </c>
      <c r="K1908" s="18" t="s">
        <v>199</v>
      </c>
      <c r="L1908" s="64" t="n">
        <v>2148.40281393151</v>
      </c>
      <c r="M1908" s="64" t="n">
        <v>9</v>
      </c>
      <c r="N1908" s="18" t="s">
        <v>1847</v>
      </c>
      <c r="O1908" s="65" t="n">
        <v>19335.6253</v>
      </c>
      <c r="P1908" s="65"/>
      <c r="Q1908" s="65"/>
      <c r="R1908" s="65" t="s">
        <v>232</v>
      </c>
      <c r="S1908" s="66" t="n">
        <f aca="false">Model_Calc!AG322</f>
        <v>19335.6253253836</v>
      </c>
      <c r="T1908" s="66" t="n">
        <f aca="false">ROUND(S1908-O1908,4)</f>
        <v>0</v>
      </c>
    </row>
    <row r="1909" customFormat="false" ht="15" hidden="false" customHeight="false" outlineLevel="0" collapsed="false">
      <c r="A1909" s="18" t="s">
        <v>210</v>
      </c>
      <c r="B1909" s="18" t="s">
        <v>207</v>
      </c>
      <c r="C1909" s="18" t="s">
        <v>211</v>
      </c>
      <c r="D1909" s="49" t="n">
        <v>46357</v>
      </c>
      <c r="E1909" s="18" t="s">
        <v>124</v>
      </c>
      <c r="F1909" s="18" t="s">
        <v>119</v>
      </c>
      <c r="G1909" s="18" t="s">
        <v>100</v>
      </c>
      <c r="H1909" s="18" t="s">
        <v>107</v>
      </c>
      <c r="I1909" s="18" t="s">
        <v>125</v>
      </c>
      <c r="J1909" s="18" t="s">
        <v>235</v>
      </c>
      <c r="K1909" s="18" t="s">
        <v>195</v>
      </c>
      <c r="L1909" s="64" t="n">
        <v>2895.73709957309</v>
      </c>
      <c r="M1909" s="64" t="n">
        <v>7.86</v>
      </c>
      <c r="N1909" s="18" t="s">
        <v>1848</v>
      </c>
      <c r="O1909" s="65" t="n">
        <v>22760.4936</v>
      </c>
      <c r="P1909" s="65"/>
      <c r="Q1909" s="65"/>
      <c r="R1909" s="65" t="s">
        <v>232</v>
      </c>
      <c r="S1909" s="66" t="n">
        <f aca="false">Model_Calc!AL322</f>
        <v>22760.4936026445</v>
      </c>
      <c r="T1909" s="66" t="n">
        <f aca="false">ROUND(S1909-O1909,4)</f>
        <v>0</v>
      </c>
    </row>
    <row r="1910" customFormat="false" ht="15" hidden="false" customHeight="false" outlineLevel="0" collapsed="false">
      <c r="A1910" s="18" t="s">
        <v>210</v>
      </c>
      <c r="B1910" s="18" t="s">
        <v>207</v>
      </c>
      <c r="C1910" s="18" t="s">
        <v>211</v>
      </c>
      <c r="D1910" s="49" t="n">
        <v>46357</v>
      </c>
      <c r="E1910" s="18" t="s">
        <v>124</v>
      </c>
      <c r="F1910" s="18" t="s">
        <v>119</v>
      </c>
      <c r="G1910" s="18" t="s">
        <v>100</v>
      </c>
      <c r="H1910" s="18" t="s">
        <v>107</v>
      </c>
      <c r="I1910" s="18" t="s">
        <v>125</v>
      </c>
      <c r="J1910" s="18" t="s">
        <v>237</v>
      </c>
      <c r="K1910" s="18" t="s">
        <v>195</v>
      </c>
      <c r="L1910" s="64" t="n">
        <v>1167.3982704384</v>
      </c>
      <c r="M1910" s="64" t="n">
        <v>7.86</v>
      </c>
      <c r="N1910" s="18" t="s">
        <v>1849</v>
      </c>
      <c r="O1910" s="65" t="n">
        <v>9175.7504</v>
      </c>
      <c r="P1910" s="65"/>
      <c r="Q1910" s="65"/>
      <c r="R1910" s="65" t="s">
        <v>232</v>
      </c>
      <c r="S1910" s="66" t="n">
        <f aca="false">Model_Calc!AQ322</f>
        <v>9175.75040564582</v>
      </c>
      <c r="T1910" s="66" t="n">
        <f aca="false">ROUND(S1910-O1910,4)</f>
        <v>0</v>
      </c>
    </row>
    <row r="1911" customFormat="false" ht="15" hidden="false" customHeight="false" outlineLevel="0" collapsed="false">
      <c r="A1911" s="18" t="s">
        <v>210</v>
      </c>
      <c r="B1911" s="18" t="s">
        <v>207</v>
      </c>
      <c r="C1911" s="18" t="s">
        <v>211</v>
      </c>
      <c r="D1911" s="49" t="n">
        <v>46357</v>
      </c>
      <c r="E1911" s="18" t="s">
        <v>124</v>
      </c>
      <c r="F1911" s="18" t="s">
        <v>119</v>
      </c>
      <c r="G1911" s="18" t="s">
        <v>100</v>
      </c>
      <c r="H1911" s="18" t="s">
        <v>107</v>
      </c>
      <c r="I1911" s="18" t="s">
        <v>125</v>
      </c>
      <c r="J1911" s="18" t="s">
        <v>239</v>
      </c>
      <c r="K1911" s="18" t="s">
        <v>199</v>
      </c>
      <c r="L1911" s="64" t="n">
        <v>1026.284193792</v>
      </c>
      <c r="M1911" s="64" t="n">
        <v>9</v>
      </c>
      <c r="N1911" s="18" t="s">
        <v>1850</v>
      </c>
      <c r="O1911" s="65" t="n">
        <v>9236.5577</v>
      </c>
      <c r="P1911" s="65"/>
      <c r="Q1911" s="65"/>
      <c r="R1911" s="65" t="s">
        <v>232</v>
      </c>
      <c r="S1911" s="66" t="n">
        <f aca="false">Model_Calc!AV322</f>
        <v>9236.557744128</v>
      </c>
      <c r="T1911" s="66" t="n">
        <f aca="false">ROUND(S1911-O1911,4)</f>
        <v>0</v>
      </c>
    </row>
    <row r="1912" customFormat="false" ht="15" hidden="false" customHeight="false" outlineLevel="0" collapsed="false">
      <c r="A1912" s="18" t="s">
        <v>210</v>
      </c>
      <c r="B1912" s="18" t="s">
        <v>207</v>
      </c>
      <c r="C1912" s="18" t="s">
        <v>211</v>
      </c>
      <c r="D1912" s="49" t="n">
        <v>46357</v>
      </c>
      <c r="E1912" s="18" t="s">
        <v>124</v>
      </c>
      <c r="F1912" s="18" t="s">
        <v>119</v>
      </c>
      <c r="G1912" s="18" t="s">
        <v>100</v>
      </c>
      <c r="H1912" s="18" t="s">
        <v>107</v>
      </c>
      <c r="I1912" s="18" t="s">
        <v>125</v>
      </c>
      <c r="J1912" s="18" t="s">
        <v>241</v>
      </c>
      <c r="K1912" s="18" t="s">
        <v>199</v>
      </c>
      <c r="L1912" s="64" t="n">
        <v>124.522482180096</v>
      </c>
      <c r="M1912" s="64" t="n">
        <v>9</v>
      </c>
      <c r="N1912" s="18" t="s">
        <v>1851</v>
      </c>
      <c r="O1912" s="65" t="n">
        <v>1120.7023</v>
      </c>
      <c r="P1912" s="65"/>
      <c r="Q1912" s="65"/>
      <c r="R1912" s="65" t="s">
        <v>232</v>
      </c>
      <c r="S1912" s="66" t="n">
        <f aca="false">Model_Calc!BA322</f>
        <v>1120.70233962086</v>
      </c>
      <c r="T1912" s="66" t="n">
        <f aca="false">ROUND(S1912-O1912,4)</f>
        <v>0</v>
      </c>
    </row>
    <row r="1913" customFormat="false" ht="15" hidden="false" customHeight="false" outlineLevel="0" collapsed="false">
      <c r="A1913" s="18" t="s">
        <v>210</v>
      </c>
      <c r="B1913" s="18" t="s">
        <v>207</v>
      </c>
      <c r="C1913" s="18" t="s">
        <v>211</v>
      </c>
      <c r="D1913" s="49" t="n">
        <v>46357</v>
      </c>
      <c r="E1913" s="18" t="s">
        <v>127</v>
      </c>
      <c r="F1913" s="18" t="s">
        <v>119</v>
      </c>
      <c r="G1913" s="18" t="s">
        <v>100</v>
      </c>
      <c r="H1913" s="18" t="s">
        <v>128</v>
      </c>
      <c r="I1913" s="18" t="s">
        <v>125</v>
      </c>
      <c r="J1913" s="18" t="s">
        <v>230</v>
      </c>
      <c r="K1913" s="18" t="s">
        <v>199</v>
      </c>
      <c r="L1913" s="64" t="n">
        <v>8818.25478564015</v>
      </c>
      <c r="M1913" s="64" t="n">
        <v>9</v>
      </c>
      <c r="N1913" s="18" t="s">
        <v>1852</v>
      </c>
      <c r="O1913" s="65" t="n">
        <v>79364.2931</v>
      </c>
      <c r="P1913" s="65"/>
      <c r="Q1913" s="65"/>
      <c r="R1913" s="65" t="s">
        <v>232</v>
      </c>
      <c r="S1913" s="66" t="n">
        <f aca="false">Model_Calc!AF323</f>
        <v>79364.2930707613</v>
      </c>
      <c r="T1913" s="66" t="n">
        <f aca="false">ROUND(S1913-O1913,4)</f>
        <v>0</v>
      </c>
    </row>
    <row r="1914" customFormat="false" ht="15" hidden="false" customHeight="false" outlineLevel="0" collapsed="false">
      <c r="A1914" s="18" t="s">
        <v>210</v>
      </c>
      <c r="B1914" s="18" t="s">
        <v>207</v>
      </c>
      <c r="C1914" s="18" t="s">
        <v>211</v>
      </c>
      <c r="D1914" s="49" t="n">
        <v>46357</v>
      </c>
      <c r="E1914" s="18" t="s">
        <v>127</v>
      </c>
      <c r="F1914" s="18" t="s">
        <v>119</v>
      </c>
      <c r="G1914" s="18" t="s">
        <v>100</v>
      </c>
      <c r="H1914" s="18" t="s">
        <v>128</v>
      </c>
      <c r="I1914" s="18" t="s">
        <v>125</v>
      </c>
      <c r="J1914" s="18" t="s">
        <v>233</v>
      </c>
      <c r="K1914" s="18" t="s">
        <v>199</v>
      </c>
      <c r="L1914" s="64" t="n">
        <v>681.945036756172</v>
      </c>
      <c r="M1914" s="64" t="n">
        <v>9</v>
      </c>
      <c r="N1914" s="18" t="s">
        <v>1853</v>
      </c>
      <c r="O1914" s="65" t="n">
        <v>6137.5053</v>
      </c>
      <c r="P1914" s="65"/>
      <c r="Q1914" s="65"/>
      <c r="R1914" s="65" t="s">
        <v>232</v>
      </c>
      <c r="S1914" s="66" t="n">
        <f aca="false">Model_Calc!AG323</f>
        <v>6137.50533080554</v>
      </c>
      <c r="T1914" s="66" t="n">
        <f aca="false">ROUND(S1914-O1914,4)</f>
        <v>0</v>
      </c>
    </row>
    <row r="1915" customFormat="false" ht="15" hidden="false" customHeight="false" outlineLevel="0" collapsed="false">
      <c r="A1915" s="18" t="s">
        <v>210</v>
      </c>
      <c r="B1915" s="18" t="s">
        <v>207</v>
      </c>
      <c r="C1915" s="18" t="s">
        <v>211</v>
      </c>
      <c r="D1915" s="49" t="n">
        <v>46357</v>
      </c>
      <c r="E1915" s="18" t="s">
        <v>127</v>
      </c>
      <c r="F1915" s="18" t="s">
        <v>119</v>
      </c>
      <c r="G1915" s="18" t="s">
        <v>100</v>
      </c>
      <c r="H1915" s="18" t="s">
        <v>128</v>
      </c>
      <c r="I1915" s="18" t="s">
        <v>125</v>
      </c>
      <c r="J1915" s="18" t="s">
        <v>235</v>
      </c>
      <c r="K1915" s="18" t="s">
        <v>195</v>
      </c>
      <c r="L1915" s="64" t="n">
        <v>1219.25772613604</v>
      </c>
      <c r="M1915" s="64" t="n">
        <v>7.86</v>
      </c>
      <c r="N1915" s="18" t="s">
        <v>1854</v>
      </c>
      <c r="O1915" s="65" t="n">
        <v>9583.3657</v>
      </c>
      <c r="P1915" s="65"/>
      <c r="Q1915" s="65"/>
      <c r="R1915" s="65" t="s">
        <v>232</v>
      </c>
      <c r="S1915" s="66" t="n">
        <f aca="false">Model_Calc!AL323</f>
        <v>9583.36572742925</v>
      </c>
      <c r="T1915" s="66" t="n">
        <f aca="false">ROUND(S1915-O1915,4)</f>
        <v>0</v>
      </c>
    </row>
    <row r="1916" customFormat="false" ht="15" hidden="false" customHeight="false" outlineLevel="0" collapsed="false">
      <c r="A1916" s="18" t="s">
        <v>210</v>
      </c>
      <c r="B1916" s="18" t="s">
        <v>207</v>
      </c>
      <c r="C1916" s="18" t="s">
        <v>211</v>
      </c>
      <c r="D1916" s="49" t="n">
        <v>46357</v>
      </c>
      <c r="E1916" s="18" t="s">
        <v>127</v>
      </c>
      <c r="F1916" s="18" t="s">
        <v>119</v>
      </c>
      <c r="G1916" s="18" t="s">
        <v>100</v>
      </c>
      <c r="H1916" s="18" t="s">
        <v>128</v>
      </c>
      <c r="I1916" s="18" t="s">
        <v>125</v>
      </c>
      <c r="J1916" s="18" t="s">
        <v>237</v>
      </c>
      <c r="K1916" s="18" t="s">
        <v>195</v>
      </c>
      <c r="L1916" s="64" t="n">
        <v>491.5361138688</v>
      </c>
      <c r="M1916" s="64" t="n">
        <v>7.86</v>
      </c>
      <c r="N1916" s="18" t="s">
        <v>1855</v>
      </c>
      <c r="O1916" s="65" t="n">
        <v>3863.4739</v>
      </c>
      <c r="P1916" s="65"/>
      <c r="Q1916" s="65"/>
      <c r="R1916" s="65" t="s">
        <v>232</v>
      </c>
      <c r="S1916" s="66" t="n">
        <f aca="false">Model_Calc!AQ323</f>
        <v>3863.47385500877</v>
      </c>
      <c r="T1916" s="66" t="n">
        <f aca="false">ROUND(S1916-O1916,4)</f>
        <v>0</v>
      </c>
    </row>
    <row r="1917" customFormat="false" ht="15" hidden="false" customHeight="false" outlineLevel="0" collapsed="false">
      <c r="A1917" s="18" t="s">
        <v>210</v>
      </c>
      <c r="B1917" s="18" t="s">
        <v>207</v>
      </c>
      <c r="C1917" s="18" t="s">
        <v>211</v>
      </c>
      <c r="D1917" s="49" t="n">
        <v>46357</v>
      </c>
      <c r="E1917" s="18" t="s">
        <v>127</v>
      </c>
      <c r="F1917" s="18" t="s">
        <v>119</v>
      </c>
      <c r="G1917" s="18" t="s">
        <v>100</v>
      </c>
      <c r="H1917" s="18" t="s">
        <v>128</v>
      </c>
      <c r="I1917" s="18" t="s">
        <v>125</v>
      </c>
      <c r="J1917" s="18" t="s">
        <v>239</v>
      </c>
      <c r="K1917" s="18" t="s">
        <v>199</v>
      </c>
      <c r="L1917" s="64" t="n">
        <v>432.119660544</v>
      </c>
      <c r="M1917" s="64" t="n">
        <v>9</v>
      </c>
      <c r="N1917" s="18" t="s">
        <v>1856</v>
      </c>
      <c r="O1917" s="65" t="n">
        <v>3889.0769</v>
      </c>
      <c r="P1917" s="65"/>
      <c r="Q1917" s="65"/>
      <c r="R1917" s="65" t="s">
        <v>232</v>
      </c>
      <c r="S1917" s="66" t="n">
        <f aca="false">Model_Calc!AV323</f>
        <v>3889.076944896</v>
      </c>
      <c r="T1917" s="66" t="n">
        <f aca="false">ROUND(S1917-O1917,4)</f>
        <v>0</v>
      </c>
    </row>
    <row r="1918" customFormat="false" ht="15" hidden="false" customHeight="false" outlineLevel="0" collapsed="false">
      <c r="A1918" s="18" t="s">
        <v>210</v>
      </c>
      <c r="B1918" s="18" t="s">
        <v>207</v>
      </c>
      <c r="C1918" s="18" t="s">
        <v>211</v>
      </c>
      <c r="D1918" s="49" t="n">
        <v>46357</v>
      </c>
      <c r="E1918" s="18" t="s">
        <v>127</v>
      </c>
      <c r="F1918" s="18" t="s">
        <v>119</v>
      </c>
      <c r="G1918" s="18" t="s">
        <v>100</v>
      </c>
      <c r="H1918" s="18" t="s">
        <v>128</v>
      </c>
      <c r="I1918" s="18" t="s">
        <v>125</v>
      </c>
      <c r="J1918" s="18" t="s">
        <v>241</v>
      </c>
      <c r="K1918" s="18" t="s">
        <v>199</v>
      </c>
      <c r="L1918" s="64" t="n">
        <v>46.344833593344</v>
      </c>
      <c r="M1918" s="64" t="n">
        <v>9</v>
      </c>
      <c r="N1918" s="18" t="s">
        <v>1857</v>
      </c>
      <c r="O1918" s="65" t="n">
        <v>417.1035</v>
      </c>
      <c r="P1918" s="65"/>
      <c r="Q1918" s="65"/>
      <c r="R1918" s="65" t="s">
        <v>232</v>
      </c>
      <c r="S1918" s="66" t="n">
        <f aca="false">Model_Calc!BA323</f>
        <v>417.103502340096</v>
      </c>
      <c r="T1918" s="66" t="n">
        <f aca="false">ROUND(S1918-O1918,4)</f>
        <v>0</v>
      </c>
    </row>
    <row r="1919" customFormat="false" ht="15" hidden="false" customHeight="false" outlineLevel="0" collapsed="false">
      <c r="A1919" s="18" t="s">
        <v>210</v>
      </c>
      <c r="B1919" s="18" t="s">
        <v>207</v>
      </c>
      <c r="C1919" s="18" t="s">
        <v>211</v>
      </c>
      <c r="D1919" s="49" t="n">
        <v>46357</v>
      </c>
      <c r="E1919" s="18" t="s">
        <v>130</v>
      </c>
      <c r="F1919" s="18" t="s">
        <v>119</v>
      </c>
      <c r="G1919" s="18" t="s">
        <v>110</v>
      </c>
      <c r="H1919" s="18" t="s">
        <v>107</v>
      </c>
      <c r="I1919" s="18" t="s">
        <v>125</v>
      </c>
      <c r="J1919" s="18" t="s">
        <v>230</v>
      </c>
      <c r="K1919" s="18" t="s">
        <v>195</v>
      </c>
      <c r="L1919" s="64" t="n">
        <v>3786.55064754595</v>
      </c>
      <c r="M1919" s="64" t="n">
        <v>7.86</v>
      </c>
      <c r="N1919" s="18" t="s">
        <v>1858</v>
      </c>
      <c r="O1919" s="65" t="n">
        <v>29762.2881</v>
      </c>
      <c r="P1919" s="65"/>
      <c r="Q1919" s="65"/>
      <c r="R1919" s="65" t="s">
        <v>232</v>
      </c>
      <c r="S1919" s="66" t="n">
        <f aca="false">Model_Calc!AF324</f>
        <v>29762.2880897112</v>
      </c>
      <c r="T1919" s="66" t="n">
        <f aca="false">ROUND(S1919-O1919,4)</f>
        <v>0</v>
      </c>
    </row>
    <row r="1920" customFormat="false" ht="15" hidden="false" customHeight="false" outlineLevel="0" collapsed="false">
      <c r="A1920" s="18" t="s">
        <v>210</v>
      </c>
      <c r="B1920" s="18" t="s">
        <v>207</v>
      </c>
      <c r="C1920" s="18" t="s">
        <v>211</v>
      </c>
      <c r="D1920" s="49" t="n">
        <v>46357</v>
      </c>
      <c r="E1920" s="18" t="s">
        <v>130</v>
      </c>
      <c r="F1920" s="18" t="s">
        <v>119</v>
      </c>
      <c r="G1920" s="18" t="s">
        <v>110</v>
      </c>
      <c r="H1920" s="18" t="s">
        <v>107</v>
      </c>
      <c r="I1920" s="18" t="s">
        <v>125</v>
      </c>
      <c r="J1920" s="18" t="s">
        <v>233</v>
      </c>
      <c r="K1920" s="18" t="s">
        <v>195</v>
      </c>
      <c r="L1920" s="64" t="n">
        <v>411.503391622056</v>
      </c>
      <c r="M1920" s="64" t="n">
        <v>7.86</v>
      </c>
      <c r="N1920" s="18" t="s">
        <v>1859</v>
      </c>
      <c r="O1920" s="65" t="n">
        <v>3234.4167</v>
      </c>
      <c r="P1920" s="65"/>
      <c r="Q1920" s="65"/>
      <c r="R1920" s="65" t="s">
        <v>232</v>
      </c>
      <c r="S1920" s="66" t="n">
        <f aca="false">Model_Calc!AG324</f>
        <v>3234.41665814936</v>
      </c>
      <c r="T1920" s="66" t="n">
        <f aca="false">ROUND(S1920-O1920,4)</f>
        <v>0</v>
      </c>
    </row>
    <row r="1921" customFormat="false" ht="15" hidden="false" customHeight="false" outlineLevel="0" collapsed="false">
      <c r="A1921" s="18" t="s">
        <v>210</v>
      </c>
      <c r="B1921" s="18" t="s">
        <v>207</v>
      </c>
      <c r="C1921" s="18" t="s">
        <v>211</v>
      </c>
      <c r="D1921" s="49" t="n">
        <v>46357</v>
      </c>
      <c r="E1921" s="18" t="s">
        <v>130</v>
      </c>
      <c r="F1921" s="18" t="s">
        <v>119</v>
      </c>
      <c r="G1921" s="18" t="s">
        <v>110</v>
      </c>
      <c r="H1921" s="18" t="s">
        <v>107</v>
      </c>
      <c r="I1921" s="18" t="s">
        <v>125</v>
      </c>
      <c r="J1921" s="18" t="s">
        <v>235</v>
      </c>
      <c r="K1921" s="18" t="s">
        <v>195</v>
      </c>
      <c r="L1921" s="64" t="n">
        <v>547.02648</v>
      </c>
      <c r="M1921" s="64" t="n">
        <v>7.86</v>
      </c>
      <c r="N1921" s="18" t="s">
        <v>1860</v>
      </c>
      <c r="O1921" s="65" t="n">
        <v>4299.6281</v>
      </c>
      <c r="P1921" s="65"/>
      <c r="Q1921" s="65"/>
      <c r="R1921" s="65" t="s">
        <v>232</v>
      </c>
      <c r="S1921" s="66" t="n">
        <f aca="false">Model_Calc!AL324</f>
        <v>4299.6281328</v>
      </c>
      <c r="T1921" s="66" t="n">
        <f aca="false">ROUND(S1921-O1921,4)</f>
        <v>0</v>
      </c>
    </row>
    <row r="1922" customFormat="false" ht="15" hidden="false" customHeight="false" outlineLevel="0" collapsed="false">
      <c r="A1922" s="18" t="s">
        <v>210</v>
      </c>
      <c r="B1922" s="18" t="s">
        <v>207</v>
      </c>
      <c r="C1922" s="18" t="s">
        <v>211</v>
      </c>
      <c r="D1922" s="49" t="n">
        <v>46357</v>
      </c>
      <c r="E1922" s="18" t="s">
        <v>130</v>
      </c>
      <c r="F1922" s="18" t="s">
        <v>119</v>
      </c>
      <c r="G1922" s="18" t="s">
        <v>110</v>
      </c>
      <c r="H1922" s="18" t="s">
        <v>107</v>
      </c>
      <c r="I1922" s="18" t="s">
        <v>125</v>
      </c>
      <c r="J1922" s="18" t="s">
        <v>237</v>
      </c>
      <c r="K1922" s="18" t="s">
        <v>195</v>
      </c>
      <c r="L1922" s="64" t="n">
        <v>231.62664096</v>
      </c>
      <c r="M1922" s="64" t="n">
        <v>7.86</v>
      </c>
      <c r="N1922" s="18" t="s">
        <v>1861</v>
      </c>
      <c r="O1922" s="65" t="n">
        <v>1820.5854</v>
      </c>
      <c r="P1922" s="65"/>
      <c r="Q1922" s="65"/>
      <c r="R1922" s="65" t="s">
        <v>232</v>
      </c>
      <c r="S1922" s="66" t="n">
        <f aca="false">Model_Calc!AQ324</f>
        <v>1820.5853979456</v>
      </c>
      <c r="T1922" s="66" t="n">
        <f aca="false">ROUND(S1922-O1922,4)</f>
        <v>0</v>
      </c>
    </row>
    <row r="1923" customFormat="false" ht="15" hidden="false" customHeight="false" outlineLevel="0" collapsed="false">
      <c r="A1923" s="18" t="s">
        <v>210</v>
      </c>
      <c r="B1923" s="18" t="s">
        <v>207</v>
      </c>
      <c r="C1923" s="18" t="s">
        <v>211</v>
      </c>
      <c r="D1923" s="49" t="n">
        <v>46357</v>
      </c>
      <c r="E1923" s="18" t="s">
        <v>130</v>
      </c>
      <c r="F1923" s="18" t="s">
        <v>119</v>
      </c>
      <c r="G1923" s="18" t="s">
        <v>110</v>
      </c>
      <c r="H1923" s="18" t="s">
        <v>107</v>
      </c>
      <c r="I1923" s="18" t="s">
        <v>125</v>
      </c>
      <c r="J1923" s="18" t="s">
        <v>239</v>
      </c>
      <c r="K1923" s="18" t="s">
        <v>195</v>
      </c>
      <c r="L1923" s="64" t="n">
        <v>243.8175168</v>
      </c>
      <c r="M1923" s="64" t="n">
        <v>7.86</v>
      </c>
      <c r="N1923" s="18" t="s">
        <v>1862</v>
      </c>
      <c r="O1923" s="65" t="n">
        <v>1916.4057</v>
      </c>
      <c r="P1923" s="65"/>
      <c r="Q1923" s="65"/>
      <c r="R1923" s="65" t="s">
        <v>232</v>
      </c>
      <c r="S1923" s="66" t="n">
        <f aca="false">Model_Calc!AV324</f>
        <v>1916.405682048</v>
      </c>
      <c r="T1923" s="66" t="n">
        <f aca="false">ROUND(S1923-O1923,4)</f>
        <v>0</v>
      </c>
    </row>
    <row r="1924" customFormat="false" ht="15" hidden="false" customHeight="false" outlineLevel="0" collapsed="false">
      <c r="A1924" s="18" t="s">
        <v>210</v>
      </c>
      <c r="B1924" s="18" t="s">
        <v>207</v>
      </c>
      <c r="C1924" s="18" t="s">
        <v>211</v>
      </c>
      <c r="D1924" s="49" t="n">
        <v>46357</v>
      </c>
      <c r="E1924" s="18" t="s">
        <v>130</v>
      </c>
      <c r="F1924" s="18" t="s">
        <v>119</v>
      </c>
      <c r="G1924" s="18" t="s">
        <v>110</v>
      </c>
      <c r="H1924" s="18" t="s">
        <v>107</v>
      </c>
      <c r="I1924" s="18" t="s">
        <v>125</v>
      </c>
      <c r="J1924" s="18" t="s">
        <v>241</v>
      </c>
      <c r="K1924" s="18" t="s">
        <v>195</v>
      </c>
      <c r="L1924" s="64" t="n">
        <v>23.8941166464</v>
      </c>
      <c r="M1924" s="64" t="n">
        <v>7.86</v>
      </c>
      <c r="N1924" s="18" t="s">
        <v>1863</v>
      </c>
      <c r="O1924" s="65" t="n">
        <v>187.8078</v>
      </c>
      <c r="P1924" s="65"/>
      <c r="Q1924" s="65"/>
      <c r="R1924" s="65" t="s">
        <v>232</v>
      </c>
      <c r="S1924" s="66" t="n">
        <f aca="false">Model_Calc!BA324</f>
        <v>187.807756840704</v>
      </c>
      <c r="T1924" s="66" t="n">
        <f aca="false">ROUND(S1924-O1924,4)</f>
        <v>0</v>
      </c>
    </row>
    <row r="1925" customFormat="false" ht="15" hidden="false" customHeight="false" outlineLevel="0" collapsed="false">
      <c r="A1925" s="18" t="s">
        <v>213</v>
      </c>
      <c r="B1925" s="18" t="s">
        <v>207</v>
      </c>
      <c r="C1925" s="18" t="s">
        <v>214</v>
      </c>
      <c r="D1925" s="49" t="n">
        <v>46266</v>
      </c>
      <c r="E1925" s="18" t="s">
        <v>98</v>
      </c>
      <c r="F1925" s="18" t="s">
        <v>99</v>
      </c>
      <c r="G1925" s="18" t="s">
        <v>100</v>
      </c>
      <c r="H1925" s="18" t="s">
        <v>101</v>
      </c>
      <c r="I1925" s="18" t="s">
        <v>102</v>
      </c>
      <c r="J1925" s="18" t="s">
        <v>230</v>
      </c>
      <c r="K1925" s="18" t="s">
        <v>195</v>
      </c>
      <c r="L1925" s="64" t="n">
        <v>6720.488847072</v>
      </c>
      <c r="M1925" s="64" t="n">
        <v>7.92</v>
      </c>
      <c r="N1925" s="18" t="s">
        <v>1396</v>
      </c>
      <c r="O1925" s="65" t="n">
        <v>53226.2717</v>
      </c>
      <c r="P1925" s="65"/>
      <c r="Q1925" s="65"/>
      <c r="R1925" s="65" t="s">
        <v>232</v>
      </c>
      <c r="S1925" s="66" t="n">
        <f aca="false">Model_Calc!AF325</f>
        <v>53226.2716688102</v>
      </c>
      <c r="T1925" s="66" t="n">
        <f aca="false">ROUND(S1925-O1925,4)</f>
        <v>0</v>
      </c>
    </row>
    <row r="1926" customFormat="false" ht="15" hidden="false" customHeight="false" outlineLevel="0" collapsed="false">
      <c r="A1926" s="18" t="s">
        <v>213</v>
      </c>
      <c r="B1926" s="18" t="s">
        <v>207</v>
      </c>
      <c r="C1926" s="18" t="s">
        <v>214</v>
      </c>
      <c r="D1926" s="49" t="n">
        <v>46266</v>
      </c>
      <c r="E1926" s="18" t="s">
        <v>98</v>
      </c>
      <c r="F1926" s="18" t="s">
        <v>99</v>
      </c>
      <c r="G1926" s="18" t="s">
        <v>100</v>
      </c>
      <c r="H1926" s="18" t="s">
        <v>101</v>
      </c>
      <c r="I1926" s="18" t="s">
        <v>102</v>
      </c>
      <c r="J1926" s="18" t="s">
        <v>233</v>
      </c>
      <c r="K1926" s="18" t="s">
        <v>195</v>
      </c>
      <c r="L1926" s="64" t="n">
        <v>660.792065888354</v>
      </c>
      <c r="M1926" s="64" t="n">
        <v>7.92</v>
      </c>
      <c r="N1926" s="18" t="s">
        <v>1397</v>
      </c>
      <c r="O1926" s="65" t="n">
        <v>5233.4732</v>
      </c>
      <c r="P1926" s="65"/>
      <c r="Q1926" s="65"/>
      <c r="R1926" s="65" t="s">
        <v>232</v>
      </c>
      <c r="S1926" s="66" t="n">
        <f aca="false">Model_Calc!AG325</f>
        <v>5233.47316183577</v>
      </c>
      <c r="T1926" s="66" t="n">
        <f aca="false">ROUND(S1926-O1926,4)</f>
        <v>0</v>
      </c>
    </row>
    <row r="1927" customFormat="false" ht="15" hidden="false" customHeight="false" outlineLevel="0" collapsed="false">
      <c r="A1927" s="18" t="s">
        <v>213</v>
      </c>
      <c r="B1927" s="18" t="s">
        <v>207</v>
      </c>
      <c r="C1927" s="18" t="s">
        <v>214</v>
      </c>
      <c r="D1927" s="49" t="n">
        <v>46266</v>
      </c>
      <c r="E1927" s="18" t="s">
        <v>98</v>
      </c>
      <c r="F1927" s="18" t="s">
        <v>99</v>
      </c>
      <c r="G1927" s="18" t="s">
        <v>100</v>
      </c>
      <c r="H1927" s="18" t="s">
        <v>101</v>
      </c>
      <c r="I1927" s="18" t="s">
        <v>102</v>
      </c>
      <c r="J1927" s="18" t="s">
        <v>235</v>
      </c>
      <c r="K1927" s="18" t="s">
        <v>195</v>
      </c>
      <c r="L1927" s="64" t="n">
        <v>4959.47634826572</v>
      </c>
      <c r="M1927" s="64" t="n">
        <v>7.92</v>
      </c>
      <c r="N1927" s="18" t="s">
        <v>1398</v>
      </c>
      <c r="O1927" s="65" t="n">
        <v>39279.0527</v>
      </c>
      <c r="P1927" s="65"/>
      <c r="Q1927" s="65"/>
      <c r="R1927" s="65" t="s">
        <v>232</v>
      </c>
      <c r="S1927" s="66" t="n">
        <f aca="false">Model_Calc!AL325</f>
        <v>39279.0526782645</v>
      </c>
      <c r="T1927" s="66" t="n">
        <f aca="false">ROUND(S1927-O1927,4)</f>
        <v>0</v>
      </c>
    </row>
    <row r="1928" customFormat="false" ht="15" hidden="false" customHeight="false" outlineLevel="0" collapsed="false">
      <c r="A1928" s="18" t="s">
        <v>213</v>
      </c>
      <c r="B1928" s="18" t="s">
        <v>207</v>
      </c>
      <c r="C1928" s="18" t="s">
        <v>214</v>
      </c>
      <c r="D1928" s="49" t="n">
        <v>46266</v>
      </c>
      <c r="E1928" s="18" t="s">
        <v>98</v>
      </c>
      <c r="F1928" s="18" t="s">
        <v>99</v>
      </c>
      <c r="G1928" s="18" t="s">
        <v>100</v>
      </c>
      <c r="H1928" s="18" t="s">
        <v>101</v>
      </c>
      <c r="I1928" s="18" t="s">
        <v>102</v>
      </c>
      <c r="J1928" s="18" t="s">
        <v>237</v>
      </c>
      <c r="K1928" s="18" t="s">
        <v>195</v>
      </c>
      <c r="L1928" s="64" t="n">
        <v>1644.87489264</v>
      </c>
      <c r="M1928" s="64" t="n">
        <v>7.92</v>
      </c>
      <c r="N1928" s="18" t="s">
        <v>1399</v>
      </c>
      <c r="O1928" s="65" t="n">
        <v>13027.4091</v>
      </c>
      <c r="P1928" s="65"/>
      <c r="Q1928" s="65"/>
      <c r="R1928" s="65" t="s">
        <v>232</v>
      </c>
      <c r="S1928" s="66" t="n">
        <f aca="false">Model_Calc!AQ325</f>
        <v>13027.4091497088</v>
      </c>
      <c r="T1928" s="66" t="n">
        <f aca="false">ROUND(S1928-O1928,4)</f>
        <v>0</v>
      </c>
    </row>
    <row r="1929" customFormat="false" ht="15" hidden="false" customHeight="false" outlineLevel="0" collapsed="false">
      <c r="A1929" s="18" t="s">
        <v>213</v>
      </c>
      <c r="B1929" s="18" t="s">
        <v>207</v>
      </c>
      <c r="C1929" s="18" t="s">
        <v>214</v>
      </c>
      <c r="D1929" s="49" t="n">
        <v>46266</v>
      </c>
      <c r="E1929" s="18" t="s">
        <v>98</v>
      </c>
      <c r="F1929" s="18" t="s">
        <v>99</v>
      </c>
      <c r="G1929" s="18" t="s">
        <v>100</v>
      </c>
      <c r="H1929" s="18" t="s">
        <v>101</v>
      </c>
      <c r="I1929" s="18" t="s">
        <v>102</v>
      </c>
      <c r="J1929" s="18" t="s">
        <v>239</v>
      </c>
      <c r="K1929" s="18" t="s">
        <v>195</v>
      </c>
      <c r="L1929" s="64" t="n">
        <v>596.7800064</v>
      </c>
      <c r="M1929" s="64" t="n">
        <v>7.92</v>
      </c>
      <c r="N1929" s="18" t="s">
        <v>1400</v>
      </c>
      <c r="O1929" s="65" t="n">
        <v>4726.4977</v>
      </c>
      <c r="P1929" s="65"/>
      <c r="Q1929" s="65"/>
      <c r="R1929" s="65" t="s">
        <v>232</v>
      </c>
      <c r="S1929" s="66" t="n">
        <f aca="false">Model_Calc!AV325</f>
        <v>4726.497650688</v>
      </c>
      <c r="T1929" s="66" t="n">
        <f aca="false">ROUND(S1929-O1929,4)</f>
        <v>0</v>
      </c>
    </row>
    <row r="1930" customFormat="false" ht="15" hidden="false" customHeight="false" outlineLevel="0" collapsed="false">
      <c r="A1930" s="18" t="s">
        <v>213</v>
      </c>
      <c r="B1930" s="18" t="s">
        <v>207</v>
      </c>
      <c r="C1930" s="18" t="s">
        <v>214</v>
      </c>
      <c r="D1930" s="49" t="n">
        <v>46266</v>
      </c>
      <c r="E1930" s="18" t="s">
        <v>98</v>
      </c>
      <c r="F1930" s="18" t="s">
        <v>99</v>
      </c>
      <c r="G1930" s="18" t="s">
        <v>100</v>
      </c>
      <c r="H1930" s="18" t="s">
        <v>101</v>
      </c>
      <c r="I1930" s="18" t="s">
        <v>102</v>
      </c>
      <c r="J1930" s="18" t="s">
        <v>241</v>
      </c>
      <c r="K1930" s="18" t="s">
        <v>195</v>
      </c>
      <c r="L1930" s="64" t="n">
        <v>144.1223715456</v>
      </c>
      <c r="M1930" s="64" t="n">
        <v>7.92</v>
      </c>
      <c r="N1930" s="18" t="s">
        <v>1401</v>
      </c>
      <c r="O1930" s="65" t="n">
        <v>1141.4492</v>
      </c>
      <c r="P1930" s="65"/>
      <c r="Q1930" s="65"/>
      <c r="R1930" s="65" t="s">
        <v>232</v>
      </c>
      <c r="S1930" s="66" t="n">
        <f aca="false">Model_Calc!BA325</f>
        <v>1141.44918264115</v>
      </c>
      <c r="T1930" s="66" t="n">
        <f aca="false">ROUND(S1930-O1930,4)</f>
        <v>0</v>
      </c>
    </row>
    <row r="1931" customFormat="false" ht="15" hidden="false" customHeight="false" outlineLevel="0" collapsed="false">
      <c r="A1931" s="18" t="s">
        <v>213</v>
      </c>
      <c r="B1931" s="18" t="s">
        <v>207</v>
      </c>
      <c r="C1931" s="18" t="s">
        <v>214</v>
      </c>
      <c r="D1931" s="49" t="n">
        <v>46266</v>
      </c>
      <c r="E1931" s="18" t="s">
        <v>106</v>
      </c>
      <c r="F1931" s="18" t="s">
        <v>99</v>
      </c>
      <c r="G1931" s="18" t="s">
        <v>100</v>
      </c>
      <c r="H1931" s="18" t="s">
        <v>107</v>
      </c>
      <c r="I1931" s="18" t="s">
        <v>102</v>
      </c>
      <c r="J1931" s="18" t="s">
        <v>230</v>
      </c>
      <c r="K1931" s="18" t="s">
        <v>195</v>
      </c>
      <c r="L1931" s="64" t="n">
        <v>5744.0075616</v>
      </c>
      <c r="M1931" s="64" t="n">
        <v>7.92</v>
      </c>
      <c r="N1931" s="18" t="s">
        <v>1402</v>
      </c>
      <c r="O1931" s="65" t="n">
        <v>45492.5399</v>
      </c>
      <c r="P1931" s="65"/>
      <c r="Q1931" s="65"/>
      <c r="R1931" s="65" t="s">
        <v>232</v>
      </c>
      <c r="S1931" s="66" t="n">
        <f aca="false">Model_Calc!AF326</f>
        <v>45492.539887872</v>
      </c>
      <c r="T1931" s="66" t="n">
        <f aca="false">ROUND(S1931-O1931,4)</f>
        <v>0</v>
      </c>
    </row>
    <row r="1932" customFormat="false" ht="15" hidden="false" customHeight="false" outlineLevel="0" collapsed="false">
      <c r="A1932" s="18" t="s">
        <v>213</v>
      </c>
      <c r="B1932" s="18" t="s">
        <v>207</v>
      </c>
      <c r="C1932" s="18" t="s">
        <v>214</v>
      </c>
      <c r="D1932" s="49" t="n">
        <v>46266</v>
      </c>
      <c r="E1932" s="18" t="s">
        <v>106</v>
      </c>
      <c r="F1932" s="18" t="s">
        <v>99</v>
      </c>
      <c r="G1932" s="18" t="s">
        <v>100</v>
      </c>
      <c r="H1932" s="18" t="s">
        <v>107</v>
      </c>
      <c r="I1932" s="18" t="s">
        <v>102</v>
      </c>
      <c r="J1932" s="18" t="s">
        <v>233</v>
      </c>
      <c r="K1932" s="18" t="s">
        <v>195</v>
      </c>
      <c r="L1932" s="64" t="n">
        <v>438.633304704</v>
      </c>
      <c r="M1932" s="64" t="n">
        <v>7.92</v>
      </c>
      <c r="N1932" s="18" t="s">
        <v>1403</v>
      </c>
      <c r="O1932" s="65" t="n">
        <v>3473.9758</v>
      </c>
      <c r="P1932" s="65"/>
      <c r="Q1932" s="65"/>
      <c r="R1932" s="65" t="s">
        <v>232</v>
      </c>
      <c r="S1932" s="66" t="n">
        <f aca="false">Model_Calc!AG326</f>
        <v>3473.97577325568</v>
      </c>
      <c r="T1932" s="66" t="n">
        <f aca="false">ROUND(S1932-O1932,4)</f>
        <v>0</v>
      </c>
    </row>
    <row r="1933" customFormat="false" ht="15" hidden="false" customHeight="false" outlineLevel="0" collapsed="false">
      <c r="A1933" s="18" t="s">
        <v>213</v>
      </c>
      <c r="B1933" s="18" t="s">
        <v>207</v>
      </c>
      <c r="C1933" s="18" t="s">
        <v>214</v>
      </c>
      <c r="D1933" s="49" t="n">
        <v>46266</v>
      </c>
      <c r="E1933" s="18" t="s">
        <v>106</v>
      </c>
      <c r="F1933" s="18" t="s">
        <v>99</v>
      </c>
      <c r="G1933" s="18" t="s">
        <v>100</v>
      </c>
      <c r="H1933" s="18" t="s">
        <v>107</v>
      </c>
      <c r="I1933" s="18" t="s">
        <v>102</v>
      </c>
      <c r="J1933" s="18" t="s">
        <v>235</v>
      </c>
      <c r="K1933" s="18" t="s">
        <v>195</v>
      </c>
      <c r="L1933" s="64" t="n">
        <v>3306.31756551048</v>
      </c>
      <c r="M1933" s="64" t="n">
        <v>7.92</v>
      </c>
      <c r="N1933" s="18" t="s">
        <v>1404</v>
      </c>
      <c r="O1933" s="65" t="n">
        <v>26186.0351</v>
      </c>
      <c r="P1933" s="65"/>
      <c r="Q1933" s="65"/>
      <c r="R1933" s="65" t="s">
        <v>232</v>
      </c>
      <c r="S1933" s="66" t="n">
        <f aca="false">Model_Calc!AL326</f>
        <v>26186.035118843</v>
      </c>
      <c r="T1933" s="66" t="n">
        <f aca="false">ROUND(S1933-O1933,4)</f>
        <v>0</v>
      </c>
    </row>
    <row r="1934" customFormat="false" ht="15" hidden="false" customHeight="false" outlineLevel="0" collapsed="false">
      <c r="A1934" s="18" t="s">
        <v>213</v>
      </c>
      <c r="B1934" s="18" t="s">
        <v>207</v>
      </c>
      <c r="C1934" s="18" t="s">
        <v>214</v>
      </c>
      <c r="D1934" s="49" t="n">
        <v>46266</v>
      </c>
      <c r="E1934" s="18" t="s">
        <v>106</v>
      </c>
      <c r="F1934" s="18" t="s">
        <v>99</v>
      </c>
      <c r="G1934" s="18" t="s">
        <v>100</v>
      </c>
      <c r="H1934" s="18" t="s">
        <v>107</v>
      </c>
      <c r="I1934" s="18" t="s">
        <v>102</v>
      </c>
      <c r="J1934" s="18" t="s">
        <v>237</v>
      </c>
      <c r="K1934" s="18" t="s">
        <v>195</v>
      </c>
      <c r="L1934" s="64" t="n">
        <v>1096.58326176</v>
      </c>
      <c r="M1934" s="64" t="n">
        <v>7.92</v>
      </c>
      <c r="N1934" s="18" t="s">
        <v>1405</v>
      </c>
      <c r="O1934" s="65" t="n">
        <v>8684.9394</v>
      </c>
      <c r="P1934" s="65"/>
      <c r="Q1934" s="65"/>
      <c r="R1934" s="65" t="s">
        <v>232</v>
      </c>
      <c r="S1934" s="66" t="n">
        <f aca="false">Model_Calc!AQ326</f>
        <v>8684.9394331392</v>
      </c>
      <c r="T1934" s="66" t="n">
        <f aca="false">ROUND(S1934-O1934,4)</f>
        <v>0</v>
      </c>
    </row>
    <row r="1935" customFormat="false" ht="15" hidden="false" customHeight="false" outlineLevel="0" collapsed="false">
      <c r="A1935" s="18" t="s">
        <v>213</v>
      </c>
      <c r="B1935" s="18" t="s">
        <v>207</v>
      </c>
      <c r="C1935" s="18" t="s">
        <v>214</v>
      </c>
      <c r="D1935" s="49" t="n">
        <v>46266</v>
      </c>
      <c r="E1935" s="18" t="s">
        <v>106</v>
      </c>
      <c r="F1935" s="18" t="s">
        <v>99</v>
      </c>
      <c r="G1935" s="18" t="s">
        <v>100</v>
      </c>
      <c r="H1935" s="18" t="s">
        <v>107</v>
      </c>
      <c r="I1935" s="18" t="s">
        <v>102</v>
      </c>
      <c r="J1935" s="18" t="s">
        <v>239</v>
      </c>
      <c r="K1935" s="18" t="s">
        <v>195</v>
      </c>
      <c r="L1935" s="64" t="n">
        <v>397.8533376</v>
      </c>
      <c r="M1935" s="64" t="n">
        <v>7.92</v>
      </c>
      <c r="N1935" s="18" t="s">
        <v>1406</v>
      </c>
      <c r="O1935" s="65" t="n">
        <v>3150.9984</v>
      </c>
      <c r="P1935" s="65"/>
      <c r="Q1935" s="65"/>
      <c r="R1935" s="65" t="s">
        <v>232</v>
      </c>
      <c r="S1935" s="66" t="n">
        <f aca="false">Model_Calc!AV326</f>
        <v>3150.998433792</v>
      </c>
      <c r="T1935" s="66" t="n">
        <f aca="false">ROUND(S1935-O1935,4)</f>
        <v>0</v>
      </c>
    </row>
    <row r="1936" customFormat="false" ht="15" hidden="false" customHeight="false" outlineLevel="0" collapsed="false">
      <c r="A1936" s="18" t="s">
        <v>213</v>
      </c>
      <c r="B1936" s="18" t="s">
        <v>207</v>
      </c>
      <c r="C1936" s="18" t="s">
        <v>214</v>
      </c>
      <c r="D1936" s="49" t="n">
        <v>46266</v>
      </c>
      <c r="E1936" s="18" t="s">
        <v>106</v>
      </c>
      <c r="F1936" s="18" t="s">
        <v>99</v>
      </c>
      <c r="G1936" s="18" t="s">
        <v>100</v>
      </c>
      <c r="H1936" s="18" t="s">
        <v>107</v>
      </c>
      <c r="I1936" s="18" t="s">
        <v>102</v>
      </c>
      <c r="J1936" s="18" t="s">
        <v>241</v>
      </c>
      <c r="K1936" s="18" t="s">
        <v>195</v>
      </c>
      <c r="L1936" s="64" t="n">
        <v>78.0662845872</v>
      </c>
      <c r="M1936" s="64" t="n">
        <v>7.92</v>
      </c>
      <c r="N1936" s="18" t="s">
        <v>1407</v>
      </c>
      <c r="O1936" s="65" t="n">
        <v>618.285</v>
      </c>
      <c r="P1936" s="65"/>
      <c r="Q1936" s="65"/>
      <c r="R1936" s="65" t="s">
        <v>232</v>
      </c>
      <c r="S1936" s="66" t="n">
        <f aca="false">Model_Calc!BA326</f>
        <v>618.284973930624</v>
      </c>
      <c r="T1936" s="66" t="n">
        <f aca="false">ROUND(S1936-O1936,4)</f>
        <v>0</v>
      </c>
    </row>
    <row r="1937" customFormat="false" ht="15" hidden="false" customHeight="false" outlineLevel="0" collapsed="false">
      <c r="A1937" s="18" t="s">
        <v>213</v>
      </c>
      <c r="B1937" s="18" t="s">
        <v>207</v>
      </c>
      <c r="C1937" s="18" t="s">
        <v>214</v>
      </c>
      <c r="D1937" s="49" t="n">
        <v>46266</v>
      </c>
      <c r="E1937" s="18" t="s">
        <v>109</v>
      </c>
      <c r="F1937" s="18" t="s">
        <v>99</v>
      </c>
      <c r="G1937" s="18" t="s">
        <v>110</v>
      </c>
      <c r="H1937" s="18" t="s">
        <v>107</v>
      </c>
      <c r="I1937" s="18" t="s">
        <v>102</v>
      </c>
      <c r="J1937" s="18" t="s">
        <v>230</v>
      </c>
      <c r="K1937" s="18" t="s">
        <v>195</v>
      </c>
      <c r="L1937" s="64" t="n">
        <v>589.289494464</v>
      </c>
      <c r="M1937" s="64" t="n">
        <v>7.92</v>
      </c>
      <c r="N1937" s="18" t="s">
        <v>1408</v>
      </c>
      <c r="O1937" s="65" t="n">
        <v>4667.1728</v>
      </c>
      <c r="P1937" s="65"/>
      <c r="Q1937" s="65"/>
      <c r="R1937" s="65" t="s">
        <v>232</v>
      </c>
      <c r="S1937" s="66" t="n">
        <f aca="false">Model_Calc!AF327</f>
        <v>4667.17279615488</v>
      </c>
      <c r="T1937" s="66" t="n">
        <f aca="false">ROUND(S1937-O1937,4)</f>
        <v>0</v>
      </c>
    </row>
    <row r="1938" customFormat="false" ht="15" hidden="false" customHeight="false" outlineLevel="0" collapsed="false">
      <c r="A1938" s="18" t="s">
        <v>213</v>
      </c>
      <c r="B1938" s="18" t="s">
        <v>207</v>
      </c>
      <c r="C1938" s="18" t="s">
        <v>214</v>
      </c>
      <c r="D1938" s="49" t="n">
        <v>46266</v>
      </c>
      <c r="E1938" s="18" t="s">
        <v>109</v>
      </c>
      <c r="F1938" s="18" t="s">
        <v>99</v>
      </c>
      <c r="G1938" s="18" t="s">
        <v>110</v>
      </c>
      <c r="H1938" s="18" t="s">
        <v>107</v>
      </c>
      <c r="I1938" s="18" t="s">
        <v>102</v>
      </c>
      <c r="J1938" s="18" t="s">
        <v>233</v>
      </c>
      <c r="K1938" s="18" t="s">
        <v>195</v>
      </c>
      <c r="L1938" s="64" t="n">
        <v>42.8574177792</v>
      </c>
      <c r="M1938" s="64" t="n">
        <v>7.92</v>
      </c>
      <c r="N1938" s="18" t="s">
        <v>1409</v>
      </c>
      <c r="O1938" s="65" t="n">
        <v>339.4307</v>
      </c>
      <c r="P1938" s="65"/>
      <c r="Q1938" s="65"/>
      <c r="R1938" s="65" t="s">
        <v>232</v>
      </c>
      <c r="S1938" s="66" t="n">
        <f aca="false">Model_Calc!AG327</f>
        <v>339.430748811264</v>
      </c>
      <c r="T1938" s="66" t="n">
        <f aca="false">ROUND(S1938-O1938,4)</f>
        <v>0</v>
      </c>
    </row>
    <row r="1939" customFormat="false" ht="15" hidden="false" customHeight="false" outlineLevel="0" collapsed="false">
      <c r="A1939" s="18" t="s">
        <v>213</v>
      </c>
      <c r="B1939" s="18" t="s">
        <v>207</v>
      </c>
      <c r="C1939" s="18" t="s">
        <v>214</v>
      </c>
      <c r="D1939" s="49" t="n">
        <v>46266</v>
      </c>
      <c r="E1939" s="18" t="s">
        <v>109</v>
      </c>
      <c r="F1939" s="18" t="s">
        <v>99</v>
      </c>
      <c r="G1939" s="18" t="s">
        <v>110</v>
      </c>
      <c r="H1939" s="18" t="s">
        <v>107</v>
      </c>
      <c r="I1939" s="18" t="s">
        <v>102</v>
      </c>
      <c r="J1939" s="18" t="s">
        <v>235</v>
      </c>
      <c r="K1939" s="18" t="s">
        <v>195</v>
      </c>
      <c r="L1939" s="64" t="n">
        <v>201.87468</v>
      </c>
      <c r="M1939" s="64" t="n">
        <v>7.92</v>
      </c>
      <c r="N1939" s="18" t="s">
        <v>1410</v>
      </c>
      <c r="O1939" s="65" t="n">
        <v>1598.8475</v>
      </c>
      <c r="P1939" s="65"/>
      <c r="Q1939" s="65"/>
      <c r="R1939" s="65" t="s">
        <v>232</v>
      </c>
      <c r="S1939" s="66" t="n">
        <f aca="false">Model_Calc!AL327</f>
        <v>1598.8474656</v>
      </c>
      <c r="T1939" s="66" t="n">
        <f aca="false">ROUND(S1939-O1939,4)</f>
        <v>0</v>
      </c>
    </row>
    <row r="1940" customFormat="false" ht="15" hidden="false" customHeight="false" outlineLevel="0" collapsed="false">
      <c r="A1940" s="18" t="s">
        <v>213</v>
      </c>
      <c r="B1940" s="18" t="s">
        <v>207</v>
      </c>
      <c r="C1940" s="18" t="s">
        <v>214</v>
      </c>
      <c r="D1940" s="49" t="n">
        <v>46266</v>
      </c>
      <c r="E1940" s="18" t="s">
        <v>109</v>
      </c>
      <c r="F1940" s="18" t="s">
        <v>99</v>
      </c>
      <c r="G1940" s="18" t="s">
        <v>110</v>
      </c>
      <c r="H1940" s="18" t="s">
        <v>107</v>
      </c>
      <c r="I1940" s="18" t="s">
        <v>102</v>
      </c>
      <c r="J1940" s="18" t="s">
        <v>237</v>
      </c>
      <c r="K1940" s="18" t="s">
        <v>195</v>
      </c>
      <c r="L1940" s="64" t="n">
        <v>78.90416064</v>
      </c>
      <c r="M1940" s="64" t="n">
        <v>7.92</v>
      </c>
      <c r="N1940" s="18" t="s">
        <v>1411</v>
      </c>
      <c r="O1940" s="65" t="n">
        <v>624.921</v>
      </c>
      <c r="P1940" s="65"/>
      <c r="Q1940" s="65"/>
      <c r="R1940" s="65" t="s">
        <v>232</v>
      </c>
      <c r="S1940" s="66" t="n">
        <f aca="false">Model_Calc!AQ327</f>
        <v>624.9209522688</v>
      </c>
      <c r="T1940" s="66" t="n">
        <f aca="false">ROUND(S1940-O1940,4)</f>
        <v>0</v>
      </c>
    </row>
    <row r="1941" customFormat="false" ht="15" hidden="false" customHeight="false" outlineLevel="0" collapsed="false">
      <c r="A1941" s="18" t="s">
        <v>213</v>
      </c>
      <c r="B1941" s="18" t="s">
        <v>207</v>
      </c>
      <c r="C1941" s="18" t="s">
        <v>214</v>
      </c>
      <c r="D1941" s="49" t="n">
        <v>46266</v>
      </c>
      <c r="E1941" s="18" t="s">
        <v>109</v>
      </c>
      <c r="F1941" s="18" t="s">
        <v>99</v>
      </c>
      <c r="G1941" s="18" t="s">
        <v>110</v>
      </c>
      <c r="H1941" s="18" t="s">
        <v>107</v>
      </c>
      <c r="I1941" s="18" t="s">
        <v>102</v>
      </c>
      <c r="J1941" s="18" t="s">
        <v>239</v>
      </c>
      <c r="K1941" s="18" t="s">
        <v>195</v>
      </c>
      <c r="L1941" s="64" t="n">
        <v>36.529704</v>
      </c>
      <c r="M1941" s="64" t="n">
        <v>7.92</v>
      </c>
      <c r="N1941" s="18" t="s">
        <v>1412</v>
      </c>
      <c r="O1941" s="65" t="n">
        <v>289.3153</v>
      </c>
      <c r="P1941" s="65"/>
      <c r="Q1941" s="65"/>
      <c r="R1941" s="65" t="s">
        <v>232</v>
      </c>
      <c r="S1941" s="66" t="n">
        <f aca="false">Model_Calc!AV327</f>
        <v>289.31525568</v>
      </c>
      <c r="T1941" s="66" t="n">
        <f aca="false">ROUND(S1941-O1941,4)</f>
        <v>0</v>
      </c>
    </row>
    <row r="1942" customFormat="false" ht="15" hidden="false" customHeight="false" outlineLevel="0" collapsed="false">
      <c r="A1942" s="18" t="s">
        <v>213</v>
      </c>
      <c r="B1942" s="18" t="s">
        <v>207</v>
      </c>
      <c r="C1942" s="18" t="s">
        <v>214</v>
      </c>
      <c r="D1942" s="49" t="n">
        <v>46266</v>
      </c>
      <c r="E1942" s="18" t="s">
        <v>109</v>
      </c>
      <c r="F1942" s="18" t="s">
        <v>99</v>
      </c>
      <c r="G1942" s="18" t="s">
        <v>110</v>
      </c>
      <c r="H1942" s="18" t="s">
        <v>107</v>
      </c>
      <c r="I1942" s="18" t="s">
        <v>102</v>
      </c>
      <c r="J1942" s="18" t="s">
        <v>241</v>
      </c>
      <c r="K1942" s="18" t="s">
        <v>195</v>
      </c>
      <c r="L1942" s="64" t="n">
        <v>6.6860894016</v>
      </c>
      <c r="M1942" s="64" t="n">
        <v>7.92</v>
      </c>
      <c r="N1942" s="18" t="s">
        <v>1413</v>
      </c>
      <c r="O1942" s="65" t="n">
        <v>52.9538</v>
      </c>
      <c r="P1942" s="65"/>
      <c r="Q1942" s="65"/>
      <c r="R1942" s="65" t="s">
        <v>232</v>
      </c>
      <c r="S1942" s="66" t="n">
        <f aca="false">Model_Calc!BA327</f>
        <v>52.953828060672</v>
      </c>
      <c r="T1942" s="66" t="n">
        <f aca="false">ROUND(S1942-O1942,4)</f>
        <v>0</v>
      </c>
    </row>
    <row r="1943" customFormat="false" ht="15" hidden="false" customHeight="false" outlineLevel="0" collapsed="false">
      <c r="A1943" s="18" t="s">
        <v>213</v>
      </c>
      <c r="B1943" s="18" t="s">
        <v>207</v>
      </c>
      <c r="C1943" s="18" t="s">
        <v>214</v>
      </c>
      <c r="D1943" s="49" t="n">
        <v>46266</v>
      </c>
      <c r="E1943" s="18" t="s">
        <v>112</v>
      </c>
      <c r="F1943" s="18" t="s">
        <v>113</v>
      </c>
      <c r="G1943" s="18" t="s">
        <v>110</v>
      </c>
      <c r="H1943" s="18" t="s">
        <v>101</v>
      </c>
      <c r="I1943" s="18" t="s">
        <v>102</v>
      </c>
      <c r="J1943" s="18" t="s">
        <v>230</v>
      </c>
      <c r="K1943" s="18" t="s">
        <v>195</v>
      </c>
      <c r="L1943" s="64" t="n">
        <v>3162.2547096</v>
      </c>
      <c r="M1943" s="64" t="n">
        <v>7.92</v>
      </c>
      <c r="N1943" s="18" t="s">
        <v>1414</v>
      </c>
      <c r="O1943" s="65" t="n">
        <v>25045.0573</v>
      </c>
      <c r="P1943" s="65"/>
      <c r="Q1943" s="65"/>
      <c r="R1943" s="65" t="s">
        <v>232</v>
      </c>
      <c r="S1943" s="66" t="n">
        <f aca="false">Model_Calc!AF328</f>
        <v>25045.057300032</v>
      </c>
      <c r="T1943" s="66" t="n">
        <f aca="false">ROUND(S1943-O1943,4)</f>
        <v>0</v>
      </c>
    </row>
    <row r="1944" customFormat="false" ht="15" hidden="false" customHeight="false" outlineLevel="0" collapsed="false">
      <c r="A1944" s="18" t="s">
        <v>213</v>
      </c>
      <c r="B1944" s="18" t="s">
        <v>207</v>
      </c>
      <c r="C1944" s="18" t="s">
        <v>214</v>
      </c>
      <c r="D1944" s="49" t="n">
        <v>46266</v>
      </c>
      <c r="E1944" s="18" t="s">
        <v>112</v>
      </c>
      <c r="F1944" s="18" t="s">
        <v>113</v>
      </c>
      <c r="G1944" s="18" t="s">
        <v>110</v>
      </c>
      <c r="H1944" s="18" t="s">
        <v>101</v>
      </c>
      <c r="I1944" s="18" t="s">
        <v>102</v>
      </c>
      <c r="J1944" s="18" t="s">
        <v>233</v>
      </c>
      <c r="K1944" s="18" t="s">
        <v>195</v>
      </c>
      <c r="L1944" s="64" t="n">
        <v>294.56402619924</v>
      </c>
      <c r="M1944" s="64" t="n">
        <v>7.92</v>
      </c>
      <c r="N1944" s="18" t="s">
        <v>1415</v>
      </c>
      <c r="O1944" s="65" t="n">
        <v>2332.9471</v>
      </c>
      <c r="P1944" s="65"/>
      <c r="Q1944" s="65"/>
      <c r="R1944" s="65" t="s">
        <v>232</v>
      </c>
      <c r="S1944" s="66" t="n">
        <f aca="false">Model_Calc!AG328</f>
        <v>2332.94708749798</v>
      </c>
      <c r="T1944" s="66" t="n">
        <f aca="false">ROUND(S1944-O1944,4)</f>
        <v>0</v>
      </c>
    </row>
    <row r="1945" customFormat="false" ht="15" hidden="false" customHeight="false" outlineLevel="0" collapsed="false">
      <c r="A1945" s="18" t="s">
        <v>213</v>
      </c>
      <c r="B1945" s="18" t="s">
        <v>207</v>
      </c>
      <c r="C1945" s="18" t="s">
        <v>214</v>
      </c>
      <c r="D1945" s="49" t="n">
        <v>46266</v>
      </c>
      <c r="E1945" s="18" t="s">
        <v>112</v>
      </c>
      <c r="F1945" s="18" t="s">
        <v>113</v>
      </c>
      <c r="G1945" s="18" t="s">
        <v>110</v>
      </c>
      <c r="H1945" s="18" t="s">
        <v>101</v>
      </c>
      <c r="I1945" s="18" t="s">
        <v>102</v>
      </c>
      <c r="J1945" s="18" t="s">
        <v>235</v>
      </c>
      <c r="K1945" s="18" t="s">
        <v>195</v>
      </c>
      <c r="L1945" s="64" t="n">
        <v>1962.6705</v>
      </c>
      <c r="M1945" s="64" t="n">
        <v>7.92</v>
      </c>
      <c r="N1945" s="18" t="s">
        <v>1416</v>
      </c>
      <c r="O1945" s="65" t="n">
        <v>15544.3504</v>
      </c>
      <c r="P1945" s="65"/>
      <c r="Q1945" s="65"/>
      <c r="R1945" s="65" t="s">
        <v>232</v>
      </c>
      <c r="S1945" s="66" t="n">
        <f aca="false">Model_Calc!AL328</f>
        <v>15544.35036</v>
      </c>
      <c r="T1945" s="66" t="n">
        <f aca="false">ROUND(S1945-O1945,4)</f>
        <v>0</v>
      </c>
    </row>
    <row r="1946" customFormat="false" ht="15" hidden="false" customHeight="false" outlineLevel="0" collapsed="false">
      <c r="A1946" s="18" t="s">
        <v>213</v>
      </c>
      <c r="B1946" s="18" t="s">
        <v>207</v>
      </c>
      <c r="C1946" s="18" t="s">
        <v>214</v>
      </c>
      <c r="D1946" s="49" t="n">
        <v>46266</v>
      </c>
      <c r="E1946" s="18" t="s">
        <v>112</v>
      </c>
      <c r="F1946" s="18" t="s">
        <v>113</v>
      </c>
      <c r="G1946" s="18" t="s">
        <v>110</v>
      </c>
      <c r="H1946" s="18" t="s">
        <v>101</v>
      </c>
      <c r="I1946" s="18" t="s">
        <v>102</v>
      </c>
      <c r="J1946" s="18" t="s">
        <v>237</v>
      </c>
      <c r="K1946" s="18" t="s">
        <v>195</v>
      </c>
      <c r="L1946" s="64" t="n">
        <v>752.917788</v>
      </c>
      <c r="M1946" s="64" t="n">
        <v>7.92</v>
      </c>
      <c r="N1946" s="18" t="s">
        <v>1417</v>
      </c>
      <c r="O1946" s="65" t="n">
        <v>5963.1089</v>
      </c>
      <c r="P1946" s="65"/>
      <c r="Q1946" s="65"/>
      <c r="R1946" s="65" t="s">
        <v>232</v>
      </c>
      <c r="S1946" s="66" t="n">
        <f aca="false">Model_Calc!AQ328</f>
        <v>5963.10888096</v>
      </c>
      <c r="T1946" s="66" t="n">
        <f aca="false">ROUND(S1946-O1946,4)</f>
        <v>0</v>
      </c>
    </row>
    <row r="1947" customFormat="false" ht="15" hidden="false" customHeight="false" outlineLevel="0" collapsed="false">
      <c r="A1947" s="18" t="s">
        <v>213</v>
      </c>
      <c r="B1947" s="18" t="s">
        <v>207</v>
      </c>
      <c r="C1947" s="18" t="s">
        <v>214</v>
      </c>
      <c r="D1947" s="49" t="n">
        <v>46266</v>
      </c>
      <c r="E1947" s="18" t="s">
        <v>112</v>
      </c>
      <c r="F1947" s="18" t="s">
        <v>113</v>
      </c>
      <c r="G1947" s="18" t="s">
        <v>110</v>
      </c>
      <c r="H1947" s="18" t="s">
        <v>101</v>
      </c>
      <c r="I1947" s="18" t="s">
        <v>102</v>
      </c>
      <c r="J1947" s="18" t="s">
        <v>239</v>
      </c>
      <c r="K1947" s="18" t="s">
        <v>195</v>
      </c>
      <c r="L1947" s="64" t="n">
        <v>336.4578</v>
      </c>
      <c r="M1947" s="64" t="n">
        <v>7.92</v>
      </c>
      <c r="N1947" s="18" t="s">
        <v>1418</v>
      </c>
      <c r="O1947" s="65" t="n">
        <v>2664.7458</v>
      </c>
      <c r="P1947" s="65"/>
      <c r="Q1947" s="65"/>
      <c r="R1947" s="65" t="s">
        <v>232</v>
      </c>
      <c r="S1947" s="66" t="n">
        <f aca="false">Model_Calc!AV328</f>
        <v>2664.745776</v>
      </c>
      <c r="T1947" s="66" t="n">
        <f aca="false">ROUND(S1947-O1947,4)</f>
        <v>0</v>
      </c>
    </row>
    <row r="1948" customFormat="false" ht="15" hidden="false" customHeight="false" outlineLevel="0" collapsed="false">
      <c r="A1948" s="18" t="s">
        <v>213</v>
      </c>
      <c r="B1948" s="18" t="s">
        <v>207</v>
      </c>
      <c r="C1948" s="18" t="s">
        <v>214</v>
      </c>
      <c r="D1948" s="49" t="n">
        <v>46266</v>
      </c>
      <c r="E1948" s="18" t="s">
        <v>112</v>
      </c>
      <c r="F1948" s="18" t="s">
        <v>113</v>
      </c>
      <c r="G1948" s="18" t="s">
        <v>110</v>
      </c>
      <c r="H1948" s="18" t="s">
        <v>101</v>
      </c>
      <c r="I1948" s="18" t="s">
        <v>102</v>
      </c>
      <c r="J1948" s="18" t="s">
        <v>241</v>
      </c>
      <c r="K1948" s="18" t="s">
        <v>195</v>
      </c>
      <c r="L1948" s="64" t="n">
        <v>77.47127766</v>
      </c>
      <c r="M1948" s="64" t="n">
        <v>7.92</v>
      </c>
      <c r="N1948" s="18" t="s">
        <v>1419</v>
      </c>
      <c r="O1948" s="65" t="n">
        <v>613.5725</v>
      </c>
      <c r="P1948" s="65"/>
      <c r="Q1948" s="65"/>
      <c r="R1948" s="65" t="s">
        <v>232</v>
      </c>
      <c r="S1948" s="66" t="n">
        <f aca="false">Model_Calc!BA328</f>
        <v>613.5725190672</v>
      </c>
      <c r="T1948" s="66" t="n">
        <f aca="false">ROUND(S1948-O1948,4)</f>
        <v>0</v>
      </c>
    </row>
    <row r="1949" customFormat="false" ht="15" hidden="false" customHeight="false" outlineLevel="0" collapsed="false">
      <c r="A1949" s="18" t="s">
        <v>213</v>
      </c>
      <c r="B1949" s="18" t="s">
        <v>207</v>
      </c>
      <c r="C1949" s="18" t="s">
        <v>214</v>
      </c>
      <c r="D1949" s="49" t="n">
        <v>46266</v>
      </c>
      <c r="E1949" s="18" t="s">
        <v>116</v>
      </c>
      <c r="F1949" s="18" t="s">
        <v>113</v>
      </c>
      <c r="G1949" s="18" t="s">
        <v>110</v>
      </c>
      <c r="H1949" s="18" t="s">
        <v>107</v>
      </c>
      <c r="I1949" s="18" t="s">
        <v>102</v>
      </c>
      <c r="J1949" s="18" t="s">
        <v>230</v>
      </c>
      <c r="K1949" s="18" t="s">
        <v>195</v>
      </c>
      <c r="L1949" s="64" t="n">
        <v>7558.0491636</v>
      </c>
      <c r="M1949" s="64" t="n">
        <v>7.92</v>
      </c>
      <c r="N1949" s="18" t="s">
        <v>1420</v>
      </c>
      <c r="O1949" s="65" t="n">
        <v>59859.7494</v>
      </c>
      <c r="P1949" s="65"/>
      <c r="Q1949" s="65"/>
      <c r="R1949" s="65" t="s">
        <v>232</v>
      </c>
      <c r="S1949" s="66" t="n">
        <f aca="false">Model_Calc!AF329</f>
        <v>59859.749375712</v>
      </c>
      <c r="T1949" s="66" t="n">
        <f aca="false">ROUND(S1949-O1949,4)</f>
        <v>0</v>
      </c>
    </row>
    <row r="1950" customFormat="false" ht="15" hidden="false" customHeight="false" outlineLevel="0" collapsed="false">
      <c r="A1950" s="18" t="s">
        <v>213</v>
      </c>
      <c r="B1950" s="18" t="s">
        <v>207</v>
      </c>
      <c r="C1950" s="18" t="s">
        <v>214</v>
      </c>
      <c r="D1950" s="49" t="n">
        <v>46266</v>
      </c>
      <c r="E1950" s="18" t="s">
        <v>116</v>
      </c>
      <c r="F1950" s="18" t="s">
        <v>113</v>
      </c>
      <c r="G1950" s="18" t="s">
        <v>110</v>
      </c>
      <c r="H1950" s="18" t="s">
        <v>107</v>
      </c>
      <c r="I1950" s="18" t="s">
        <v>102</v>
      </c>
      <c r="J1950" s="18" t="s">
        <v>233</v>
      </c>
      <c r="K1950" s="18" t="s">
        <v>195</v>
      </c>
      <c r="L1950" s="64" t="n">
        <v>581.3883972</v>
      </c>
      <c r="M1950" s="64" t="n">
        <v>7.92</v>
      </c>
      <c r="N1950" s="18" t="s">
        <v>1421</v>
      </c>
      <c r="O1950" s="65" t="n">
        <v>4604.5961</v>
      </c>
      <c r="P1950" s="65"/>
      <c r="Q1950" s="65"/>
      <c r="R1950" s="65" t="s">
        <v>232</v>
      </c>
      <c r="S1950" s="66" t="n">
        <f aca="false">Model_Calc!AG329</f>
        <v>4604.596105824</v>
      </c>
      <c r="T1950" s="66" t="n">
        <f aca="false">ROUND(S1950-O1950,4)</f>
        <v>0</v>
      </c>
    </row>
    <row r="1951" customFormat="false" ht="15" hidden="false" customHeight="false" outlineLevel="0" collapsed="false">
      <c r="A1951" s="18" t="s">
        <v>213</v>
      </c>
      <c r="B1951" s="18" t="s">
        <v>207</v>
      </c>
      <c r="C1951" s="18" t="s">
        <v>214</v>
      </c>
      <c r="D1951" s="49" t="n">
        <v>46266</v>
      </c>
      <c r="E1951" s="18" t="s">
        <v>116</v>
      </c>
      <c r="F1951" s="18" t="s">
        <v>113</v>
      </c>
      <c r="G1951" s="18" t="s">
        <v>110</v>
      </c>
      <c r="H1951" s="18" t="s">
        <v>107</v>
      </c>
      <c r="I1951" s="18" t="s">
        <v>102</v>
      </c>
      <c r="J1951" s="18" t="s">
        <v>235</v>
      </c>
      <c r="K1951" s="18" t="s">
        <v>195</v>
      </c>
      <c r="L1951" s="64" t="n">
        <v>3644.9595</v>
      </c>
      <c r="M1951" s="64" t="n">
        <v>7.92</v>
      </c>
      <c r="N1951" s="18" t="s">
        <v>1422</v>
      </c>
      <c r="O1951" s="65" t="n">
        <v>28868.0792</v>
      </c>
      <c r="P1951" s="65"/>
      <c r="Q1951" s="65"/>
      <c r="R1951" s="65" t="s">
        <v>232</v>
      </c>
      <c r="S1951" s="66" t="n">
        <f aca="false">Model_Calc!AL329</f>
        <v>28868.07924</v>
      </c>
      <c r="T1951" s="66" t="n">
        <f aca="false">ROUND(S1951-O1951,4)</f>
        <v>0</v>
      </c>
    </row>
    <row r="1952" customFormat="false" ht="15" hidden="false" customHeight="false" outlineLevel="0" collapsed="false">
      <c r="A1952" s="18" t="s">
        <v>213</v>
      </c>
      <c r="B1952" s="18" t="s">
        <v>207</v>
      </c>
      <c r="C1952" s="18" t="s">
        <v>214</v>
      </c>
      <c r="D1952" s="49" t="n">
        <v>46266</v>
      </c>
      <c r="E1952" s="18" t="s">
        <v>116</v>
      </c>
      <c r="F1952" s="18" t="s">
        <v>113</v>
      </c>
      <c r="G1952" s="18" t="s">
        <v>110</v>
      </c>
      <c r="H1952" s="18" t="s">
        <v>107</v>
      </c>
      <c r="I1952" s="18" t="s">
        <v>102</v>
      </c>
      <c r="J1952" s="18" t="s">
        <v>237</v>
      </c>
      <c r="K1952" s="18" t="s">
        <v>195</v>
      </c>
      <c r="L1952" s="64" t="n">
        <v>1398.275892</v>
      </c>
      <c r="M1952" s="64" t="n">
        <v>7.92</v>
      </c>
      <c r="N1952" s="18" t="s">
        <v>1423</v>
      </c>
      <c r="O1952" s="65" t="n">
        <v>11074.3451</v>
      </c>
      <c r="P1952" s="65"/>
      <c r="Q1952" s="65"/>
      <c r="R1952" s="65" t="s">
        <v>232</v>
      </c>
      <c r="S1952" s="66" t="n">
        <f aca="false">Model_Calc!AQ329</f>
        <v>11074.34506464</v>
      </c>
      <c r="T1952" s="66" t="n">
        <f aca="false">ROUND(S1952-O1952,4)</f>
        <v>0</v>
      </c>
    </row>
    <row r="1953" customFormat="false" ht="15" hidden="false" customHeight="false" outlineLevel="0" collapsed="false">
      <c r="A1953" s="18" t="s">
        <v>213</v>
      </c>
      <c r="B1953" s="18" t="s">
        <v>207</v>
      </c>
      <c r="C1953" s="18" t="s">
        <v>214</v>
      </c>
      <c r="D1953" s="49" t="n">
        <v>46266</v>
      </c>
      <c r="E1953" s="18" t="s">
        <v>116</v>
      </c>
      <c r="F1953" s="18" t="s">
        <v>113</v>
      </c>
      <c r="G1953" s="18" t="s">
        <v>110</v>
      </c>
      <c r="H1953" s="18" t="s">
        <v>107</v>
      </c>
      <c r="I1953" s="18" t="s">
        <v>102</v>
      </c>
      <c r="J1953" s="18" t="s">
        <v>239</v>
      </c>
      <c r="K1953" s="18" t="s">
        <v>195</v>
      </c>
      <c r="L1953" s="64" t="n">
        <v>624.8502</v>
      </c>
      <c r="M1953" s="64" t="n">
        <v>7.92</v>
      </c>
      <c r="N1953" s="18" t="s">
        <v>1424</v>
      </c>
      <c r="O1953" s="65" t="n">
        <v>4948.8136</v>
      </c>
      <c r="P1953" s="65"/>
      <c r="Q1953" s="65"/>
      <c r="R1953" s="65" t="s">
        <v>232</v>
      </c>
      <c r="S1953" s="66" t="n">
        <f aca="false">Model_Calc!AV329</f>
        <v>4948.813584</v>
      </c>
      <c r="T1953" s="66" t="n">
        <f aca="false">ROUND(S1953-O1953,4)</f>
        <v>0</v>
      </c>
    </row>
    <row r="1954" customFormat="false" ht="15" hidden="false" customHeight="false" outlineLevel="0" collapsed="false">
      <c r="A1954" s="18" t="s">
        <v>213</v>
      </c>
      <c r="B1954" s="18" t="s">
        <v>207</v>
      </c>
      <c r="C1954" s="18" t="s">
        <v>214</v>
      </c>
      <c r="D1954" s="49" t="n">
        <v>46266</v>
      </c>
      <c r="E1954" s="18" t="s">
        <v>116</v>
      </c>
      <c r="F1954" s="18" t="s">
        <v>113</v>
      </c>
      <c r="G1954" s="18" t="s">
        <v>110</v>
      </c>
      <c r="H1954" s="18" t="s">
        <v>107</v>
      </c>
      <c r="I1954" s="18" t="s">
        <v>102</v>
      </c>
      <c r="J1954" s="18" t="s">
        <v>241</v>
      </c>
      <c r="K1954" s="18" t="s">
        <v>195</v>
      </c>
      <c r="L1954" s="64" t="n">
        <v>118.48548348</v>
      </c>
      <c r="M1954" s="64" t="n">
        <v>7.92</v>
      </c>
      <c r="N1954" s="18" t="s">
        <v>1425</v>
      </c>
      <c r="O1954" s="65" t="n">
        <v>938.405</v>
      </c>
      <c r="P1954" s="65"/>
      <c r="Q1954" s="65"/>
      <c r="R1954" s="65" t="s">
        <v>232</v>
      </c>
      <c r="S1954" s="66" t="n">
        <f aca="false">Model_Calc!BA329</f>
        <v>938.4050291616</v>
      </c>
      <c r="T1954" s="66" t="n">
        <f aca="false">ROUND(S1954-O1954,4)</f>
        <v>0</v>
      </c>
    </row>
    <row r="1955" customFormat="false" ht="15" hidden="false" customHeight="false" outlineLevel="0" collapsed="false">
      <c r="A1955" s="18" t="s">
        <v>213</v>
      </c>
      <c r="B1955" s="18" t="s">
        <v>207</v>
      </c>
      <c r="C1955" s="18" t="s">
        <v>214</v>
      </c>
      <c r="D1955" s="49" t="n">
        <v>46266</v>
      </c>
      <c r="E1955" s="18" t="s">
        <v>118</v>
      </c>
      <c r="F1955" s="18" t="s">
        <v>119</v>
      </c>
      <c r="G1955" s="18" t="s">
        <v>100</v>
      </c>
      <c r="H1955" s="18" t="s">
        <v>101</v>
      </c>
      <c r="I1955" s="18" t="s">
        <v>102</v>
      </c>
      <c r="J1955" s="18" t="s">
        <v>230</v>
      </c>
      <c r="K1955" s="18" t="s">
        <v>199</v>
      </c>
      <c r="L1955" s="64" t="n">
        <v>8632.71687591936</v>
      </c>
      <c r="M1955" s="64" t="n">
        <v>9.15</v>
      </c>
      <c r="N1955" s="18" t="s">
        <v>1426</v>
      </c>
      <c r="O1955" s="65" t="n">
        <v>78989.3594</v>
      </c>
      <c r="P1955" s="65"/>
      <c r="Q1955" s="65"/>
      <c r="R1955" s="65" t="s">
        <v>232</v>
      </c>
      <c r="S1955" s="66" t="n">
        <f aca="false">Model_Calc!AF330</f>
        <v>78989.3594146621</v>
      </c>
      <c r="T1955" s="66" t="n">
        <f aca="false">ROUND(S1955-O1955,4)</f>
        <v>0</v>
      </c>
    </row>
    <row r="1956" customFormat="false" ht="15" hidden="false" customHeight="false" outlineLevel="0" collapsed="false">
      <c r="A1956" s="18" t="s">
        <v>213</v>
      </c>
      <c r="B1956" s="18" t="s">
        <v>207</v>
      </c>
      <c r="C1956" s="18" t="s">
        <v>214</v>
      </c>
      <c r="D1956" s="49" t="n">
        <v>46266</v>
      </c>
      <c r="E1956" s="18" t="s">
        <v>118</v>
      </c>
      <c r="F1956" s="18" t="s">
        <v>119</v>
      </c>
      <c r="G1956" s="18" t="s">
        <v>100</v>
      </c>
      <c r="H1956" s="18" t="s">
        <v>101</v>
      </c>
      <c r="I1956" s="18" t="s">
        <v>102</v>
      </c>
      <c r="J1956" s="18" t="s">
        <v>233</v>
      </c>
      <c r="K1956" s="18" t="s">
        <v>199</v>
      </c>
      <c r="L1956" s="64" t="n">
        <v>893.486196657654</v>
      </c>
      <c r="M1956" s="64" t="n">
        <v>9.15</v>
      </c>
      <c r="N1956" s="18" t="s">
        <v>1427</v>
      </c>
      <c r="O1956" s="65" t="n">
        <v>8175.3987</v>
      </c>
      <c r="P1956" s="65"/>
      <c r="Q1956" s="65"/>
      <c r="R1956" s="65" t="s">
        <v>232</v>
      </c>
      <c r="S1956" s="66" t="n">
        <f aca="false">Model_Calc!AG330</f>
        <v>8175.39869941753</v>
      </c>
      <c r="T1956" s="66" t="n">
        <f aca="false">ROUND(S1956-O1956,4)</f>
        <v>0</v>
      </c>
    </row>
    <row r="1957" customFormat="false" ht="15" hidden="false" customHeight="false" outlineLevel="0" collapsed="false">
      <c r="A1957" s="18" t="s">
        <v>213</v>
      </c>
      <c r="B1957" s="18" t="s">
        <v>207</v>
      </c>
      <c r="C1957" s="18" t="s">
        <v>214</v>
      </c>
      <c r="D1957" s="49" t="n">
        <v>46266</v>
      </c>
      <c r="E1957" s="18" t="s">
        <v>118</v>
      </c>
      <c r="F1957" s="18" t="s">
        <v>119</v>
      </c>
      <c r="G1957" s="18" t="s">
        <v>100</v>
      </c>
      <c r="H1957" s="18" t="s">
        <v>101</v>
      </c>
      <c r="I1957" s="18" t="s">
        <v>102</v>
      </c>
      <c r="J1957" s="18" t="s">
        <v>235</v>
      </c>
      <c r="K1957" s="18" t="s">
        <v>195</v>
      </c>
      <c r="L1957" s="64" t="n">
        <v>2317.83087066714</v>
      </c>
      <c r="M1957" s="64" t="n">
        <v>7.92</v>
      </c>
      <c r="N1957" s="18" t="s">
        <v>1428</v>
      </c>
      <c r="O1957" s="65" t="n">
        <v>18357.2205</v>
      </c>
      <c r="P1957" s="65"/>
      <c r="Q1957" s="65"/>
      <c r="R1957" s="65" t="s">
        <v>232</v>
      </c>
      <c r="S1957" s="66" t="n">
        <f aca="false">Model_Calc!AL330</f>
        <v>18357.2204956838</v>
      </c>
      <c r="T1957" s="66" t="n">
        <f aca="false">ROUND(S1957-O1957,4)</f>
        <v>0</v>
      </c>
    </row>
    <row r="1958" customFormat="false" ht="15" hidden="false" customHeight="false" outlineLevel="0" collapsed="false">
      <c r="A1958" s="18" t="s">
        <v>213</v>
      </c>
      <c r="B1958" s="18" t="s">
        <v>207</v>
      </c>
      <c r="C1958" s="18" t="s">
        <v>214</v>
      </c>
      <c r="D1958" s="49" t="n">
        <v>46266</v>
      </c>
      <c r="E1958" s="18" t="s">
        <v>118</v>
      </c>
      <c r="F1958" s="18" t="s">
        <v>119</v>
      </c>
      <c r="G1958" s="18" t="s">
        <v>100</v>
      </c>
      <c r="H1958" s="18" t="s">
        <v>101</v>
      </c>
      <c r="I1958" s="18" t="s">
        <v>102</v>
      </c>
      <c r="J1958" s="18" t="s">
        <v>237</v>
      </c>
      <c r="K1958" s="18" t="s">
        <v>195</v>
      </c>
      <c r="L1958" s="64" t="n">
        <v>871.237285632</v>
      </c>
      <c r="M1958" s="64" t="n">
        <v>7.92</v>
      </c>
      <c r="N1958" s="18" t="s">
        <v>1429</v>
      </c>
      <c r="O1958" s="65" t="n">
        <v>6900.1993</v>
      </c>
      <c r="P1958" s="65"/>
      <c r="Q1958" s="65"/>
      <c r="R1958" s="65" t="s">
        <v>232</v>
      </c>
      <c r="S1958" s="66" t="n">
        <f aca="false">Model_Calc!AQ330</f>
        <v>6900.19930220544</v>
      </c>
      <c r="T1958" s="66" t="n">
        <f aca="false">ROUND(S1958-O1958,4)</f>
        <v>0</v>
      </c>
    </row>
    <row r="1959" customFormat="false" ht="15" hidden="false" customHeight="false" outlineLevel="0" collapsed="false">
      <c r="A1959" s="18" t="s">
        <v>213</v>
      </c>
      <c r="B1959" s="18" t="s">
        <v>207</v>
      </c>
      <c r="C1959" s="18" t="s">
        <v>214</v>
      </c>
      <c r="D1959" s="49" t="n">
        <v>46266</v>
      </c>
      <c r="E1959" s="18" t="s">
        <v>118</v>
      </c>
      <c r="F1959" s="18" t="s">
        <v>119</v>
      </c>
      <c r="G1959" s="18" t="s">
        <v>100</v>
      </c>
      <c r="H1959" s="18" t="s">
        <v>101</v>
      </c>
      <c r="I1959" s="18" t="s">
        <v>102</v>
      </c>
      <c r="J1959" s="18" t="s">
        <v>239</v>
      </c>
      <c r="K1959" s="18" t="s">
        <v>199</v>
      </c>
      <c r="L1959" s="64" t="n">
        <v>794.88635904</v>
      </c>
      <c r="M1959" s="64" t="n">
        <v>9.15</v>
      </c>
      <c r="N1959" s="18" t="s">
        <v>1430</v>
      </c>
      <c r="O1959" s="65" t="n">
        <v>7273.2102</v>
      </c>
      <c r="P1959" s="65"/>
      <c r="Q1959" s="65"/>
      <c r="R1959" s="65" t="s">
        <v>232</v>
      </c>
      <c r="S1959" s="66" t="n">
        <f aca="false">Model_Calc!AV330</f>
        <v>7273.210185216</v>
      </c>
      <c r="T1959" s="66" t="n">
        <f aca="false">ROUND(S1959-O1959,4)</f>
        <v>0</v>
      </c>
    </row>
    <row r="1960" customFormat="false" ht="15" hidden="false" customHeight="false" outlineLevel="0" collapsed="false">
      <c r="A1960" s="18" t="s">
        <v>213</v>
      </c>
      <c r="B1960" s="18" t="s">
        <v>207</v>
      </c>
      <c r="C1960" s="18" t="s">
        <v>214</v>
      </c>
      <c r="D1960" s="49" t="n">
        <v>46266</v>
      </c>
      <c r="E1960" s="18" t="s">
        <v>118</v>
      </c>
      <c r="F1960" s="18" t="s">
        <v>119</v>
      </c>
      <c r="G1960" s="18" t="s">
        <v>100</v>
      </c>
      <c r="H1960" s="18" t="s">
        <v>101</v>
      </c>
      <c r="I1960" s="18" t="s">
        <v>102</v>
      </c>
      <c r="J1960" s="18" t="s">
        <v>241</v>
      </c>
      <c r="K1960" s="18" t="s">
        <v>199</v>
      </c>
      <c r="L1960" s="64" t="n">
        <v>128.81865580416</v>
      </c>
      <c r="M1960" s="64" t="n">
        <v>9.15</v>
      </c>
      <c r="N1960" s="18" t="s">
        <v>1431</v>
      </c>
      <c r="O1960" s="65" t="n">
        <v>1178.6907</v>
      </c>
      <c r="P1960" s="65"/>
      <c r="Q1960" s="65"/>
      <c r="R1960" s="65" t="s">
        <v>232</v>
      </c>
      <c r="S1960" s="66" t="n">
        <f aca="false">Model_Calc!BA330</f>
        <v>1178.69070060806</v>
      </c>
      <c r="T1960" s="66" t="n">
        <f aca="false">ROUND(S1960-O1960,4)</f>
        <v>0</v>
      </c>
    </row>
    <row r="1961" customFormat="false" ht="15" hidden="false" customHeight="false" outlineLevel="0" collapsed="false">
      <c r="A1961" s="18" t="s">
        <v>213</v>
      </c>
      <c r="B1961" s="18" t="s">
        <v>207</v>
      </c>
      <c r="C1961" s="18" t="s">
        <v>214</v>
      </c>
      <c r="D1961" s="49" t="n">
        <v>46266</v>
      </c>
      <c r="E1961" s="18" t="s">
        <v>122</v>
      </c>
      <c r="F1961" s="18" t="s">
        <v>119</v>
      </c>
      <c r="G1961" s="18" t="s">
        <v>100</v>
      </c>
      <c r="H1961" s="18" t="s">
        <v>107</v>
      </c>
      <c r="I1961" s="18" t="s">
        <v>102</v>
      </c>
      <c r="J1961" s="18" t="s">
        <v>230</v>
      </c>
      <c r="K1961" s="18" t="s">
        <v>199</v>
      </c>
      <c r="L1961" s="64" t="n">
        <v>5635.24573844736</v>
      </c>
      <c r="M1961" s="64" t="n">
        <v>9.15</v>
      </c>
      <c r="N1961" s="18" t="s">
        <v>1432</v>
      </c>
      <c r="O1961" s="65" t="n">
        <v>51562.4985</v>
      </c>
      <c r="P1961" s="65"/>
      <c r="Q1961" s="65"/>
      <c r="R1961" s="65" t="s">
        <v>232</v>
      </c>
      <c r="S1961" s="66" t="n">
        <f aca="false">Model_Calc!AF331</f>
        <v>51562.4985067933</v>
      </c>
      <c r="T1961" s="66" t="n">
        <f aca="false">ROUND(S1961-O1961,4)</f>
        <v>0</v>
      </c>
    </row>
    <row r="1962" customFormat="false" ht="15" hidden="false" customHeight="false" outlineLevel="0" collapsed="false">
      <c r="A1962" s="18" t="s">
        <v>213</v>
      </c>
      <c r="B1962" s="18" t="s">
        <v>207</v>
      </c>
      <c r="C1962" s="18" t="s">
        <v>214</v>
      </c>
      <c r="D1962" s="49" t="n">
        <v>46266</v>
      </c>
      <c r="E1962" s="18" t="s">
        <v>122</v>
      </c>
      <c r="F1962" s="18" t="s">
        <v>119</v>
      </c>
      <c r="G1962" s="18" t="s">
        <v>100</v>
      </c>
      <c r="H1962" s="18" t="s">
        <v>107</v>
      </c>
      <c r="I1962" s="18" t="s">
        <v>102</v>
      </c>
      <c r="J1962" s="18" t="s">
        <v>233</v>
      </c>
      <c r="K1962" s="18" t="s">
        <v>199</v>
      </c>
      <c r="L1962" s="64" t="n">
        <v>395.666190146304</v>
      </c>
      <c r="M1962" s="64" t="n">
        <v>9.15</v>
      </c>
      <c r="N1962" s="18" t="s">
        <v>1433</v>
      </c>
      <c r="O1962" s="65" t="n">
        <v>3620.3456</v>
      </c>
      <c r="P1962" s="65"/>
      <c r="Q1962" s="65"/>
      <c r="R1962" s="65" t="s">
        <v>232</v>
      </c>
      <c r="S1962" s="66" t="n">
        <f aca="false">Model_Calc!AG331</f>
        <v>3620.34563983868</v>
      </c>
      <c r="T1962" s="66" t="n">
        <f aca="false">ROUND(S1962-O1962,4)</f>
        <v>0</v>
      </c>
    </row>
    <row r="1963" customFormat="false" ht="15" hidden="false" customHeight="false" outlineLevel="0" collapsed="false">
      <c r="A1963" s="18" t="s">
        <v>213</v>
      </c>
      <c r="B1963" s="18" t="s">
        <v>207</v>
      </c>
      <c r="C1963" s="18" t="s">
        <v>214</v>
      </c>
      <c r="D1963" s="49" t="n">
        <v>46266</v>
      </c>
      <c r="E1963" s="18" t="s">
        <v>122</v>
      </c>
      <c r="F1963" s="18" t="s">
        <v>119</v>
      </c>
      <c r="G1963" s="18" t="s">
        <v>100</v>
      </c>
      <c r="H1963" s="18" t="s">
        <v>107</v>
      </c>
      <c r="I1963" s="18" t="s">
        <v>102</v>
      </c>
      <c r="J1963" s="18" t="s">
        <v>235</v>
      </c>
      <c r="K1963" s="18" t="s">
        <v>195</v>
      </c>
      <c r="L1963" s="64" t="n">
        <v>1313.43749337805</v>
      </c>
      <c r="M1963" s="64" t="n">
        <v>7.92</v>
      </c>
      <c r="N1963" s="18" t="s">
        <v>1434</v>
      </c>
      <c r="O1963" s="65" t="n">
        <v>10402.4249</v>
      </c>
      <c r="P1963" s="65"/>
      <c r="Q1963" s="65"/>
      <c r="R1963" s="65" t="s">
        <v>232</v>
      </c>
      <c r="S1963" s="66" t="n">
        <f aca="false">Model_Calc!AL331</f>
        <v>10402.4249475541</v>
      </c>
      <c r="T1963" s="66" t="n">
        <f aca="false">ROUND(S1963-O1963,4)</f>
        <v>0</v>
      </c>
    </row>
    <row r="1964" customFormat="false" ht="15" hidden="false" customHeight="false" outlineLevel="0" collapsed="false">
      <c r="A1964" s="18" t="s">
        <v>213</v>
      </c>
      <c r="B1964" s="18" t="s">
        <v>207</v>
      </c>
      <c r="C1964" s="18" t="s">
        <v>214</v>
      </c>
      <c r="D1964" s="49" t="n">
        <v>46266</v>
      </c>
      <c r="E1964" s="18" t="s">
        <v>122</v>
      </c>
      <c r="F1964" s="18" t="s">
        <v>119</v>
      </c>
      <c r="G1964" s="18" t="s">
        <v>100</v>
      </c>
      <c r="H1964" s="18" t="s">
        <v>107</v>
      </c>
      <c r="I1964" s="18" t="s">
        <v>102</v>
      </c>
      <c r="J1964" s="18" t="s">
        <v>237</v>
      </c>
      <c r="K1964" s="18" t="s">
        <v>195</v>
      </c>
      <c r="L1964" s="64" t="n">
        <v>493.7011285248</v>
      </c>
      <c r="M1964" s="64" t="n">
        <v>7.92</v>
      </c>
      <c r="N1964" s="18" t="s">
        <v>1435</v>
      </c>
      <c r="O1964" s="65" t="n">
        <v>3910.1129</v>
      </c>
      <c r="P1964" s="65"/>
      <c r="Q1964" s="65"/>
      <c r="R1964" s="65" t="s">
        <v>232</v>
      </c>
      <c r="S1964" s="66" t="n">
        <f aca="false">Model_Calc!AQ331</f>
        <v>3910.11293791642</v>
      </c>
      <c r="T1964" s="66" t="n">
        <f aca="false">ROUND(S1964-O1964,4)</f>
        <v>0</v>
      </c>
    </row>
    <row r="1965" customFormat="false" ht="15" hidden="false" customHeight="false" outlineLevel="0" collapsed="false">
      <c r="A1965" s="18" t="s">
        <v>213</v>
      </c>
      <c r="B1965" s="18" t="s">
        <v>207</v>
      </c>
      <c r="C1965" s="18" t="s">
        <v>214</v>
      </c>
      <c r="D1965" s="49" t="n">
        <v>46266</v>
      </c>
      <c r="E1965" s="18" t="s">
        <v>122</v>
      </c>
      <c r="F1965" s="18" t="s">
        <v>119</v>
      </c>
      <c r="G1965" s="18" t="s">
        <v>100</v>
      </c>
      <c r="H1965" s="18" t="s">
        <v>107</v>
      </c>
      <c r="I1965" s="18" t="s">
        <v>102</v>
      </c>
      <c r="J1965" s="18" t="s">
        <v>239</v>
      </c>
      <c r="K1965" s="18" t="s">
        <v>199</v>
      </c>
      <c r="L1965" s="64" t="n">
        <v>450.435603456</v>
      </c>
      <c r="M1965" s="64" t="n">
        <v>9.15</v>
      </c>
      <c r="N1965" s="18" t="s">
        <v>1436</v>
      </c>
      <c r="O1965" s="65" t="n">
        <v>4121.4858</v>
      </c>
      <c r="P1965" s="65"/>
      <c r="Q1965" s="65"/>
      <c r="R1965" s="65" t="s">
        <v>232</v>
      </c>
      <c r="S1965" s="66" t="n">
        <f aca="false">Model_Calc!AV331</f>
        <v>4121.4857716224</v>
      </c>
      <c r="T1965" s="66" t="n">
        <f aca="false">ROUND(S1965-O1965,4)</f>
        <v>0</v>
      </c>
    </row>
    <row r="1966" customFormat="false" ht="15" hidden="false" customHeight="false" outlineLevel="0" collapsed="false">
      <c r="A1966" s="18" t="s">
        <v>213</v>
      </c>
      <c r="B1966" s="18" t="s">
        <v>207</v>
      </c>
      <c r="C1966" s="18" t="s">
        <v>214</v>
      </c>
      <c r="D1966" s="49" t="n">
        <v>46266</v>
      </c>
      <c r="E1966" s="18" t="s">
        <v>122</v>
      </c>
      <c r="F1966" s="18" t="s">
        <v>119</v>
      </c>
      <c r="G1966" s="18" t="s">
        <v>100</v>
      </c>
      <c r="H1966" s="18" t="s">
        <v>107</v>
      </c>
      <c r="I1966" s="18" t="s">
        <v>102</v>
      </c>
      <c r="J1966" s="18" t="s">
        <v>241</v>
      </c>
      <c r="K1966" s="18" t="s">
        <v>199</v>
      </c>
      <c r="L1966" s="64" t="n">
        <v>54.07202836224</v>
      </c>
      <c r="M1966" s="64" t="n">
        <v>9.15</v>
      </c>
      <c r="N1966" s="18" t="s">
        <v>1437</v>
      </c>
      <c r="O1966" s="65" t="n">
        <v>494.7591</v>
      </c>
      <c r="P1966" s="65"/>
      <c r="Q1966" s="65"/>
      <c r="R1966" s="65" t="s">
        <v>232</v>
      </c>
      <c r="S1966" s="66" t="n">
        <f aca="false">Model_Calc!BA331</f>
        <v>494.759059514496</v>
      </c>
      <c r="T1966" s="66" t="n">
        <f aca="false">ROUND(S1966-O1966,4)</f>
        <v>0</v>
      </c>
    </row>
    <row r="1967" customFormat="false" ht="15" hidden="false" customHeight="false" outlineLevel="0" collapsed="false">
      <c r="A1967" s="18" t="s">
        <v>213</v>
      </c>
      <c r="B1967" s="18" t="s">
        <v>207</v>
      </c>
      <c r="C1967" s="18" t="s">
        <v>214</v>
      </c>
      <c r="D1967" s="49" t="n">
        <v>46266</v>
      </c>
      <c r="E1967" s="18" t="s">
        <v>124</v>
      </c>
      <c r="F1967" s="18" t="s">
        <v>119</v>
      </c>
      <c r="G1967" s="18" t="s">
        <v>100</v>
      </c>
      <c r="H1967" s="18" t="s">
        <v>107</v>
      </c>
      <c r="I1967" s="18" t="s">
        <v>125</v>
      </c>
      <c r="J1967" s="18" t="s">
        <v>230</v>
      </c>
      <c r="K1967" s="18" t="s">
        <v>199</v>
      </c>
      <c r="L1967" s="64" t="n">
        <v>10687.0778004437</v>
      </c>
      <c r="M1967" s="64" t="n">
        <v>9.15</v>
      </c>
      <c r="N1967" s="18" t="s">
        <v>1438</v>
      </c>
      <c r="O1967" s="65" t="n">
        <v>97786.7619</v>
      </c>
      <c r="P1967" s="65"/>
      <c r="Q1967" s="65"/>
      <c r="R1967" s="65" t="s">
        <v>232</v>
      </c>
      <c r="S1967" s="66" t="n">
        <f aca="false">Model_Calc!AF332</f>
        <v>97786.7618740598</v>
      </c>
      <c r="T1967" s="66" t="n">
        <f aca="false">ROUND(S1967-O1967,4)</f>
        <v>0</v>
      </c>
    </row>
    <row r="1968" customFormat="false" ht="15" hidden="false" customHeight="false" outlineLevel="0" collapsed="false">
      <c r="A1968" s="18" t="s">
        <v>213</v>
      </c>
      <c r="B1968" s="18" t="s">
        <v>207</v>
      </c>
      <c r="C1968" s="18" t="s">
        <v>214</v>
      </c>
      <c r="D1968" s="49" t="n">
        <v>46266</v>
      </c>
      <c r="E1968" s="18" t="s">
        <v>124</v>
      </c>
      <c r="F1968" s="18" t="s">
        <v>119</v>
      </c>
      <c r="G1968" s="18" t="s">
        <v>100</v>
      </c>
      <c r="H1968" s="18" t="s">
        <v>107</v>
      </c>
      <c r="I1968" s="18" t="s">
        <v>125</v>
      </c>
      <c r="J1968" s="18" t="s">
        <v>233</v>
      </c>
      <c r="K1968" s="18" t="s">
        <v>199</v>
      </c>
      <c r="L1968" s="64" t="n">
        <v>1322.91061260572</v>
      </c>
      <c r="M1968" s="64" t="n">
        <v>9.15</v>
      </c>
      <c r="N1968" s="18" t="s">
        <v>1439</v>
      </c>
      <c r="O1968" s="65" t="n">
        <v>12104.6321</v>
      </c>
      <c r="P1968" s="65"/>
      <c r="Q1968" s="65"/>
      <c r="R1968" s="65" t="s">
        <v>232</v>
      </c>
      <c r="S1968" s="66" t="n">
        <f aca="false">Model_Calc!AG332</f>
        <v>12104.6321053424</v>
      </c>
      <c r="T1968" s="66" t="n">
        <f aca="false">ROUND(S1968-O1968,4)</f>
        <v>0</v>
      </c>
    </row>
    <row r="1969" customFormat="false" ht="15" hidden="false" customHeight="false" outlineLevel="0" collapsed="false">
      <c r="A1969" s="18" t="s">
        <v>213</v>
      </c>
      <c r="B1969" s="18" t="s">
        <v>207</v>
      </c>
      <c r="C1969" s="18" t="s">
        <v>214</v>
      </c>
      <c r="D1969" s="49" t="n">
        <v>46266</v>
      </c>
      <c r="E1969" s="18" t="s">
        <v>124</v>
      </c>
      <c r="F1969" s="18" t="s">
        <v>119</v>
      </c>
      <c r="G1969" s="18" t="s">
        <v>100</v>
      </c>
      <c r="H1969" s="18" t="s">
        <v>107</v>
      </c>
      <c r="I1969" s="18" t="s">
        <v>125</v>
      </c>
      <c r="J1969" s="18" t="s">
        <v>235</v>
      </c>
      <c r="K1969" s="18" t="s">
        <v>195</v>
      </c>
      <c r="L1969" s="64" t="n">
        <v>1931.52572555595</v>
      </c>
      <c r="M1969" s="64" t="n">
        <v>7.92</v>
      </c>
      <c r="N1969" s="18" t="s">
        <v>1440</v>
      </c>
      <c r="O1969" s="65" t="n">
        <v>15297.6837</v>
      </c>
      <c r="P1969" s="65"/>
      <c r="Q1969" s="65"/>
      <c r="R1969" s="65" t="s">
        <v>232</v>
      </c>
      <c r="S1969" s="66" t="n">
        <f aca="false">Model_Calc!AL332</f>
        <v>15297.6837464031</v>
      </c>
      <c r="T1969" s="66" t="n">
        <f aca="false">ROUND(S1969-O1969,4)</f>
        <v>0</v>
      </c>
    </row>
    <row r="1970" customFormat="false" ht="15" hidden="false" customHeight="false" outlineLevel="0" collapsed="false">
      <c r="A1970" s="18" t="s">
        <v>213</v>
      </c>
      <c r="B1970" s="18" t="s">
        <v>207</v>
      </c>
      <c r="C1970" s="18" t="s">
        <v>214</v>
      </c>
      <c r="D1970" s="49" t="n">
        <v>46266</v>
      </c>
      <c r="E1970" s="18" t="s">
        <v>124</v>
      </c>
      <c r="F1970" s="18" t="s">
        <v>119</v>
      </c>
      <c r="G1970" s="18" t="s">
        <v>100</v>
      </c>
      <c r="H1970" s="18" t="s">
        <v>107</v>
      </c>
      <c r="I1970" s="18" t="s">
        <v>125</v>
      </c>
      <c r="J1970" s="18" t="s">
        <v>237</v>
      </c>
      <c r="K1970" s="18" t="s">
        <v>195</v>
      </c>
      <c r="L1970" s="64" t="n">
        <v>726.03107136</v>
      </c>
      <c r="M1970" s="64" t="n">
        <v>7.92</v>
      </c>
      <c r="N1970" s="18" t="s">
        <v>1441</v>
      </c>
      <c r="O1970" s="65" t="n">
        <v>5750.1661</v>
      </c>
      <c r="P1970" s="65"/>
      <c r="Q1970" s="65"/>
      <c r="R1970" s="65" t="s">
        <v>232</v>
      </c>
      <c r="S1970" s="66" t="n">
        <f aca="false">Model_Calc!AQ332</f>
        <v>5750.1660851712</v>
      </c>
      <c r="T1970" s="66" t="n">
        <f aca="false">ROUND(S1970-O1970,4)</f>
        <v>0</v>
      </c>
    </row>
    <row r="1971" customFormat="false" ht="15" hidden="false" customHeight="false" outlineLevel="0" collapsed="false">
      <c r="A1971" s="18" t="s">
        <v>213</v>
      </c>
      <c r="B1971" s="18" t="s">
        <v>207</v>
      </c>
      <c r="C1971" s="18" t="s">
        <v>214</v>
      </c>
      <c r="D1971" s="49" t="n">
        <v>46266</v>
      </c>
      <c r="E1971" s="18" t="s">
        <v>124</v>
      </c>
      <c r="F1971" s="18" t="s">
        <v>119</v>
      </c>
      <c r="G1971" s="18" t="s">
        <v>100</v>
      </c>
      <c r="H1971" s="18" t="s">
        <v>107</v>
      </c>
      <c r="I1971" s="18" t="s">
        <v>125</v>
      </c>
      <c r="J1971" s="18" t="s">
        <v>239</v>
      </c>
      <c r="K1971" s="18" t="s">
        <v>199</v>
      </c>
      <c r="L1971" s="64" t="n">
        <v>662.4052992</v>
      </c>
      <c r="M1971" s="64" t="n">
        <v>9.15</v>
      </c>
      <c r="N1971" s="18" t="s">
        <v>1442</v>
      </c>
      <c r="O1971" s="65" t="n">
        <v>6061.0085</v>
      </c>
      <c r="P1971" s="65"/>
      <c r="Q1971" s="65"/>
      <c r="R1971" s="65" t="s">
        <v>232</v>
      </c>
      <c r="S1971" s="66" t="n">
        <f aca="false">Model_Calc!AV332</f>
        <v>6061.00848768</v>
      </c>
      <c r="T1971" s="66" t="n">
        <f aca="false">ROUND(S1971-O1971,4)</f>
        <v>0</v>
      </c>
    </row>
    <row r="1972" customFormat="false" ht="15" hidden="false" customHeight="false" outlineLevel="0" collapsed="false">
      <c r="A1972" s="18" t="s">
        <v>213</v>
      </c>
      <c r="B1972" s="18" t="s">
        <v>207</v>
      </c>
      <c r="C1972" s="18" t="s">
        <v>214</v>
      </c>
      <c r="D1972" s="49" t="n">
        <v>46266</v>
      </c>
      <c r="E1972" s="18" t="s">
        <v>124</v>
      </c>
      <c r="F1972" s="18" t="s">
        <v>119</v>
      </c>
      <c r="G1972" s="18" t="s">
        <v>100</v>
      </c>
      <c r="H1972" s="18" t="s">
        <v>107</v>
      </c>
      <c r="I1972" s="18" t="s">
        <v>125</v>
      </c>
      <c r="J1972" s="18" t="s">
        <v>241</v>
      </c>
      <c r="K1972" s="18" t="s">
        <v>199</v>
      </c>
      <c r="L1972" s="64" t="n">
        <v>77.4433142784</v>
      </c>
      <c r="M1972" s="64" t="n">
        <v>9.15</v>
      </c>
      <c r="N1972" s="18" t="s">
        <v>1443</v>
      </c>
      <c r="O1972" s="65" t="n">
        <v>708.6063</v>
      </c>
      <c r="P1972" s="65"/>
      <c r="Q1972" s="65"/>
      <c r="R1972" s="65" t="s">
        <v>232</v>
      </c>
      <c r="S1972" s="66" t="n">
        <f aca="false">Model_Calc!BA332</f>
        <v>708.60632564736</v>
      </c>
      <c r="T1972" s="66" t="n">
        <f aca="false">ROUND(S1972-O1972,4)</f>
        <v>0</v>
      </c>
    </row>
    <row r="1973" customFormat="false" ht="15" hidden="false" customHeight="false" outlineLevel="0" collapsed="false">
      <c r="A1973" s="18" t="s">
        <v>213</v>
      </c>
      <c r="B1973" s="18" t="s">
        <v>207</v>
      </c>
      <c r="C1973" s="18" t="s">
        <v>214</v>
      </c>
      <c r="D1973" s="49" t="n">
        <v>46266</v>
      </c>
      <c r="E1973" s="18" t="s">
        <v>127</v>
      </c>
      <c r="F1973" s="18" t="s">
        <v>119</v>
      </c>
      <c r="G1973" s="18" t="s">
        <v>100</v>
      </c>
      <c r="H1973" s="18" t="s">
        <v>128</v>
      </c>
      <c r="I1973" s="18" t="s">
        <v>125</v>
      </c>
      <c r="J1973" s="18" t="s">
        <v>230</v>
      </c>
      <c r="K1973" s="18" t="s">
        <v>199</v>
      </c>
      <c r="L1973" s="64" t="n">
        <v>14443.7202161215</v>
      </c>
      <c r="M1973" s="64" t="n">
        <v>9.15</v>
      </c>
      <c r="N1973" s="18" t="s">
        <v>1444</v>
      </c>
      <c r="O1973" s="65" t="n">
        <v>132160.04</v>
      </c>
      <c r="P1973" s="65"/>
      <c r="Q1973" s="65"/>
      <c r="R1973" s="65" t="s">
        <v>232</v>
      </c>
      <c r="S1973" s="66" t="n">
        <f aca="false">Model_Calc!AF333</f>
        <v>132160.039977512</v>
      </c>
      <c r="T1973" s="66" t="n">
        <f aca="false">ROUND(S1973-O1973,4)</f>
        <v>0</v>
      </c>
    </row>
    <row r="1974" customFormat="false" ht="15" hidden="false" customHeight="false" outlineLevel="0" collapsed="false">
      <c r="A1974" s="18" t="s">
        <v>213</v>
      </c>
      <c r="B1974" s="18" t="s">
        <v>207</v>
      </c>
      <c r="C1974" s="18" t="s">
        <v>214</v>
      </c>
      <c r="D1974" s="49" t="n">
        <v>46266</v>
      </c>
      <c r="E1974" s="18" t="s">
        <v>127</v>
      </c>
      <c r="F1974" s="18" t="s">
        <v>119</v>
      </c>
      <c r="G1974" s="18" t="s">
        <v>100</v>
      </c>
      <c r="H1974" s="18" t="s">
        <v>128</v>
      </c>
      <c r="I1974" s="18" t="s">
        <v>125</v>
      </c>
      <c r="J1974" s="18" t="s">
        <v>233</v>
      </c>
      <c r="K1974" s="18" t="s">
        <v>199</v>
      </c>
      <c r="L1974" s="64" t="n">
        <v>1116.98103004673</v>
      </c>
      <c r="M1974" s="64" t="n">
        <v>9.15</v>
      </c>
      <c r="N1974" s="18" t="s">
        <v>1445</v>
      </c>
      <c r="O1974" s="65" t="n">
        <v>10220.3764</v>
      </c>
      <c r="P1974" s="65"/>
      <c r="Q1974" s="65"/>
      <c r="R1974" s="65" t="s">
        <v>232</v>
      </c>
      <c r="S1974" s="66" t="n">
        <f aca="false">Model_Calc!AG333</f>
        <v>10220.3764249276</v>
      </c>
      <c r="T1974" s="66" t="n">
        <f aca="false">ROUND(S1974-O1974,4)</f>
        <v>0</v>
      </c>
    </row>
    <row r="1975" customFormat="false" ht="15" hidden="false" customHeight="false" outlineLevel="0" collapsed="false">
      <c r="A1975" s="18" t="s">
        <v>213</v>
      </c>
      <c r="B1975" s="18" t="s">
        <v>207</v>
      </c>
      <c r="C1975" s="18" t="s">
        <v>214</v>
      </c>
      <c r="D1975" s="49" t="n">
        <v>46266</v>
      </c>
      <c r="E1975" s="18" t="s">
        <v>127</v>
      </c>
      <c r="F1975" s="18" t="s">
        <v>119</v>
      </c>
      <c r="G1975" s="18" t="s">
        <v>100</v>
      </c>
      <c r="H1975" s="18" t="s">
        <v>128</v>
      </c>
      <c r="I1975" s="18" t="s">
        <v>125</v>
      </c>
      <c r="J1975" s="18" t="s">
        <v>235</v>
      </c>
      <c r="K1975" s="18" t="s">
        <v>195</v>
      </c>
      <c r="L1975" s="64" t="n">
        <v>2163.30881262266</v>
      </c>
      <c r="M1975" s="64" t="n">
        <v>7.92</v>
      </c>
      <c r="N1975" s="18" t="s">
        <v>1446</v>
      </c>
      <c r="O1975" s="65" t="n">
        <v>17133.4058</v>
      </c>
      <c r="P1975" s="65"/>
      <c r="Q1975" s="65"/>
      <c r="R1975" s="65" t="s">
        <v>232</v>
      </c>
      <c r="S1975" s="66" t="n">
        <f aca="false">Model_Calc!AL333</f>
        <v>17133.4057959715</v>
      </c>
      <c r="T1975" s="66" t="n">
        <f aca="false">ROUND(S1975-O1975,4)</f>
        <v>0</v>
      </c>
    </row>
    <row r="1976" customFormat="false" ht="15" hidden="false" customHeight="false" outlineLevel="0" collapsed="false">
      <c r="A1976" s="18" t="s">
        <v>213</v>
      </c>
      <c r="B1976" s="18" t="s">
        <v>207</v>
      </c>
      <c r="C1976" s="18" t="s">
        <v>214</v>
      </c>
      <c r="D1976" s="49" t="n">
        <v>46266</v>
      </c>
      <c r="E1976" s="18" t="s">
        <v>127</v>
      </c>
      <c r="F1976" s="18" t="s">
        <v>119</v>
      </c>
      <c r="G1976" s="18" t="s">
        <v>100</v>
      </c>
      <c r="H1976" s="18" t="s">
        <v>128</v>
      </c>
      <c r="I1976" s="18" t="s">
        <v>125</v>
      </c>
      <c r="J1976" s="18" t="s">
        <v>237</v>
      </c>
      <c r="K1976" s="18" t="s">
        <v>195</v>
      </c>
      <c r="L1976" s="64" t="n">
        <v>813.1547999232</v>
      </c>
      <c r="M1976" s="64" t="n">
        <v>7.92</v>
      </c>
      <c r="N1976" s="18" t="s">
        <v>1447</v>
      </c>
      <c r="O1976" s="65" t="n">
        <v>6440.186</v>
      </c>
      <c r="P1976" s="65"/>
      <c r="Q1976" s="65"/>
      <c r="R1976" s="65" t="s">
        <v>232</v>
      </c>
      <c r="S1976" s="66" t="n">
        <f aca="false">Model_Calc!AQ333</f>
        <v>6440.18601539174</v>
      </c>
      <c r="T1976" s="66" t="n">
        <f aca="false">ROUND(S1976-O1976,4)</f>
        <v>0</v>
      </c>
    </row>
    <row r="1977" customFormat="false" ht="15" hidden="false" customHeight="false" outlineLevel="0" collapsed="false">
      <c r="A1977" s="18" t="s">
        <v>213</v>
      </c>
      <c r="B1977" s="18" t="s">
        <v>207</v>
      </c>
      <c r="C1977" s="18" t="s">
        <v>214</v>
      </c>
      <c r="D1977" s="49" t="n">
        <v>46266</v>
      </c>
      <c r="E1977" s="18" t="s">
        <v>127</v>
      </c>
      <c r="F1977" s="18" t="s">
        <v>119</v>
      </c>
      <c r="G1977" s="18" t="s">
        <v>100</v>
      </c>
      <c r="H1977" s="18" t="s">
        <v>128</v>
      </c>
      <c r="I1977" s="18" t="s">
        <v>125</v>
      </c>
      <c r="J1977" s="18" t="s">
        <v>239</v>
      </c>
      <c r="K1977" s="18" t="s">
        <v>199</v>
      </c>
      <c r="L1977" s="64" t="n">
        <v>741.893935104</v>
      </c>
      <c r="M1977" s="64" t="n">
        <v>9.15</v>
      </c>
      <c r="N1977" s="18" t="s">
        <v>1448</v>
      </c>
      <c r="O1977" s="65" t="n">
        <v>6788.3295</v>
      </c>
      <c r="P1977" s="65"/>
      <c r="Q1977" s="65"/>
      <c r="R1977" s="65" t="s">
        <v>232</v>
      </c>
      <c r="S1977" s="66" t="n">
        <f aca="false">Model_Calc!AV333</f>
        <v>6788.3295062016</v>
      </c>
      <c r="T1977" s="66" t="n">
        <f aca="false">ROUND(S1977-O1977,4)</f>
        <v>0</v>
      </c>
    </row>
    <row r="1978" customFormat="false" ht="15" hidden="false" customHeight="false" outlineLevel="0" collapsed="false">
      <c r="A1978" s="18" t="s">
        <v>213</v>
      </c>
      <c r="B1978" s="18" t="s">
        <v>207</v>
      </c>
      <c r="C1978" s="18" t="s">
        <v>214</v>
      </c>
      <c r="D1978" s="49" t="n">
        <v>46266</v>
      </c>
      <c r="E1978" s="18" t="s">
        <v>127</v>
      </c>
      <c r="F1978" s="18" t="s">
        <v>119</v>
      </c>
      <c r="G1978" s="18" t="s">
        <v>100</v>
      </c>
      <c r="H1978" s="18" t="s">
        <v>128</v>
      </c>
      <c r="I1978" s="18" t="s">
        <v>125</v>
      </c>
      <c r="J1978" s="18" t="s">
        <v>241</v>
      </c>
      <c r="K1978" s="18" t="s">
        <v>199</v>
      </c>
      <c r="L1978" s="64" t="n">
        <v>76.668881135616</v>
      </c>
      <c r="M1978" s="64" t="n">
        <v>9.15</v>
      </c>
      <c r="N1978" s="18" t="s">
        <v>1449</v>
      </c>
      <c r="O1978" s="65" t="n">
        <v>701.5203</v>
      </c>
      <c r="P1978" s="65"/>
      <c r="Q1978" s="65"/>
      <c r="R1978" s="65" t="s">
        <v>232</v>
      </c>
      <c r="S1978" s="66" t="n">
        <f aca="false">Model_Calc!BA333</f>
        <v>701.520262390886</v>
      </c>
      <c r="T1978" s="66" t="n">
        <f aca="false">ROUND(S1978-O1978,4)</f>
        <v>0</v>
      </c>
    </row>
    <row r="1979" customFormat="false" ht="15" hidden="false" customHeight="false" outlineLevel="0" collapsed="false">
      <c r="A1979" s="18" t="s">
        <v>213</v>
      </c>
      <c r="B1979" s="18" t="s">
        <v>207</v>
      </c>
      <c r="C1979" s="18" t="s">
        <v>214</v>
      </c>
      <c r="D1979" s="49" t="n">
        <v>46266</v>
      </c>
      <c r="E1979" s="18" t="s">
        <v>130</v>
      </c>
      <c r="F1979" s="18" t="s">
        <v>119</v>
      </c>
      <c r="G1979" s="18" t="s">
        <v>110</v>
      </c>
      <c r="H1979" s="18" t="s">
        <v>107</v>
      </c>
      <c r="I1979" s="18" t="s">
        <v>125</v>
      </c>
      <c r="J1979" s="18" t="s">
        <v>230</v>
      </c>
      <c r="K1979" s="18" t="s">
        <v>195</v>
      </c>
      <c r="L1979" s="64" t="n">
        <v>1742.2523168544</v>
      </c>
      <c r="M1979" s="64" t="n">
        <v>7.92</v>
      </c>
      <c r="N1979" s="18" t="s">
        <v>1450</v>
      </c>
      <c r="O1979" s="65" t="n">
        <v>13798.6383</v>
      </c>
      <c r="P1979" s="65"/>
      <c r="Q1979" s="65"/>
      <c r="R1979" s="65" t="s">
        <v>232</v>
      </c>
      <c r="S1979" s="66" t="n">
        <f aca="false">Model_Calc!AF334</f>
        <v>13798.6383494868</v>
      </c>
      <c r="T1979" s="66" t="n">
        <f aca="false">ROUND(S1979-O1979,4)</f>
        <v>0</v>
      </c>
    </row>
    <row r="1980" customFormat="false" ht="15" hidden="false" customHeight="false" outlineLevel="0" collapsed="false">
      <c r="A1980" s="18" t="s">
        <v>213</v>
      </c>
      <c r="B1980" s="18" t="s">
        <v>207</v>
      </c>
      <c r="C1980" s="18" t="s">
        <v>214</v>
      </c>
      <c r="D1980" s="49" t="n">
        <v>46266</v>
      </c>
      <c r="E1980" s="18" t="s">
        <v>130</v>
      </c>
      <c r="F1980" s="18" t="s">
        <v>119</v>
      </c>
      <c r="G1980" s="18" t="s">
        <v>110</v>
      </c>
      <c r="H1980" s="18" t="s">
        <v>107</v>
      </c>
      <c r="I1980" s="18" t="s">
        <v>125</v>
      </c>
      <c r="J1980" s="18" t="s">
        <v>233</v>
      </c>
      <c r="K1980" s="18" t="s">
        <v>195</v>
      </c>
      <c r="L1980" s="64" t="n">
        <v>189.339270534152</v>
      </c>
      <c r="M1980" s="64" t="n">
        <v>7.92</v>
      </c>
      <c r="N1980" s="18" t="s">
        <v>1451</v>
      </c>
      <c r="O1980" s="65" t="n">
        <v>1499.567</v>
      </c>
      <c r="P1980" s="65"/>
      <c r="Q1980" s="65"/>
      <c r="R1980" s="65" t="s">
        <v>232</v>
      </c>
      <c r="S1980" s="66" t="n">
        <f aca="false">Model_Calc!AG334</f>
        <v>1499.56702263048</v>
      </c>
      <c r="T1980" s="66" t="n">
        <f aca="false">ROUND(S1980-O1980,4)</f>
        <v>0</v>
      </c>
    </row>
    <row r="1981" customFormat="false" ht="15" hidden="false" customHeight="false" outlineLevel="0" collapsed="false">
      <c r="A1981" s="18" t="s">
        <v>213</v>
      </c>
      <c r="B1981" s="18" t="s">
        <v>207</v>
      </c>
      <c r="C1981" s="18" t="s">
        <v>214</v>
      </c>
      <c r="D1981" s="49" t="n">
        <v>46266</v>
      </c>
      <c r="E1981" s="18" t="s">
        <v>130</v>
      </c>
      <c r="F1981" s="18" t="s">
        <v>119</v>
      </c>
      <c r="G1981" s="18" t="s">
        <v>110</v>
      </c>
      <c r="H1981" s="18" t="s">
        <v>107</v>
      </c>
      <c r="I1981" s="18" t="s">
        <v>125</v>
      </c>
      <c r="J1981" s="18" t="s">
        <v>235</v>
      </c>
      <c r="K1981" s="18" t="s">
        <v>195</v>
      </c>
      <c r="L1981" s="64" t="n">
        <v>254.21256</v>
      </c>
      <c r="M1981" s="64" t="n">
        <v>7.92</v>
      </c>
      <c r="N1981" s="18" t="s">
        <v>1452</v>
      </c>
      <c r="O1981" s="65" t="n">
        <v>2013.3635</v>
      </c>
      <c r="P1981" s="65"/>
      <c r="Q1981" s="65"/>
      <c r="R1981" s="65" t="s">
        <v>232</v>
      </c>
      <c r="S1981" s="66" t="n">
        <f aca="false">Model_Calc!AL334</f>
        <v>2013.3634752</v>
      </c>
      <c r="T1981" s="66" t="n">
        <f aca="false">ROUND(S1981-O1981,4)</f>
        <v>0</v>
      </c>
    </row>
    <row r="1982" customFormat="false" ht="15" hidden="false" customHeight="false" outlineLevel="0" collapsed="false">
      <c r="A1982" s="18" t="s">
        <v>213</v>
      </c>
      <c r="B1982" s="18" t="s">
        <v>207</v>
      </c>
      <c r="C1982" s="18" t="s">
        <v>214</v>
      </c>
      <c r="D1982" s="49" t="n">
        <v>46266</v>
      </c>
      <c r="E1982" s="18" t="s">
        <v>130</v>
      </c>
      <c r="F1982" s="18" t="s">
        <v>119</v>
      </c>
      <c r="G1982" s="18" t="s">
        <v>110</v>
      </c>
      <c r="H1982" s="18" t="s">
        <v>107</v>
      </c>
      <c r="I1982" s="18" t="s">
        <v>125</v>
      </c>
      <c r="J1982" s="18" t="s">
        <v>237</v>
      </c>
      <c r="K1982" s="18" t="s">
        <v>195</v>
      </c>
      <c r="L1982" s="64" t="n">
        <v>107.64086112</v>
      </c>
      <c r="M1982" s="64" t="n">
        <v>7.92</v>
      </c>
      <c r="N1982" s="18" t="s">
        <v>1453</v>
      </c>
      <c r="O1982" s="65" t="n">
        <v>852.5156</v>
      </c>
      <c r="P1982" s="65"/>
      <c r="Q1982" s="65"/>
      <c r="R1982" s="65" t="s">
        <v>232</v>
      </c>
      <c r="S1982" s="66" t="n">
        <f aca="false">Model_Calc!AQ334</f>
        <v>852.5156200704</v>
      </c>
      <c r="T1982" s="66" t="n">
        <f aca="false">ROUND(S1982-O1982,4)</f>
        <v>0</v>
      </c>
    </row>
    <row r="1983" customFormat="false" ht="15" hidden="false" customHeight="false" outlineLevel="0" collapsed="false">
      <c r="A1983" s="18" t="s">
        <v>213</v>
      </c>
      <c r="B1983" s="18" t="s">
        <v>207</v>
      </c>
      <c r="C1983" s="18" t="s">
        <v>214</v>
      </c>
      <c r="D1983" s="49" t="n">
        <v>46266</v>
      </c>
      <c r="E1983" s="18" t="s">
        <v>130</v>
      </c>
      <c r="F1983" s="18" t="s">
        <v>119</v>
      </c>
      <c r="G1983" s="18" t="s">
        <v>110</v>
      </c>
      <c r="H1983" s="18" t="s">
        <v>107</v>
      </c>
      <c r="I1983" s="18" t="s">
        <v>125</v>
      </c>
      <c r="J1983" s="18" t="s">
        <v>239</v>
      </c>
      <c r="K1983" s="18" t="s">
        <v>195</v>
      </c>
      <c r="L1983" s="64" t="n">
        <v>119.6009568</v>
      </c>
      <c r="M1983" s="64" t="n">
        <v>7.92</v>
      </c>
      <c r="N1983" s="18" t="s">
        <v>1454</v>
      </c>
      <c r="O1983" s="65" t="n">
        <v>947.2396</v>
      </c>
      <c r="P1983" s="65"/>
      <c r="Q1983" s="65"/>
      <c r="R1983" s="65" t="s">
        <v>232</v>
      </c>
      <c r="S1983" s="66" t="n">
        <f aca="false">Model_Calc!AV334</f>
        <v>947.239577856</v>
      </c>
      <c r="T1983" s="66" t="n">
        <f aca="false">ROUND(S1983-O1983,4)</f>
        <v>0</v>
      </c>
    </row>
    <row r="1984" customFormat="false" ht="15" hidden="false" customHeight="false" outlineLevel="0" collapsed="false">
      <c r="A1984" s="18" t="s">
        <v>213</v>
      </c>
      <c r="B1984" s="18" t="s">
        <v>207</v>
      </c>
      <c r="C1984" s="18" t="s">
        <v>214</v>
      </c>
      <c r="D1984" s="49" t="n">
        <v>46266</v>
      </c>
      <c r="E1984" s="18" t="s">
        <v>130</v>
      </c>
      <c r="F1984" s="18" t="s">
        <v>119</v>
      </c>
      <c r="G1984" s="18" t="s">
        <v>110</v>
      </c>
      <c r="H1984" s="18" t="s">
        <v>107</v>
      </c>
      <c r="I1984" s="18" t="s">
        <v>125</v>
      </c>
      <c r="J1984" s="18" t="s">
        <v>241</v>
      </c>
      <c r="K1984" s="18" t="s">
        <v>195</v>
      </c>
      <c r="L1984" s="64" t="n">
        <v>11.1040046208</v>
      </c>
      <c r="M1984" s="64" t="n">
        <v>7.92</v>
      </c>
      <c r="N1984" s="18" t="s">
        <v>1455</v>
      </c>
      <c r="O1984" s="65" t="n">
        <v>87.9437</v>
      </c>
      <c r="P1984" s="65"/>
      <c r="Q1984" s="65"/>
      <c r="R1984" s="65" t="s">
        <v>232</v>
      </c>
      <c r="S1984" s="66" t="n">
        <f aca="false">Model_Calc!BA334</f>
        <v>87.943716596736</v>
      </c>
      <c r="T1984" s="66" t="n">
        <f aca="false">ROUND(S1984-O1984,4)</f>
        <v>0</v>
      </c>
    </row>
    <row r="1985" customFormat="false" ht="15" hidden="false" customHeight="false" outlineLevel="0" collapsed="false">
      <c r="A1985" s="18" t="s">
        <v>213</v>
      </c>
      <c r="B1985" s="18" t="s">
        <v>207</v>
      </c>
      <c r="C1985" s="18" t="s">
        <v>214</v>
      </c>
      <c r="D1985" s="49" t="n">
        <v>46296</v>
      </c>
      <c r="E1985" s="18" t="s">
        <v>98</v>
      </c>
      <c r="F1985" s="18" t="s">
        <v>99</v>
      </c>
      <c r="G1985" s="18" t="s">
        <v>100</v>
      </c>
      <c r="H1985" s="18" t="s">
        <v>101</v>
      </c>
      <c r="I1985" s="18" t="s">
        <v>102</v>
      </c>
      <c r="J1985" s="18" t="s">
        <v>230</v>
      </c>
      <c r="K1985" s="18" t="s">
        <v>195</v>
      </c>
      <c r="L1985" s="64" t="n">
        <v>7267.8309862158</v>
      </c>
      <c r="M1985" s="64" t="n">
        <v>7.9</v>
      </c>
      <c r="N1985" s="18" t="s">
        <v>1456</v>
      </c>
      <c r="O1985" s="65" t="n">
        <v>57415.8648</v>
      </c>
      <c r="P1985" s="65"/>
      <c r="Q1985" s="65"/>
      <c r="R1985" s="65" t="s">
        <v>232</v>
      </c>
      <c r="S1985" s="66" t="n">
        <f aca="false">Model_Calc!AF335</f>
        <v>57415.8647911048</v>
      </c>
      <c r="T1985" s="66" t="n">
        <f aca="false">ROUND(S1985-O1985,4)</f>
        <v>0</v>
      </c>
    </row>
    <row r="1986" customFormat="false" ht="15" hidden="false" customHeight="false" outlineLevel="0" collapsed="false">
      <c r="A1986" s="18" t="s">
        <v>213</v>
      </c>
      <c r="B1986" s="18" t="s">
        <v>207</v>
      </c>
      <c r="C1986" s="18" t="s">
        <v>214</v>
      </c>
      <c r="D1986" s="49" t="n">
        <v>46296</v>
      </c>
      <c r="E1986" s="18" t="s">
        <v>98</v>
      </c>
      <c r="F1986" s="18" t="s">
        <v>99</v>
      </c>
      <c r="G1986" s="18" t="s">
        <v>100</v>
      </c>
      <c r="H1986" s="18" t="s">
        <v>101</v>
      </c>
      <c r="I1986" s="18" t="s">
        <v>102</v>
      </c>
      <c r="J1986" s="18" t="s">
        <v>233</v>
      </c>
      <c r="K1986" s="18" t="s">
        <v>195</v>
      </c>
      <c r="L1986" s="64" t="n">
        <v>714.609481719669</v>
      </c>
      <c r="M1986" s="64" t="n">
        <v>7.9</v>
      </c>
      <c r="N1986" s="18" t="s">
        <v>1457</v>
      </c>
      <c r="O1986" s="65" t="n">
        <v>5645.4149</v>
      </c>
      <c r="P1986" s="65"/>
      <c r="Q1986" s="65"/>
      <c r="R1986" s="65" t="s">
        <v>232</v>
      </c>
      <c r="S1986" s="66" t="n">
        <f aca="false">Model_Calc!AG335</f>
        <v>5645.41490558538</v>
      </c>
      <c r="T1986" s="66" t="n">
        <f aca="false">ROUND(S1986-O1986,4)</f>
        <v>0</v>
      </c>
    </row>
    <row r="1987" customFormat="false" ht="15" hidden="false" customHeight="false" outlineLevel="0" collapsed="false">
      <c r="A1987" s="18" t="s">
        <v>213</v>
      </c>
      <c r="B1987" s="18" t="s">
        <v>207</v>
      </c>
      <c r="C1987" s="18" t="s">
        <v>214</v>
      </c>
      <c r="D1987" s="49" t="n">
        <v>46296</v>
      </c>
      <c r="E1987" s="18" t="s">
        <v>98</v>
      </c>
      <c r="F1987" s="18" t="s">
        <v>99</v>
      </c>
      <c r="G1987" s="18" t="s">
        <v>100</v>
      </c>
      <c r="H1987" s="18" t="s">
        <v>101</v>
      </c>
      <c r="I1987" s="18" t="s">
        <v>102</v>
      </c>
      <c r="J1987" s="18" t="s">
        <v>235</v>
      </c>
      <c r="K1987" s="18" t="s">
        <v>195</v>
      </c>
      <c r="L1987" s="64" t="n">
        <v>5239.94894393426</v>
      </c>
      <c r="M1987" s="64" t="n">
        <v>7.9</v>
      </c>
      <c r="N1987" s="18" t="s">
        <v>1458</v>
      </c>
      <c r="O1987" s="65" t="n">
        <v>41395.5967</v>
      </c>
      <c r="P1987" s="65"/>
      <c r="Q1987" s="65"/>
      <c r="R1987" s="65" t="s">
        <v>232</v>
      </c>
      <c r="S1987" s="66" t="n">
        <f aca="false">Model_Calc!AL335</f>
        <v>41395.5966570807</v>
      </c>
      <c r="T1987" s="66" t="n">
        <f aca="false">ROUND(S1987-O1987,4)</f>
        <v>0</v>
      </c>
    </row>
    <row r="1988" customFormat="false" ht="15" hidden="false" customHeight="false" outlineLevel="0" collapsed="false">
      <c r="A1988" s="18" t="s">
        <v>213</v>
      </c>
      <c r="B1988" s="18" t="s">
        <v>207</v>
      </c>
      <c r="C1988" s="18" t="s">
        <v>214</v>
      </c>
      <c r="D1988" s="49" t="n">
        <v>46296</v>
      </c>
      <c r="E1988" s="18" t="s">
        <v>98</v>
      </c>
      <c r="F1988" s="18" t="s">
        <v>99</v>
      </c>
      <c r="G1988" s="18" t="s">
        <v>100</v>
      </c>
      <c r="H1988" s="18" t="s">
        <v>101</v>
      </c>
      <c r="I1988" s="18" t="s">
        <v>102</v>
      </c>
      <c r="J1988" s="18" t="s">
        <v>237</v>
      </c>
      <c r="K1988" s="18" t="s">
        <v>195</v>
      </c>
      <c r="L1988" s="64" t="n">
        <v>1761.2274771</v>
      </c>
      <c r="M1988" s="64" t="n">
        <v>7.9</v>
      </c>
      <c r="N1988" s="18" t="s">
        <v>1459</v>
      </c>
      <c r="O1988" s="65" t="n">
        <v>13913.6971</v>
      </c>
      <c r="P1988" s="65"/>
      <c r="Q1988" s="65"/>
      <c r="R1988" s="65" t="s">
        <v>232</v>
      </c>
      <c r="S1988" s="66" t="n">
        <f aca="false">Model_Calc!AQ335</f>
        <v>13913.69706909</v>
      </c>
      <c r="T1988" s="66" t="n">
        <f aca="false">ROUND(S1988-O1988,4)</f>
        <v>0</v>
      </c>
    </row>
    <row r="1989" customFormat="false" ht="15" hidden="false" customHeight="false" outlineLevel="0" collapsed="false">
      <c r="A1989" s="18" t="s">
        <v>213</v>
      </c>
      <c r="B1989" s="18" t="s">
        <v>207</v>
      </c>
      <c r="C1989" s="18" t="s">
        <v>214</v>
      </c>
      <c r="D1989" s="49" t="n">
        <v>46296</v>
      </c>
      <c r="E1989" s="18" t="s">
        <v>98</v>
      </c>
      <c r="F1989" s="18" t="s">
        <v>99</v>
      </c>
      <c r="G1989" s="18" t="s">
        <v>100</v>
      </c>
      <c r="H1989" s="18" t="s">
        <v>101</v>
      </c>
      <c r="I1989" s="18" t="s">
        <v>102</v>
      </c>
      <c r="J1989" s="18" t="s">
        <v>239</v>
      </c>
      <c r="K1989" s="18" t="s">
        <v>195</v>
      </c>
      <c r="L1989" s="64" t="n">
        <v>638.994096</v>
      </c>
      <c r="M1989" s="64" t="n">
        <v>7.9</v>
      </c>
      <c r="N1989" s="18" t="s">
        <v>1460</v>
      </c>
      <c r="O1989" s="65" t="n">
        <v>5048.0534</v>
      </c>
      <c r="P1989" s="65"/>
      <c r="Q1989" s="65"/>
      <c r="R1989" s="65" t="s">
        <v>232</v>
      </c>
      <c r="S1989" s="66" t="n">
        <f aca="false">Model_Calc!AV335</f>
        <v>5048.0533584</v>
      </c>
      <c r="T1989" s="66" t="n">
        <f aca="false">ROUND(S1989-O1989,4)</f>
        <v>0</v>
      </c>
    </row>
    <row r="1990" customFormat="false" ht="15" hidden="false" customHeight="false" outlineLevel="0" collapsed="false">
      <c r="A1990" s="18" t="s">
        <v>213</v>
      </c>
      <c r="B1990" s="18" t="s">
        <v>207</v>
      </c>
      <c r="C1990" s="18" t="s">
        <v>214</v>
      </c>
      <c r="D1990" s="49" t="n">
        <v>46296</v>
      </c>
      <c r="E1990" s="18" t="s">
        <v>98</v>
      </c>
      <c r="F1990" s="18" t="s">
        <v>99</v>
      </c>
      <c r="G1990" s="18" t="s">
        <v>100</v>
      </c>
      <c r="H1990" s="18" t="s">
        <v>101</v>
      </c>
      <c r="I1990" s="18" t="s">
        <v>102</v>
      </c>
      <c r="J1990" s="18" t="s">
        <v>241</v>
      </c>
      <c r="K1990" s="18" t="s">
        <v>195</v>
      </c>
      <c r="L1990" s="64" t="n">
        <v>154.317074184</v>
      </c>
      <c r="M1990" s="64" t="n">
        <v>7.9</v>
      </c>
      <c r="N1990" s="18" t="s">
        <v>1461</v>
      </c>
      <c r="O1990" s="65" t="n">
        <v>1219.1049</v>
      </c>
      <c r="P1990" s="65"/>
      <c r="Q1990" s="65"/>
      <c r="R1990" s="65" t="s">
        <v>232</v>
      </c>
      <c r="S1990" s="66" t="n">
        <f aca="false">Model_Calc!BA335</f>
        <v>1219.1048860536</v>
      </c>
      <c r="T1990" s="66" t="n">
        <f aca="false">ROUND(S1990-O1990,4)</f>
        <v>0</v>
      </c>
    </row>
    <row r="1991" customFormat="false" ht="15" hidden="false" customHeight="false" outlineLevel="0" collapsed="false">
      <c r="A1991" s="18" t="s">
        <v>213</v>
      </c>
      <c r="B1991" s="18" t="s">
        <v>207</v>
      </c>
      <c r="C1991" s="18" t="s">
        <v>214</v>
      </c>
      <c r="D1991" s="49" t="n">
        <v>46296</v>
      </c>
      <c r="E1991" s="18" t="s">
        <v>106</v>
      </c>
      <c r="F1991" s="18" t="s">
        <v>99</v>
      </c>
      <c r="G1991" s="18" t="s">
        <v>100</v>
      </c>
      <c r="H1991" s="18" t="s">
        <v>107</v>
      </c>
      <c r="I1991" s="18" t="s">
        <v>102</v>
      </c>
      <c r="J1991" s="18" t="s">
        <v>230</v>
      </c>
      <c r="K1991" s="18" t="s">
        <v>195</v>
      </c>
      <c r="L1991" s="64" t="n">
        <v>6211.82135574</v>
      </c>
      <c r="M1991" s="64" t="n">
        <v>7.9</v>
      </c>
      <c r="N1991" s="18" t="s">
        <v>1462</v>
      </c>
      <c r="O1991" s="65" t="n">
        <v>49073.3887</v>
      </c>
      <c r="P1991" s="65"/>
      <c r="Q1991" s="65"/>
      <c r="R1991" s="65" t="s">
        <v>232</v>
      </c>
      <c r="S1991" s="66" t="n">
        <f aca="false">Model_Calc!AF336</f>
        <v>49073.388710346</v>
      </c>
      <c r="T1991" s="66" t="n">
        <f aca="false">ROUND(S1991-O1991,4)</f>
        <v>0</v>
      </c>
    </row>
    <row r="1992" customFormat="false" ht="15" hidden="false" customHeight="false" outlineLevel="0" collapsed="false">
      <c r="A1992" s="18" t="s">
        <v>213</v>
      </c>
      <c r="B1992" s="18" t="s">
        <v>207</v>
      </c>
      <c r="C1992" s="18" t="s">
        <v>214</v>
      </c>
      <c r="D1992" s="49" t="n">
        <v>46296</v>
      </c>
      <c r="E1992" s="18" t="s">
        <v>106</v>
      </c>
      <c r="F1992" s="18" t="s">
        <v>99</v>
      </c>
      <c r="G1992" s="18" t="s">
        <v>100</v>
      </c>
      <c r="H1992" s="18" t="s">
        <v>107</v>
      </c>
      <c r="I1992" s="18" t="s">
        <v>102</v>
      </c>
      <c r="J1992" s="18" t="s">
        <v>233</v>
      </c>
      <c r="K1992" s="18" t="s">
        <v>195</v>
      </c>
      <c r="L1992" s="64" t="n">
        <v>474.3572671656</v>
      </c>
      <c r="M1992" s="64" t="n">
        <v>7.9</v>
      </c>
      <c r="N1992" s="18" t="s">
        <v>1463</v>
      </c>
      <c r="O1992" s="65" t="n">
        <v>3747.4224</v>
      </c>
      <c r="P1992" s="65"/>
      <c r="Q1992" s="65"/>
      <c r="R1992" s="65" t="s">
        <v>232</v>
      </c>
      <c r="S1992" s="66" t="n">
        <f aca="false">Model_Calc!AG336</f>
        <v>3747.42241060824</v>
      </c>
      <c r="T1992" s="66" t="n">
        <f aca="false">ROUND(S1992-O1992,4)</f>
        <v>0</v>
      </c>
    </row>
    <row r="1993" customFormat="false" ht="15" hidden="false" customHeight="false" outlineLevel="0" collapsed="false">
      <c r="A1993" s="18" t="s">
        <v>213</v>
      </c>
      <c r="B1993" s="18" t="s">
        <v>207</v>
      </c>
      <c r="C1993" s="18" t="s">
        <v>214</v>
      </c>
      <c r="D1993" s="49" t="n">
        <v>46296</v>
      </c>
      <c r="E1993" s="18" t="s">
        <v>106</v>
      </c>
      <c r="F1993" s="18" t="s">
        <v>99</v>
      </c>
      <c r="G1993" s="18" t="s">
        <v>100</v>
      </c>
      <c r="H1993" s="18" t="s">
        <v>107</v>
      </c>
      <c r="I1993" s="18" t="s">
        <v>102</v>
      </c>
      <c r="J1993" s="18" t="s">
        <v>235</v>
      </c>
      <c r="K1993" s="18" t="s">
        <v>195</v>
      </c>
      <c r="L1993" s="64" t="n">
        <v>3493.29929595617</v>
      </c>
      <c r="M1993" s="64" t="n">
        <v>7.9</v>
      </c>
      <c r="N1993" s="18" t="s">
        <v>1464</v>
      </c>
      <c r="O1993" s="65" t="n">
        <v>27597.0644</v>
      </c>
      <c r="P1993" s="65"/>
      <c r="Q1993" s="65"/>
      <c r="R1993" s="65" t="s">
        <v>232</v>
      </c>
      <c r="S1993" s="66" t="n">
        <f aca="false">Model_Calc!AL336</f>
        <v>27597.0644380538</v>
      </c>
      <c r="T1993" s="66" t="n">
        <f aca="false">ROUND(S1993-O1993,4)</f>
        <v>0</v>
      </c>
    </row>
    <row r="1994" customFormat="false" ht="15" hidden="false" customHeight="false" outlineLevel="0" collapsed="false">
      <c r="A1994" s="18" t="s">
        <v>213</v>
      </c>
      <c r="B1994" s="18" t="s">
        <v>207</v>
      </c>
      <c r="C1994" s="18" t="s">
        <v>214</v>
      </c>
      <c r="D1994" s="49" t="n">
        <v>46296</v>
      </c>
      <c r="E1994" s="18" t="s">
        <v>106</v>
      </c>
      <c r="F1994" s="18" t="s">
        <v>99</v>
      </c>
      <c r="G1994" s="18" t="s">
        <v>100</v>
      </c>
      <c r="H1994" s="18" t="s">
        <v>107</v>
      </c>
      <c r="I1994" s="18" t="s">
        <v>102</v>
      </c>
      <c r="J1994" s="18" t="s">
        <v>237</v>
      </c>
      <c r="K1994" s="18" t="s">
        <v>195</v>
      </c>
      <c r="L1994" s="64" t="n">
        <v>1174.1516514</v>
      </c>
      <c r="M1994" s="64" t="n">
        <v>7.9</v>
      </c>
      <c r="N1994" s="18" t="s">
        <v>1465</v>
      </c>
      <c r="O1994" s="65" t="n">
        <v>9275.798</v>
      </c>
      <c r="P1994" s="65"/>
      <c r="Q1994" s="65"/>
      <c r="R1994" s="65" t="s">
        <v>232</v>
      </c>
      <c r="S1994" s="66" t="n">
        <f aca="false">Model_Calc!AQ336</f>
        <v>9275.79804606</v>
      </c>
      <c r="T1994" s="66" t="n">
        <f aca="false">ROUND(S1994-O1994,4)</f>
        <v>0</v>
      </c>
    </row>
    <row r="1995" customFormat="false" ht="15" hidden="false" customHeight="false" outlineLevel="0" collapsed="false">
      <c r="A1995" s="18" t="s">
        <v>213</v>
      </c>
      <c r="B1995" s="18" t="s">
        <v>207</v>
      </c>
      <c r="C1995" s="18" t="s">
        <v>214</v>
      </c>
      <c r="D1995" s="49" t="n">
        <v>46296</v>
      </c>
      <c r="E1995" s="18" t="s">
        <v>106</v>
      </c>
      <c r="F1995" s="18" t="s">
        <v>99</v>
      </c>
      <c r="G1995" s="18" t="s">
        <v>100</v>
      </c>
      <c r="H1995" s="18" t="s">
        <v>107</v>
      </c>
      <c r="I1995" s="18" t="s">
        <v>102</v>
      </c>
      <c r="J1995" s="18" t="s">
        <v>239</v>
      </c>
      <c r="K1995" s="18" t="s">
        <v>195</v>
      </c>
      <c r="L1995" s="64" t="n">
        <v>425.996064</v>
      </c>
      <c r="M1995" s="64" t="n">
        <v>7.9</v>
      </c>
      <c r="N1995" s="18" t="s">
        <v>1466</v>
      </c>
      <c r="O1995" s="65" t="n">
        <v>3365.3689</v>
      </c>
      <c r="P1995" s="65"/>
      <c r="Q1995" s="65"/>
      <c r="R1995" s="65" t="s">
        <v>232</v>
      </c>
      <c r="S1995" s="66" t="n">
        <f aca="false">Model_Calc!AV336</f>
        <v>3365.3689056</v>
      </c>
      <c r="T1995" s="66" t="n">
        <f aca="false">ROUND(S1995-O1995,4)</f>
        <v>0</v>
      </c>
    </row>
    <row r="1996" customFormat="false" ht="15" hidden="false" customHeight="false" outlineLevel="0" collapsed="false">
      <c r="A1996" s="18" t="s">
        <v>213</v>
      </c>
      <c r="B1996" s="18" t="s">
        <v>207</v>
      </c>
      <c r="C1996" s="18" t="s">
        <v>214</v>
      </c>
      <c r="D1996" s="49" t="n">
        <v>46296</v>
      </c>
      <c r="E1996" s="18" t="s">
        <v>106</v>
      </c>
      <c r="F1996" s="18" t="s">
        <v>99</v>
      </c>
      <c r="G1996" s="18" t="s">
        <v>100</v>
      </c>
      <c r="H1996" s="18" t="s">
        <v>107</v>
      </c>
      <c r="I1996" s="18" t="s">
        <v>102</v>
      </c>
      <c r="J1996" s="18" t="s">
        <v>241</v>
      </c>
      <c r="K1996" s="18" t="s">
        <v>195</v>
      </c>
      <c r="L1996" s="64" t="n">
        <v>83.588415183</v>
      </c>
      <c r="M1996" s="64" t="n">
        <v>7.9</v>
      </c>
      <c r="N1996" s="18" t="s">
        <v>1467</v>
      </c>
      <c r="O1996" s="65" t="n">
        <v>660.3485</v>
      </c>
      <c r="P1996" s="65"/>
      <c r="Q1996" s="65"/>
      <c r="R1996" s="65" t="s">
        <v>232</v>
      </c>
      <c r="S1996" s="66" t="n">
        <f aca="false">Model_Calc!BA336</f>
        <v>660.3484799457</v>
      </c>
      <c r="T1996" s="66" t="n">
        <f aca="false">ROUND(S1996-O1996,4)</f>
        <v>0</v>
      </c>
    </row>
    <row r="1997" customFormat="false" ht="15" hidden="false" customHeight="false" outlineLevel="0" collapsed="false">
      <c r="A1997" s="18" t="s">
        <v>213</v>
      </c>
      <c r="B1997" s="18" t="s">
        <v>207</v>
      </c>
      <c r="C1997" s="18" t="s">
        <v>214</v>
      </c>
      <c r="D1997" s="49" t="n">
        <v>46296</v>
      </c>
      <c r="E1997" s="18" t="s">
        <v>109</v>
      </c>
      <c r="F1997" s="18" t="s">
        <v>99</v>
      </c>
      <c r="G1997" s="18" t="s">
        <v>110</v>
      </c>
      <c r="H1997" s="18" t="s">
        <v>107</v>
      </c>
      <c r="I1997" s="18" t="s">
        <v>102</v>
      </c>
      <c r="J1997" s="18" t="s">
        <v>230</v>
      </c>
      <c r="K1997" s="18" t="s">
        <v>195</v>
      </c>
      <c r="L1997" s="64" t="n">
        <v>637.2834692796</v>
      </c>
      <c r="M1997" s="64" t="n">
        <v>7.9</v>
      </c>
      <c r="N1997" s="18" t="s">
        <v>1468</v>
      </c>
      <c r="O1997" s="65" t="n">
        <v>5034.5394</v>
      </c>
      <c r="P1997" s="65"/>
      <c r="Q1997" s="65"/>
      <c r="R1997" s="65" t="s">
        <v>232</v>
      </c>
      <c r="S1997" s="66" t="n">
        <f aca="false">Model_Calc!AF337</f>
        <v>5034.53940730884</v>
      </c>
      <c r="T1997" s="66" t="n">
        <f aca="false">ROUND(S1997-O1997,4)</f>
        <v>0</v>
      </c>
    </row>
    <row r="1998" customFormat="false" ht="15" hidden="false" customHeight="false" outlineLevel="0" collapsed="false">
      <c r="A1998" s="18" t="s">
        <v>213</v>
      </c>
      <c r="B1998" s="18" t="s">
        <v>207</v>
      </c>
      <c r="C1998" s="18" t="s">
        <v>214</v>
      </c>
      <c r="D1998" s="49" t="n">
        <v>46296</v>
      </c>
      <c r="E1998" s="18" t="s">
        <v>109</v>
      </c>
      <c r="F1998" s="18" t="s">
        <v>99</v>
      </c>
      <c r="G1998" s="18" t="s">
        <v>110</v>
      </c>
      <c r="H1998" s="18" t="s">
        <v>107</v>
      </c>
      <c r="I1998" s="18" t="s">
        <v>102</v>
      </c>
      <c r="J1998" s="18" t="s">
        <v>233</v>
      </c>
      <c r="K1998" s="18" t="s">
        <v>195</v>
      </c>
      <c r="L1998" s="64" t="n">
        <v>46.34788867488</v>
      </c>
      <c r="M1998" s="64" t="n">
        <v>7.9</v>
      </c>
      <c r="N1998" s="18" t="s">
        <v>1469</v>
      </c>
      <c r="O1998" s="65" t="n">
        <v>366.1483</v>
      </c>
      <c r="P1998" s="65"/>
      <c r="Q1998" s="65"/>
      <c r="R1998" s="65" t="s">
        <v>232</v>
      </c>
      <c r="S1998" s="66" t="n">
        <f aca="false">Model_Calc!AG337</f>
        <v>366.148320531552</v>
      </c>
      <c r="T1998" s="66" t="n">
        <f aca="false">ROUND(S1998-O1998,4)</f>
        <v>0</v>
      </c>
    </row>
    <row r="1999" customFormat="false" ht="15" hidden="false" customHeight="false" outlineLevel="0" collapsed="false">
      <c r="A1999" s="18" t="s">
        <v>213</v>
      </c>
      <c r="B1999" s="18" t="s">
        <v>207</v>
      </c>
      <c r="C1999" s="18" t="s">
        <v>214</v>
      </c>
      <c r="D1999" s="49" t="n">
        <v>46296</v>
      </c>
      <c r="E1999" s="18" t="s">
        <v>109</v>
      </c>
      <c r="F1999" s="18" t="s">
        <v>99</v>
      </c>
      <c r="G1999" s="18" t="s">
        <v>110</v>
      </c>
      <c r="H1999" s="18" t="s">
        <v>107</v>
      </c>
      <c r="I1999" s="18" t="s">
        <v>102</v>
      </c>
      <c r="J1999" s="18" t="s">
        <v>235</v>
      </c>
      <c r="K1999" s="18" t="s">
        <v>195</v>
      </c>
      <c r="L1999" s="64" t="n">
        <v>216.154575</v>
      </c>
      <c r="M1999" s="64" t="n">
        <v>7.9</v>
      </c>
      <c r="N1999" s="18" t="s">
        <v>1470</v>
      </c>
      <c r="O1999" s="65" t="n">
        <v>1707.6211</v>
      </c>
      <c r="P1999" s="65"/>
      <c r="Q1999" s="65"/>
      <c r="R1999" s="65" t="s">
        <v>232</v>
      </c>
      <c r="S1999" s="66" t="n">
        <f aca="false">Model_Calc!AL337</f>
        <v>1707.6211425</v>
      </c>
      <c r="T1999" s="66" t="n">
        <f aca="false">ROUND(S1999-O1999,4)</f>
        <v>0</v>
      </c>
    </row>
    <row r="2000" customFormat="false" ht="15" hidden="false" customHeight="false" outlineLevel="0" collapsed="false">
      <c r="A2000" s="18" t="s">
        <v>213</v>
      </c>
      <c r="B2000" s="18" t="s">
        <v>207</v>
      </c>
      <c r="C2000" s="18" t="s">
        <v>214</v>
      </c>
      <c r="D2000" s="49" t="n">
        <v>46296</v>
      </c>
      <c r="E2000" s="18" t="s">
        <v>109</v>
      </c>
      <c r="F2000" s="18" t="s">
        <v>99</v>
      </c>
      <c r="G2000" s="18" t="s">
        <v>110</v>
      </c>
      <c r="H2000" s="18" t="s">
        <v>107</v>
      </c>
      <c r="I2000" s="18" t="s">
        <v>102</v>
      </c>
      <c r="J2000" s="18" t="s">
        <v>237</v>
      </c>
      <c r="K2000" s="18" t="s">
        <v>195</v>
      </c>
      <c r="L2000" s="64" t="n">
        <v>84.4855596</v>
      </c>
      <c r="M2000" s="64" t="n">
        <v>7.9</v>
      </c>
      <c r="N2000" s="18" t="s">
        <v>1471</v>
      </c>
      <c r="O2000" s="65" t="n">
        <v>667.4359</v>
      </c>
      <c r="P2000" s="65"/>
      <c r="Q2000" s="65"/>
      <c r="R2000" s="65" t="s">
        <v>232</v>
      </c>
      <c r="S2000" s="66" t="n">
        <f aca="false">Model_Calc!AQ337</f>
        <v>667.43592084</v>
      </c>
      <c r="T2000" s="66" t="n">
        <f aca="false">ROUND(S2000-O2000,4)</f>
        <v>0</v>
      </c>
    </row>
    <row r="2001" customFormat="false" ht="15" hidden="false" customHeight="false" outlineLevel="0" collapsed="false">
      <c r="A2001" s="18" t="s">
        <v>213</v>
      </c>
      <c r="B2001" s="18" t="s">
        <v>207</v>
      </c>
      <c r="C2001" s="18" t="s">
        <v>214</v>
      </c>
      <c r="D2001" s="49" t="n">
        <v>46296</v>
      </c>
      <c r="E2001" s="18" t="s">
        <v>109</v>
      </c>
      <c r="F2001" s="18" t="s">
        <v>99</v>
      </c>
      <c r="G2001" s="18" t="s">
        <v>110</v>
      </c>
      <c r="H2001" s="18" t="s">
        <v>107</v>
      </c>
      <c r="I2001" s="18" t="s">
        <v>102</v>
      </c>
      <c r="J2001" s="18" t="s">
        <v>239</v>
      </c>
      <c r="K2001" s="18" t="s">
        <v>195</v>
      </c>
      <c r="L2001" s="64" t="n">
        <v>39.113685</v>
      </c>
      <c r="M2001" s="64" t="n">
        <v>7.9</v>
      </c>
      <c r="N2001" s="18" t="s">
        <v>1472</v>
      </c>
      <c r="O2001" s="65" t="n">
        <v>308.9981</v>
      </c>
      <c r="P2001" s="65"/>
      <c r="Q2001" s="65"/>
      <c r="R2001" s="65" t="s">
        <v>232</v>
      </c>
      <c r="S2001" s="66" t="n">
        <f aca="false">Model_Calc!AV337</f>
        <v>308.9981115</v>
      </c>
      <c r="T2001" s="66" t="n">
        <f aca="false">ROUND(S2001-O2001,4)</f>
        <v>0</v>
      </c>
    </row>
    <row r="2002" customFormat="false" ht="15" hidden="false" customHeight="false" outlineLevel="0" collapsed="false">
      <c r="A2002" s="18" t="s">
        <v>213</v>
      </c>
      <c r="B2002" s="18" t="s">
        <v>207</v>
      </c>
      <c r="C2002" s="18" t="s">
        <v>214</v>
      </c>
      <c r="D2002" s="49" t="n">
        <v>46296</v>
      </c>
      <c r="E2002" s="18" t="s">
        <v>109</v>
      </c>
      <c r="F2002" s="18" t="s">
        <v>99</v>
      </c>
      <c r="G2002" s="18" t="s">
        <v>110</v>
      </c>
      <c r="H2002" s="18" t="s">
        <v>107</v>
      </c>
      <c r="I2002" s="18" t="s">
        <v>102</v>
      </c>
      <c r="J2002" s="18" t="s">
        <v>241</v>
      </c>
      <c r="K2002" s="18" t="s">
        <v>195</v>
      </c>
      <c r="L2002" s="64" t="n">
        <v>7.159039524</v>
      </c>
      <c r="M2002" s="64" t="n">
        <v>7.9</v>
      </c>
      <c r="N2002" s="18" t="s">
        <v>1473</v>
      </c>
      <c r="O2002" s="65" t="n">
        <v>56.5564</v>
      </c>
      <c r="P2002" s="65"/>
      <c r="Q2002" s="65"/>
      <c r="R2002" s="65" t="s">
        <v>232</v>
      </c>
      <c r="S2002" s="66" t="n">
        <f aca="false">Model_Calc!BA337</f>
        <v>56.5564122396</v>
      </c>
      <c r="T2002" s="66" t="n">
        <f aca="false">ROUND(S2002-O2002,4)</f>
        <v>0</v>
      </c>
    </row>
    <row r="2003" customFormat="false" ht="15" hidden="false" customHeight="false" outlineLevel="0" collapsed="false">
      <c r="A2003" s="18" t="s">
        <v>213</v>
      </c>
      <c r="B2003" s="18" t="s">
        <v>207</v>
      </c>
      <c r="C2003" s="18" t="s">
        <v>214</v>
      </c>
      <c r="D2003" s="49" t="n">
        <v>46296</v>
      </c>
      <c r="E2003" s="18" t="s">
        <v>112</v>
      </c>
      <c r="F2003" s="18" t="s">
        <v>113</v>
      </c>
      <c r="G2003" s="18" t="s">
        <v>110</v>
      </c>
      <c r="H2003" s="18" t="s">
        <v>101</v>
      </c>
      <c r="I2003" s="18" t="s">
        <v>102</v>
      </c>
      <c r="J2003" s="18" t="s">
        <v>230</v>
      </c>
      <c r="K2003" s="18" t="s">
        <v>195</v>
      </c>
      <c r="L2003" s="64" t="n">
        <v>3620.96549451</v>
      </c>
      <c r="M2003" s="64" t="n">
        <v>7.9</v>
      </c>
      <c r="N2003" s="18" t="s">
        <v>1474</v>
      </c>
      <c r="O2003" s="65" t="n">
        <v>28605.6274</v>
      </c>
      <c r="P2003" s="65"/>
      <c r="Q2003" s="65"/>
      <c r="R2003" s="65" t="s">
        <v>232</v>
      </c>
      <c r="S2003" s="66" t="n">
        <f aca="false">Model_Calc!AF338</f>
        <v>28605.627406629</v>
      </c>
      <c r="T2003" s="66" t="n">
        <f aca="false">ROUND(S2003-O2003,4)</f>
        <v>0</v>
      </c>
    </row>
    <row r="2004" customFormat="false" ht="15" hidden="false" customHeight="false" outlineLevel="0" collapsed="false">
      <c r="A2004" s="18" t="s">
        <v>213</v>
      </c>
      <c r="B2004" s="18" t="s">
        <v>207</v>
      </c>
      <c r="C2004" s="18" t="s">
        <v>214</v>
      </c>
      <c r="D2004" s="49" t="n">
        <v>46296</v>
      </c>
      <c r="E2004" s="18" t="s">
        <v>112</v>
      </c>
      <c r="F2004" s="18" t="s">
        <v>113</v>
      </c>
      <c r="G2004" s="18" t="s">
        <v>110</v>
      </c>
      <c r="H2004" s="18" t="s">
        <v>101</v>
      </c>
      <c r="I2004" s="18" t="s">
        <v>102</v>
      </c>
      <c r="J2004" s="18" t="s">
        <v>233</v>
      </c>
      <c r="K2004" s="18" t="s">
        <v>195</v>
      </c>
      <c r="L2004" s="64" t="n">
        <v>337.292935813607</v>
      </c>
      <c r="M2004" s="64" t="n">
        <v>7.9</v>
      </c>
      <c r="N2004" s="18" t="s">
        <v>1475</v>
      </c>
      <c r="O2004" s="65" t="n">
        <v>2664.6142</v>
      </c>
      <c r="P2004" s="65"/>
      <c r="Q2004" s="65"/>
      <c r="R2004" s="65" t="s">
        <v>232</v>
      </c>
      <c r="S2004" s="66" t="n">
        <f aca="false">Model_Calc!AG338</f>
        <v>2664.61419292749</v>
      </c>
      <c r="T2004" s="66" t="n">
        <f aca="false">ROUND(S2004-O2004,4)</f>
        <v>0</v>
      </c>
    </row>
    <row r="2005" customFormat="false" ht="15" hidden="false" customHeight="false" outlineLevel="0" collapsed="false">
      <c r="A2005" s="18" t="s">
        <v>213</v>
      </c>
      <c r="B2005" s="18" t="s">
        <v>207</v>
      </c>
      <c r="C2005" s="18" t="s">
        <v>214</v>
      </c>
      <c r="D2005" s="49" t="n">
        <v>46296</v>
      </c>
      <c r="E2005" s="18" t="s">
        <v>112</v>
      </c>
      <c r="F2005" s="18" t="s">
        <v>113</v>
      </c>
      <c r="G2005" s="18" t="s">
        <v>110</v>
      </c>
      <c r="H2005" s="18" t="s">
        <v>101</v>
      </c>
      <c r="I2005" s="18" t="s">
        <v>102</v>
      </c>
      <c r="J2005" s="18" t="s">
        <v>235</v>
      </c>
      <c r="K2005" s="18" t="s">
        <v>195</v>
      </c>
      <c r="L2005" s="64" t="n">
        <v>2225.120625</v>
      </c>
      <c r="M2005" s="64" t="n">
        <v>7.9</v>
      </c>
      <c r="N2005" s="18" t="s">
        <v>1476</v>
      </c>
      <c r="O2005" s="65" t="n">
        <v>17578.4529</v>
      </c>
      <c r="P2005" s="65"/>
      <c r="Q2005" s="65"/>
      <c r="R2005" s="65" t="s">
        <v>232</v>
      </c>
      <c r="S2005" s="66" t="n">
        <f aca="false">Model_Calc!AL338</f>
        <v>17578.4529375</v>
      </c>
      <c r="T2005" s="66" t="n">
        <f aca="false">ROUND(S2005-O2005,4)</f>
        <v>0</v>
      </c>
    </row>
    <row r="2006" customFormat="false" ht="15" hidden="false" customHeight="false" outlineLevel="0" collapsed="false">
      <c r="A2006" s="18" t="s">
        <v>213</v>
      </c>
      <c r="B2006" s="18" t="s">
        <v>207</v>
      </c>
      <c r="C2006" s="18" t="s">
        <v>214</v>
      </c>
      <c r="D2006" s="49" t="n">
        <v>46296</v>
      </c>
      <c r="E2006" s="18" t="s">
        <v>112</v>
      </c>
      <c r="F2006" s="18" t="s">
        <v>113</v>
      </c>
      <c r="G2006" s="18" t="s">
        <v>110</v>
      </c>
      <c r="H2006" s="18" t="s">
        <v>101</v>
      </c>
      <c r="I2006" s="18" t="s">
        <v>102</v>
      </c>
      <c r="J2006" s="18" t="s">
        <v>237</v>
      </c>
      <c r="K2006" s="18" t="s">
        <v>195</v>
      </c>
      <c r="L2006" s="64" t="n">
        <v>853.598655</v>
      </c>
      <c r="M2006" s="64" t="n">
        <v>7.9</v>
      </c>
      <c r="N2006" s="18" t="s">
        <v>1477</v>
      </c>
      <c r="O2006" s="65" t="n">
        <v>6743.4294</v>
      </c>
      <c r="P2006" s="65"/>
      <c r="Q2006" s="65"/>
      <c r="R2006" s="65" t="s">
        <v>232</v>
      </c>
      <c r="S2006" s="66" t="n">
        <f aca="false">Model_Calc!AQ338</f>
        <v>6743.4293745</v>
      </c>
      <c r="T2006" s="66" t="n">
        <f aca="false">ROUND(S2006-O2006,4)</f>
        <v>0</v>
      </c>
    </row>
    <row r="2007" customFormat="false" ht="15" hidden="false" customHeight="false" outlineLevel="0" collapsed="false">
      <c r="A2007" s="18" t="s">
        <v>213</v>
      </c>
      <c r="B2007" s="18" t="s">
        <v>207</v>
      </c>
      <c r="C2007" s="18" t="s">
        <v>214</v>
      </c>
      <c r="D2007" s="49" t="n">
        <v>46296</v>
      </c>
      <c r="E2007" s="18" t="s">
        <v>112</v>
      </c>
      <c r="F2007" s="18" t="s">
        <v>113</v>
      </c>
      <c r="G2007" s="18" t="s">
        <v>110</v>
      </c>
      <c r="H2007" s="18" t="s">
        <v>101</v>
      </c>
      <c r="I2007" s="18" t="s">
        <v>102</v>
      </c>
      <c r="J2007" s="18" t="s">
        <v>239</v>
      </c>
      <c r="K2007" s="18" t="s">
        <v>195</v>
      </c>
      <c r="L2007" s="64" t="n">
        <v>381.44925</v>
      </c>
      <c r="M2007" s="64" t="n">
        <v>7.9</v>
      </c>
      <c r="N2007" s="18" t="s">
        <v>1478</v>
      </c>
      <c r="O2007" s="65" t="n">
        <v>3013.4491</v>
      </c>
      <c r="P2007" s="65"/>
      <c r="Q2007" s="65"/>
      <c r="R2007" s="65" t="s">
        <v>232</v>
      </c>
      <c r="S2007" s="66" t="n">
        <f aca="false">Model_Calc!AV338</f>
        <v>3013.449075</v>
      </c>
      <c r="T2007" s="66" t="n">
        <f aca="false">ROUND(S2007-O2007,4)</f>
        <v>0</v>
      </c>
    </row>
    <row r="2008" customFormat="false" ht="15" hidden="false" customHeight="false" outlineLevel="0" collapsed="false">
      <c r="A2008" s="18" t="s">
        <v>213</v>
      </c>
      <c r="B2008" s="18" t="s">
        <v>207</v>
      </c>
      <c r="C2008" s="18" t="s">
        <v>214</v>
      </c>
      <c r="D2008" s="49" t="n">
        <v>46296</v>
      </c>
      <c r="E2008" s="18" t="s">
        <v>112</v>
      </c>
      <c r="F2008" s="18" t="s">
        <v>113</v>
      </c>
      <c r="G2008" s="18" t="s">
        <v>110</v>
      </c>
      <c r="H2008" s="18" t="s">
        <v>101</v>
      </c>
      <c r="I2008" s="18" t="s">
        <v>102</v>
      </c>
      <c r="J2008" s="18" t="s">
        <v>241</v>
      </c>
      <c r="K2008" s="18" t="s">
        <v>195</v>
      </c>
      <c r="L2008" s="64" t="n">
        <v>87.830808975</v>
      </c>
      <c r="M2008" s="64" t="n">
        <v>7.9</v>
      </c>
      <c r="N2008" s="18" t="s">
        <v>1479</v>
      </c>
      <c r="O2008" s="65" t="n">
        <v>693.8634</v>
      </c>
      <c r="P2008" s="65"/>
      <c r="Q2008" s="65"/>
      <c r="R2008" s="65" t="s">
        <v>232</v>
      </c>
      <c r="S2008" s="66" t="n">
        <f aca="false">Model_Calc!BA338</f>
        <v>693.8633909025</v>
      </c>
      <c r="T2008" s="66" t="n">
        <f aca="false">ROUND(S2008-O2008,4)</f>
        <v>0</v>
      </c>
    </row>
    <row r="2009" customFormat="false" ht="15" hidden="false" customHeight="false" outlineLevel="0" collapsed="false">
      <c r="A2009" s="18" t="s">
        <v>213</v>
      </c>
      <c r="B2009" s="18" t="s">
        <v>207</v>
      </c>
      <c r="C2009" s="18" t="s">
        <v>214</v>
      </c>
      <c r="D2009" s="49" t="n">
        <v>46296</v>
      </c>
      <c r="E2009" s="18" t="s">
        <v>116</v>
      </c>
      <c r="F2009" s="18" t="s">
        <v>113</v>
      </c>
      <c r="G2009" s="18" t="s">
        <v>110</v>
      </c>
      <c r="H2009" s="18" t="s">
        <v>107</v>
      </c>
      <c r="I2009" s="18" t="s">
        <v>102</v>
      </c>
      <c r="J2009" s="18" t="s">
        <v>230</v>
      </c>
      <c r="K2009" s="18" t="s">
        <v>195</v>
      </c>
      <c r="L2009" s="64" t="n">
        <v>8654.405713785</v>
      </c>
      <c r="M2009" s="64" t="n">
        <v>7.9</v>
      </c>
      <c r="N2009" s="18" t="s">
        <v>1480</v>
      </c>
      <c r="O2009" s="65" t="n">
        <v>68369.8051</v>
      </c>
      <c r="P2009" s="65"/>
      <c r="Q2009" s="65"/>
      <c r="R2009" s="65" t="s">
        <v>232</v>
      </c>
      <c r="S2009" s="66" t="n">
        <f aca="false">Model_Calc!AF339</f>
        <v>68369.8051389015</v>
      </c>
      <c r="T2009" s="66" t="n">
        <f aca="false">ROUND(S2009-O2009,4)</f>
        <v>0</v>
      </c>
    </row>
    <row r="2010" customFormat="false" ht="15" hidden="false" customHeight="false" outlineLevel="0" collapsed="false">
      <c r="A2010" s="18" t="s">
        <v>213</v>
      </c>
      <c r="B2010" s="18" t="s">
        <v>207</v>
      </c>
      <c r="C2010" s="18" t="s">
        <v>214</v>
      </c>
      <c r="D2010" s="49" t="n">
        <v>46296</v>
      </c>
      <c r="E2010" s="18" t="s">
        <v>116</v>
      </c>
      <c r="F2010" s="18" t="s">
        <v>113</v>
      </c>
      <c r="G2010" s="18" t="s">
        <v>110</v>
      </c>
      <c r="H2010" s="18" t="s">
        <v>107</v>
      </c>
      <c r="I2010" s="18" t="s">
        <v>102</v>
      </c>
      <c r="J2010" s="18" t="s">
        <v>233</v>
      </c>
      <c r="K2010" s="18" t="s">
        <v>195</v>
      </c>
      <c r="L2010" s="64" t="n">
        <v>665.723516445</v>
      </c>
      <c r="M2010" s="64" t="n">
        <v>7.9</v>
      </c>
      <c r="N2010" s="18" t="s">
        <v>1481</v>
      </c>
      <c r="O2010" s="65" t="n">
        <v>5259.2158</v>
      </c>
      <c r="P2010" s="65"/>
      <c r="Q2010" s="65"/>
      <c r="R2010" s="65" t="s">
        <v>232</v>
      </c>
      <c r="S2010" s="66" t="n">
        <f aca="false">Model_Calc!AG339</f>
        <v>5259.2157799155</v>
      </c>
      <c r="T2010" s="66" t="n">
        <f aca="false">ROUND(S2010-O2010,4)</f>
        <v>0</v>
      </c>
    </row>
    <row r="2011" customFormat="false" ht="15" hidden="false" customHeight="false" outlineLevel="0" collapsed="false">
      <c r="A2011" s="18" t="s">
        <v>213</v>
      </c>
      <c r="B2011" s="18" t="s">
        <v>207</v>
      </c>
      <c r="C2011" s="18" t="s">
        <v>214</v>
      </c>
      <c r="D2011" s="49" t="n">
        <v>46296</v>
      </c>
      <c r="E2011" s="18" t="s">
        <v>116</v>
      </c>
      <c r="F2011" s="18" t="s">
        <v>113</v>
      </c>
      <c r="G2011" s="18" t="s">
        <v>110</v>
      </c>
      <c r="H2011" s="18" t="s">
        <v>107</v>
      </c>
      <c r="I2011" s="18" t="s">
        <v>102</v>
      </c>
      <c r="J2011" s="18" t="s">
        <v>235</v>
      </c>
      <c r="K2011" s="18" t="s">
        <v>195</v>
      </c>
      <c r="L2011" s="64" t="n">
        <v>4132.366875</v>
      </c>
      <c r="M2011" s="64" t="n">
        <v>7.9</v>
      </c>
      <c r="N2011" s="18" t="s">
        <v>1482</v>
      </c>
      <c r="O2011" s="65" t="n">
        <v>32645.6983</v>
      </c>
      <c r="P2011" s="65"/>
      <c r="Q2011" s="65"/>
      <c r="R2011" s="65" t="s">
        <v>232</v>
      </c>
      <c r="S2011" s="66" t="n">
        <f aca="false">Model_Calc!AL339</f>
        <v>32645.6983125</v>
      </c>
      <c r="T2011" s="66" t="n">
        <f aca="false">ROUND(S2011-O2011,4)</f>
        <v>0</v>
      </c>
    </row>
    <row r="2012" customFormat="false" ht="15" hidden="false" customHeight="false" outlineLevel="0" collapsed="false">
      <c r="A2012" s="18" t="s">
        <v>213</v>
      </c>
      <c r="B2012" s="18" t="s">
        <v>207</v>
      </c>
      <c r="C2012" s="18" t="s">
        <v>214</v>
      </c>
      <c r="D2012" s="49" t="n">
        <v>46296</v>
      </c>
      <c r="E2012" s="18" t="s">
        <v>116</v>
      </c>
      <c r="F2012" s="18" t="s">
        <v>113</v>
      </c>
      <c r="G2012" s="18" t="s">
        <v>110</v>
      </c>
      <c r="H2012" s="18" t="s">
        <v>107</v>
      </c>
      <c r="I2012" s="18" t="s">
        <v>102</v>
      </c>
      <c r="J2012" s="18" t="s">
        <v>237</v>
      </c>
      <c r="K2012" s="18" t="s">
        <v>195</v>
      </c>
      <c r="L2012" s="64" t="n">
        <v>1585.254645</v>
      </c>
      <c r="M2012" s="64" t="n">
        <v>7.9</v>
      </c>
      <c r="N2012" s="18" t="s">
        <v>1483</v>
      </c>
      <c r="O2012" s="65" t="n">
        <v>12523.5117</v>
      </c>
      <c r="P2012" s="65"/>
      <c r="Q2012" s="65"/>
      <c r="R2012" s="65" t="s">
        <v>232</v>
      </c>
      <c r="S2012" s="66" t="n">
        <f aca="false">Model_Calc!AQ339</f>
        <v>12523.5116955</v>
      </c>
      <c r="T2012" s="66" t="n">
        <f aca="false">ROUND(S2012-O2012,4)</f>
        <v>0</v>
      </c>
    </row>
    <row r="2013" customFormat="false" ht="15" hidden="false" customHeight="false" outlineLevel="0" collapsed="false">
      <c r="A2013" s="18" t="s">
        <v>213</v>
      </c>
      <c r="B2013" s="18" t="s">
        <v>207</v>
      </c>
      <c r="C2013" s="18" t="s">
        <v>214</v>
      </c>
      <c r="D2013" s="49" t="n">
        <v>46296</v>
      </c>
      <c r="E2013" s="18" t="s">
        <v>116</v>
      </c>
      <c r="F2013" s="18" t="s">
        <v>113</v>
      </c>
      <c r="G2013" s="18" t="s">
        <v>110</v>
      </c>
      <c r="H2013" s="18" t="s">
        <v>107</v>
      </c>
      <c r="I2013" s="18" t="s">
        <v>102</v>
      </c>
      <c r="J2013" s="18" t="s">
        <v>239</v>
      </c>
      <c r="K2013" s="18" t="s">
        <v>195</v>
      </c>
      <c r="L2013" s="64" t="n">
        <v>708.40575</v>
      </c>
      <c r="M2013" s="64" t="n">
        <v>7.9</v>
      </c>
      <c r="N2013" s="18" t="s">
        <v>1484</v>
      </c>
      <c r="O2013" s="65" t="n">
        <v>5596.4054</v>
      </c>
      <c r="P2013" s="65"/>
      <c r="Q2013" s="65"/>
      <c r="R2013" s="65" t="s">
        <v>232</v>
      </c>
      <c r="S2013" s="66" t="n">
        <f aca="false">Model_Calc!AV339</f>
        <v>5596.405425</v>
      </c>
      <c r="T2013" s="66" t="n">
        <f aca="false">ROUND(S2013-O2013,4)</f>
        <v>0</v>
      </c>
    </row>
    <row r="2014" customFormat="false" ht="15" hidden="false" customHeight="false" outlineLevel="0" collapsed="false">
      <c r="A2014" s="18" t="s">
        <v>213</v>
      </c>
      <c r="B2014" s="18" t="s">
        <v>207</v>
      </c>
      <c r="C2014" s="18" t="s">
        <v>214</v>
      </c>
      <c r="D2014" s="49" t="n">
        <v>46296</v>
      </c>
      <c r="E2014" s="18" t="s">
        <v>116</v>
      </c>
      <c r="F2014" s="18" t="s">
        <v>113</v>
      </c>
      <c r="G2014" s="18" t="s">
        <v>110</v>
      </c>
      <c r="H2014" s="18" t="s">
        <v>107</v>
      </c>
      <c r="I2014" s="18" t="s">
        <v>102</v>
      </c>
      <c r="J2014" s="18" t="s">
        <v>241</v>
      </c>
      <c r="K2014" s="18" t="s">
        <v>195</v>
      </c>
      <c r="L2014" s="64" t="n">
        <v>134.32947255</v>
      </c>
      <c r="M2014" s="64" t="n">
        <v>7.9</v>
      </c>
      <c r="N2014" s="18" t="s">
        <v>1485</v>
      </c>
      <c r="O2014" s="65" t="n">
        <v>1061.2028</v>
      </c>
      <c r="P2014" s="65"/>
      <c r="Q2014" s="65"/>
      <c r="R2014" s="65" t="s">
        <v>232</v>
      </c>
      <c r="S2014" s="66" t="n">
        <f aca="false">Model_Calc!BA339</f>
        <v>1061.202833145</v>
      </c>
      <c r="T2014" s="66" t="n">
        <f aca="false">ROUND(S2014-O2014,4)</f>
        <v>0</v>
      </c>
    </row>
    <row r="2015" customFormat="false" ht="15" hidden="false" customHeight="false" outlineLevel="0" collapsed="false">
      <c r="A2015" s="18" t="s">
        <v>213</v>
      </c>
      <c r="B2015" s="18" t="s">
        <v>207</v>
      </c>
      <c r="C2015" s="18" t="s">
        <v>214</v>
      </c>
      <c r="D2015" s="49" t="n">
        <v>46296</v>
      </c>
      <c r="E2015" s="18" t="s">
        <v>118</v>
      </c>
      <c r="F2015" s="18" t="s">
        <v>119</v>
      </c>
      <c r="G2015" s="18" t="s">
        <v>100</v>
      </c>
      <c r="H2015" s="18" t="s">
        <v>101</v>
      </c>
      <c r="I2015" s="18" t="s">
        <v>102</v>
      </c>
      <c r="J2015" s="18" t="s">
        <v>230</v>
      </c>
      <c r="K2015" s="18" t="s">
        <v>199</v>
      </c>
      <c r="L2015" s="64" t="n">
        <v>14834.7735211653</v>
      </c>
      <c r="M2015" s="64" t="n">
        <v>9.1</v>
      </c>
      <c r="N2015" s="18" t="s">
        <v>1864</v>
      </c>
      <c r="O2015" s="65" t="n">
        <v>134996.439</v>
      </c>
      <c r="P2015" s="65"/>
      <c r="Q2015" s="65"/>
      <c r="R2015" s="65" t="s">
        <v>232</v>
      </c>
      <c r="S2015" s="66" t="n">
        <f aca="false">Model_Calc!AF340</f>
        <v>134996.439042604</v>
      </c>
      <c r="T2015" s="66" t="n">
        <f aca="false">ROUND(S2015-O2015,4)</f>
        <v>0</v>
      </c>
    </row>
    <row r="2016" customFormat="false" ht="15" hidden="false" customHeight="false" outlineLevel="0" collapsed="false">
      <c r="A2016" s="18" t="s">
        <v>213</v>
      </c>
      <c r="B2016" s="18" t="s">
        <v>207</v>
      </c>
      <c r="C2016" s="18" t="s">
        <v>214</v>
      </c>
      <c r="D2016" s="49" t="n">
        <v>46296</v>
      </c>
      <c r="E2016" s="18" t="s">
        <v>118</v>
      </c>
      <c r="F2016" s="18" t="s">
        <v>119</v>
      </c>
      <c r="G2016" s="18" t="s">
        <v>100</v>
      </c>
      <c r="H2016" s="18" t="s">
        <v>101</v>
      </c>
      <c r="I2016" s="18" t="s">
        <v>102</v>
      </c>
      <c r="J2016" s="18" t="s">
        <v>233</v>
      </c>
      <c r="K2016" s="18" t="s">
        <v>199</v>
      </c>
      <c r="L2016" s="64" t="n">
        <v>1535.39905944061</v>
      </c>
      <c r="M2016" s="64" t="n">
        <v>9.1</v>
      </c>
      <c r="N2016" s="18" t="s">
        <v>1865</v>
      </c>
      <c r="O2016" s="65" t="n">
        <v>13972.1314</v>
      </c>
      <c r="P2016" s="65"/>
      <c r="Q2016" s="65"/>
      <c r="R2016" s="65" t="s">
        <v>232</v>
      </c>
      <c r="S2016" s="66" t="n">
        <f aca="false">Model_Calc!AG340</f>
        <v>13972.1314409095</v>
      </c>
      <c r="T2016" s="66" t="n">
        <f aca="false">ROUND(S2016-O2016,4)</f>
        <v>0</v>
      </c>
    </row>
    <row r="2017" customFormat="false" ht="15" hidden="false" customHeight="false" outlineLevel="0" collapsed="false">
      <c r="A2017" s="18" t="s">
        <v>213</v>
      </c>
      <c r="B2017" s="18" t="s">
        <v>207</v>
      </c>
      <c r="C2017" s="18" t="s">
        <v>214</v>
      </c>
      <c r="D2017" s="49" t="n">
        <v>46296</v>
      </c>
      <c r="E2017" s="18" t="s">
        <v>118</v>
      </c>
      <c r="F2017" s="18" t="s">
        <v>119</v>
      </c>
      <c r="G2017" s="18" t="s">
        <v>100</v>
      </c>
      <c r="H2017" s="18" t="s">
        <v>101</v>
      </c>
      <c r="I2017" s="18" t="s">
        <v>102</v>
      </c>
      <c r="J2017" s="18" t="s">
        <v>235</v>
      </c>
      <c r="K2017" s="18" t="s">
        <v>195</v>
      </c>
      <c r="L2017" s="64" t="n">
        <v>4026.72122604821</v>
      </c>
      <c r="M2017" s="64" t="n">
        <v>7.9</v>
      </c>
      <c r="N2017" s="18" t="s">
        <v>1866</v>
      </c>
      <c r="O2017" s="65" t="n">
        <v>31811.0977</v>
      </c>
      <c r="P2017" s="65"/>
      <c r="Q2017" s="65"/>
      <c r="R2017" s="65" t="s">
        <v>232</v>
      </c>
      <c r="S2017" s="66" t="n">
        <f aca="false">Model_Calc!AL340</f>
        <v>31811.0976857809</v>
      </c>
      <c r="T2017" s="66" t="n">
        <f aca="false">ROUND(S2017-O2017,4)</f>
        <v>0</v>
      </c>
    </row>
    <row r="2018" customFormat="false" ht="15" hidden="false" customHeight="false" outlineLevel="0" collapsed="false">
      <c r="A2018" s="18" t="s">
        <v>213</v>
      </c>
      <c r="B2018" s="18" t="s">
        <v>207</v>
      </c>
      <c r="C2018" s="18" t="s">
        <v>214</v>
      </c>
      <c r="D2018" s="49" t="n">
        <v>46296</v>
      </c>
      <c r="E2018" s="18" t="s">
        <v>118</v>
      </c>
      <c r="F2018" s="18" t="s">
        <v>119</v>
      </c>
      <c r="G2018" s="18" t="s">
        <v>100</v>
      </c>
      <c r="H2018" s="18" t="s">
        <v>101</v>
      </c>
      <c r="I2018" s="18" t="s">
        <v>102</v>
      </c>
      <c r="J2018" s="18" t="s">
        <v>237</v>
      </c>
      <c r="K2018" s="18" t="s">
        <v>195</v>
      </c>
      <c r="L2018" s="64" t="n">
        <v>1482.34230144</v>
      </c>
      <c r="M2018" s="64" t="n">
        <v>7.9</v>
      </c>
      <c r="N2018" s="18" t="s">
        <v>1867</v>
      </c>
      <c r="O2018" s="65" t="n">
        <v>11710.5042</v>
      </c>
      <c r="P2018" s="65"/>
      <c r="Q2018" s="65"/>
      <c r="R2018" s="65" t="s">
        <v>232</v>
      </c>
      <c r="S2018" s="66" t="n">
        <f aca="false">Model_Calc!AQ340</f>
        <v>11710.504181376</v>
      </c>
      <c r="T2018" s="66" t="n">
        <f aca="false">ROUND(S2018-O2018,4)</f>
        <v>0</v>
      </c>
    </row>
    <row r="2019" customFormat="false" ht="15" hidden="false" customHeight="false" outlineLevel="0" collapsed="false">
      <c r="A2019" s="18" t="s">
        <v>213</v>
      </c>
      <c r="B2019" s="18" t="s">
        <v>207</v>
      </c>
      <c r="C2019" s="18" t="s">
        <v>214</v>
      </c>
      <c r="D2019" s="49" t="n">
        <v>46296</v>
      </c>
      <c r="E2019" s="18" t="s">
        <v>118</v>
      </c>
      <c r="F2019" s="18" t="s">
        <v>119</v>
      </c>
      <c r="G2019" s="18" t="s">
        <v>100</v>
      </c>
      <c r="H2019" s="18" t="s">
        <v>101</v>
      </c>
      <c r="I2019" s="18" t="s">
        <v>102</v>
      </c>
      <c r="J2019" s="18" t="s">
        <v>239</v>
      </c>
      <c r="K2019" s="18" t="s">
        <v>199</v>
      </c>
      <c r="L2019" s="64" t="n">
        <v>1325.82168576</v>
      </c>
      <c r="M2019" s="64" t="n">
        <v>9.1</v>
      </c>
      <c r="N2019" s="18" t="s">
        <v>1868</v>
      </c>
      <c r="O2019" s="65" t="n">
        <v>12064.9773</v>
      </c>
      <c r="P2019" s="65"/>
      <c r="Q2019" s="65"/>
      <c r="R2019" s="65" t="s">
        <v>232</v>
      </c>
      <c r="S2019" s="66" t="n">
        <f aca="false">Model_Calc!AV340</f>
        <v>12064.977340416</v>
      </c>
      <c r="T2019" s="66" t="n">
        <f aca="false">ROUND(S2019-O2019,4)</f>
        <v>0</v>
      </c>
    </row>
    <row r="2020" customFormat="false" ht="15" hidden="false" customHeight="false" outlineLevel="0" collapsed="false">
      <c r="A2020" s="18" t="s">
        <v>213</v>
      </c>
      <c r="B2020" s="18" t="s">
        <v>207</v>
      </c>
      <c r="C2020" s="18" t="s">
        <v>214</v>
      </c>
      <c r="D2020" s="49" t="n">
        <v>46296</v>
      </c>
      <c r="E2020" s="18" t="s">
        <v>118</v>
      </c>
      <c r="F2020" s="18" t="s">
        <v>119</v>
      </c>
      <c r="G2020" s="18" t="s">
        <v>100</v>
      </c>
      <c r="H2020" s="18" t="s">
        <v>101</v>
      </c>
      <c r="I2020" s="18" t="s">
        <v>102</v>
      </c>
      <c r="J2020" s="18" t="s">
        <v>241</v>
      </c>
      <c r="K2020" s="18" t="s">
        <v>199</v>
      </c>
      <c r="L2020" s="64" t="n">
        <v>208.21615255584</v>
      </c>
      <c r="M2020" s="64" t="n">
        <v>9.1</v>
      </c>
      <c r="N2020" s="18" t="s">
        <v>1869</v>
      </c>
      <c r="O2020" s="65" t="n">
        <v>1894.767</v>
      </c>
      <c r="P2020" s="65"/>
      <c r="Q2020" s="65"/>
      <c r="R2020" s="65" t="s">
        <v>232</v>
      </c>
      <c r="S2020" s="66" t="n">
        <f aca="false">Model_Calc!BA340</f>
        <v>1894.76698825814</v>
      </c>
      <c r="T2020" s="66" t="n">
        <f aca="false">ROUND(S2020-O2020,4)</f>
        <v>0</v>
      </c>
    </row>
    <row r="2021" customFormat="false" ht="15" hidden="false" customHeight="false" outlineLevel="0" collapsed="false">
      <c r="A2021" s="18" t="s">
        <v>213</v>
      </c>
      <c r="B2021" s="18" t="s">
        <v>207</v>
      </c>
      <c r="C2021" s="18" t="s">
        <v>214</v>
      </c>
      <c r="D2021" s="49" t="n">
        <v>46296</v>
      </c>
      <c r="E2021" s="18" t="s">
        <v>122</v>
      </c>
      <c r="F2021" s="18" t="s">
        <v>119</v>
      </c>
      <c r="G2021" s="18" t="s">
        <v>100</v>
      </c>
      <c r="H2021" s="18" t="s">
        <v>107</v>
      </c>
      <c r="I2021" s="18" t="s">
        <v>102</v>
      </c>
      <c r="J2021" s="18" t="s">
        <v>230</v>
      </c>
      <c r="K2021" s="18" t="s">
        <v>199</v>
      </c>
      <c r="L2021" s="64" t="n">
        <v>9321.31491303168</v>
      </c>
      <c r="M2021" s="64" t="n">
        <v>9.1</v>
      </c>
      <c r="N2021" s="18" t="s">
        <v>1870</v>
      </c>
      <c r="O2021" s="65" t="n">
        <v>84823.9657</v>
      </c>
      <c r="P2021" s="65"/>
      <c r="Q2021" s="65"/>
      <c r="R2021" s="65" t="s">
        <v>232</v>
      </c>
      <c r="S2021" s="66" t="n">
        <f aca="false">Model_Calc!AF341</f>
        <v>84823.9657085883</v>
      </c>
      <c r="T2021" s="66" t="n">
        <f aca="false">ROUND(S2021-O2021,4)</f>
        <v>0</v>
      </c>
    </row>
    <row r="2022" customFormat="false" ht="15" hidden="false" customHeight="false" outlineLevel="0" collapsed="false">
      <c r="A2022" s="18" t="s">
        <v>213</v>
      </c>
      <c r="B2022" s="18" t="s">
        <v>207</v>
      </c>
      <c r="C2022" s="18" t="s">
        <v>214</v>
      </c>
      <c r="D2022" s="49" t="n">
        <v>46296</v>
      </c>
      <c r="E2022" s="18" t="s">
        <v>122</v>
      </c>
      <c r="F2022" s="18" t="s">
        <v>119</v>
      </c>
      <c r="G2022" s="18" t="s">
        <v>100</v>
      </c>
      <c r="H2022" s="18" t="s">
        <v>107</v>
      </c>
      <c r="I2022" s="18" t="s">
        <v>102</v>
      </c>
      <c r="J2022" s="18" t="s">
        <v>233</v>
      </c>
      <c r="K2022" s="18" t="s">
        <v>199</v>
      </c>
      <c r="L2022" s="64" t="n">
        <v>654.475302404352</v>
      </c>
      <c r="M2022" s="64" t="n">
        <v>9.1</v>
      </c>
      <c r="N2022" s="18" t="s">
        <v>1871</v>
      </c>
      <c r="O2022" s="65" t="n">
        <v>5955.7253</v>
      </c>
      <c r="P2022" s="65"/>
      <c r="Q2022" s="65"/>
      <c r="R2022" s="65" t="s">
        <v>232</v>
      </c>
      <c r="S2022" s="66" t="n">
        <f aca="false">Model_Calc!AG341</f>
        <v>5955.7252518796</v>
      </c>
      <c r="T2022" s="66" t="n">
        <f aca="false">ROUND(S2022-O2022,4)</f>
        <v>0</v>
      </c>
    </row>
    <row r="2023" customFormat="false" ht="15" hidden="false" customHeight="false" outlineLevel="0" collapsed="false">
      <c r="A2023" s="18" t="s">
        <v>213</v>
      </c>
      <c r="B2023" s="18" t="s">
        <v>207</v>
      </c>
      <c r="C2023" s="18" t="s">
        <v>214</v>
      </c>
      <c r="D2023" s="49" t="n">
        <v>46296</v>
      </c>
      <c r="E2023" s="18" t="s">
        <v>122</v>
      </c>
      <c r="F2023" s="18" t="s">
        <v>119</v>
      </c>
      <c r="G2023" s="18" t="s">
        <v>100</v>
      </c>
      <c r="H2023" s="18" t="s">
        <v>107</v>
      </c>
      <c r="I2023" s="18" t="s">
        <v>102</v>
      </c>
      <c r="J2023" s="18" t="s">
        <v>235</v>
      </c>
      <c r="K2023" s="18" t="s">
        <v>195</v>
      </c>
      <c r="L2023" s="64" t="n">
        <v>2196.3933960263</v>
      </c>
      <c r="M2023" s="64" t="n">
        <v>7.9</v>
      </c>
      <c r="N2023" s="18" t="s">
        <v>1500</v>
      </c>
      <c r="O2023" s="65" t="n">
        <v>17351.5078</v>
      </c>
      <c r="P2023" s="65"/>
      <c r="Q2023" s="65"/>
      <c r="R2023" s="65" t="s">
        <v>232</v>
      </c>
      <c r="S2023" s="66" t="n">
        <f aca="false">Model_Calc!AL341</f>
        <v>17351.5078286077</v>
      </c>
      <c r="T2023" s="66" t="n">
        <f aca="false">ROUND(S2023-O2023,4)</f>
        <v>0</v>
      </c>
    </row>
    <row r="2024" customFormat="false" ht="15" hidden="false" customHeight="false" outlineLevel="0" collapsed="false">
      <c r="A2024" s="18" t="s">
        <v>213</v>
      </c>
      <c r="B2024" s="18" t="s">
        <v>207</v>
      </c>
      <c r="C2024" s="18" t="s">
        <v>214</v>
      </c>
      <c r="D2024" s="49" t="n">
        <v>46296</v>
      </c>
      <c r="E2024" s="18" t="s">
        <v>122</v>
      </c>
      <c r="F2024" s="18" t="s">
        <v>119</v>
      </c>
      <c r="G2024" s="18" t="s">
        <v>100</v>
      </c>
      <c r="H2024" s="18" t="s">
        <v>107</v>
      </c>
      <c r="I2024" s="18" t="s">
        <v>102</v>
      </c>
      <c r="J2024" s="18" t="s">
        <v>237</v>
      </c>
      <c r="K2024" s="18" t="s">
        <v>195</v>
      </c>
      <c r="L2024" s="64" t="n">
        <v>808.55034624</v>
      </c>
      <c r="M2024" s="64" t="n">
        <v>7.9</v>
      </c>
      <c r="N2024" s="18" t="s">
        <v>1872</v>
      </c>
      <c r="O2024" s="65" t="n">
        <v>6387.5477</v>
      </c>
      <c r="P2024" s="65"/>
      <c r="Q2024" s="65"/>
      <c r="R2024" s="65" t="s">
        <v>232</v>
      </c>
      <c r="S2024" s="66" t="n">
        <f aca="false">Model_Calc!AQ341</f>
        <v>6387.547735296</v>
      </c>
      <c r="T2024" s="66" t="n">
        <f aca="false">ROUND(S2024-O2024,4)</f>
        <v>0</v>
      </c>
    </row>
    <row r="2025" customFormat="false" ht="15" hidden="false" customHeight="false" outlineLevel="0" collapsed="false">
      <c r="A2025" s="18" t="s">
        <v>213</v>
      </c>
      <c r="B2025" s="18" t="s">
        <v>207</v>
      </c>
      <c r="C2025" s="18" t="s">
        <v>214</v>
      </c>
      <c r="D2025" s="49" t="n">
        <v>46296</v>
      </c>
      <c r="E2025" s="18" t="s">
        <v>122</v>
      </c>
      <c r="F2025" s="18" t="s">
        <v>119</v>
      </c>
      <c r="G2025" s="18" t="s">
        <v>100</v>
      </c>
      <c r="H2025" s="18" t="s">
        <v>107</v>
      </c>
      <c r="I2025" s="18" t="s">
        <v>102</v>
      </c>
      <c r="J2025" s="18" t="s">
        <v>239</v>
      </c>
      <c r="K2025" s="18" t="s">
        <v>199</v>
      </c>
      <c r="L2025" s="64" t="n">
        <v>723.17546496</v>
      </c>
      <c r="M2025" s="64" t="n">
        <v>9.1</v>
      </c>
      <c r="N2025" s="18" t="s">
        <v>1502</v>
      </c>
      <c r="O2025" s="65" t="n">
        <v>6580.8967</v>
      </c>
      <c r="P2025" s="65"/>
      <c r="Q2025" s="65"/>
      <c r="R2025" s="65" t="s">
        <v>232</v>
      </c>
      <c r="S2025" s="66" t="n">
        <f aca="false">Model_Calc!AV341</f>
        <v>6580.896731136</v>
      </c>
      <c r="T2025" s="66" t="n">
        <f aca="false">ROUND(S2025-O2025,4)</f>
        <v>0</v>
      </c>
    </row>
    <row r="2026" customFormat="false" ht="15" hidden="false" customHeight="false" outlineLevel="0" collapsed="false">
      <c r="A2026" s="18" t="s">
        <v>213</v>
      </c>
      <c r="B2026" s="18" t="s">
        <v>207</v>
      </c>
      <c r="C2026" s="18" t="s">
        <v>214</v>
      </c>
      <c r="D2026" s="49" t="n">
        <v>46296</v>
      </c>
      <c r="E2026" s="18" t="s">
        <v>122</v>
      </c>
      <c r="F2026" s="18" t="s">
        <v>119</v>
      </c>
      <c r="G2026" s="18" t="s">
        <v>100</v>
      </c>
      <c r="H2026" s="18" t="s">
        <v>107</v>
      </c>
      <c r="I2026" s="18" t="s">
        <v>102</v>
      </c>
      <c r="J2026" s="18" t="s">
        <v>241</v>
      </c>
      <c r="K2026" s="18" t="s">
        <v>199</v>
      </c>
      <c r="L2026" s="64" t="n">
        <v>84.1277384064</v>
      </c>
      <c r="M2026" s="64" t="n">
        <v>9.1</v>
      </c>
      <c r="N2026" s="18" t="s">
        <v>1873</v>
      </c>
      <c r="O2026" s="65" t="n">
        <v>765.5624</v>
      </c>
      <c r="P2026" s="65"/>
      <c r="Q2026" s="65"/>
      <c r="R2026" s="65" t="s">
        <v>232</v>
      </c>
      <c r="S2026" s="66" t="n">
        <f aca="false">Model_Calc!BA341</f>
        <v>765.56241949824</v>
      </c>
      <c r="T2026" s="66" t="n">
        <f aca="false">ROUND(S2026-O2026,4)</f>
        <v>0</v>
      </c>
    </row>
    <row r="2027" customFormat="false" ht="15" hidden="false" customHeight="false" outlineLevel="0" collapsed="false">
      <c r="A2027" s="18" t="s">
        <v>213</v>
      </c>
      <c r="B2027" s="18" t="s">
        <v>207</v>
      </c>
      <c r="C2027" s="18" t="s">
        <v>214</v>
      </c>
      <c r="D2027" s="49" t="n">
        <v>46296</v>
      </c>
      <c r="E2027" s="18" t="s">
        <v>124</v>
      </c>
      <c r="F2027" s="18" t="s">
        <v>119</v>
      </c>
      <c r="G2027" s="18" t="s">
        <v>100</v>
      </c>
      <c r="H2027" s="18" t="s">
        <v>107</v>
      </c>
      <c r="I2027" s="18" t="s">
        <v>125</v>
      </c>
      <c r="J2027" s="18" t="s">
        <v>230</v>
      </c>
      <c r="K2027" s="18" t="s">
        <v>199</v>
      </c>
      <c r="L2027" s="64" t="n">
        <v>10017.306426538</v>
      </c>
      <c r="M2027" s="64" t="n">
        <v>9.1</v>
      </c>
      <c r="N2027" s="18" t="s">
        <v>1874</v>
      </c>
      <c r="O2027" s="65" t="n">
        <v>91157.4885</v>
      </c>
      <c r="P2027" s="65"/>
      <c r="Q2027" s="65"/>
      <c r="R2027" s="65" t="s">
        <v>232</v>
      </c>
      <c r="S2027" s="66" t="n">
        <f aca="false">Model_Calc!AF342</f>
        <v>91157.4884814962</v>
      </c>
      <c r="T2027" s="66" t="n">
        <f aca="false">ROUND(S2027-O2027,4)</f>
        <v>0</v>
      </c>
    </row>
    <row r="2028" customFormat="false" ht="15" hidden="false" customHeight="false" outlineLevel="0" collapsed="false">
      <c r="A2028" s="18" t="s">
        <v>213</v>
      </c>
      <c r="B2028" s="18" t="s">
        <v>207</v>
      </c>
      <c r="C2028" s="18" t="s">
        <v>214</v>
      </c>
      <c r="D2028" s="49" t="n">
        <v>46296</v>
      </c>
      <c r="E2028" s="18" t="s">
        <v>124</v>
      </c>
      <c r="F2028" s="18" t="s">
        <v>119</v>
      </c>
      <c r="G2028" s="18" t="s">
        <v>100</v>
      </c>
      <c r="H2028" s="18" t="s">
        <v>107</v>
      </c>
      <c r="I2028" s="18" t="s">
        <v>125</v>
      </c>
      <c r="J2028" s="18" t="s">
        <v>233</v>
      </c>
      <c r="K2028" s="18" t="s">
        <v>199</v>
      </c>
      <c r="L2028" s="64" t="n">
        <v>1240.00229331544</v>
      </c>
      <c r="M2028" s="64" t="n">
        <v>9.1</v>
      </c>
      <c r="N2028" s="18" t="s">
        <v>1875</v>
      </c>
      <c r="O2028" s="65" t="n">
        <v>11284.0209</v>
      </c>
      <c r="P2028" s="65"/>
      <c r="Q2028" s="65"/>
      <c r="R2028" s="65" t="s">
        <v>232</v>
      </c>
      <c r="S2028" s="66" t="n">
        <f aca="false">Model_Calc!AG342</f>
        <v>11284.0208691705</v>
      </c>
      <c r="T2028" s="66" t="n">
        <f aca="false">ROUND(S2028-O2028,4)</f>
        <v>0</v>
      </c>
    </row>
    <row r="2029" customFormat="false" ht="15" hidden="false" customHeight="false" outlineLevel="0" collapsed="false">
      <c r="A2029" s="18" t="s">
        <v>213</v>
      </c>
      <c r="B2029" s="18" t="s">
        <v>207</v>
      </c>
      <c r="C2029" s="18" t="s">
        <v>214</v>
      </c>
      <c r="D2029" s="49" t="n">
        <v>46296</v>
      </c>
      <c r="E2029" s="18" t="s">
        <v>124</v>
      </c>
      <c r="F2029" s="18" t="s">
        <v>119</v>
      </c>
      <c r="G2029" s="18" t="s">
        <v>100</v>
      </c>
      <c r="H2029" s="18" t="s">
        <v>107</v>
      </c>
      <c r="I2029" s="18" t="s">
        <v>125</v>
      </c>
      <c r="J2029" s="18" t="s">
        <v>235</v>
      </c>
      <c r="K2029" s="18" t="s">
        <v>195</v>
      </c>
      <c r="L2029" s="64" t="n">
        <v>1830.32783002191</v>
      </c>
      <c r="M2029" s="64" t="n">
        <v>7.9</v>
      </c>
      <c r="N2029" s="18" t="s">
        <v>1494</v>
      </c>
      <c r="O2029" s="65" t="n">
        <v>14459.5899</v>
      </c>
      <c r="P2029" s="65"/>
      <c r="Q2029" s="65"/>
      <c r="R2029" s="65" t="s">
        <v>232</v>
      </c>
      <c r="S2029" s="66" t="n">
        <f aca="false">Model_Calc!AL342</f>
        <v>14459.5898571731</v>
      </c>
      <c r="T2029" s="66" t="n">
        <f aca="false">ROUND(S2029-O2029,4)</f>
        <v>0</v>
      </c>
    </row>
    <row r="2030" customFormat="false" ht="15" hidden="false" customHeight="false" outlineLevel="0" collapsed="false">
      <c r="A2030" s="18" t="s">
        <v>213</v>
      </c>
      <c r="B2030" s="18" t="s">
        <v>207</v>
      </c>
      <c r="C2030" s="18" t="s">
        <v>214</v>
      </c>
      <c r="D2030" s="49" t="n">
        <v>46296</v>
      </c>
      <c r="E2030" s="18" t="s">
        <v>124</v>
      </c>
      <c r="F2030" s="18" t="s">
        <v>119</v>
      </c>
      <c r="G2030" s="18" t="s">
        <v>100</v>
      </c>
      <c r="H2030" s="18" t="s">
        <v>107</v>
      </c>
      <c r="I2030" s="18" t="s">
        <v>125</v>
      </c>
      <c r="J2030" s="18" t="s">
        <v>237</v>
      </c>
      <c r="K2030" s="18" t="s">
        <v>195</v>
      </c>
      <c r="L2030" s="64" t="n">
        <v>673.7919552</v>
      </c>
      <c r="M2030" s="64" t="n">
        <v>7.9</v>
      </c>
      <c r="N2030" s="18" t="s">
        <v>1876</v>
      </c>
      <c r="O2030" s="65" t="n">
        <v>5322.9564</v>
      </c>
      <c r="P2030" s="65"/>
      <c r="Q2030" s="65"/>
      <c r="R2030" s="65" t="s">
        <v>232</v>
      </c>
      <c r="S2030" s="66" t="n">
        <f aca="false">Model_Calc!AQ342</f>
        <v>5322.95644608</v>
      </c>
      <c r="T2030" s="66" t="n">
        <f aca="false">ROUND(S2030-O2030,4)</f>
        <v>0</v>
      </c>
    </row>
    <row r="2031" customFormat="false" ht="15" hidden="false" customHeight="false" outlineLevel="0" collapsed="false">
      <c r="A2031" s="18" t="s">
        <v>213</v>
      </c>
      <c r="B2031" s="18" t="s">
        <v>207</v>
      </c>
      <c r="C2031" s="18" t="s">
        <v>214</v>
      </c>
      <c r="D2031" s="49" t="n">
        <v>46296</v>
      </c>
      <c r="E2031" s="18" t="s">
        <v>124</v>
      </c>
      <c r="F2031" s="18" t="s">
        <v>119</v>
      </c>
      <c r="G2031" s="18" t="s">
        <v>100</v>
      </c>
      <c r="H2031" s="18" t="s">
        <v>107</v>
      </c>
      <c r="I2031" s="18" t="s">
        <v>125</v>
      </c>
      <c r="J2031" s="18" t="s">
        <v>239</v>
      </c>
      <c r="K2031" s="18" t="s">
        <v>199</v>
      </c>
      <c r="L2031" s="64" t="n">
        <v>602.6462208</v>
      </c>
      <c r="M2031" s="64" t="n">
        <v>9.1</v>
      </c>
      <c r="N2031" s="18" t="s">
        <v>1496</v>
      </c>
      <c r="O2031" s="65" t="n">
        <v>5484.0806</v>
      </c>
      <c r="P2031" s="65"/>
      <c r="Q2031" s="65"/>
      <c r="R2031" s="65" t="s">
        <v>232</v>
      </c>
      <c r="S2031" s="66" t="n">
        <f aca="false">Model_Calc!AV342</f>
        <v>5484.08060928</v>
      </c>
      <c r="T2031" s="66" t="n">
        <f aca="false">ROUND(S2031-O2031,4)</f>
        <v>0</v>
      </c>
    </row>
    <row r="2032" customFormat="false" ht="15" hidden="false" customHeight="false" outlineLevel="0" collapsed="false">
      <c r="A2032" s="18" t="s">
        <v>213</v>
      </c>
      <c r="B2032" s="18" t="s">
        <v>207</v>
      </c>
      <c r="C2032" s="18" t="s">
        <v>214</v>
      </c>
      <c r="D2032" s="49" t="n">
        <v>46296</v>
      </c>
      <c r="E2032" s="18" t="s">
        <v>124</v>
      </c>
      <c r="F2032" s="18" t="s">
        <v>119</v>
      </c>
      <c r="G2032" s="18" t="s">
        <v>100</v>
      </c>
      <c r="H2032" s="18" t="s">
        <v>107</v>
      </c>
      <c r="I2032" s="18" t="s">
        <v>125</v>
      </c>
      <c r="J2032" s="18" t="s">
        <v>241</v>
      </c>
      <c r="K2032" s="18" t="s">
        <v>199</v>
      </c>
      <c r="L2032" s="64" t="n">
        <v>68.2775847936</v>
      </c>
      <c r="M2032" s="64" t="n">
        <v>9.1</v>
      </c>
      <c r="N2032" s="18" t="s">
        <v>1877</v>
      </c>
      <c r="O2032" s="65" t="n">
        <v>621.326</v>
      </c>
      <c r="P2032" s="65"/>
      <c r="Q2032" s="65"/>
      <c r="R2032" s="65" t="s">
        <v>232</v>
      </c>
      <c r="S2032" s="66" t="n">
        <f aca="false">Model_Calc!BA342</f>
        <v>621.32602162176</v>
      </c>
      <c r="T2032" s="66" t="n">
        <f aca="false">ROUND(S2032-O2032,4)</f>
        <v>0</v>
      </c>
    </row>
    <row r="2033" customFormat="false" ht="15" hidden="false" customHeight="false" outlineLevel="0" collapsed="false">
      <c r="A2033" s="18" t="s">
        <v>213</v>
      </c>
      <c r="B2033" s="18" t="s">
        <v>207</v>
      </c>
      <c r="C2033" s="18" t="s">
        <v>214</v>
      </c>
      <c r="D2033" s="49" t="n">
        <v>46296</v>
      </c>
      <c r="E2033" s="18" t="s">
        <v>127</v>
      </c>
      <c r="F2033" s="18" t="s">
        <v>119</v>
      </c>
      <c r="G2033" s="18" t="s">
        <v>100</v>
      </c>
      <c r="H2033" s="18" t="s">
        <v>128</v>
      </c>
      <c r="I2033" s="18" t="s">
        <v>125</v>
      </c>
      <c r="J2033" s="18" t="s">
        <v>230</v>
      </c>
      <c r="K2033" s="18" t="s">
        <v>199</v>
      </c>
      <c r="L2033" s="64" t="n">
        <v>7252.7763057355</v>
      </c>
      <c r="M2033" s="64" t="n">
        <v>9.1</v>
      </c>
      <c r="N2033" s="18" t="s">
        <v>1878</v>
      </c>
      <c r="O2033" s="65" t="n">
        <v>66000.2644</v>
      </c>
      <c r="P2033" s="65"/>
      <c r="Q2033" s="65"/>
      <c r="R2033" s="65" t="s">
        <v>232</v>
      </c>
      <c r="S2033" s="66" t="n">
        <f aca="false">Model_Calc!AF343</f>
        <v>66000.264382193</v>
      </c>
      <c r="T2033" s="66" t="n">
        <f aca="false">ROUND(S2033-O2033,4)</f>
        <v>0</v>
      </c>
    </row>
    <row r="2034" customFormat="false" ht="15" hidden="false" customHeight="false" outlineLevel="0" collapsed="false">
      <c r="A2034" s="18" t="s">
        <v>213</v>
      </c>
      <c r="B2034" s="18" t="s">
        <v>207</v>
      </c>
      <c r="C2034" s="18" t="s">
        <v>214</v>
      </c>
      <c r="D2034" s="49" t="n">
        <v>46296</v>
      </c>
      <c r="E2034" s="18" t="s">
        <v>127</v>
      </c>
      <c r="F2034" s="18" t="s">
        <v>119</v>
      </c>
      <c r="G2034" s="18" t="s">
        <v>100</v>
      </c>
      <c r="H2034" s="18" t="s">
        <v>128</v>
      </c>
      <c r="I2034" s="18" t="s">
        <v>125</v>
      </c>
      <c r="J2034" s="18" t="s">
        <v>233</v>
      </c>
      <c r="K2034" s="18" t="s">
        <v>199</v>
      </c>
      <c r="L2034" s="64" t="n">
        <v>560.881367643545</v>
      </c>
      <c r="M2034" s="64" t="n">
        <v>9.1</v>
      </c>
      <c r="N2034" s="18" t="s">
        <v>1879</v>
      </c>
      <c r="O2034" s="65" t="n">
        <v>5104.0204</v>
      </c>
      <c r="P2034" s="65"/>
      <c r="Q2034" s="65"/>
      <c r="R2034" s="65" t="s">
        <v>232</v>
      </c>
      <c r="S2034" s="66" t="n">
        <f aca="false">Model_Calc!AG343</f>
        <v>5104.02044555626</v>
      </c>
      <c r="T2034" s="66" t="n">
        <f aca="false">ROUND(S2034-O2034,4)</f>
        <v>0</v>
      </c>
    </row>
    <row r="2035" customFormat="false" ht="15" hidden="false" customHeight="false" outlineLevel="0" collapsed="false">
      <c r="A2035" s="18" t="s">
        <v>213</v>
      </c>
      <c r="B2035" s="18" t="s">
        <v>207</v>
      </c>
      <c r="C2035" s="18" t="s">
        <v>214</v>
      </c>
      <c r="D2035" s="49" t="n">
        <v>46296</v>
      </c>
      <c r="E2035" s="18" t="s">
        <v>127</v>
      </c>
      <c r="F2035" s="18" t="s">
        <v>119</v>
      </c>
      <c r="G2035" s="18" t="s">
        <v>100</v>
      </c>
      <c r="H2035" s="18" t="s">
        <v>128</v>
      </c>
      <c r="I2035" s="18" t="s">
        <v>125</v>
      </c>
      <c r="J2035" s="18" t="s">
        <v>235</v>
      </c>
      <c r="K2035" s="18" t="s">
        <v>195</v>
      </c>
      <c r="L2035" s="64" t="n">
        <v>1098.19669801315</v>
      </c>
      <c r="M2035" s="64" t="n">
        <v>7.9</v>
      </c>
      <c r="N2035" s="18" t="s">
        <v>1880</v>
      </c>
      <c r="O2035" s="65" t="n">
        <v>8675.7539</v>
      </c>
      <c r="P2035" s="65"/>
      <c r="Q2035" s="65"/>
      <c r="R2035" s="65" t="s">
        <v>232</v>
      </c>
      <c r="S2035" s="66" t="n">
        <f aca="false">Model_Calc!AL343</f>
        <v>8675.75391430387</v>
      </c>
      <c r="T2035" s="66" t="n">
        <f aca="false">ROUND(S2035-O2035,4)</f>
        <v>0</v>
      </c>
    </row>
    <row r="2036" customFormat="false" ht="15" hidden="false" customHeight="false" outlineLevel="0" collapsed="false">
      <c r="A2036" s="18" t="s">
        <v>213</v>
      </c>
      <c r="B2036" s="18" t="s">
        <v>207</v>
      </c>
      <c r="C2036" s="18" t="s">
        <v>214</v>
      </c>
      <c r="D2036" s="49" t="n">
        <v>46296</v>
      </c>
      <c r="E2036" s="18" t="s">
        <v>127</v>
      </c>
      <c r="F2036" s="18" t="s">
        <v>119</v>
      </c>
      <c r="G2036" s="18" t="s">
        <v>100</v>
      </c>
      <c r="H2036" s="18" t="s">
        <v>128</v>
      </c>
      <c r="I2036" s="18" t="s">
        <v>125</v>
      </c>
      <c r="J2036" s="18" t="s">
        <v>237</v>
      </c>
      <c r="K2036" s="18" t="s">
        <v>195</v>
      </c>
      <c r="L2036" s="64" t="n">
        <v>404.27517312</v>
      </c>
      <c r="M2036" s="64" t="n">
        <v>7.9</v>
      </c>
      <c r="N2036" s="18" t="s">
        <v>1881</v>
      </c>
      <c r="O2036" s="65" t="n">
        <v>3193.7739</v>
      </c>
      <c r="P2036" s="65"/>
      <c r="Q2036" s="65"/>
      <c r="R2036" s="65" t="s">
        <v>232</v>
      </c>
      <c r="S2036" s="66" t="n">
        <f aca="false">Model_Calc!AQ343</f>
        <v>3193.773867648</v>
      </c>
      <c r="T2036" s="66" t="n">
        <f aca="false">ROUND(S2036-O2036,4)</f>
        <v>0</v>
      </c>
    </row>
    <row r="2037" customFormat="false" ht="15" hidden="false" customHeight="false" outlineLevel="0" collapsed="false">
      <c r="A2037" s="18" t="s">
        <v>213</v>
      </c>
      <c r="B2037" s="18" t="s">
        <v>207</v>
      </c>
      <c r="C2037" s="18" t="s">
        <v>214</v>
      </c>
      <c r="D2037" s="49" t="n">
        <v>46296</v>
      </c>
      <c r="E2037" s="18" t="s">
        <v>127</v>
      </c>
      <c r="F2037" s="18" t="s">
        <v>119</v>
      </c>
      <c r="G2037" s="18" t="s">
        <v>100</v>
      </c>
      <c r="H2037" s="18" t="s">
        <v>128</v>
      </c>
      <c r="I2037" s="18" t="s">
        <v>125</v>
      </c>
      <c r="J2037" s="18" t="s">
        <v>239</v>
      </c>
      <c r="K2037" s="18" t="s">
        <v>199</v>
      </c>
      <c r="L2037" s="64" t="n">
        <v>361.58773248</v>
      </c>
      <c r="M2037" s="64" t="n">
        <v>9.1</v>
      </c>
      <c r="N2037" s="18" t="s">
        <v>1882</v>
      </c>
      <c r="O2037" s="65" t="n">
        <v>3290.4484</v>
      </c>
      <c r="P2037" s="65"/>
      <c r="Q2037" s="65"/>
      <c r="R2037" s="65" t="s">
        <v>232</v>
      </c>
      <c r="S2037" s="66" t="n">
        <f aca="false">Model_Calc!AV343</f>
        <v>3290.448365568</v>
      </c>
      <c r="T2037" s="66" t="n">
        <f aca="false">ROUND(S2037-O2037,4)</f>
        <v>0</v>
      </c>
    </row>
    <row r="2038" customFormat="false" ht="15" hidden="false" customHeight="false" outlineLevel="0" collapsed="false">
      <c r="A2038" s="18" t="s">
        <v>213</v>
      </c>
      <c r="B2038" s="18" t="s">
        <v>207</v>
      </c>
      <c r="C2038" s="18" t="s">
        <v>214</v>
      </c>
      <c r="D2038" s="49" t="n">
        <v>46296</v>
      </c>
      <c r="E2038" s="18" t="s">
        <v>127</v>
      </c>
      <c r="F2038" s="18" t="s">
        <v>119</v>
      </c>
      <c r="G2038" s="18" t="s">
        <v>100</v>
      </c>
      <c r="H2038" s="18" t="s">
        <v>128</v>
      </c>
      <c r="I2038" s="18" t="s">
        <v>125</v>
      </c>
      <c r="J2038" s="18" t="s">
        <v>241</v>
      </c>
      <c r="K2038" s="18" t="s">
        <v>199</v>
      </c>
      <c r="L2038" s="64" t="n">
        <v>36.21150479232</v>
      </c>
      <c r="M2038" s="64" t="n">
        <v>9.1</v>
      </c>
      <c r="N2038" s="18" t="s">
        <v>1883</v>
      </c>
      <c r="O2038" s="65" t="n">
        <v>329.5247</v>
      </c>
      <c r="P2038" s="65"/>
      <c r="Q2038" s="65"/>
      <c r="R2038" s="65" t="s">
        <v>232</v>
      </c>
      <c r="S2038" s="66" t="n">
        <f aca="false">Model_Calc!BA343</f>
        <v>329.524693610112</v>
      </c>
      <c r="T2038" s="66" t="n">
        <f aca="false">ROUND(S2038-O2038,4)</f>
        <v>0</v>
      </c>
    </row>
    <row r="2039" customFormat="false" ht="15" hidden="false" customHeight="false" outlineLevel="0" collapsed="false">
      <c r="A2039" s="18" t="s">
        <v>213</v>
      </c>
      <c r="B2039" s="18" t="s">
        <v>207</v>
      </c>
      <c r="C2039" s="18" t="s">
        <v>214</v>
      </c>
      <c r="D2039" s="49" t="n">
        <v>46296</v>
      </c>
      <c r="E2039" s="18" t="s">
        <v>130</v>
      </c>
      <c r="F2039" s="18" t="s">
        <v>119</v>
      </c>
      <c r="G2039" s="18" t="s">
        <v>110</v>
      </c>
      <c r="H2039" s="18" t="s">
        <v>107</v>
      </c>
      <c r="I2039" s="18" t="s">
        <v>125</v>
      </c>
      <c r="J2039" s="18" t="s">
        <v>230</v>
      </c>
      <c r="K2039" s="18" t="s">
        <v>195</v>
      </c>
      <c r="L2039" s="64" t="n">
        <v>2112.33197280456</v>
      </c>
      <c r="M2039" s="64" t="n">
        <v>7.9</v>
      </c>
      <c r="N2039" s="18" t="s">
        <v>1507</v>
      </c>
      <c r="O2039" s="65" t="n">
        <v>16687.4226</v>
      </c>
      <c r="P2039" s="65"/>
      <c r="Q2039" s="65"/>
      <c r="R2039" s="65" t="s">
        <v>232</v>
      </c>
      <c r="S2039" s="66" t="n">
        <f aca="false">Model_Calc!AF344</f>
        <v>16687.422585156</v>
      </c>
      <c r="T2039" s="66" t="n">
        <f aca="false">ROUND(S2039-O2039,4)</f>
        <v>0</v>
      </c>
    </row>
    <row r="2040" customFormat="false" ht="15" hidden="false" customHeight="false" outlineLevel="0" collapsed="false">
      <c r="A2040" s="18" t="s">
        <v>213</v>
      </c>
      <c r="B2040" s="18" t="s">
        <v>207</v>
      </c>
      <c r="C2040" s="18" t="s">
        <v>214</v>
      </c>
      <c r="D2040" s="49" t="n">
        <v>46296</v>
      </c>
      <c r="E2040" s="18" t="s">
        <v>130</v>
      </c>
      <c r="F2040" s="18" t="s">
        <v>119</v>
      </c>
      <c r="G2040" s="18" t="s">
        <v>110</v>
      </c>
      <c r="H2040" s="18" t="s">
        <v>107</v>
      </c>
      <c r="I2040" s="18" t="s">
        <v>125</v>
      </c>
      <c r="J2040" s="18" t="s">
        <v>233</v>
      </c>
      <c r="K2040" s="18" t="s">
        <v>195</v>
      </c>
      <c r="L2040" s="64" t="n">
        <v>229.557677144536</v>
      </c>
      <c r="M2040" s="64" t="n">
        <v>7.9</v>
      </c>
      <c r="N2040" s="18" t="s">
        <v>1508</v>
      </c>
      <c r="O2040" s="65" t="n">
        <v>1813.5056</v>
      </c>
      <c r="P2040" s="65"/>
      <c r="Q2040" s="65"/>
      <c r="R2040" s="65" t="s">
        <v>232</v>
      </c>
      <c r="S2040" s="66" t="n">
        <f aca="false">Model_Calc!AG344</f>
        <v>1813.50564944183</v>
      </c>
      <c r="T2040" s="66" t="n">
        <f aca="false">ROUND(S2040-O2040,4)</f>
        <v>0</v>
      </c>
    </row>
    <row r="2041" customFormat="false" ht="15" hidden="false" customHeight="false" outlineLevel="0" collapsed="false">
      <c r="A2041" s="18" t="s">
        <v>213</v>
      </c>
      <c r="B2041" s="18" t="s">
        <v>207</v>
      </c>
      <c r="C2041" s="18" t="s">
        <v>214</v>
      </c>
      <c r="D2041" s="49" t="n">
        <v>46296</v>
      </c>
      <c r="E2041" s="18" t="s">
        <v>130</v>
      </c>
      <c r="F2041" s="18" t="s">
        <v>119</v>
      </c>
      <c r="G2041" s="18" t="s">
        <v>110</v>
      </c>
      <c r="H2041" s="18" t="s">
        <v>107</v>
      </c>
      <c r="I2041" s="18" t="s">
        <v>125</v>
      </c>
      <c r="J2041" s="18" t="s">
        <v>235</v>
      </c>
      <c r="K2041" s="18" t="s">
        <v>195</v>
      </c>
      <c r="L2041" s="64" t="n">
        <v>305.1594</v>
      </c>
      <c r="M2041" s="64" t="n">
        <v>7.9</v>
      </c>
      <c r="N2041" s="18" t="s">
        <v>1509</v>
      </c>
      <c r="O2041" s="65" t="n">
        <v>2410.7593</v>
      </c>
      <c r="P2041" s="65"/>
      <c r="Q2041" s="65"/>
      <c r="R2041" s="65" t="s">
        <v>232</v>
      </c>
      <c r="S2041" s="66" t="n">
        <f aca="false">Model_Calc!AL344</f>
        <v>2410.75926</v>
      </c>
      <c r="T2041" s="66" t="n">
        <f aca="false">ROUND(S2041-O2041,4)</f>
        <v>0</v>
      </c>
    </row>
    <row r="2042" customFormat="false" ht="15" hidden="false" customHeight="false" outlineLevel="0" collapsed="false">
      <c r="A2042" s="18" t="s">
        <v>213</v>
      </c>
      <c r="B2042" s="18" t="s">
        <v>207</v>
      </c>
      <c r="C2042" s="18" t="s">
        <v>214</v>
      </c>
      <c r="D2042" s="49" t="n">
        <v>46296</v>
      </c>
      <c r="E2042" s="18" t="s">
        <v>130</v>
      </c>
      <c r="F2042" s="18" t="s">
        <v>119</v>
      </c>
      <c r="G2042" s="18" t="s">
        <v>110</v>
      </c>
      <c r="H2042" s="18" t="s">
        <v>107</v>
      </c>
      <c r="I2042" s="18" t="s">
        <v>125</v>
      </c>
      <c r="J2042" s="18" t="s">
        <v>237</v>
      </c>
      <c r="K2042" s="18" t="s">
        <v>195</v>
      </c>
      <c r="L2042" s="64" t="n">
        <v>129.2132088</v>
      </c>
      <c r="M2042" s="64" t="n">
        <v>7.9</v>
      </c>
      <c r="N2042" s="18" t="s">
        <v>1510</v>
      </c>
      <c r="O2042" s="65" t="n">
        <v>1020.7843</v>
      </c>
      <c r="P2042" s="65"/>
      <c r="Q2042" s="65"/>
      <c r="R2042" s="65" t="s">
        <v>232</v>
      </c>
      <c r="S2042" s="66" t="n">
        <f aca="false">Model_Calc!AQ344</f>
        <v>1020.78434952</v>
      </c>
      <c r="T2042" s="66" t="n">
        <f aca="false">ROUND(S2042-O2042,4)</f>
        <v>0</v>
      </c>
    </row>
    <row r="2043" customFormat="false" ht="15" hidden="false" customHeight="false" outlineLevel="0" collapsed="false">
      <c r="A2043" s="18" t="s">
        <v>213</v>
      </c>
      <c r="B2043" s="18" t="s">
        <v>207</v>
      </c>
      <c r="C2043" s="18" t="s">
        <v>214</v>
      </c>
      <c r="D2043" s="49" t="n">
        <v>46296</v>
      </c>
      <c r="E2043" s="18" t="s">
        <v>130</v>
      </c>
      <c r="F2043" s="18" t="s">
        <v>119</v>
      </c>
      <c r="G2043" s="18" t="s">
        <v>110</v>
      </c>
      <c r="H2043" s="18" t="s">
        <v>107</v>
      </c>
      <c r="I2043" s="18" t="s">
        <v>125</v>
      </c>
      <c r="J2043" s="18" t="s">
        <v>239</v>
      </c>
      <c r="K2043" s="18" t="s">
        <v>195</v>
      </c>
      <c r="L2043" s="64" t="n">
        <v>136.013904</v>
      </c>
      <c r="M2043" s="64" t="n">
        <v>7.9</v>
      </c>
      <c r="N2043" s="18" t="s">
        <v>1511</v>
      </c>
      <c r="O2043" s="65" t="n">
        <v>1074.5098</v>
      </c>
      <c r="P2043" s="65"/>
      <c r="Q2043" s="65"/>
      <c r="R2043" s="65" t="s">
        <v>232</v>
      </c>
      <c r="S2043" s="66" t="n">
        <f aca="false">Model_Calc!AV344</f>
        <v>1074.5098416</v>
      </c>
      <c r="T2043" s="66" t="n">
        <f aca="false">ROUND(S2043-O2043,4)</f>
        <v>0</v>
      </c>
    </row>
    <row r="2044" customFormat="false" ht="15" hidden="false" customHeight="false" outlineLevel="0" collapsed="false">
      <c r="A2044" s="18" t="s">
        <v>213</v>
      </c>
      <c r="B2044" s="18" t="s">
        <v>207</v>
      </c>
      <c r="C2044" s="18" t="s">
        <v>214</v>
      </c>
      <c r="D2044" s="49" t="n">
        <v>46296</v>
      </c>
      <c r="E2044" s="18" t="s">
        <v>130</v>
      </c>
      <c r="F2044" s="18" t="s">
        <v>119</v>
      </c>
      <c r="G2044" s="18" t="s">
        <v>110</v>
      </c>
      <c r="H2044" s="18" t="s">
        <v>107</v>
      </c>
      <c r="I2044" s="18" t="s">
        <v>125</v>
      </c>
      <c r="J2044" s="18" t="s">
        <v>241</v>
      </c>
      <c r="K2044" s="18" t="s">
        <v>195</v>
      </c>
      <c r="L2044" s="64" t="n">
        <v>12.6628944624</v>
      </c>
      <c r="M2044" s="64" t="n">
        <v>7.9</v>
      </c>
      <c r="N2044" s="18" t="s">
        <v>1884</v>
      </c>
      <c r="O2044" s="65" t="n">
        <v>100.0369</v>
      </c>
      <c r="P2044" s="65"/>
      <c r="Q2044" s="65"/>
      <c r="R2044" s="65" t="s">
        <v>232</v>
      </c>
      <c r="S2044" s="66" t="n">
        <f aca="false">Model_Calc!BA344</f>
        <v>100.03686625296</v>
      </c>
      <c r="T2044" s="66" t="n">
        <f aca="false">ROUND(S2044-O2044,4)</f>
        <v>0</v>
      </c>
    </row>
    <row r="2045" customFormat="false" ht="15" hidden="false" customHeight="false" outlineLevel="0" collapsed="false">
      <c r="A2045" s="18" t="s">
        <v>213</v>
      </c>
      <c r="B2045" s="18" t="s">
        <v>207</v>
      </c>
      <c r="C2045" s="18" t="s">
        <v>214</v>
      </c>
      <c r="D2045" s="49" t="n">
        <v>46327</v>
      </c>
      <c r="E2045" s="18" t="s">
        <v>98</v>
      </c>
      <c r="F2045" s="18" t="s">
        <v>99</v>
      </c>
      <c r="G2045" s="18" t="s">
        <v>100</v>
      </c>
      <c r="H2045" s="18" t="s">
        <v>101</v>
      </c>
      <c r="I2045" s="18" t="s">
        <v>102</v>
      </c>
      <c r="J2045" s="18" t="s">
        <v>230</v>
      </c>
      <c r="K2045" s="18" t="s">
        <v>195</v>
      </c>
      <c r="L2045" s="64" t="n">
        <v>8699.47310808576</v>
      </c>
      <c r="M2045" s="64" t="n">
        <v>7.88</v>
      </c>
      <c r="N2045" s="18" t="s">
        <v>1513</v>
      </c>
      <c r="O2045" s="65" t="n">
        <v>68551.8481</v>
      </c>
      <c r="P2045" s="65"/>
      <c r="Q2045" s="65"/>
      <c r="R2045" s="65" t="s">
        <v>232</v>
      </c>
      <c r="S2045" s="66" t="n">
        <f aca="false">Model_Calc!AF345</f>
        <v>68551.8480917158</v>
      </c>
      <c r="T2045" s="66" t="n">
        <f aca="false">ROUND(S2045-O2045,4)</f>
        <v>0</v>
      </c>
    </row>
    <row r="2046" customFormat="false" ht="15" hidden="false" customHeight="false" outlineLevel="0" collapsed="false">
      <c r="A2046" s="18" t="s">
        <v>213</v>
      </c>
      <c r="B2046" s="18" t="s">
        <v>207</v>
      </c>
      <c r="C2046" s="18" t="s">
        <v>214</v>
      </c>
      <c r="D2046" s="49" t="n">
        <v>46327</v>
      </c>
      <c r="E2046" s="18" t="s">
        <v>98</v>
      </c>
      <c r="F2046" s="18" t="s">
        <v>99</v>
      </c>
      <c r="G2046" s="18" t="s">
        <v>100</v>
      </c>
      <c r="H2046" s="18" t="s">
        <v>101</v>
      </c>
      <c r="I2046" s="18" t="s">
        <v>102</v>
      </c>
      <c r="J2046" s="18" t="s">
        <v>233</v>
      </c>
      <c r="K2046" s="18" t="s">
        <v>195</v>
      </c>
      <c r="L2046" s="64" t="n">
        <v>855.375693352532</v>
      </c>
      <c r="M2046" s="64" t="n">
        <v>7.88</v>
      </c>
      <c r="N2046" s="18" t="s">
        <v>1514</v>
      </c>
      <c r="O2046" s="65" t="n">
        <v>6740.3605</v>
      </c>
      <c r="P2046" s="65"/>
      <c r="Q2046" s="65"/>
      <c r="R2046" s="65" t="s">
        <v>232</v>
      </c>
      <c r="S2046" s="66" t="n">
        <f aca="false">Model_Calc!AG345</f>
        <v>6740.36046361795</v>
      </c>
      <c r="T2046" s="66" t="n">
        <f aca="false">ROUND(S2046-O2046,4)</f>
        <v>0</v>
      </c>
    </row>
    <row r="2047" customFormat="false" ht="15" hidden="false" customHeight="false" outlineLevel="0" collapsed="false">
      <c r="A2047" s="18" t="s">
        <v>213</v>
      </c>
      <c r="B2047" s="18" t="s">
        <v>207</v>
      </c>
      <c r="C2047" s="18" t="s">
        <v>214</v>
      </c>
      <c r="D2047" s="49" t="n">
        <v>46327</v>
      </c>
      <c r="E2047" s="18" t="s">
        <v>98</v>
      </c>
      <c r="F2047" s="18" t="s">
        <v>99</v>
      </c>
      <c r="G2047" s="18" t="s">
        <v>100</v>
      </c>
      <c r="H2047" s="18" t="s">
        <v>101</v>
      </c>
      <c r="I2047" s="18" t="s">
        <v>102</v>
      </c>
      <c r="J2047" s="18" t="s">
        <v>235</v>
      </c>
      <c r="K2047" s="18" t="s">
        <v>195</v>
      </c>
      <c r="L2047" s="64" t="n">
        <v>5858.45191105794</v>
      </c>
      <c r="M2047" s="64" t="n">
        <v>7.88</v>
      </c>
      <c r="N2047" s="18" t="s">
        <v>1515</v>
      </c>
      <c r="O2047" s="65" t="n">
        <v>46164.6011</v>
      </c>
      <c r="P2047" s="65"/>
      <c r="Q2047" s="65"/>
      <c r="R2047" s="65" t="s">
        <v>232</v>
      </c>
      <c r="S2047" s="66" t="n">
        <f aca="false">Model_Calc!AL345</f>
        <v>46164.6010591366</v>
      </c>
      <c r="T2047" s="66" t="n">
        <f aca="false">ROUND(S2047-O2047,4)</f>
        <v>0</v>
      </c>
    </row>
    <row r="2048" customFormat="false" ht="15" hidden="false" customHeight="false" outlineLevel="0" collapsed="false">
      <c r="A2048" s="18" t="s">
        <v>213</v>
      </c>
      <c r="B2048" s="18" t="s">
        <v>207</v>
      </c>
      <c r="C2048" s="18" t="s">
        <v>214</v>
      </c>
      <c r="D2048" s="49" t="n">
        <v>46327</v>
      </c>
      <c r="E2048" s="18" t="s">
        <v>98</v>
      </c>
      <c r="F2048" s="18" t="s">
        <v>99</v>
      </c>
      <c r="G2048" s="18" t="s">
        <v>100</v>
      </c>
      <c r="H2048" s="18" t="s">
        <v>101</v>
      </c>
      <c r="I2048" s="18" t="s">
        <v>102</v>
      </c>
      <c r="J2048" s="18" t="s">
        <v>237</v>
      </c>
      <c r="K2048" s="18" t="s">
        <v>195</v>
      </c>
      <c r="L2048" s="64" t="n">
        <v>2108.16006912</v>
      </c>
      <c r="M2048" s="64" t="n">
        <v>7.88</v>
      </c>
      <c r="N2048" s="18" t="s">
        <v>1516</v>
      </c>
      <c r="O2048" s="65" t="n">
        <v>16612.3013</v>
      </c>
      <c r="P2048" s="65"/>
      <c r="Q2048" s="65"/>
      <c r="R2048" s="65" t="s">
        <v>232</v>
      </c>
      <c r="S2048" s="66" t="n">
        <f aca="false">Model_Calc!AQ345</f>
        <v>16612.3013446656</v>
      </c>
      <c r="T2048" s="66" t="n">
        <f aca="false">ROUND(S2048-O2048,4)</f>
        <v>0</v>
      </c>
    </row>
    <row r="2049" customFormat="false" ht="15" hidden="false" customHeight="false" outlineLevel="0" collapsed="false">
      <c r="A2049" s="18" t="s">
        <v>213</v>
      </c>
      <c r="B2049" s="18" t="s">
        <v>207</v>
      </c>
      <c r="C2049" s="18" t="s">
        <v>214</v>
      </c>
      <c r="D2049" s="49" t="n">
        <v>46327</v>
      </c>
      <c r="E2049" s="18" t="s">
        <v>98</v>
      </c>
      <c r="F2049" s="18" t="s">
        <v>99</v>
      </c>
      <c r="G2049" s="18" t="s">
        <v>100</v>
      </c>
      <c r="H2049" s="18" t="s">
        <v>101</v>
      </c>
      <c r="I2049" s="18" t="s">
        <v>102</v>
      </c>
      <c r="J2049" s="18" t="s">
        <v>239</v>
      </c>
      <c r="K2049" s="18" t="s">
        <v>195</v>
      </c>
      <c r="L2049" s="64" t="n">
        <v>764.8653312</v>
      </c>
      <c r="M2049" s="64" t="n">
        <v>7.88</v>
      </c>
      <c r="N2049" s="18" t="s">
        <v>1517</v>
      </c>
      <c r="O2049" s="65" t="n">
        <v>6027.1388</v>
      </c>
      <c r="P2049" s="65"/>
      <c r="Q2049" s="65"/>
      <c r="R2049" s="65" t="s">
        <v>232</v>
      </c>
      <c r="S2049" s="66" t="n">
        <f aca="false">Model_Calc!AV345</f>
        <v>6027.138809856</v>
      </c>
      <c r="T2049" s="66" t="n">
        <f aca="false">ROUND(S2049-O2049,4)</f>
        <v>0</v>
      </c>
    </row>
    <row r="2050" customFormat="false" ht="15" hidden="false" customHeight="false" outlineLevel="0" collapsed="false">
      <c r="A2050" s="18" t="s">
        <v>213</v>
      </c>
      <c r="B2050" s="18" t="s">
        <v>207</v>
      </c>
      <c r="C2050" s="18" t="s">
        <v>214</v>
      </c>
      <c r="D2050" s="49" t="n">
        <v>46327</v>
      </c>
      <c r="E2050" s="18" t="s">
        <v>98</v>
      </c>
      <c r="F2050" s="18" t="s">
        <v>99</v>
      </c>
      <c r="G2050" s="18" t="s">
        <v>100</v>
      </c>
      <c r="H2050" s="18" t="s">
        <v>101</v>
      </c>
      <c r="I2050" s="18" t="s">
        <v>102</v>
      </c>
      <c r="J2050" s="18" t="s">
        <v>241</v>
      </c>
      <c r="K2050" s="18" t="s">
        <v>195</v>
      </c>
      <c r="L2050" s="64" t="n">
        <v>184.7149774848</v>
      </c>
      <c r="M2050" s="64" t="n">
        <v>7.88</v>
      </c>
      <c r="N2050" s="18" t="s">
        <v>1518</v>
      </c>
      <c r="O2050" s="65" t="n">
        <v>1455.554</v>
      </c>
      <c r="P2050" s="65"/>
      <c r="Q2050" s="65"/>
      <c r="R2050" s="65" t="s">
        <v>232</v>
      </c>
      <c r="S2050" s="66" t="n">
        <f aca="false">Model_Calc!BA345</f>
        <v>1455.55402258022</v>
      </c>
      <c r="T2050" s="66" t="n">
        <f aca="false">ROUND(S2050-O2050,4)</f>
        <v>0</v>
      </c>
    </row>
    <row r="2051" customFormat="false" ht="15" hidden="false" customHeight="false" outlineLevel="0" collapsed="false">
      <c r="A2051" s="18" t="s">
        <v>213</v>
      </c>
      <c r="B2051" s="18" t="s">
        <v>207</v>
      </c>
      <c r="C2051" s="18" t="s">
        <v>214</v>
      </c>
      <c r="D2051" s="49" t="n">
        <v>46327</v>
      </c>
      <c r="E2051" s="18" t="s">
        <v>106</v>
      </c>
      <c r="F2051" s="18" t="s">
        <v>99</v>
      </c>
      <c r="G2051" s="18" t="s">
        <v>100</v>
      </c>
      <c r="H2051" s="18" t="s">
        <v>107</v>
      </c>
      <c r="I2051" s="18" t="s">
        <v>102</v>
      </c>
      <c r="J2051" s="18" t="s">
        <v>230</v>
      </c>
      <c r="K2051" s="18" t="s">
        <v>195</v>
      </c>
      <c r="L2051" s="64" t="n">
        <v>7435.447100928</v>
      </c>
      <c r="M2051" s="64" t="n">
        <v>7.88</v>
      </c>
      <c r="N2051" s="18" t="s">
        <v>1519</v>
      </c>
      <c r="O2051" s="65" t="n">
        <v>58591.3232</v>
      </c>
      <c r="P2051" s="65"/>
      <c r="Q2051" s="65"/>
      <c r="R2051" s="65" t="s">
        <v>232</v>
      </c>
      <c r="S2051" s="66" t="n">
        <f aca="false">Model_Calc!AF346</f>
        <v>58591.3231553126</v>
      </c>
      <c r="T2051" s="66" t="n">
        <f aca="false">ROUND(S2051-O2051,4)</f>
        <v>0</v>
      </c>
    </row>
    <row r="2052" customFormat="false" ht="15" hidden="false" customHeight="false" outlineLevel="0" collapsed="false">
      <c r="A2052" s="18" t="s">
        <v>213</v>
      </c>
      <c r="B2052" s="18" t="s">
        <v>207</v>
      </c>
      <c r="C2052" s="18" t="s">
        <v>214</v>
      </c>
      <c r="D2052" s="49" t="n">
        <v>46327</v>
      </c>
      <c r="E2052" s="18" t="s">
        <v>106</v>
      </c>
      <c r="F2052" s="18" t="s">
        <v>99</v>
      </c>
      <c r="G2052" s="18" t="s">
        <v>100</v>
      </c>
      <c r="H2052" s="18" t="s">
        <v>107</v>
      </c>
      <c r="I2052" s="18" t="s">
        <v>102</v>
      </c>
      <c r="J2052" s="18" t="s">
        <v>233</v>
      </c>
      <c r="K2052" s="18" t="s">
        <v>195</v>
      </c>
      <c r="L2052" s="64" t="n">
        <v>567.79777861632</v>
      </c>
      <c r="M2052" s="64" t="n">
        <v>7.88</v>
      </c>
      <c r="N2052" s="18" t="s">
        <v>1520</v>
      </c>
      <c r="O2052" s="65" t="n">
        <v>4474.2465</v>
      </c>
      <c r="P2052" s="65"/>
      <c r="Q2052" s="65"/>
      <c r="R2052" s="65" t="s">
        <v>232</v>
      </c>
      <c r="S2052" s="66" t="n">
        <f aca="false">Model_Calc!AG346</f>
        <v>4474.2464954966</v>
      </c>
      <c r="T2052" s="66" t="n">
        <f aca="false">ROUND(S2052-O2052,4)</f>
        <v>0</v>
      </c>
    </row>
    <row r="2053" customFormat="false" ht="15" hidden="false" customHeight="false" outlineLevel="0" collapsed="false">
      <c r="A2053" s="18" t="s">
        <v>213</v>
      </c>
      <c r="B2053" s="18" t="s">
        <v>207</v>
      </c>
      <c r="C2053" s="18" t="s">
        <v>214</v>
      </c>
      <c r="D2053" s="49" t="n">
        <v>46327</v>
      </c>
      <c r="E2053" s="18" t="s">
        <v>106</v>
      </c>
      <c r="F2053" s="18" t="s">
        <v>99</v>
      </c>
      <c r="G2053" s="18" t="s">
        <v>100</v>
      </c>
      <c r="H2053" s="18" t="s">
        <v>107</v>
      </c>
      <c r="I2053" s="18" t="s">
        <v>102</v>
      </c>
      <c r="J2053" s="18" t="s">
        <v>235</v>
      </c>
      <c r="K2053" s="18" t="s">
        <v>195</v>
      </c>
      <c r="L2053" s="64" t="n">
        <v>3905.63460737196</v>
      </c>
      <c r="M2053" s="64" t="n">
        <v>7.88</v>
      </c>
      <c r="N2053" s="18" t="s">
        <v>1521</v>
      </c>
      <c r="O2053" s="65" t="n">
        <v>30776.4007</v>
      </c>
      <c r="P2053" s="65"/>
      <c r="Q2053" s="65"/>
      <c r="R2053" s="65" t="s">
        <v>232</v>
      </c>
      <c r="S2053" s="66" t="n">
        <f aca="false">Model_Calc!AL346</f>
        <v>30776.4007060911</v>
      </c>
      <c r="T2053" s="66" t="n">
        <f aca="false">ROUND(S2053-O2053,4)</f>
        <v>0</v>
      </c>
    </row>
    <row r="2054" customFormat="false" ht="15" hidden="false" customHeight="false" outlineLevel="0" collapsed="false">
      <c r="A2054" s="18" t="s">
        <v>213</v>
      </c>
      <c r="B2054" s="18" t="s">
        <v>207</v>
      </c>
      <c r="C2054" s="18" t="s">
        <v>214</v>
      </c>
      <c r="D2054" s="49" t="n">
        <v>46327</v>
      </c>
      <c r="E2054" s="18" t="s">
        <v>106</v>
      </c>
      <c r="F2054" s="18" t="s">
        <v>99</v>
      </c>
      <c r="G2054" s="18" t="s">
        <v>100</v>
      </c>
      <c r="H2054" s="18" t="s">
        <v>107</v>
      </c>
      <c r="I2054" s="18" t="s">
        <v>102</v>
      </c>
      <c r="J2054" s="18" t="s">
        <v>237</v>
      </c>
      <c r="K2054" s="18" t="s">
        <v>195</v>
      </c>
      <c r="L2054" s="64" t="n">
        <v>1405.44004608</v>
      </c>
      <c r="M2054" s="64" t="n">
        <v>7.88</v>
      </c>
      <c r="N2054" s="18" t="s">
        <v>1522</v>
      </c>
      <c r="O2054" s="65" t="n">
        <v>11074.8676</v>
      </c>
      <c r="P2054" s="65"/>
      <c r="Q2054" s="65"/>
      <c r="R2054" s="65" t="s">
        <v>232</v>
      </c>
      <c r="S2054" s="66" t="n">
        <f aca="false">Model_Calc!AQ346</f>
        <v>11074.8675631104</v>
      </c>
      <c r="T2054" s="66" t="n">
        <f aca="false">ROUND(S2054-O2054,4)</f>
        <v>0</v>
      </c>
    </row>
    <row r="2055" customFormat="false" ht="15" hidden="false" customHeight="false" outlineLevel="0" collapsed="false">
      <c r="A2055" s="18" t="s">
        <v>213</v>
      </c>
      <c r="B2055" s="18" t="s">
        <v>207</v>
      </c>
      <c r="C2055" s="18" t="s">
        <v>214</v>
      </c>
      <c r="D2055" s="49" t="n">
        <v>46327</v>
      </c>
      <c r="E2055" s="18" t="s">
        <v>106</v>
      </c>
      <c r="F2055" s="18" t="s">
        <v>99</v>
      </c>
      <c r="G2055" s="18" t="s">
        <v>100</v>
      </c>
      <c r="H2055" s="18" t="s">
        <v>107</v>
      </c>
      <c r="I2055" s="18" t="s">
        <v>102</v>
      </c>
      <c r="J2055" s="18" t="s">
        <v>239</v>
      </c>
      <c r="K2055" s="18" t="s">
        <v>195</v>
      </c>
      <c r="L2055" s="64" t="n">
        <v>509.9102208</v>
      </c>
      <c r="M2055" s="64" t="n">
        <v>7.88</v>
      </c>
      <c r="N2055" s="18" t="s">
        <v>1523</v>
      </c>
      <c r="O2055" s="65" t="n">
        <v>4018.0925</v>
      </c>
      <c r="P2055" s="65"/>
      <c r="Q2055" s="65"/>
      <c r="R2055" s="65" t="s">
        <v>232</v>
      </c>
      <c r="S2055" s="66" t="n">
        <f aca="false">Model_Calc!AV346</f>
        <v>4018.092539904</v>
      </c>
      <c r="T2055" s="66" t="n">
        <f aca="false">ROUND(S2055-O2055,4)</f>
        <v>0</v>
      </c>
    </row>
    <row r="2056" customFormat="false" ht="15" hidden="false" customHeight="false" outlineLevel="0" collapsed="false">
      <c r="A2056" s="18" t="s">
        <v>213</v>
      </c>
      <c r="B2056" s="18" t="s">
        <v>207</v>
      </c>
      <c r="C2056" s="18" t="s">
        <v>214</v>
      </c>
      <c r="D2056" s="49" t="n">
        <v>46327</v>
      </c>
      <c r="E2056" s="18" t="s">
        <v>106</v>
      </c>
      <c r="F2056" s="18" t="s">
        <v>99</v>
      </c>
      <c r="G2056" s="18" t="s">
        <v>100</v>
      </c>
      <c r="H2056" s="18" t="s">
        <v>107</v>
      </c>
      <c r="I2056" s="18" t="s">
        <v>102</v>
      </c>
      <c r="J2056" s="18" t="s">
        <v>241</v>
      </c>
      <c r="K2056" s="18" t="s">
        <v>195</v>
      </c>
      <c r="L2056" s="64" t="n">
        <v>100.0539461376</v>
      </c>
      <c r="M2056" s="64" t="n">
        <v>7.88</v>
      </c>
      <c r="N2056" s="18" t="s">
        <v>1524</v>
      </c>
      <c r="O2056" s="65" t="n">
        <v>788.4251</v>
      </c>
      <c r="P2056" s="65"/>
      <c r="Q2056" s="65"/>
      <c r="R2056" s="65" t="s">
        <v>232</v>
      </c>
      <c r="S2056" s="66" t="n">
        <f aca="false">Model_Calc!BA346</f>
        <v>788.425095564288</v>
      </c>
      <c r="T2056" s="66" t="n">
        <f aca="false">ROUND(S2056-O2056,4)</f>
        <v>0</v>
      </c>
    </row>
    <row r="2057" customFormat="false" ht="15" hidden="false" customHeight="false" outlineLevel="0" collapsed="false">
      <c r="A2057" s="18" t="s">
        <v>213</v>
      </c>
      <c r="B2057" s="18" t="s">
        <v>207</v>
      </c>
      <c r="C2057" s="18" t="s">
        <v>214</v>
      </c>
      <c r="D2057" s="49" t="n">
        <v>46327</v>
      </c>
      <c r="E2057" s="18" t="s">
        <v>109</v>
      </c>
      <c r="F2057" s="18" t="s">
        <v>99</v>
      </c>
      <c r="G2057" s="18" t="s">
        <v>110</v>
      </c>
      <c r="H2057" s="18" t="s">
        <v>107</v>
      </c>
      <c r="I2057" s="18" t="s">
        <v>102</v>
      </c>
      <c r="J2057" s="18" t="s">
        <v>230</v>
      </c>
      <c r="K2057" s="18" t="s">
        <v>195</v>
      </c>
      <c r="L2057" s="64" t="n">
        <v>762.81773939712</v>
      </c>
      <c r="M2057" s="64" t="n">
        <v>7.88</v>
      </c>
      <c r="N2057" s="18" t="s">
        <v>1525</v>
      </c>
      <c r="O2057" s="65" t="n">
        <v>6011.0038</v>
      </c>
      <c r="P2057" s="65"/>
      <c r="Q2057" s="65"/>
      <c r="R2057" s="65" t="s">
        <v>232</v>
      </c>
      <c r="S2057" s="66" t="n">
        <f aca="false">Model_Calc!AF347</f>
        <v>6011.00378644931</v>
      </c>
      <c r="T2057" s="66" t="n">
        <f aca="false">ROUND(S2057-O2057,4)</f>
        <v>0</v>
      </c>
    </row>
    <row r="2058" customFormat="false" ht="15" hidden="false" customHeight="false" outlineLevel="0" collapsed="false">
      <c r="A2058" s="18" t="s">
        <v>213</v>
      </c>
      <c r="B2058" s="18" t="s">
        <v>207</v>
      </c>
      <c r="C2058" s="18" t="s">
        <v>214</v>
      </c>
      <c r="D2058" s="49" t="n">
        <v>46327</v>
      </c>
      <c r="E2058" s="18" t="s">
        <v>109</v>
      </c>
      <c r="F2058" s="18" t="s">
        <v>99</v>
      </c>
      <c r="G2058" s="18" t="s">
        <v>110</v>
      </c>
      <c r="H2058" s="18" t="s">
        <v>107</v>
      </c>
      <c r="I2058" s="18" t="s">
        <v>102</v>
      </c>
      <c r="J2058" s="18" t="s">
        <v>233</v>
      </c>
      <c r="K2058" s="18" t="s">
        <v>195</v>
      </c>
      <c r="L2058" s="64" t="n">
        <v>55.477653774336</v>
      </c>
      <c r="M2058" s="64" t="n">
        <v>7.88</v>
      </c>
      <c r="N2058" s="18" t="s">
        <v>1526</v>
      </c>
      <c r="O2058" s="65" t="n">
        <v>437.1639</v>
      </c>
      <c r="P2058" s="65"/>
      <c r="Q2058" s="65"/>
      <c r="R2058" s="65" t="s">
        <v>232</v>
      </c>
      <c r="S2058" s="66" t="n">
        <f aca="false">Model_Calc!AG347</f>
        <v>437.163911741768</v>
      </c>
      <c r="T2058" s="66" t="n">
        <f aca="false">ROUND(S2058-O2058,4)</f>
        <v>0</v>
      </c>
    </row>
    <row r="2059" customFormat="false" ht="15" hidden="false" customHeight="false" outlineLevel="0" collapsed="false">
      <c r="A2059" s="18" t="s">
        <v>213</v>
      </c>
      <c r="B2059" s="18" t="s">
        <v>207</v>
      </c>
      <c r="C2059" s="18" t="s">
        <v>214</v>
      </c>
      <c r="D2059" s="49" t="n">
        <v>46327</v>
      </c>
      <c r="E2059" s="18" t="s">
        <v>109</v>
      </c>
      <c r="F2059" s="18" t="s">
        <v>99</v>
      </c>
      <c r="G2059" s="18" t="s">
        <v>110</v>
      </c>
      <c r="H2059" s="18" t="s">
        <v>107</v>
      </c>
      <c r="I2059" s="18" t="s">
        <v>102</v>
      </c>
      <c r="J2059" s="18" t="s">
        <v>235</v>
      </c>
      <c r="K2059" s="18" t="s">
        <v>195</v>
      </c>
      <c r="L2059" s="64" t="n">
        <v>258.73344</v>
      </c>
      <c r="M2059" s="64" t="n">
        <v>7.88</v>
      </c>
      <c r="N2059" s="18" t="s">
        <v>1527</v>
      </c>
      <c r="O2059" s="65" t="n">
        <v>2038.8195</v>
      </c>
      <c r="P2059" s="65"/>
      <c r="Q2059" s="65"/>
      <c r="R2059" s="65" t="s">
        <v>232</v>
      </c>
      <c r="S2059" s="66" t="n">
        <f aca="false">Model_Calc!AL347</f>
        <v>2038.8195072</v>
      </c>
      <c r="T2059" s="66" t="n">
        <f aca="false">ROUND(S2059-O2059,4)</f>
        <v>0</v>
      </c>
    </row>
    <row r="2060" customFormat="false" ht="15" hidden="false" customHeight="false" outlineLevel="0" collapsed="false">
      <c r="A2060" s="18" t="s">
        <v>213</v>
      </c>
      <c r="B2060" s="18" t="s">
        <v>207</v>
      </c>
      <c r="C2060" s="18" t="s">
        <v>214</v>
      </c>
      <c r="D2060" s="49" t="n">
        <v>46327</v>
      </c>
      <c r="E2060" s="18" t="s">
        <v>109</v>
      </c>
      <c r="F2060" s="18" t="s">
        <v>99</v>
      </c>
      <c r="G2060" s="18" t="s">
        <v>110</v>
      </c>
      <c r="H2060" s="18" t="s">
        <v>107</v>
      </c>
      <c r="I2060" s="18" t="s">
        <v>102</v>
      </c>
      <c r="J2060" s="18" t="s">
        <v>237</v>
      </c>
      <c r="K2060" s="18" t="s">
        <v>195</v>
      </c>
      <c r="L2060" s="64" t="n">
        <v>101.12781312</v>
      </c>
      <c r="M2060" s="64" t="n">
        <v>7.88</v>
      </c>
      <c r="N2060" s="18" t="s">
        <v>1528</v>
      </c>
      <c r="O2060" s="65" t="n">
        <v>796.8872</v>
      </c>
      <c r="P2060" s="65"/>
      <c r="Q2060" s="65"/>
      <c r="R2060" s="65" t="s">
        <v>232</v>
      </c>
      <c r="S2060" s="66" t="n">
        <f aca="false">Model_Calc!AQ347</f>
        <v>796.8871673856</v>
      </c>
      <c r="T2060" s="66" t="n">
        <f aca="false">ROUND(S2060-O2060,4)</f>
        <v>0</v>
      </c>
    </row>
    <row r="2061" customFormat="false" ht="15" hidden="false" customHeight="false" outlineLevel="0" collapsed="false">
      <c r="A2061" s="18" t="s">
        <v>213</v>
      </c>
      <c r="B2061" s="18" t="s">
        <v>207</v>
      </c>
      <c r="C2061" s="18" t="s">
        <v>214</v>
      </c>
      <c r="D2061" s="49" t="n">
        <v>46327</v>
      </c>
      <c r="E2061" s="18" t="s">
        <v>109</v>
      </c>
      <c r="F2061" s="18" t="s">
        <v>99</v>
      </c>
      <c r="G2061" s="18" t="s">
        <v>110</v>
      </c>
      <c r="H2061" s="18" t="s">
        <v>107</v>
      </c>
      <c r="I2061" s="18" t="s">
        <v>102</v>
      </c>
      <c r="J2061" s="18" t="s">
        <v>239</v>
      </c>
      <c r="K2061" s="18" t="s">
        <v>195</v>
      </c>
      <c r="L2061" s="64" t="n">
        <v>46.818432</v>
      </c>
      <c r="M2061" s="64" t="n">
        <v>7.88</v>
      </c>
      <c r="N2061" s="18" t="s">
        <v>1529</v>
      </c>
      <c r="O2061" s="65" t="n">
        <v>368.9292</v>
      </c>
      <c r="P2061" s="65"/>
      <c r="Q2061" s="65"/>
      <c r="R2061" s="65" t="s">
        <v>232</v>
      </c>
      <c r="S2061" s="66" t="n">
        <f aca="false">Model_Calc!AV347</f>
        <v>368.92924416</v>
      </c>
      <c r="T2061" s="66" t="n">
        <f aca="false">ROUND(S2061-O2061,4)</f>
        <v>0</v>
      </c>
    </row>
    <row r="2062" customFormat="false" ht="15" hidden="false" customHeight="false" outlineLevel="0" collapsed="false">
      <c r="A2062" s="18" t="s">
        <v>213</v>
      </c>
      <c r="B2062" s="18" t="s">
        <v>207</v>
      </c>
      <c r="C2062" s="18" t="s">
        <v>214</v>
      </c>
      <c r="D2062" s="49" t="n">
        <v>46327</v>
      </c>
      <c r="E2062" s="18" t="s">
        <v>109</v>
      </c>
      <c r="F2062" s="18" t="s">
        <v>99</v>
      </c>
      <c r="G2062" s="18" t="s">
        <v>110</v>
      </c>
      <c r="H2062" s="18" t="s">
        <v>107</v>
      </c>
      <c r="I2062" s="18" t="s">
        <v>102</v>
      </c>
      <c r="J2062" s="18" t="s">
        <v>241</v>
      </c>
      <c r="K2062" s="18" t="s">
        <v>195</v>
      </c>
      <c r="L2062" s="64" t="n">
        <v>8.5692515328</v>
      </c>
      <c r="M2062" s="64" t="n">
        <v>7.88</v>
      </c>
      <c r="N2062" s="18" t="s">
        <v>1530</v>
      </c>
      <c r="O2062" s="65" t="n">
        <v>67.5257</v>
      </c>
      <c r="P2062" s="65"/>
      <c r="Q2062" s="65"/>
      <c r="R2062" s="65" t="s">
        <v>232</v>
      </c>
      <c r="S2062" s="66" t="n">
        <f aca="false">Model_Calc!BA347</f>
        <v>67.525702078464</v>
      </c>
      <c r="T2062" s="66" t="n">
        <f aca="false">ROUND(S2062-O2062,4)</f>
        <v>0</v>
      </c>
    </row>
    <row r="2063" customFormat="false" ht="15" hidden="false" customHeight="false" outlineLevel="0" collapsed="false">
      <c r="A2063" s="18" t="s">
        <v>213</v>
      </c>
      <c r="B2063" s="18" t="s">
        <v>207</v>
      </c>
      <c r="C2063" s="18" t="s">
        <v>214</v>
      </c>
      <c r="D2063" s="49" t="n">
        <v>46327</v>
      </c>
      <c r="E2063" s="18" t="s">
        <v>112</v>
      </c>
      <c r="F2063" s="18" t="s">
        <v>113</v>
      </c>
      <c r="G2063" s="18" t="s">
        <v>110</v>
      </c>
      <c r="H2063" s="18" t="s">
        <v>101</v>
      </c>
      <c r="I2063" s="18" t="s">
        <v>102</v>
      </c>
      <c r="J2063" s="18" t="s">
        <v>230</v>
      </c>
      <c r="K2063" s="18" t="s">
        <v>195</v>
      </c>
      <c r="L2063" s="64" t="n">
        <v>4451.6211686352</v>
      </c>
      <c r="M2063" s="64" t="n">
        <v>7.88</v>
      </c>
      <c r="N2063" s="18" t="s">
        <v>1531</v>
      </c>
      <c r="O2063" s="65" t="n">
        <v>35078.7748</v>
      </c>
      <c r="P2063" s="65"/>
      <c r="Q2063" s="65"/>
      <c r="R2063" s="65" t="s">
        <v>232</v>
      </c>
      <c r="S2063" s="66" t="n">
        <f aca="false">Model_Calc!AF348</f>
        <v>35078.7748088454</v>
      </c>
      <c r="T2063" s="66" t="n">
        <f aca="false">ROUND(S2063-O2063,4)</f>
        <v>0</v>
      </c>
    </row>
    <row r="2064" customFormat="false" ht="15" hidden="false" customHeight="false" outlineLevel="0" collapsed="false">
      <c r="A2064" s="18" t="s">
        <v>213</v>
      </c>
      <c r="B2064" s="18" t="s">
        <v>207</v>
      </c>
      <c r="C2064" s="18" t="s">
        <v>214</v>
      </c>
      <c r="D2064" s="49" t="n">
        <v>46327</v>
      </c>
      <c r="E2064" s="18" t="s">
        <v>112</v>
      </c>
      <c r="F2064" s="18" t="s">
        <v>113</v>
      </c>
      <c r="G2064" s="18" t="s">
        <v>110</v>
      </c>
      <c r="H2064" s="18" t="s">
        <v>101</v>
      </c>
      <c r="I2064" s="18" t="s">
        <v>102</v>
      </c>
      <c r="J2064" s="18" t="s">
        <v>233</v>
      </c>
      <c r="K2064" s="18" t="s">
        <v>195</v>
      </c>
      <c r="L2064" s="64" t="n">
        <v>414.668511858369</v>
      </c>
      <c r="M2064" s="64" t="n">
        <v>7.88</v>
      </c>
      <c r="N2064" s="18" t="s">
        <v>1532</v>
      </c>
      <c r="O2064" s="65" t="n">
        <v>3267.5879</v>
      </c>
      <c r="P2064" s="65"/>
      <c r="Q2064" s="65"/>
      <c r="R2064" s="65" t="s">
        <v>232</v>
      </c>
      <c r="S2064" s="66" t="n">
        <f aca="false">Model_Calc!AG348</f>
        <v>3267.58787344395</v>
      </c>
      <c r="T2064" s="66" t="n">
        <f aca="false">ROUND(S2064-O2064,4)</f>
        <v>0</v>
      </c>
    </row>
    <row r="2065" customFormat="false" ht="15" hidden="false" customHeight="false" outlineLevel="0" collapsed="false">
      <c r="A2065" s="18" t="s">
        <v>213</v>
      </c>
      <c r="B2065" s="18" t="s">
        <v>207</v>
      </c>
      <c r="C2065" s="18" t="s">
        <v>214</v>
      </c>
      <c r="D2065" s="49" t="n">
        <v>46327</v>
      </c>
      <c r="E2065" s="18" t="s">
        <v>112</v>
      </c>
      <c r="F2065" s="18" t="s">
        <v>113</v>
      </c>
      <c r="G2065" s="18" t="s">
        <v>110</v>
      </c>
      <c r="H2065" s="18" t="s">
        <v>101</v>
      </c>
      <c r="I2065" s="18" t="s">
        <v>102</v>
      </c>
      <c r="J2065" s="18" t="s">
        <v>235</v>
      </c>
      <c r="K2065" s="18" t="s">
        <v>195</v>
      </c>
      <c r="L2065" s="64" t="n">
        <v>2735.5671</v>
      </c>
      <c r="M2065" s="64" t="n">
        <v>7.88</v>
      </c>
      <c r="N2065" s="18" t="s">
        <v>1533</v>
      </c>
      <c r="O2065" s="65" t="n">
        <v>21556.2687</v>
      </c>
      <c r="P2065" s="65"/>
      <c r="Q2065" s="65"/>
      <c r="R2065" s="65" t="s">
        <v>232</v>
      </c>
      <c r="S2065" s="66" t="n">
        <f aca="false">Model_Calc!AL348</f>
        <v>21556.268748</v>
      </c>
      <c r="T2065" s="66" t="n">
        <f aca="false">ROUND(S2065-O2065,4)</f>
        <v>0</v>
      </c>
    </row>
    <row r="2066" customFormat="false" ht="15" hidden="false" customHeight="false" outlineLevel="0" collapsed="false">
      <c r="A2066" s="18" t="s">
        <v>213</v>
      </c>
      <c r="B2066" s="18" t="s">
        <v>207</v>
      </c>
      <c r="C2066" s="18" t="s">
        <v>214</v>
      </c>
      <c r="D2066" s="49" t="n">
        <v>46327</v>
      </c>
      <c r="E2066" s="18" t="s">
        <v>112</v>
      </c>
      <c r="F2066" s="18" t="s">
        <v>113</v>
      </c>
      <c r="G2066" s="18" t="s">
        <v>110</v>
      </c>
      <c r="H2066" s="18" t="s">
        <v>101</v>
      </c>
      <c r="I2066" s="18" t="s">
        <v>102</v>
      </c>
      <c r="J2066" s="18" t="s">
        <v>237</v>
      </c>
      <c r="K2066" s="18" t="s">
        <v>195</v>
      </c>
      <c r="L2066" s="64" t="n">
        <v>1049.4156456</v>
      </c>
      <c r="M2066" s="64" t="n">
        <v>7.88</v>
      </c>
      <c r="N2066" s="18" t="s">
        <v>1534</v>
      </c>
      <c r="O2066" s="65" t="n">
        <v>8269.3953</v>
      </c>
      <c r="P2066" s="65"/>
      <c r="Q2066" s="65"/>
      <c r="R2066" s="65" t="s">
        <v>232</v>
      </c>
      <c r="S2066" s="66" t="n">
        <f aca="false">Model_Calc!AQ348</f>
        <v>8269.395287328</v>
      </c>
      <c r="T2066" s="66" t="n">
        <f aca="false">ROUND(S2066-O2066,4)</f>
        <v>0</v>
      </c>
    </row>
    <row r="2067" customFormat="false" ht="15" hidden="false" customHeight="false" outlineLevel="0" collapsed="false">
      <c r="A2067" s="18" t="s">
        <v>213</v>
      </c>
      <c r="B2067" s="18" t="s">
        <v>207</v>
      </c>
      <c r="C2067" s="18" t="s">
        <v>214</v>
      </c>
      <c r="D2067" s="49" t="n">
        <v>46327</v>
      </c>
      <c r="E2067" s="18" t="s">
        <v>112</v>
      </c>
      <c r="F2067" s="18" t="s">
        <v>113</v>
      </c>
      <c r="G2067" s="18" t="s">
        <v>110</v>
      </c>
      <c r="H2067" s="18" t="s">
        <v>101</v>
      </c>
      <c r="I2067" s="18" t="s">
        <v>102</v>
      </c>
      <c r="J2067" s="18" t="s">
        <v>239</v>
      </c>
      <c r="K2067" s="18" t="s">
        <v>195</v>
      </c>
      <c r="L2067" s="64" t="n">
        <v>468.95436</v>
      </c>
      <c r="M2067" s="64" t="n">
        <v>7.88</v>
      </c>
      <c r="N2067" s="18" t="s">
        <v>1535</v>
      </c>
      <c r="O2067" s="65" t="n">
        <v>3695.3604</v>
      </c>
      <c r="P2067" s="65"/>
      <c r="Q2067" s="65"/>
      <c r="R2067" s="65" t="s">
        <v>232</v>
      </c>
      <c r="S2067" s="66" t="n">
        <f aca="false">Model_Calc!AV348</f>
        <v>3695.3603568</v>
      </c>
      <c r="T2067" s="66" t="n">
        <f aca="false">ROUND(S2067-O2067,4)</f>
        <v>0</v>
      </c>
    </row>
    <row r="2068" customFormat="false" ht="15" hidden="false" customHeight="false" outlineLevel="0" collapsed="false">
      <c r="A2068" s="18" t="s">
        <v>213</v>
      </c>
      <c r="B2068" s="18" t="s">
        <v>207</v>
      </c>
      <c r="C2068" s="18" t="s">
        <v>214</v>
      </c>
      <c r="D2068" s="49" t="n">
        <v>46327</v>
      </c>
      <c r="E2068" s="18" t="s">
        <v>112</v>
      </c>
      <c r="F2068" s="18" t="s">
        <v>113</v>
      </c>
      <c r="G2068" s="18" t="s">
        <v>110</v>
      </c>
      <c r="H2068" s="18" t="s">
        <v>101</v>
      </c>
      <c r="I2068" s="18" t="s">
        <v>102</v>
      </c>
      <c r="J2068" s="18" t="s">
        <v>241</v>
      </c>
      <c r="K2068" s="18" t="s">
        <v>195</v>
      </c>
      <c r="L2068" s="64" t="n">
        <v>107.979346692</v>
      </c>
      <c r="M2068" s="64" t="n">
        <v>7.88</v>
      </c>
      <c r="N2068" s="18" t="s">
        <v>1536</v>
      </c>
      <c r="O2068" s="65" t="n">
        <v>850.8773</v>
      </c>
      <c r="P2068" s="65"/>
      <c r="Q2068" s="65"/>
      <c r="R2068" s="65" t="s">
        <v>232</v>
      </c>
      <c r="S2068" s="66" t="n">
        <f aca="false">Model_Calc!BA348</f>
        <v>850.87725193296</v>
      </c>
      <c r="T2068" s="66" t="n">
        <f aca="false">ROUND(S2068-O2068,4)</f>
        <v>0</v>
      </c>
    </row>
    <row r="2069" customFormat="false" ht="15" hidden="false" customHeight="false" outlineLevel="0" collapsed="false">
      <c r="A2069" s="18" t="s">
        <v>213</v>
      </c>
      <c r="B2069" s="18" t="s">
        <v>207</v>
      </c>
      <c r="C2069" s="18" t="s">
        <v>214</v>
      </c>
      <c r="D2069" s="49" t="n">
        <v>46327</v>
      </c>
      <c r="E2069" s="18" t="s">
        <v>116</v>
      </c>
      <c r="F2069" s="18" t="s">
        <v>113</v>
      </c>
      <c r="G2069" s="18" t="s">
        <v>110</v>
      </c>
      <c r="H2069" s="18" t="s">
        <v>107</v>
      </c>
      <c r="I2069" s="18" t="s">
        <v>102</v>
      </c>
      <c r="J2069" s="18" t="s">
        <v>230</v>
      </c>
      <c r="K2069" s="18" t="s">
        <v>195</v>
      </c>
      <c r="L2069" s="64" t="n">
        <v>10639.7411783832</v>
      </c>
      <c r="M2069" s="64" t="n">
        <v>7.88</v>
      </c>
      <c r="N2069" s="18" t="s">
        <v>1537</v>
      </c>
      <c r="O2069" s="65" t="n">
        <v>83841.1605</v>
      </c>
      <c r="P2069" s="65"/>
      <c r="Q2069" s="65"/>
      <c r="R2069" s="65" t="s">
        <v>232</v>
      </c>
      <c r="S2069" s="66" t="n">
        <f aca="false">Model_Calc!AF349</f>
        <v>83841.1604856596</v>
      </c>
      <c r="T2069" s="66" t="n">
        <f aca="false">ROUND(S2069-O2069,4)</f>
        <v>0</v>
      </c>
    </row>
    <row r="2070" customFormat="false" ht="15" hidden="false" customHeight="false" outlineLevel="0" collapsed="false">
      <c r="A2070" s="18" t="s">
        <v>213</v>
      </c>
      <c r="B2070" s="18" t="s">
        <v>207</v>
      </c>
      <c r="C2070" s="18" t="s">
        <v>214</v>
      </c>
      <c r="D2070" s="49" t="n">
        <v>46327</v>
      </c>
      <c r="E2070" s="18" t="s">
        <v>116</v>
      </c>
      <c r="F2070" s="18" t="s">
        <v>113</v>
      </c>
      <c r="G2070" s="18" t="s">
        <v>110</v>
      </c>
      <c r="H2070" s="18" t="s">
        <v>107</v>
      </c>
      <c r="I2070" s="18" t="s">
        <v>102</v>
      </c>
      <c r="J2070" s="18" t="s">
        <v>233</v>
      </c>
      <c r="K2070" s="18" t="s">
        <v>195</v>
      </c>
      <c r="L2070" s="64" t="n">
        <v>818.4416291064</v>
      </c>
      <c r="M2070" s="64" t="n">
        <v>7.88</v>
      </c>
      <c r="N2070" s="18" t="s">
        <v>1538</v>
      </c>
      <c r="O2070" s="65" t="n">
        <v>6449.32</v>
      </c>
      <c r="P2070" s="65"/>
      <c r="Q2070" s="65"/>
      <c r="R2070" s="65" t="s">
        <v>232</v>
      </c>
      <c r="S2070" s="66" t="n">
        <f aca="false">Model_Calc!AG349</f>
        <v>6449.32003735843</v>
      </c>
      <c r="T2070" s="66" t="n">
        <f aca="false">ROUND(S2070-O2070,4)</f>
        <v>0</v>
      </c>
    </row>
    <row r="2071" customFormat="false" ht="15" hidden="false" customHeight="false" outlineLevel="0" collapsed="false">
      <c r="A2071" s="18" t="s">
        <v>213</v>
      </c>
      <c r="B2071" s="18" t="s">
        <v>207</v>
      </c>
      <c r="C2071" s="18" t="s">
        <v>214</v>
      </c>
      <c r="D2071" s="49" t="n">
        <v>46327</v>
      </c>
      <c r="E2071" s="18" t="s">
        <v>116</v>
      </c>
      <c r="F2071" s="18" t="s">
        <v>113</v>
      </c>
      <c r="G2071" s="18" t="s">
        <v>110</v>
      </c>
      <c r="H2071" s="18" t="s">
        <v>107</v>
      </c>
      <c r="I2071" s="18" t="s">
        <v>102</v>
      </c>
      <c r="J2071" s="18" t="s">
        <v>235</v>
      </c>
      <c r="K2071" s="18" t="s">
        <v>195</v>
      </c>
      <c r="L2071" s="64" t="n">
        <v>5080.3389</v>
      </c>
      <c r="M2071" s="64" t="n">
        <v>7.88</v>
      </c>
      <c r="N2071" s="18" t="s">
        <v>1539</v>
      </c>
      <c r="O2071" s="65" t="n">
        <v>40033.0705</v>
      </c>
      <c r="P2071" s="65"/>
      <c r="Q2071" s="65"/>
      <c r="R2071" s="65" t="s">
        <v>232</v>
      </c>
      <c r="S2071" s="66" t="n">
        <f aca="false">Model_Calc!AL349</f>
        <v>40033.070532</v>
      </c>
      <c r="T2071" s="66" t="n">
        <f aca="false">ROUND(S2071-O2071,4)</f>
        <v>0</v>
      </c>
    </row>
    <row r="2072" customFormat="false" ht="15" hidden="false" customHeight="false" outlineLevel="0" collapsed="false">
      <c r="A2072" s="18" t="s">
        <v>213</v>
      </c>
      <c r="B2072" s="18" t="s">
        <v>207</v>
      </c>
      <c r="C2072" s="18" t="s">
        <v>214</v>
      </c>
      <c r="D2072" s="49" t="n">
        <v>46327</v>
      </c>
      <c r="E2072" s="18" t="s">
        <v>116</v>
      </c>
      <c r="F2072" s="18" t="s">
        <v>113</v>
      </c>
      <c r="G2072" s="18" t="s">
        <v>110</v>
      </c>
      <c r="H2072" s="18" t="s">
        <v>107</v>
      </c>
      <c r="I2072" s="18" t="s">
        <v>102</v>
      </c>
      <c r="J2072" s="18" t="s">
        <v>237</v>
      </c>
      <c r="K2072" s="18" t="s">
        <v>195</v>
      </c>
      <c r="L2072" s="64" t="n">
        <v>1948.9147704</v>
      </c>
      <c r="M2072" s="64" t="n">
        <v>7.88</v>
      </c>
      <c r="N2072" s="18" t="s">
        <v>1540</v>
      </c>
      <c r="O2072" s="65" t="n">
        <v>15357.4484</v>
      </c>
      <c r="P2072" s="65"/>
      <c r="Q2072" s="65"/>
      <c r="R2072" s="65" t="s">
        <v>232</v>
      </c>
      <c r="S2072" s="66" t="n">
        <f aca="false">Model_Calc!AQ349</f>
        <v>15357.448390752</v>
      </c>
      <c r="T2072" s="66" t="n">
        <f aca="false">ROUND(S2072-O2072,4)</f>
        <v>0</v>
      </c>
    </row>
    <row r="2073" customFormat="false" ht="15" hidden="false" customHeight="false" outlineLevel="0" collapsed="false">
      <c r="A2073" s="18" t="s">
        <v>213</v>
      </c>
      <c r="B2073" s="18" t="s">
        <v>207</v>
      </c>
      <c r="C2073" s="18" t="s">
        <v>214</v>
      </c>
      <c r="D2073" s="49" t="n">
        <v>46327</v>
      </c>
      <c r="E2073" s="18" t="s">
        <v>116</v>
      </c>
      <c r="F2073" s="18" t="s">
        <v>113</v>
      </c>
      <c r="G2073" s="18" t="s">
        <v>110</v>
      </c>
      <c r="H2073" s="18" t="s">
        <v>107</v>
      </c>
      <c r="I2073" s="18" t="s">
        <v>102</v>
      </c>
      <c r="J2073" s="18" t="s">
        <v>239</v>
      </c>
      <c r="K2073" s="18" t="s">
        <v>195</v>
      </c>
      <c r="L2073" s="64" t="n">
        <v>870.91524</v>
      </c>
      <c r="M2073" s="64" t="n">
        <v>7.88</v>
      </c>
      <c r="N2073" s="18" t="s">
        <v>1541</v>
      </c>
      <c r="O2073" s="65" t="n">
        <v>6862.8121</v>
      </c>
      <c r="P2073" s="65"/>
      <c r="Q2073" s="65"/>
      <c r="R2073" s="65" t="s">
        <v>232</v>
      </c>
      <c r="S2073" s="66" t="n">
        <f aca="false">Model_Calc!AV349</f>
        <v>6862.8120912</v>
      </c>
      <c r="T2073" s="66" t="n">
        <f aca="false">ROUND(S2073-O2073,4)</f>
        <v>0</v>
      </c>
    </row>
    <row r="2074" customFormat="false" ht="15" hidden="false" customHeight="false" outlineLevel="0" collapsed="false">
      <c r="A2074" s="18" t="s">
        <v>213</v>
      </c>
      <c r="B2074" s="18" t="s">
        <v>207</v>
      </c>
      <c r="C2074" s="18" t="s">
        <v>214</v>
      </c>
      <c r="D2074" s="49" t="n">
        <v>46327</v>
      </c>
      <c r="E2074" s="18" t="s">
        <v>116</v>
      </c>
      <c r="F2074" s="18" t="s">
        <v>113</v>
      </c>
      <c r="G2074" s="18" t="s">
        <v>110</v>
      </c>
      <c r="H2074" s="18" t="s">
        <v>107</v>
      </c>
      <c r="I2074" s="18" t="s">
        <v>102</v>
      </c>
      <c r="J2074" s="18" t="s">
        <v>241</v>
      </c>
      <c r="K2074" s="18" t="s">
        <v>195</v>
      </c>
      <c r="L2074" s="64" t="n">
        <v>165.144883176</v>
      </c>
      <c r="M2074" s="64" t="n">
        <v>7.88</v>
      </c>
      <c r="N2074" s="18" t="s">
        <v>1542</v>
      </c>
      <c r="O2074" s="65" t="n">
        <v>1301.3417</v>
      </c>
      <c r="P2074" s="65"/>
      <c r="Q2074" s="65"/>
      <c r="R2074" s="65" t="s">
        <v>232</v>
      </c>
      <c r="S2074" s="66" t="n">
        <f aca="false">Model_Calc!BA349</f>
        <v>1301.34167942688</v>
      </c>
      <c r="T2074" s="66" t="n">
        <f aca="false">ROUND(S2074-O2074,4)</f>
        <v>0</v>
      </c>
    </row>
    <row r="2075" customFormat="false" ht="15" hidden="false" customHeight="false" outlineLevel="0" collapsed="false">
      <c r="A2075" s="18" t="s">
        <v>213</v>
      </c>
      <c r="B2075" s="18" t="s">
        <v>207</v>
      </c>
      <c r="C2075" s="18" t="s">
        <v>214</v>
      </c>
      <c r="D2075" s="49" t="n">
        <v>46327</v>
      </c>
      <c r="E2075" s="18" t="s">
        <v>118</v>
      </c>
      <c r="F2075" s="18" t="s">
        <v>119</v>
      </c>
      <c r="G2075" s="18" t="s">
        <v>100</v>
      </c>
      <c r="H2075" s="18" t="s">
        <v>101</v>
      </c>
      <c r="I2075" s="18" t="s">
        <v>102</v>
      </c>
      <c r="J2075" s="18" t="s">
        <v>230</v>
      </c>
      <c r="K2075" s="18" t="s">
        <v>199</v>
      </c>
      <c r="L2075" s="64" t="n">
        <v>25104.4500698754</v>
      </c>
      <c r="M2075" s="64" t="n">
        <v>9.05</v>
      </c>
      <c r="N2075" s="18" t="s">
        <v>1885</v>
      </c>
      <c r="O2075" s="65" t="n">
        <v>227195.2731</v>
      </c>
      <c r="P2075" s="65"/>
      <c r="Q2075" s="65"/>
      <c r="R2075" s="65" t="s">
        <v>232</v>
      </c>
      <c r="S2075" s="66" t="n">
        <f aca="false">Model_Calc!AF350</f>
        <v>227195.273132372</v>
      </c>
      <c r="T2075" s="66" t="n">
        <f aca="false">ROUND(S2075-O2075,4)</f>
        <v>0</v>
      </c>
    </row>
    <row r="2076" customFormat="false" ht="15" hidden="false" customHeight="false" outlineLevel="0" collapsed="false">
      <c r="A2076" s="18" t="s">
        <v>213</v>
      </c>
      <c r="B2076" s="18" t="s">
        <v>207</v>
      </c>
      <c r="C2076" s="18" t="s">
        <v>214</v>
      </c>
      <c r="D2076" s="49" t="n">
        <v>46327</v>
      </c>
      <c r="E2076" s="18" t="s">
        <v>118</v>
      </c>
      <c r="F2076" s="18" t="s">
        <v>119</v>
      </c>
      <c r="G2076" s="18" t="s">
        <v>100</v>
      </c>
      <c r="H2076" s="18" t="s">
        <v>101</v>
      </c>
      <c r="I2076" s="18" t="s">
        <v>102</v>
      </c>
      <c r="J2076" s="18" t="s">
        <v>233</v>
      </c>
      <c r="K2076" s="18" t="s">
        <v>199</v>
      </c>
      <c r="L2076" s="64" t="n">
        <v>2598.3105822321</v>
      </c>
      <c r="M2076" s="64" t="n">
        <v>9.05</v>
      </c>
      <c r="N2076" s="18" t="s">
        <v>1886</v>
      </c>
      <c r="O2076" s="65" t="n">
        <v>23514.7108</v>
      </c>
      <c r="P2076" s="65"/>
      <c r="Q2076" s="65"/>
      <c r="R2076" s="65" t="s">
        <v>232</v>
      </c>
      <c r="S2076" s="66" t="n">
        <f aca="false">Model_Calc!AG350</f>
        <v>23514.7107692005</v>
      </c>
      <c r="T2076" s="66" t="n">
        <f aca="false">ROUND(S2076-O2076,4)</f>
        <v>0</v>
      </c>
    </row>
    <row r="2077" customFormat="false" ht="15" hidden="false" customHeight="false" outlineLevel="0" collapsed="false">
      <c r="A2077" s="18" t="s">
        <v>213</v>
      </c>
      <c r="B2077" s="18" t="s">
        <v>207</v>
      </c>
      <c r="C2077" s="18" t="s">
        <v>214</v>
      </c>
      <c r="D2077" s="49" t="n">
        <v>46327</v>
      </c>
      <c r="E2077" s="18" t="s">
        <v>118</v>
      </c>
      <c r="F2077" s="18" t="s">
        <v>119</v>
      </c>
      <c r="G2077" s="18" t="s">
        <v>100</v>
      </c>
      <c r="H2077" s="18" t="s">
        <v>101</v>
      </c>
      <c r="I2077" s="18" t="s">
        <v>102</v>
      </c>
      <c r="J2077" s="18" t="s">
        <v>235</v>
      </c>
      <c r="K2077" s="18" t="s">
        <v>195</v>
      </c>
      <c r="L2077" s="64" t="n">
        <v>6477.51512846355</v>
      </c>
      <c r="M2077" s="64" t="n">
        <v>7.88</v>
      </c>
      <c r="N2077" s="18" t="s">
        <v>1887</v>
      </c>
      <c r="O2077" s="65" t="n">
        <v>51042.8192</v>
      </c>
      <c r="P2077" s="65"/>
      <c r="Q2077" s="65"/>
      <c r="R2077" s="65" t="s">
        <v>232</v>
      </c>
      <c r="S2077" s="66" t="n">
        <f aca="false">Model_Calc!AL350</f>
        <v>51042.8192122928</v>
      </c>
      <c r="T2077" s="66" t="n">
        <f aca="false">ROUND(S2077-O2077,4)</f>
        <v>0</v>
      </c>
    </row>
    <row r="2078" customFormat="false" ht="15" hidden="false" customHeight="false" outlineLevel="0" collapsed="false">
      <c r="A2078" s="18" t="s">
        <v>213</v>
      </c>
      <c r="B2078" s="18" t="s">
        <v>207</v>
      </c>
      <c r="C2078" s="18" t="s">
        <v>214</v>
      </c>
      <c r="D2078" s="49" t="n">
        <v>46327</v>
      </c>
      <c r="E2078" s="18" t="s">
        <v>118</v>
      </c>
      <c r="F2078" s="18" t="s">
        <v>119</v>
      </c>
      <c r="G2078" s="18" t="s">
        <v>100</v>
      </c>
      <c r="H2078" s="18" t="s">
        <v>101</v>
      </c>
      <c r="I2078" s="18" t="s">
        <v>102</v>
      </c>
      <c r="J2078" s="18" t="s">
        <v>237</v>
      </c>
      <c r="K2078" s="18" t="s">
        <v>195</v>
      </c>
      <c r="L2078" s="64" t="n">
        <v>2508.524194176</v>
      </c>
      <c r="M2078" s="64" t="n">
        <v>7.88</v>
      </c>
      <c r="N2078" s="18" t="s">
        <v>1888</v>
      </c>
      <c r="O2078" s="65" t="n">
        <v>19767.1707</v>
      </c>
      <c r="P2078" s="65"/>
      <c r="Q2078" s="65"/>
      <c r="R2078" s="65" t="s">
        <v>232</v>
      </c>
      <c r="S2078" s="66" t="n">
        <f aca="false">Model_Calc!AQ350</f>
        <v>19767.1706501069</v>
      </c>
      <c r="T2078" s="66" t="n">
        <f aca="false">ROUND(S2078-O2078,4)</f>
        <v>0</v>
      </c>
    </row>
    <row r="2079" customFormat="false" ht="15" hidden="false" customHeight="false" outlineLevel="0" collapsed="false">
      <c r="A2079" s="18" t="s">
        <v>213</v>
      </c>
      <c r="B2079" s="18" t="s">
        <v>207</v>
      </c>
      <c r="C2079" s="18" t="s">
        <v>214</v>
      </c>
      <c r="D2079" s="49" t="n">
        <v>46327</v>
      </c>
      <c r="E2079" s="18" t="s">
        <v>118</v>
      </c>
      <c r="F2079" s="18" t="s">
        <v>119</v>
      </c>
      <c r="G2079" s="18" t="s">
        <v>100</v>
      </c>
      <c r="H2079" s="18" t="s">
        <v>101</v>
      </c>
      <c r="I2079" s="18" t="s">
        <v>102</v>
      </c>
      <c r="J2079" s="18" t="s">
        <v>239</v>
      </c>
      <c r="K2079" s="18" t="s">
        <v>199</v>
      </c>
      <c r="L2079" s="64" t="n">
        <v>2283.35956992</v>
      </c>
      <c r="M2079" s="64" t="n">
        <v>9.05</v>
      </c>
      <c r="N2079" s="18" t="s">
        <v>1889</v>
      </c>
      <c r="O2079" s="65" t="n">
        <v>20664.4041</v>
      </c>
      <c r="P2079" s="65"/>
      <c r="Q2079" s="65"/>
      <c r="R2079" s="65" t="s">
        <v>232</v>
      </c>
      <c r="S2079" s="66" t="n">
        <f aca="false">Model_Calc!AV350</f>
        <v>20664.404107776</v>
      </c>
      <c r="T2079" s="66" t="n">
        <f aca="false">ROUND(S2079-O2079,4)</f>
        <v>0</v>
      </c>
    </row>
    <row r="2080" customFormat="false" ht="15" hidden="false" customHeight="false" outlineLevel="0" collapsed="false">
      <c r="A2080" s="18" t="s">
        <v>213</v>
      </c>
      <c r="B2080" s="18" t="s">
        <v>207</v>
      </c>
      <c r="C2080" s="18" t="s">
        <v>214</v>
      </c>
      <c r="D2080" s="49" t="n">
        <v>46327</v>
      </c>
      <c r="E2080" s="18" t="s">
        <v>118</v>
      </c>
      <c r="F2080" s="18" t="s">
        <v>119</v>
      </c>
      <c r="G2080" s="18" t="s">
        <v>100</v>
      </c>
      <c r="H2080" s="18" t="s">
        <v>101</v>
      </c>
      <c r="I2080" s="18" t="s">
        <v>102</v>
      </c>
      <c r="J2080" s="18" t="s">
        <v>241</v>
      </c>
      <c r="K2080" s="18" t="s">
        <v>199</v>
      </c>
      <c r="L2080" s="64" t="n">
        <v>333.812898124992</v>
      </c>
      <c r="M2080" s="64" t="n">
        <v>9.05</v>
      </c>
      <c r="N2080" s="18" t="s">
        <v>1890</v>
      </c>
      <c r="O2080" s="65" t="n">
        <v>3021.0067</v>
      </c>
      <c r="P2080" s="65"/>
      <c r="Q2080" s="65"/>
      <c r="R2080" s="65" t="s">
        <v>232</v>
      </c>
      <c r="S2080" s="66" t="n">
        <f aca="false">Model_Calc!BA350</f>
        <v>3021.00672803118</v>
      </c>
      <c r="T2080" s="66" t="n">
        <f aca="false">ROUND(S2080-O2080,4)</f>
        <v>0</v>
      </c>
    </row>
    <row r="2081" customFormat="false" ht="15" hidden="false" customHeight="false" outlineLevel="0" collapsed="false">
      <c r="A2081" s="18" t="s">
        <v>213</v>
      </c>
      <c r="B2081" s="18" t="s">
        <v>207</v>
      </c>
      <c r="C2081" s="18" t="s">
        <v>214</v>
      </c>
      <c r="D2081" s="49" t="n">
        <v>46327</v>
      </c>
      <c r="E2081" s="18" t="s">
        <v>122</v>
      </c>
      <c r="F2081" s="18" t="s">
        <v>119</v>
      </c>
      <c r="G2081" s="18" t="s">
        <v>100</v>
      </c>
      <c r="H2081" s="18" t="s">
        <v>107</v>
      </c>
      <c r="I2081" s="18" t="s">
        <v>102</v>
      </c>
      <c r="J2081" s="18" t="s">
        <v>230</v>
      </c>
      <c r="K2081" s="18" t="s">
        <v>199</v>
      </c>
      <c r="L2081" s="64" t="n">
        <v>14722.5741051497</v>
      </c>
      <c r="M2081" s="64" t="n">
        <v>9.05</v>
      </c>
      <c r="N2081" s="18" t="s">
        <v>1891</v>
      </c>
      <c r="O2081" s="65" t="n">
        <v>133239.2957</v>
      </c>
      <c r="P2081" s="65"/>
      <c r="Q2081" s="65"/>
      <c r="R2081" s="65" t="s">
        <v>232</v>
      </c>
      <c r="S2081" s="66" t="n">
        <f aca="false">Model_Calc!AF351</f>
        <v>133239.295651605</v>
      </c>
      <c r="T2081" s="66" t="n">
        <f aca="false">ROUND(S2081-O2081,4)</f>
        <v>0</v>
      </c>
    </row>
    <row r="2082" customFormat="false" ht="15" hidden="false" customHeight="false" outlineLevel="0" collapsed="false">
      <c r="A2082" s="18" t="s">
        <v>213</v>
      </c>
      <c r="B2082" s="18" t="s">
        <v>207</v>
      </c>
      <c r="C2082" s="18" t="s">
        <v>214</v>
      </c>
      <c r="D2082" s="49" t="n">
        <v>46327</v>
      </c>
      <c r="E2082" s="18" t="s">
        <v>122</v>
      </c>
      <c r="F2082" s="18" t="s">
        <v>119</v>
      </c>
      <c r="G2082" s="18" t="s">
        <v>100</v>
      </c>
      <c r="H2082" s="18" t="s">
        <v>107</v>
      </c>
      <c r="I2082" s="18" t="s">
        <v>102</v>
      </c>
      <c r="J2082" s="18" t="s">
        <v>233</v>
      </c>
      <c r="K2082" s="18" t="s">
        <v>199</v>
      </c>
      <c r="L2082" s="64" t="n">
        <v>1033.71264993605</v>
      </c>
      <c r="M2082" s="64" t="n">
        <v>9.05</v>
      </c>
      <c r="N2082" s="18" t="s">
        <v>1892</v>
      </c>
      <c r="O2082" s="65" t="n">
        <v>9355.0995</v>
      </c>
      <c r="P2082" s="65"/>
      <c r="Q2082" s="65"/>
      <c r="R2082" s="65" t="s">
        <v>232</v>
      </c>
      <c r="S2082" s="66" t="n">
        <f aca="false">Model_Calc!AG351</f>
        <v>9355.09948192122</v>
      </c>
      <c r="T2082" s="66" t="n">
        <f aca="false">ROUND(S2082-O2082,4)</f>
        <v>0</v>
      </c>
    </row>
    <row r="2083" customFormat="false" ht="15" hidden="false" customHeight="false" outlineLevel="0" collapsed="false">
      <c r="A2083" s="18" t="s">
        <v>213</v>
      </c>
      <c r="B2083" s="18" t="s">
        <v>207</v>
      </c>
      <c r="C2083" s="18" t="s">
        <v>214</v>
      </c>
      <c r="D2083" s="49" t="n">
        <v>46327</v>
      </c>
      <c r="E2083" s="18" t="s">
        <v>122</v>
      </c>
      <c r="F2083" s="18" t="s">
        <v>119</v>
      </c>
      <c r="G2083" s="18" t="s">
        <v>100</v>
      </c>
      <c r="H2083" s="18" t="s">
        <v>107</v>
      </c>
      <c r="I2083" s="18" t="s">
        <v>102</v>
      </c>
      <c r="J2083" s="18" t="s">
        <v>235</v>
      </c>
      <c r="K2083" s="18" t="s">
        <v>195</v>
      </c>
      <c r="L2083" s="64" t="n">
        <v>3297.64406539963</v>
      </c>
      <c r="M2083" s="64" t="n">
        <v>7.88</v>
      </c>
      <c r="N2083" s="18" t="s">
        <v>1893</v>
      </c>
      <c r="O2083" s="65" t="n">
        <v>25985.4352</v>
      </c>
      <c r="P2083" s="65"/>
      <c r="Q2083" s="65"/>
      <c r="R2083" s="65" t="s">
        <v>232</v>
      </c>
      <c r="S2083" s="66" t="n">
        <f aca="false">Model_Calc!AL351</f>
        <v>25985.4352353491</v>
      </c>
      <c r="T2083" s="66" t="n">
        <f aca="false">ROUND(S2083-O2083,4)</f>
        <v>0</v>
      </c>
    </row>
    <row r="2084" customFormat="false" ht="15" hidden="false" customHeight="false" outlineLevel="0" collapsed="false">
      <c r="A2084" s="18" t="s">
        <v>213</v>
      </c>
      <c r="B2084" s="18" t="s">
        <v>207</v>
      </c>
      <c r="C2084" s="18" t="s">
        <v>214</v>
      </c>
      <c r="D2084" s="49" t="n">
        <v>46327</v>
      </c>
      <c r="E2084" s="18" t="s">
        <v>122</v>
      </c>
      <c r="F2084" s="18" t="s">
        <v>119</v>
      </c>
      <c r="G2084" s="18" t="s">
        <v>100</v>
      </c>
      <c r="H2084" s="18" t="s">
        <v>107</v>
      </c>
      <c r="I2084" s="18" t="s">
        <v>102</v>
      </c>
      <c r="J2084" s="18" t="s">
        <v>237</v>
      </c>
      <c r="K2084" s="18" t="s">
        <v>195</v>
      </c>
      <c r="L2084" s="64" t="n">
        <v>1277.0668624896</v>
      </c>
      <c r="M2084" s="64" t="n">
        <v>7.88</v>
      </c>
      <c r="N2084" s="18" t="s">
        <v>1894</v>
      </c>
      <c r="O2084" s="65" t="n">
        <v>10063.2869</v>
      </c>
      <c r="P2084" s="65"/>
      <c r="Q2084" s="65"/>
      <c r="R2084" s="65" t="s">
        <v>232</v>
      </c>
      <c r="S2084" s="66" t="n">
        <f aca="false">Model_Calc!AQ351</f>
        <v>10063.286876418</v>
      </c>
      <c r="T2084" s="66" t="n">
        <f aca="false">ROUND(S2084-O2084,4)</f>
        <v>0</v>
      </c>
    </row>
    <row r="2085" customFormat="false" ht="15" hidden="false" customHeight="false" outlineLevel="0" collapsed="false">
      <c r="A2085" s="18" t="s">
        <v>213</v>
      </c>
      <c r="B2085" s="18" t="s">
        <v>207</v>
      </c>
      <c r="C2085" s="18" t="s">
        <v>214</v>
      </c>
      <c r="D2085" s="49" t="n">
        <v>46327</v>
      </c>
      <c r="E2085" s="18" t="s">
        <v>122</v>
      </c>
      <c r="F2085" s="18" t="s">
        <v>119</v>
      </c>
      <c r="G2085" s="18" t="s">
        <v>100</v>
      </c>
      <c r="H2085" s="18" t="s">
        <v>107</v>
      </c>
      <c r="I2085" s="18" t="s">
        <v>102</v>
      </c>
      <c r="J2085" s="18" t="s">
        <v>239</v>
      </c>
      <c r="K2085" s="18" t="s">
        <v>199</v>
      </c>
      <c r="L2085" s="64" t="n">
        <v>1162.437599232</v>
      </c>
      <c r="M2085" s="64" t="n">
        <v>9.05</v>
      </c>
      <c r="N2085" s="18" t="s">
        <v>1895</v>
      </c>
      <c r="O2085" s="65" t="n">
        <v>10520.0603</v>
      </c>
      <c r="P2085" s="65"/>
      <c r="Q2085" s="65"/>
      <c r="R2085" s="65" t="s">
        <v>232</v>
      </c>
      <c r="S2085" s="66" t="n">
        <f aca="false">Model_Calc!AV351</f>
        <v>10520.0602730496</v>
      </c>
      <c r="T2085" s="66" t="n">
        <f aca="false">ROUND(S2085-O2085,4)</f>
        <v>0</v>
      </c>
    </row>
    <row r="2086" customFormat="false" ht="15" hidden="false" customHeight="false" outlineLevel="0" collapsed="false">
      <c r="A2086" s="18" t="s">
        <v>213</v>
      </c>
      <c r="B2086" s="18" t="s">
        <v>207</v>
      </c>
      <c r="C2086" s="18" t="s">
        <v>214</v>
      </c>
      <c r="D2086" s="49" t="n">
        <v>46327</v>
      </c>
      <c r="E2086" s="18" t="s">
        <v>122</v>
      </c>
      <c r="F2086" s="18" t="s">
        <v>119</v>
      </c>
      <c r="G2086" s="18" t="s">
        <v>100</v>
      </c>
      <c r="H2086" s="18" t="s">
        <v>107</v>
      </c>
      <c r="I2086" s="18" t="s">
        <v>102</v>
      </c>
      <c r="J2086" s="18" t="s">
        <v>241</v>
      </c>
      <c r="K2086" s="18" t="s">
        <v>199</v>
      </c>
      <c r="L2086" s="64" t="n">
        <v>125.882305016832</v>
      </c>
      <c r="M2086" s="64" t="n">
        <v>9.05</v>
      </c>
      <c r="N2086" s="18" t="s">
        <v>1896</v>
      </c>
      <c r="O2086" s="65" t="n">
        <v>1139.2349</v>
      </c>
      <c r="P2086" s="65"/>
      <c r="Q2086" s="65"/>
      <c r="R2086" s="65" t="s">
        <v>232</v>
      </c>
      <c r="S2086" s="66" t="n">
        <f aca="false">Model_Calc!BA351</f>
        <v>1139.23486040233</v>
      </c>
      <c r="T2086" s="66" t="n">
        <f aca="false">ROUND(S2086-O2086,4)</f>
        <v>0</v>
      </c>
    </row>
    <row r="2087" customFormat="false" ht="15" hidden="false" customHeight="false" outlineLevel="0" collapsed="false">
      <c r="A2087" s="18" t="s">
        <v>213</v>
      </c>
      <c r="B2087" s="18" t="s">
        <v>207</v>
      </c>
      <c r="C2087" s="18" t="s">
        <v>214</v>
      </c>
      <c r="D2087" s="49" t="n">
        <v>46327</v>
      </c>
      <c r="E2087" s="18" t="s">
        <v>124</v>
      </c>
      <c r="F2087" s="18" t="s">
        <v>119</v>
      </c>
      <c r="G2087" s="18" t="s">
        <v>100</v>
      </c>
      <c r="H2087" s="18" t="s">
        <v>107</v>
      </c>
      <c r="I2087" s="18" t="s">
        <v>125</v>
      </c>
      <c r="J2087" s="18" t="s">
        <v>230</v>
      </c>
      <c r="K2087" s="18" t="s">
        <v>199</v>
      </c>
      <c r="L2087" s="64" t="n">
        <v>8815.0360842148</v>
      </c>
      <c r="M2087" s="64" t="n">
        <v>9.05</v>
      </c>
      <c r="N2087" s="18" t="s">
        <v>1897</v>
      </c>
      <c r="O2087" s="65" t="n">
        <v>79776.0766</v>
      </c>
      <c r="P2087" s="65"/>
      <c r="Q2087" s="65"/>
      <c r="R2087" s="65" t="s">
        <v>232</v>
      </c>
      <c r="S2087" s="66" t="n">
        <f aca="false">Model_Calc!AF352</f>
        <v>79776.076562144</v>
      </c>
      <c r="T2087" s="66" t="n">
        <f aca="false">ROUND(S2087-O2087,4)</f>
        <v>0</v>
      </c>
    </row>
    <row r="2088" customFormat="false" ht="15" hidden="false" customHeight="false" outlineLevel="0" collapsed="false">
      <c r="A2088" s="18" t="s">
        <v>213</v>
      </c>
      <c r="B2088" s="18" t="s">
        <v>207</v>
      </c>
      <c r="C2088" s="18" t="s">
        <v>214</v>
      </c>
      <c r="D2088" s="49" t="n">
        <v>46327</v>
      </c>
      <c r="E2088" s="18" t="s">
        <v>124</v>
      </c>
      <c r="F2088" s="18" t="s">
        <v>119</v>
      </c>
      <c r="G2088" s="18" t="s">
        <v>100</v>
      </c>
      <c r="H2088" s="18" t="s">
        <v>107</v>
      </c>
      <c r="I2088" s="18" t="s">
        <v>125</v>
      </c>
      <c r="J2088" s="18" t="s">
        <v>233</v>
      </c>
      <c r="K2088" s="18" t="s">
        <v>199</v>
      </c>
      <c r="L2088" s="64" t="n">
        <v>1091.17805672061</v>
      </c>
      <c r="M2088" s="64" t="n">
        <v>9.05</v>
      </c>
      <c r="N2088" s="18" t="s">
        <v>1898</v>
      </c>
      <c r="O2088" s="65" t="n">
        <v>9875.1614</v>
      </c>
      <c r="P2088" s="65"/>
      <c r="Q2088" s="65"/>
      <c r="R2088" s="65" t="s">
        <v>232</v>
      </c>
      <c r="S2088" s="66" t="n">
        <f aca="false">Model_Calc!AG352</f>
        <v>9875.16141332155</v>
      </c>
      <c r="T2088" s="66" t="n">
        <f aca="false">ROUND(S2088-O2088,4)</f>
        <v>0</v>
      </c>
    </row>
    <row r="2089" customFormat="false" ht="15" hidden="false" customHeight="false" outlineLevel="0" collapsed="false">
      <c r="A2089" s="18" t="s">
        <v>213</v>
      </c>
      <c r="B2089" s="18" t="s">
        <v>207</v>
      </c>
      <c r="C2089" s="18" t="s">
        <v>214</v>
      </c>
      <c r="D2089" s="49" t="n">
        <v>46327</v>
      </c>
      <c r="E2089" s="18" t="s">
        <v>124</v>
      </c>
      <c r="F2089" s="18" t="s">
        <v>119</v>
      </c>
      <c r="G2089" s="18" t="s">
        <v>100</v>
      </c>
      <c r="H2089" s="18" t="s">
        <v>107</v>
      </c>
      <c r="I2089" s="18" t="s">
        <v>125</v>
      </c>
      <c r="J2089" s="18" t="s">
        <v>235</v>
      </c>
      <c r="K2089" s="18" t="s">
        <v>195</v>
      </c>
      <c r="L2089" s="64" t="n">
        <v>1531.04903036411</v>
      </c>
      <c r="M2089" s="64" t="n">
        <v>7.88</v>
      </c>
      <c r="N2089" s="18" t="s">
        <v>1563</v>
      </c>
      <c r="O2089" s="65" t="n">
        <v>12064.6664</v>
      </c>
      <c r="P2089" s="65"/>
      <c r="Q2089" s="65"/>
      <c r="R2089" s="65" t="s">
        <v>232</v>
      </c>
      <c r="S2089" s="66" t="n">
        <f aca="false">Model_Calc!AL352</f>
        <v>12064.6663592692</v>
      </c>
      <c r="T2089" s="66" t="n">
        <f aca="false">ROUND(S2089-O2089,4)</f>
        <v>0</v>
      </c>
    </row>
    <row r="2090" customFormat="false" ht="15" hidden="false" customHeight="false" outlineLevel="0" collapsed="false">
      <c r="A2090" s="18" t="s">
        <v>213</v>
      </c>
      <c r="B2090" s="18" t="s">
        <v>207</v>
      </c>
      <c r="C2090" s="18" t="s">
        <v>214</v>
      </c>
      <c r="D2090" s="49" t="n">
        <v>46327</v>
      </c>
      <c r="E2090" s="18" t="s">
        <v>124</v>
      </c>
      <c r="F2090" s="18" t="s">
        <v>119</v>
      </c>
      <c r="G2090" s="18" t="s">
        <v>100</v>
      </c>
      <c r="H2090" s="18" t="s">
        <v>107</v>
      </c>
      <c r="I2090" s="18" t="s">
        <v>125</v>
      </c>
      <c r="J2090" s="18" t="s">
        <v>237</v>
      </c>
      <c r="K2090" s="18" t="s">
        <v>195</v>
      </c>
      <c r="L2090" s="64" t="n">
        <v>592.9239004416</v>
      </c>
      <c r="M2090" s="64" t="n">
        <v>7.88</v>
      </c>
      <c r="N2090" s="18" t="s">
        <v>1899</v>
      </c>
      <c r="O2090" s="65" t="n">
        <v>4672.2403</v>
      </c>
      <c r="P2090" s="65"/>
      <c r="Q2090" s="65"/>
      <c r="R2090" s="65" t="s">
        <v>232</v>
      </c>
      <c r="S2090" s="66" t="n">
        <f aca="false">Model_Calc!AQ352</f>
        <v>4672.24033547981</v>
      </c>
      <c r="T2090" s="66" t="n">
        <f aca="false">ROUND(S2090-O2090,4)</f>
        <v>0</v>
      </c>
    </row>
    <row r="2091" customFormat="false" ht="15" hidden="false" customHeight="false" outlineLevel="0" collapsed="false">
      <c r="A2091" s="18" t="s">
        <v>213</v>
      </c>
      <c r="B2091" s="18" t="s">
        <v>207</v>
      </c>
      <c r="C2091" s="18" t="s">
        <v>214</v>
      </c>
      <c r="D2091" s="49" t="n">
        <v>46327</v>
      </c>
      <c r="E2091" s="18" t="s">
        <v>124</v>
      </c>
      <c r="F2091" s="18" t="s">
        <v>119</v>
      </c>
      <c r="G2091" s="18" t="s">
        <v>100</v>
      </c>
      <c r="H2091" s="18" t="s">
        <v>107</v>
      </c>
      <c r="I2091" s="18" t="s">
        <v>125</v>
      </c>
      <c r="J2091" s="18" t="s">
        <v>239</v>
      </c>
      <c r="K2091" s="18" t="s">
        <v>199</v>
      </c>
      <c r="L2091" s="64" t="n">
        <v>539.703171072</v>
      </c>
      <c r="M2091" s="64" t="n">
        <v>9.05</v>
      </c>
      <c r="N2091" s="18" t="s">
        <v>1565</v>
      </c>
      <c r="O2091" s="65" t="n">
        <v>4884.3137</v>
      </c>
      <c r="P2091" s="65"/>
      <c r="Q2091" s="65"/>
      <c r="R2091" s="65" t="s">
        <v>232</v>
      </c>
      <c r="S2091" s="66" t="n">
        <f aca="false">Model_Calc!AV352</f>
        <v>4884.3136982016</v>
      </c>
      <c r="T2091" s="66" t="n">
        <f aca="false">ROUND(S2091-O2091,4)</f>
        <v>0</v>
      </c>
    </row>
    <row r="2092" customFormat="false" ht="15" hidden="false" customHeight="false" outlineLevel="0" collapsed="false">
      <c r="A2092" s="18" t="s">
        <v>213</v>
      </c>
      <c r="B2092" s="18" t="s">
        <v>207</v>
      </c>
      <c r="C2092" s="18" t="s">
        <v>214</v>
      </c>
      <c r="D2092" s="49" t="n">
        <v>46327</v>
      </c>
      <c r="E2092" s="18" t="s">
        <v>124</v>
      </c>
      <c r="F2092" s="18" t="s">
        <v>119</v>
      </c>
      <c r="G2092" s="18" t="s">
        <v>100</v>
      </c>
      <c r="H2092" s="18" t="s">
        <v>107</v>
      </c>
      <c r="I2092" s="18" t="s">
        <v>125</v>
      </c>
      <c r="J2092" s="18" t="s">
        <v>241</v>
      </c>
      <c r="K2092" s="18" t="s">
        <v>199</v>
      </c>
      <c r="L2092" s="64" t="n">
        <v>56.9206944423936</v>
      </c>
      <c r="M2092" s="64" t="n">
        <v>9.05</v>
      </c>
      <c r="N2092" s="18" t="s">
        <v>1900</v>
      </c>
      <c r="O2092" s="65" t="n">
        <v>515.1323</v>
      </c>
      <c r="P2092" s="65"/>
      <c r="Q2092" s="65"/>
      <c r="R2092" s="65" t="s">
        <v>232</v>
      </c>
      <c r="S2092" s="66" t="n">
        <f aca="false">Model_Calc!BA352</f>
        <v>515.132284703662</v>
      </c>
      <c r="T2092" s="66" t="n">
        <f aca="false">ROUND(S2092-O2092,4)</f>
        <v>0</v>
      </c>
    </row>
    <row r="2093" customFormat="false" ht="15" hidden="false" customHeight="false" outlineLevel="0" collapsed="false">
      <c r="A2093" s="18" t="s">
        <v>213</v>
      </c>
      <c r="B2093" s="18" t="s">
        <v>207</v>
      </c>
      <c r="C2093" s="18" t="s">
        <v>214</v>
      </c>
      <c r="D2093" s="49" t="n">
        <v>46327</v>
      </c>
      <c r="E2093" s="18" t="s">
        <v>127</v>
      </c>
      <c r="F2093" s="18" t="s">
        <v>119</v>
      </c>
      <c r="G2093" s="18" t="s">
        <v>100</v>
      </c>
      <c r="H2093" s="18" t="s">
        <v>128</v>
      </c>
      <c r="I2093" s="18" t="s">
        <v>125</v>
      </c>
      <c r="J2093" s="18" t="s">
        <v>230</v>
      </c>
      <c r="K2093" s="18" t="s">
        <v>199</v>
      </c>
      <c r="L2093" s="64" t="n">
        <v>3272.97589681049</v>
      </c>
      <c r="M2093" s="64" t="n">
        <v>9.05</v>
      </c>
      <c r="N2093" s="18" t="s">
        <v>1901</v>
      </c>
      <c r="O2093" s="65" t="n">
        <v>29620.4319</v>
      </c>
      <c r="P2093" s="65"/>
      <c r="Q2093" s="65"/>
      <c r="R2093" s="65" t="s">
        <v>232</v>
      </c>
      <c r="S2093" s="66" t="n">
        <f aca="false">Model_Calc!AF353</f>
        <v>29620.431866135</v>
      </c>
      <c r="T2093" s="66" t="n">
        <f aca="false">ROUND(S2093-O2093,4)</f>
        <v>0</v>
      </c>
    </row>
    <row r="2094" customFormat="false" ht="15" hidden="false" customHeight="false" outlineLevel="0" collapsed="false">
      <c r="A2094" s="18" t="s">
        <v>213</v>
      </c>
      <c r="B2094" s="18" t="s">
        <v>207</v>
      </c>
      <c r="C2094" s="18" t="s">
        <v>214</v>
      </c>
      <c r="D2094" s="49" t="n">
        <v>46327</v>
      </c>
      <c r="E2094" s="18" t="s">
        <v>127</v>
      </c>
      <c r="F2094" s="18" t="s">
        <v>119</v>
      </c>
      <c r="G2094" s="18" t="s">
        <v>100</v>
      </c>
      <c r="H2094" s="18" t="s">
        <v>128</v>
      </c>
      <c r="I2094" s="18" t="s">
        <v>125</v>
      </c>
      <c r="J2094" s="18" t="s">
        <v>233</v>
      </c>
      <c r="K2094" s="18" t="s">
        <v>199</v>
      </c>
      <c r="L2094" s="64" t="n">
        <v>253.110136020012</v>
      </c>
      <c r="M2094" s="64" t="n">
        <v>9.05</v>
      </c>
      <c r="N2094" s="18" t="s">
        <v>1902</v>
      </c>
      <c r="O2094" s="65" t="n">
        <v>2290.6467</v>
      </c>
      <c r="P2094" s="65"/>
      <c r="Q2094" s="65"/>
      <c r="R2094" s="65" t="s">
        <v>232</v>
      </c>
      <c r="S2094" s="66" t="n">
        <f aca="false">Model_Calc!AG353</f>
        <v>2290.6467309811</v>
      </c>
      <c r="T2094" s="66" t="n">
        <f aca="false">ROUND(S2094-O2094,4)</f>
        <v>0</v>
      </c>
    </row>
    <row r="2095" customFormat="false" ht="15" hidden="false" customHeight="false" outlineLevel="0" collapsed="false">
      <c r="A2095" s="18" t="s">
        <v>213</v>
      </c>
      <c r="B2095" s="18" t="s">
        <v>207</v>
      </c>
      <c r="C2095" s="18" t="s">
        <v>214</v>
      </c>
      <c r="D2095" s="49" t="n">
        <v>46327</v>
      </c>
      <c r="E2095" s="18" t="s">
        <v>127</v>
      </c>
      <c r="F2095" s="18" t="s">
        <v>119</v>
      </c>
      <c r="G2095" s="18" t="s">
        <v>100</v>
      </c>
      <c r="H2095" s="18" t="s">
        <v>128</v>
      </c>
      <c r="I2095" s="18" t="s">
        <v>125</v>
      </c>
      <c r="J2095" s="18" t="s">
        <v>235</v>
      </c>
      <c r="K2095" s="18" t="s">
        <v>195</v>
      </c>
      <c r="L2095" s="64" t="n">
        <v>471.092009342804</v>
      </c>
      <c r="M2095" s="64" t="n">
        <v>7.88</v>
      </c>
      <c r="N2095" s="18" t="s">
        <v>1903</v>
      </c>
      <c r="O2095" s="65" t="n">
        <v>3712.205</v>
      </c>
      <c r="P2095" s="65"/>
      <c r="Q2095" s="65"/>
      <c r="R2095" s="65" t="s">
        <v>232</v>
      </c>
      <c r="S2095" s="66" t="n">
        <f aca="false">Model_Calc!AL353</f>
        <v>3712.20503362129</v>
      </c>
      <c r="T2095" s="66" t="n">
        <f aca="false">ROUND(S2095-O2095,4)</f>
        <v>0</v>
      </c>
    </row>
    <row r="2096" customFormat="false" ht="15" hidden="false" customHeight="false" outlineLevel="0" collapsed="false">
      <c r="A2096" s="18" t="s">
        <v>213</v>
      </c>
      <c r="B2096" s="18" t="s">
        <v>207</v>
      </c>
      <c r="C2096" s="18" t="s">
        <v>214</v>
      </c>
      <c r="D2096" s="49" t="n">
        <v>46327</v>
      </c>
      <c r="E2096" s="18" t="s">
        <v>127</v>
      </c>
      <c r="F2096" s="18" t="s">
        <v>119</v>
      </c>
      <c r="G2096" s="18" t="s">
        <v>100</v>
      </c>
      <c r="H2096" s="18" t="s">
        <v>128</v>
      </c>
      <c r="I2096" s="18" t="s">
        <v>125</v>
      </c>
      <c r="J2096" s="18" t="s">
        <v>237</v>
      </c>
      <c r="K2096" s="18" t="s">
        <v>195</v>
      </c>
      <c r="L2096" s="64" t="n">
        <v>182.4381232128</v>
      </c>
      <c r="M2096" s="64" t="n">
        <v>7.88</v>
      </c>
      <c r="N2096" s="18" t="s">
        <v>1904</v>
      </c>
      <c r="O2096" s="65" t="n">
        <v>1437.6124</v>
      </c>
      <c r="P2096" s="65"/>
      <c r="Q2096" s="65"/>
      <c r="R2096" s="65" t="s">
        <v>232</v>
      </c>
      <c r="S2096" s="66" t="n">
        <f aca="false">Model_Calc!AQ353</f>
        <v>1437.61241091686</v>
      </c>
      <c r="T2096" s="66" t="n">
        <f aca="false">ROUND(S2096-O2096,4)</f>
        <v>0</v>
      </c>
    </row>
    <row r="2097" customFormat="false" ht="15" hidden="false" customHeight="false" outlineLevel="0" collapsed="false">
      <c r="A2097" s="18" t="s">
        <v>213</v>
      </c>
      <c r="B2097" s="18" t="s">
        <v>207</v>
      </c>
      <c r="C2097" s="18" t="s">
        <v>214</v>
      </c>
      <c r="D2097" s="49" t="n">
        <v>46327</v>
      </c>
      <c r="E2097" s="18" t="s">
        <v>127</v>
      </c>
      <c r="F2097" s="18" t="s">
        <v>119</v>
      </c>
      <c r="G2097" s="18" t="s">
        <v>100</v>
      </c>
      <c r="H2097" s="18" t="s">
        <v>128</v>
      </c>
      <c r="I2097" s="18" t="s">
        <v>125</v>
      </c>
      <c r="J2097" s="18" t="s">
        <v>239</v>
      </c>
      <c r="K2097" s="18" t="s">
        <v>199</v>
      </c>
      <c r="L2097" s="64" t="n">
        <v>166.062514176</v>
      </c>
      <c r="M2097" s="64" t="n">
        <v>9.05</v>
      </c>
      <c r="N2097" s="18" t="s">
        <v>1905</v>
      </c>
      <c r="O2097" s="65" t="n">
        <v>1502.8658</v>
      </c>
      <c r="P2097" s="65"/>
      <c r="Q2097" s="65"/>
      <c r="R2097" s="65" t="s">
        <v>232</v>
      </c>
      <c r="S2097" s="66" t="n">
        <f aca="false">Model_Calc!AV353</f>
        <v>1502.8657532928</v>
      </c>
      <c r="T2097" s="66" t="n">
        <f aca="false">ROUND(S2097-O2097,4)</f>
        <v>0</v>
      </c>
    </row>
    <row r="2098" customFormat="false" ht="15" hidden="false" customHeight="false" outlineLevel="0" collapsed="false">
      <c r="A2098" s="18" t="s">
        <v>213</v>
      </c>
      <c r="B2098" s="18" t="s">
        <v>207</v>
      </c>
      <c r="C2098" s="18" t="s">
        <v>214</v>
      </c>
      <c r="D2098" s="49" t="n">
        <v>46327</v>
      </c>
      <c r="E2098" s="18" t="s">
        <v>127</v>
      </c>
      <c r="F2098" s="18" t="s">
        <v>119</v>
      </c>
      <c r="G2098" s="18" t="s">
        <v>100</v>
      </c>
      <c r="H2098" s="18" t="s">
        <v>128</v>
      </c>
      <c r="I2098" s="18" t="s">
        <v>125</v>
      </c>
      <c r="J2098" s="18" t="s">
        <v>241</v>
      </c>
      <c r="K2098" s="18" t="s">
        <v>199</v>
      </c>
      <c r="L2098" s="64" t="n">
        <v>15.4811778840576</v>
      </c>
      <c r="M2098" s="64" t="n">
        <v>9.05</v>
      </c>
      <c r="N2098" s="18" t="s">
        <v>1906</v>
      </c>
      <c r="O2098" s="65" t="n">
        <v>140.1047</v>
      </c>
      <c r="P2098" s="65"/>
      <c r="Q2098" s="65"/>
      <c r="R2098" s="65" t="s">
        <v>232</v>
      </c>
      <c r="S2098" s="66" t="n">
        <f aca="false">Model_Calc!BA353</f>
        <v>140.104659850721</v>
      </c>
      <c r="T2098" s="66" t="n">
        <f aca="false">ROUND(S2098-O2098,4)</f>
        <v>0</v>
      </c>
    </row>
    <row r="2099" customFormat="false" ht="15" hidden="false" customHeight="false" outlineLevel="0" collapsed="false">
      <c r="A2099" s="18" t="s">
        <v>213</v>
      </c>
      <c r="B2099" s="18" t="s">
        <v>207</v>
      </c>
      <c r="C2099" s="18" t="s">
        <v>214</v>
      </c>
      <c r="D2099" s="49" t="n">
        <v>46327</v>
      </c>
      <c r="E2099" s="18" t="s">
        <v>130</v>
      </c>
      <c r="F2099" s="18" t="s">
        <v>119</v>
      </c>
      <c r="G2099" s="18" t="s">
        <v>110</v>
      </c>
      <c r="H2099" s="18" t="s">
        <v>107</v>
      </c>
      <c r="I2099" s="18" t="s">
        <v>125</v>
      </c>
      <c r="J2099" s="18" t="s">
        <v>230</v>
      </c>
      <c r="K2099" s="18" t="s">
        <v>195</v>
      </c>
      <c r="L2099" s="64" t="n">
        <v>2910.32405141962</v>
      </c>
      <c r="M2099" s="64" t="n">
        <v>7.88</v>
      </c>
      <c r="N2099" s="18" t="s">
        <v>1567</v>
      </c>
      <c r="O2099" s="65" t="n">
        <v>22933.3535</v>
      </c>
      <c r="P2099" s="65"/>
      <c r="Q2099" s="65"/>
      <c r="R2099" s="65" t="s">
        <v>232</v>
      </c>
      <c r="S2099" s="66" t="n">
        <f aca="false">Model_Calc!AF354</f>
        <v>22933.3535251866</v>
      </c>
      <c r="T2099" s="66" t="n">
        <f aca="false">ROUND(S2099-O2099,4)</f>
        <v>0</v>
      </c>
    </row>
    <row r="2100" customFormat="false" ht="15" hidden="false" customHeight="false" outlineLevel="0" collapsed="false">
      <c r="A2100" s="18" t="s">
        <v>213</v>
      </c>
      <c r="B2100" s="18" t="s">
        <v>207</v>
      </c>
      <c r="C2100" s="18" t="s">
        <v>214</v>
      </c>
      <c r="D2100" s="49" t="n">
        <v>46327</v>
      </c>
      <c r="E2100" s="18" t="s">
        <v>130</v>
      </c>
      <c r="F2100" s="18" t="s">
        <v>119</v>
      </c>
      <c r="G2100" s="18" t="s">
        <v>110</v>
      </c>
      <c r="H2100" s="18" t="s">
        <v>107</v>
      </c>
      <c r="I2100" s="18" t="s">
        <v>125</v>
      </c>
      <c r="J2100" s="18" t="s">
        <v>233</v>
      </c>
      <c r="K2100" s="18" t="s">
        <v>195</v>
      </c>
      <c r="L2100" s="64" t="n">
        <v>316.279466288027</v>
      </c>
      <c r="M2100" s="64" t="n">
        <v>7.88</v>
      </c>
      <c r="N2100" s="18" t="s">
        <v>1568</v>
      </c>
      <c r="O2100" s="65" t="n">
        <v>2492.2822</v>
      </c>
      <c r="P2100" s="65"/>
      <c r="Q2100" s="65"/>
      <c r="R2100" s="65" t="s">
        <v>232</v>
      </c>
      <c r="S2100" s="66" t="n">
        <f aca="false">Model_Calc!AG354</f>
        <v>2492.28219434965</v>
      </c>
      <c r="T2100" s="66" t="n">
        <f aca="false">ROUND(S2100-O2100,4)</f>
        <v>0</v>
      </c>
    </row>
    <row r="2101" customFormat="false" ht="15" hidden="false" customHeight="false" outlineLevel="0" collapsed="false">
      <c r="A2101" s="18" t="s">
        <v>213</v>
      </c>
      <c r="B2101" s="18" t="s">
        <v>207</v>
      </c>
      <c r="C2101" s="18" t="s">
        <v>214</v>
      </c>
      <c r="D2101" s="49" t="n">
        <v>46327</v>
      </c>
      <c r="E2101" s="18" t="s">
        <v>130</v>
      </c>
      <c r="F2101" s="18" t="s">
        <v>119</v>
      </c>
      <c r="G2101" s="18" t="s">
        <v>110</v>
      </c>
      <c r="H2101" s="18" t="s">
        <v>107</v>
      </c>
      <c r="I2101" s="18" t="s">
        <v>125</v>
      </c>
      <c r="J2101" s="18" t="s">
        <v>235</v>
      </c>
      <c r="K2101" s="18" t="s">
        <v>195</v>
      </c>
      <c r="L2101" s="64" t="n">
        <v>420.44184</v>
      </c>
      <c r="M2101" s="64" t="n">
        <v>7.88</v>
      </c>
      <c r="N2101" s="18" t="s">
        <v>1569</v>
      </c>
      <c r="O2101" s="65" t="n">
        <v>3313.0817</v>
      </c>
      <c r="P2101" s="65"/>
      <c r="Q2101" s="65"/>
      <c r="R2101" s="65" t="s">
        <v>232</v>
      </c>
      <c r="S2101" s="66" t="n">
        <f aca="false">Model_Calc!AL354</f>
        <v>3313.0816992</v>
      </c>
      <c r="T2101" s="66" t="n">
        <f aca="false">ROUND(S2101-O2101,4)</f>
        <v>0</v>
      </c>
    </row>
    <row r="2102" customFormat="false" ht="15" hidden="false" customHeight="false" outlineLevel="0" collapsed="false">
      <c r="A2102" s="18" t="s">
        <v>213</v>
      </c>
      <c r="B2102" s="18" t="s">
        <v>207</v>
      </c>
      <c r="C2102" s="18" t="s">
        <v>214</v>
      </c>
      <c r="D2102" s="49" t="n">
        <v>46327</v>
      </c>
      <c r="E2102" s="18" t="s">
        <v>130</v>
      </c>
      <c r="F2102" s="18" t="s">
        <v>119</v>
      </c>
      <c r="G2102" s="18" t="s">
        <v>110</v>
      </c>
      <c r="H2102" s="18" t="s">
        <v>107</v>
      </c>
      <c r="I2102" s="18" t="s">
        <v>125</v>
      </c>
      <c r="J2102" s="18" t="s">
        <v>237</v>
      </c>
      <c r="K2102" s="18" t="s">
        <v>195</v>
      </c>
      <c r="L2102" s="64" t="n">
        <v>178.02708768</v>
      </c>
      <c r="M2102" s="64" t="n">
        <v>7.88</v>
      </c>
      <c r="N2102" s="18" t="s">
        <v>1570</v>
      </c>
      <c r="O2102" s="65" t="n">
        <v>1402.8535</v>
      </c>
      <c r="P2102" s="65"/>
      <c r="Q2102" s="65"/>
      <c r="R2102" s="65" t="s">
        <v>232</v>
      </c>
      <c r="S2102" s="66" t="n">
        <f aca="false">Model_Calc!AQ354</f>
        <v>1402.8534509184</v>
      </c>
      <c r="T2102" s="66" t="n">
        <f aca="false">ROUND(S2102-O2102,4)</f>
        <v>0</v>
      </c>
    </row>
    <row r="2103" customFormat="false" ht="15" hidden="false" customHeight="false" outlineLevel="0" collapsed="false">
      <c r="A2103" s="18" t="s">
        <v>213</v>
      </c>
      <c r="B2103" s="18" t="s">
        <v>207</v>
      </c>
      <c r="C2103" s="18" t="s">
        <v>214</v>
      </c>
      <c r="D2103" s="49" t="n">
        <v>46327</v>
      </c>
      <c r="E2103" s="18" t="s">
        <v>130</v>
      </c>
      <c r="F2103" s="18" t="s">
        <v>119</v>
      </c>
      <c r="G2103" s="18" t="s">
        <v>110</v>
      </c>
      <c r="H2103" s="18" t="s">
        <v>107</v>
      </c>
      <c r="I2103" s="18" t="s">
        <v>125</v>
      </c>
      <c r="J2103" s="18" t="s">
        <v>239</v>
      </c>
      <c r="K2103" s="18" t="s">
        <v>195</v>
      </c>
      <c r="L2103" s="64" t="n">
        <v>187.3969344</v>
      </c>
      <c r="M2103" s="64" t="n">
        <v>7.88</v>
      </c>
      <c r="N2103" s="18" t="s">
        <v>1571</v>
      </c>
      <c r="O2103" s="65" t="n">
        <v>1476.6878</v>
      </c>
      <c r="P2103" s="65"/>
      <c r="Q2103" s="65"/>
      <c r="R2103" s="65" t="s">
        <v>232</v>
      </c>
      <c r="S2103" s="66" t="n">
        <f aca="false">Model_Calc!AV354</f>
        <v>1476.687843072</v>
      </c>
      <c r="T2103" s="66" t="n">
        <f aca="false">ROUND(S2103-O2103,4)</f>
        <v>0</v>
      </c>
    </row>
    <row r="2104" customFormat="false" ht="15" hidden="false" customHeight="false" outlineLevel="0" collapsed="false">
      <c r="A2104" s="18" t="s">
        <v>213</v>
      </c>
      <c r="B2104" s="18" t="s">
        <v>207</v>
      </c>
      <c r="C2104" s="18" t="s">
        <v>214</v>
      </c>
      <c r="D2104" s="49" t="n">
        <v>46327</v>
      </c>
      <c r="E2104" s="18" t="s">
        <v>130</v>
      </c>
      <c r="F2104" s="18" t="s">
        <v>119</v>
      </c>
      <c r="G2104" s="18" t="s">
        <v>110</v>
      </c>
      <c r="H2104" s="18" t="s">
        <v>107</v>
      </c>
      <c r="I2104" s="18" t="s">
        <v>125</v>
      </c>
      <c r="J2104" s="18" t="s">
        <v>241</v>
      </c>
      <c r="K2104" s="18" t="s">
        <v>195</v>
      </c>
      <c r="L2104" s="64" t="n">
        <v>16.52840961408</v>
      </c>
      <c r="M2104" s="64" t="n">
        <v>7.88</v>
      </c>
      <c r="N2104" s="18" t="s">
        <v>1907</v>
      </c>
      <c r="O2104" s="65" t="n">
        <v>130.2439</v>
      </c>
      <c r="P2104" s="65"/>
      <c r="Q2104" s="65"/>
      <c r="R2104" s="65" t="s">
        <v>232</v>
      </c>
      <c r="S2104" s="66" t="n">
        <f aca="false">Model_Calc!BA354</f>
        <v>130.24386775895</v>
      </c>
      <c r="T2104" s="66" t="n">
        <f aca="false">ROUND(S2104-O2104,4)</f>
        <v>0</v>
      </c>
    </row>
    <row r="2105" customFormat="false" ht="15" hidden="false" customHeight="false" outlineLevel="0" collapsed="false">
      <c r="A2105" s="18" t="s">
        <v>213</v>
      </c>
      <c r="B2105" s="18" t="s">
        <v>207</v>
      </c>
      <c r="C2105" s="18" t="s">
        <v>214</v>
      </c>
      <c r="D2105" s="49" t="n">
        <v>46357</v>
      </c>
      <c r="E2105" s="18" t="s">
        <v>98</v>
      </c>
      <c r="F2105" s="18" t="s">
        <v>99</v>
      </c>
      <c r="G2105" s="18" t="s">
        <v>100</v>
      </c>
      <c r="H2105" s="18" t="s">
        <v>101</v>
      </c>
      <c r="I2105" s="18" t="s">
        <v>102</v>
      </c>
      <c r="J2105" s="18" t="s">
        <v>230</v>
      </c>
      <c r="K2105" s="18" t="s">
        <v>195</v>
      </c>
      <c r="L2105" s="64" t="n">
        <v>10032.4568907763</v>
      </c>
      <c r="M2105" s="64" t="n">
        <v>7.86</v>
      </c>
      <c r="N2105" s="18" t="s">
        <v>1573</v>
      </c>
      <c r="O2105" s="65" t="n">
        <v>78855.1112</v>
      </c>
      <c r="P2105" s="65"/>
      <c r="Q2105" s="65"/>
      <c r="R2105" s="65" t="s">
        <v>232</v>
      </c>
      <c r="S2105" s="66" t="n">
        <f aca="false">Model_Calc!AF355</f>
        <v>78855.1111615019</v>
      </c>
      <c r="T2105" s="66" t="n">
        <f aca="false">ROUND(S2105-O2105,4)</f>
        <v>0</v>
      </c>
    </row>
    <row r="2106" customFormat="false" ht="15" hidden="false" customHeight="false" outlineLevel="0" collapsed="false">
      <c r="A2106" s="18" t="s">
        <v>213</v>
      </c>
      <c r="B2106" s="18" t="s">
        <v>207</v>
      </c>
      <c r="C2106" s="18" t="s">
        <v>214</v>
      </c>
      <c r="D2106" s="49" t="n">
        <v>46357</v>
      </c>
      <c r="E2106" s="18" t="s">
        <v>98</v>
      </c>
      <c r="F2106" s="18" t="s">
        <v>99</v>
      </c>
      <c r="G2106" s="18" t="s">
        <v>100</v>
      </c>
      <c r="H2106" s="18" t="s">
        <v>101</v>
      </c>
      <c r="I2106" s="18" t="s">
        <v>102</v>
      </c>
      <c r="J2106" s="18" t="s">
        <v>233</v>
      </c>
      <c r="K2106" s="18" t="s">
        <v>195</v>
      </c>
      <c r="L2106" s="64" t="n">
        <v>986.441323785582</v>
      </c>
      <c r="M2106" s="64" t="n">
        <v>7.86</v>
      </c>
      <c r="N2106" s="18" t="s">
        <v>1574</v>
      </c>
      <c r="O2106" s="65" t="n">
        <v>7753.4288</v>
      </c>
      <c r="P2106" s="65"/>
      <c r="Q2106" s="65"/>
      <c r="R2106" s="65" t="s">
        <v>232</v>
      </c>
      <c r="S2106" s="66" t="n">
        <f aca="false">Model_Calc!AG355</f>
        <v>7753.42880495467</v>
      </c>
      <c r="T2106" s="66" t="n">
        <f aca="false">ROUND(S2106-O2106,4)</f>
        <v>0</v>
      </c>
    </row>
    <row r="2107" customFormat="false" ht="15" hidden="false" customHeight="false" outlineLevel="0" collapsed="false">
      <c r="A2107" s="18" t="s">
        <v>213</v>
      </c>
      <c r="B2107" s="18" t="s">
        <v>207</v>
      </c>
      <c r="C2107" s="18" t="s">
        <v>214</v>
      </c>
      <c r="D2107" s="49" t="n">
        <v>46357</v>
      </c>
      <c r="E2107" s="18" t="s">
        <v>98</v>
      </c>
      <c r="F2107" s="18" t="s">
        <v>99</v>
      </c>
      <c r="G2107" s="18" t="s">
        <v>100</v>
      </c>
      <c r="H2107" s="18" t="s">
        <v>101</v>
      </c>
      <c r="I2107" s="18" t="s">
        <v>102</v>
      </c>
      <c r="J2107" s="18" t="s">
        <v>235</v>
      </c>
      <c r="K2107" s="18" t="s">
        <v>195</v>
      </c>
      <c r="L2107" s="64" t="n">
        <v>6719.77269518157</v>
      </c>
      <c r="M2107" s="64" t="n">
        <v>7.86</v>
      </c>
      <c r="N2107" s="18" t="s">
        <v>1575</v>
      </c>
      <c r="O2107" s="65" t="n">
        <v>52817.4134</v>
      </c>
      <c r="P2107" s="65"/>
      <c r="Q2107" s="65"/>
      <c r="R2107" s="65" t="s">
        <v>232</v>
      </c>
      <c r="S2107" s="66" t="n">
        <f aca="false">Model_Calc!AL355</f>
        <v>52817.4133841271</v>
      </c>
      <c r="T2107" s="66" t="n">
        <f aca="false">ROUND(S2107-O2107,4)</f>
        <v>0</v>
      </c>
    </row>
    <row r="2108" customFormat="false" ht="15" hidden="false" customHeight="false" outlineLevel="0" collapsed="false">
      <c r="A2108" s="18" t="s">
        <v>213</v>
      </c>
      <c r="B2108" s="18" t="s">
        <v>207</v>
      </c>
      <c r="C2108" s="18" t="s">
        <v>214</v>
      </c>
      <c r="D2108" s="49" t="n">
        <v>46357</v>
      </c>
      <c r="E2108" s="18" t="s">
        <v>98</v>
      </c>
      <c r="F2108" s="18" t="s">
        <v>99</v>
      </c>
      <c r="G2108" s="18" t="s">
        <v>100</v>
      </c>
      <c r="H2108" s="18" t="s">
        <v>101</v>
      </c>
      <c r="I2108" s="18" t="s">
        <v>102</v>
      </c>
      <c r="J2108" s="18" t="s">
        <v>237</v>
      </c>
      <c r="K2108" s="18" t="s">
        <v>195</v>
      </c>
      <c r="L2108" s="64" t="n">
        <v>2431.18459584</v>
      </c>
      <c r="M2108" s="64" t="n">
        <v>7.86</v>
      </c>
      <c r="N2108" s="18" t="s">
        <v>1576</v>
      </c>
      <c r="O2108" s="65" t="n">
        <v>19109.1109</v>
      </c>
      <c r="P2108" s="65"/>
      <c r="Q2108" s="65"/>
      <c r="R2108" s="65" t="s">
        <v>232</v>
      </c>
      <c r="S2108" s="66" t="n">
        <f aca="false">Model_Calc!AQ355</f>
        <v>19109.1109233024</v>
      </c>
      <c r="T2108" s="66" t="n">
        <f aca="false">ROUND(S2108-O2108,4)</f>
        <v>0</v>
      </c>
    </row>
    <row r="2109" customFormat="false" ht="15" hidden="false" customHeight="false" outlineLevel="0" collapsed="false">
      <c r="A2109" s="18" t="s">
        <v>213</v>
      </c>
      <c r="B2109" s="18" t="s">
        <v>207</v>
      </c>
      <c r="C2109" s="18" t="s">
        <v>214</v>
      </c>
      <c r="D2109" s="49" t="n">
        <v>46357</v>
      </c>
      <c r="E2109" s="18" t="s">
        <v>98</v>
      </c>
      <c r="F2109" s="18" t="s">
        <v>99</v>
      </c>
      <c r="G2109" s="18" t="s">
        <v>100</v>
      </c>
      <c r="H2109" s="18" t="s">
        <v>101</v>
      </c>
      <c r="I2109" s="18" t="s">
        <v>102</v>
      </c>
      <c r="J2109" s="18" t="s">
        <v>239</v>
      </c>
      <c r="K2109" s="18" t="s">
        <v>195</v>
      </c>
      <c r="L2109" s="64" t="n">
        <v>882.0624384</v>
      </c>
      <c r="M2109" s="64" t="n">
        <v>7.86</v>
      </c>
      <c r="N2109" s="18" t="s">
        <v>1577</v>
      </c>
      <c r="O2109" s="65" t="n">
        <v>6933.0108</v>
      </c>
      <c r="P2109" s="65"/>
      <c r="Q2109" s="65"/>
      <c r="R2109" s="65" t="s">
        <v>232</v>
      </c>
      <c r="S2109" s="66" t="n">
        <f aca="false">Model_Calc!AV355</f>
        <v>6933.010765824</v>
      </c>
      <c r="T2109" s="66" t="n">
        <f aca="false">ROUND(S2109-O2109,4)</f>
        <v>0</v>
      </c>
    </row>
    <row r="2110" customFormat="false" ht="15" hidden="false" customHeight="false" outlineLevel="0" collapsed="false">
      <c r="A2110" s="18" t="s">
        <v>213</v>
      </c>
      <c r="B2110" s="18" t="s">
        <v>207</v>
      </c>
      <c r="C2110" s="18" t="s">
        <v>214</v>
      </c>
      <c r="D2110" s="49" t="n">
        <v>46357</v>
      </c>
      <c r="E2110" s="18" t="s">
        <v>98</v>
      </c>
      <c r="F2110" s="18" t="s">
        <v>99</v>
      </c>
      <c r="G2110" s="18" t="s">
        <v>100</v>
      </c>
      <c r="H2110" s="18" t="s">
        <v>101</v>
      </c>
      <c r="I2110" s="18" t="s">
        <v>102</v>
      </c>
      <c r="J2110" s="18" t="s">
        <v>241</v>
      </c>
      <c r="K2110" s="18" t="s">
        <v>195</v>
      </c>
      <c r="L2110" s="64" t="n">
        <v>213.0180788736</v>
      </c>
      <c r="M2110" s="64" t="n">
        <v>7.86</v>
      </c>
      <c r="N2110" s="18" t="s">
        <v>1578</v>
      </c>
      <c r="O2110" s="65" t="n">
        <v>1674.3221</v>
      </c>
      <c r="P2110" s="65"/>
      <c r="Q2110" s="65"/>
      <c r="R2110" s="65" t="s">
        <v>232</v>
      </c>
      <c r="S2110" s="66" t="n">
        <f aca="false">Model_Calc!BA355</f>
        <v>1674.3220999465</v>
      </c>
      <c r="T2110" s="66" t="n">
        <f aca="false">ROUND(S2110-O2110,4)</f>
        <v>0</v>
      </c>
    </row>
    <row r="2111" customFormat="false" ht="15" hidden="false" customHeight="false" outlineLevel="0" collapsed="false">
      <c r="A2111" s="18" t="s">
        <v>213</v>
      </c>
      <c r="B2111" s="18" t="s">
        <v>207</v>
      </c>
      <c r="C2111" s="18" t="s">
        <v>214</v>
      </c>
      <c r="D2111" s="49" t="n">
        <v>46357</v>
      </c>
      <c r="E2111" s="18" t="s">
        <v>106</v>
      </c>
      <c r="F2111" s="18" t="s">
        <v>99</v>
      </c>
      <c r="G2111" s="18" t="s">
        <v>100</v>
      </c>
      <c r="H2111" s="18" t="s">
        <v>107</v>
      </c>
      <c r="I2111" s="18" t="s">
        <v>102</v>
      </c>
      <c r="J2111" s="18" t="s">
        <v>230</v>
      </c>
      <c r="K2111" s="18" t="s">
        <v>195</v>
      </c>
      <c r="L2111" s="64" t="n">
        <v>8574.749479296</v>
      </c>
      <c r="M2111" s="64" t="n">
        <v>7.86</v>
      </c>
      <c r="N2111" s="18" t="s">
        <v>1579</v>
      </c>
      <c r="O2111" s="65" t="n">
        <v>67397.5309</v>
      </c>
      <c r="P2111" s="65"/>
      <c r="Q2111" s="65"/>
      <c r="R2111" s="65" t="s">
        <v>232</v>
      </c>
      <c r="S2111" s="66" t="n">
        <f aca="false">Model_Calc!AF356</f>
        <v>67397.5309072666</v>
      </c>
      <c r="T2111" s="66" t="n">
        <f aca="false">ROUND(S2111-O2111,4)</f>
        <v>0</v>
      </c>
    </row>
    <row r="2112" customFormat="false" ht="15" hidden="false" customHeight="false" outlineLevel="0" collapsed="false">
      <c r="A2112" s="18" t="s">
        <v>213</v>
      </c>
      <c r="B2112" s="18" t="s">
        <v>207</v>
      </c>
      <c r="C2112" s="18" t="s">
        <v>214</v>
      </c>
      <c r="D2112" s="49" t="n">
        <v>46357</v>
      </c>
      <c r="E2112" s="18" t="s">
        <v>106</v>
      </c>
      <c r="F2112" s="18" t="s">
        <v>99</v>
      </c>
      <c r="G2112" s="18" t="s">
        <v>100</v>
      </c>
      <c r="H2112" s="18" t="s">
        <v>107</v>
      </c>
      <c r="I2112" s="18" t="s">
        <v>102</v>
      </c>
      <c r="J2112" s="18" t="s">
        <v>233</v>
      </c>
      <c r="K2112" s="18" t="s">
        <v>195</v>
      </c>
      <c r="L2112" s="64" t="n">
        <v>654.79905114624</v>
      </c>
      <c r="M2112" s="64" t="n">
        <v>7.86</v>
      </c>
      <c r="N2112" s="18" t="s">
        <v>1580</v>
      </c>
      <c r="O2112" s="65" t="n">
        <v>5146.7205</v>
      </c>
      <c r="P2112" s="65"/>
      <c r="Q2112" s="65"/>
      <c r="R2112" s="65" t="s">
        <v>232</v>
      </c>
      <c r="S2112" s="66" t="n">
        <f aca="false">Model_Calc!AG356</f>
        <v>5146.72054200945</v>
      </c>
      <c r="T2112" s="66" t="n">
        <f aca="false">ROUND(S2112-O2112,4)</f>
        <v>0</v>
      </c>
    </row>
    <row r="2113" customFormat="false" ht="15" hidden="false" customHeight="false" outlineLevel="0" collapsed="false">
      <c r="A2113" s="18" t="s">
        <v>213</v>
      </c>
      <c r="B2113" s="18" t="s">
        <v>207</v>
      </c>
      <c r="C2113" s="18" t="s">
        <v>214</v>
      </c>
      <c r="D2113" s="49" t="n">
        <v>46357</v>
      </c>
      <c r="E2113" s="18" t="s">
        <v>106</v>
      </c>
      <c r="F2113" s="18" t="s">
        <v>99</v>
      </c>
      <c r="G2113" s="18" t="s">
        <v>100</v>
      </c>
      <c r="H2113" s="18" t="s">
        <v>107</v>
      </c>
      <c r="I2113" s="18" t="s">
        <v>102</v>
      </c>
      <c r="J2113" s="18" t="s">
        <v>235</v>
      </c>
      <c r="K2113" s="18" t="s">
        <v>195</v>
      </c>
      <c r="L2113" s="64" t="n">
        <v>4479.84846345438</v>
      </c>
      <c r="M2113" s="64" t="n">
        <v>7.86</v>
      </c>
      <c r="N2113" s="18" t="s">
        <v>1581</v>
      </c>
      <c r="O2113" s="65" t="n">
        <v>35211.6089</v>
      </c>
      <c r="P2113" s="65"/>
      <c r="Q2113" s="65"/>
      <c r="R2113" s="65" t="s">
        <v>232</v>
      </c>
      <c r="S2113" s="66" t="n">
        <f aca="false">Model_Calc!AL356</f>
        <v>35211.6089227514</v>
      </c>
      <c r="T2113" s="66" t="n">
        <f aca="false">ROUND(S2113-O2113,4)</f>
        <v>0</v>
      </c>
    </row>
    <row r="2114" customFormat="false" ht="15" hidden="false" customHeight="false" outlineLevel="0" collapsed="false">
      <c r="A2114" s="18" t="s">
        <v>213</v>
      </c>
      <c r="B2114" s="18" t="s">
        <v>207</v>
      </c>
      <c r="C2114" s="18" t="s">
        <v>214</v>
      </c>
      <c r="D2114" s="49" t="n">
        <v>46357</v>
      </c>
      <c r="E2114" s="18" t="s">
        <v>106</v>
      </c>
      <c r="F2114" s="18" t="s">
        <v>99</v>
      </c>
      <c r="G2114" s="18" t="s">
        <v>100</v>
      </c>
      <c r="H2114" s="18" t="s">
        <v>107</v>
      </c>
      <c r="I2114" s="18" t="s">
        <v>102</v>
      </c>
      <c r="J2114" s="18" t="s">
        <v>237</v>
      </c>
      <c r="K2114" s="18" t="s">
        <v>195</v>
      </c>
      <c r="L2114" s="64" t="n">
        <v>1620.78973056</v>
      </c>
      <c r="M2114" s="64" t="n">
        <v>7.86</v>
      </c>
      <c r="N2114" s="18" t="s">
        <v>1582</v>
      </c>
      <c r="O2114" s="65" t="n">
        <v>12739.4073</v>
      </c>
      <c r="P2114" s="65"/>
      <c r="Q2114" s="65"/>
      <c r="R2114" s="65" t="s">
        <v>232</v>
      </c>
      <c r="S2114" s="66" t="n">
        <f aca="false">Model_Calc!AQ356</f>
        <v>12739.4072822016</v>
      </c>
      <c r="T2114" s="66" t="n">
        <f aca="false">ROUND(S2114-O2114,4)</f>
        <v>0</v>
      </c>
    </row>
    <row r="2115" customFormat="false" ht="15" hidden="false" customHeight="false" outlineLevel="0" collapsed="false">
      <c r="A2115" s="18" t="s">
        <v>213</v>
      </c>
      <c r="B2115" s="18" t="s">
        <v>207</v>
      </c>
      <c r="C2115" s="18" t="s">
        <v>214</v>
      </c>
      <c r="D2115" s="49" t="n">
        <v>46357</v>
      </c>
      <c r="E2115" s="18" t="s">
        <v>106</v>
      </c>
      <c r="F2115" s="18" t="s">
        <v>99</v>
      </c>
      <c r="G2115" s="18" t="s">
        <v>100</v>
      </c>
      <c r="H2115" s="18" t="s">
        <v>107</v>
      </c>
      <c r="I2115" s="18" t="s">
        <v>102</v>
      </c>
      <c r="J2115" s="18" t="s">
        <v>239</v>
      </c>
      <c r="K2115" s="18" t="s">
        <v>195</v>
      </c>
      <c r="L2115" s="64" t="n">
        <v>588.0416256</v>
      </c>
      <c r="M2115" s="64" t="n">
        <v>7.86</v>
      </c>
      <c r="N2115" s="18" t="s">
        <v>1583</v>
      </c>
      <c r="O2115" s="65" t="n">
        <v>4622.0072</v>
      </c>
      <c r="P2115" s="65"/>
      <c r="Q2115" s="65"/>
      <c r="R2115" s="65" t="s">
        <v>232</v>
      </c>
      <c r="S2115" s="66" t="n">
        <f aca="false">Model_Calc!AV356</f>
        <v>4622.007177216</v>
      </c>
      <c r="T2115" s="66" t="n">
        <f aca="false">ROUND(S2115-O2115,4)</f>
        <v>0</v>
      </c>
    </row>
    <row r="2116" customFormat="false" ht="15" hidden="false" customHeight="false" outlineLevel="0" collapsed="false">
      <c r="A2116" s="18" t="s">
        <v>213</v>
      </c>
      <c r="B2116" s="18" t="s">
        <v>207</v>
      </c>
      <c r="C2116" s="18" t="s">
        <v>214</v>
      </c>
      <c r="D2116" s="49" t="n">
        <v>46357</v>
      </c>
      <c r="E2116" s="18" t="s">
        <v>106</v>
      </c>
      <c r="F2116" s="18" t="s">
        <v>99</v>
      </c>
      <c r="G2116" s="18" t="s">
        <v>100</v>
      </c>
      <c r="H2116" s="18" t="s">
        <v>107</v>
      </c>
      <c r="I2116" s="18" t="s">
        <v>102</v>
      </c>
      <c r="J2116" s="18" t="s">
        <v>241</v>
      </c>
      <c r="K2116" s="18" t="s">
        <v>195</v>
      </c>
      <c r="L2116" s="64" t="n">
        <v>115.3847927232</v>
      </c>
      <c r="M2116" s="64" t="n">
        <v>7.86</v>
      </c>
      <c r="N2116" s="18" t="s">
        <v>1584</v>
      </c>
      <c r="O2116" s="65" t="n">
        <v>906.9245</v>
      </c>
      <c r="P2116" s="65"/>
      <c r="Q2116" s="65"/>
      <c r="R2116" s="65" t="s">
        <v>232</v>
      </c>
      <c r="S2116" s="66" t="n">
        <f aca="false">Model_Calc!BA356</f>
        <v>906.924470804352</v>
      </c>
      <c r="T2116" s="66" t="n">
        <f aca="false">ROUND(S2116-O2116,4)</f>
        <v>0</v>
      </c>
    </row>
    <row r="2117" customFormat="false" ht="15" hidden="false" customHeight="false" outlineLevel="0" collapsed="false">
      <c r="A2117" s="18" t="s">
        <v>213</v>
      </c>
      <c r="B2117" s="18" t="s">
        <v>207</v>
      </c>
      <c r="C2117" s="18" t="s">
        <v>214</v>
      </c>
      <c r="D2117" s="49" t="n">
        <v>46357</v>
      </c>
      <c r="E2117" s="18" t="s">
        <v>109</v>
      </c>
      <c r="F2117" s="18" t="s">
        <v>99</v>
      </c>
      <c r="G2117" s="18" t="s">
        <v>110</v>
      </c>
      <c r="H2117" s="18" t="s">
        <v>107</v>
      </c>
      <c r="I2117" s="18" t="s">
        <v>102</v>
      </c>
      <c r="J2117" s="18" t="s">
        <v>230</v>
      </c>
      <c r="K2117" s="18" t="s">
        <v>195</v>
      </c>
      <c r="L2117" s="64" t="n">
        <v>879.70110269184</v>
      </c>
      <c r="M2117" s="64" t="n">
        <v>7.86</v>
      </c>
      <c r="N2117" s="18" t="s">
        <v>1585</v>
      </c>
      <c r="O2117" s="65" t="n">
        <v>6914.4507</v>
      </c>
      <c r="P2117" s="65"/>
      <c r="Q2117" s="65"/>
      <c r="R2117" s="65" t="s">
        <v>232</v>
      </c>
      <c r="S2117" s="66" t="n">
        <f aca="false">Model_Calc!AF357</f>
        <v>6914.45066715787</v>
      </c>
      <c r="T2117" s="66" t="n">
        <f aca="false">ROUND(S2117-O2117,4)</f>
        <v>0</v>
      </c>
    </row>
    <row r="2118" customFormat="false" ht="15" hidden="false" customHeight="false" outlineLevel="0" collapsed="false">
      <c r="A2118" s="18" t="s">
        <v>213</v>
      </c>
      <c r="B2118" s="18" t="s">
        <v>207</v>
      </c>
      <c r="C2118" s="18" t="s">
        <v>214</v>
      </c>
      <c r="D2118" s="49" t="n">
        <v>46357</v>
      </c>
      <c r="E2118" s="18" t="s">
        <v>109</v>
      </c>
      <c r="F2118" s="18" t="s">
        <v>99</v>
      </c>
      <c r="G2118" s="18" t="s">
        <v>110</v>
      </c>
      <c r="H2118" s="18" t="s">
        <v>107</v>
      </c>
      <c r="I2118" s="18" t="s">
        <v>102</v>
      </c>
      <c r="J2118" s="18" t="s">
        <v>233</v>
      </c>
      <c r="K2118" s="18" t="s">
        <v>195</v>
      </c>
      <c r="L2118" s="64" t="n">
        <v>63.978262013952</v>
      </c>
      <c r="M2118" s="64" t="n">
        <v>7.86</v>
      </c>
      <c r="N2118" s="18" t="s">
        <v>1586</v>
      </c>
      <c r="O2118" s="65" t="n">
        <v>502.8691</v>
      </c>
      <c r="P2118" s="65"/>
      <c r="Q2118" s="65"/>
      <c r="R2118" s="65" t="s">
        <v>232</v>
      </c>
      <c r="S2118" s="66" t="n">
        <f aca="false">Model_Calc!AG357</f>
        <v>502.869139429663</v>
      </c>
      <c r="T2118" s="66" t="n">
        <f aca="false">ROUND(S2118-O2118,4)</f>
        <v>0</v>
      </c>
    </row>
    <row r="2119" customFormat="false" ht="15" hidden="false" customHeight="false" outlineLevel="0" collapsed="false">
      <c r="A2119" s="18" t="s">
        <v>213</v>
      </c>
      <c r="B2119" s="18" t="s">
        <v>207</v>
      </c>
      <c r="C2119" s="18" t="s">
        <v>214</v>
      </c>
      <c r="D2119" s="49" t="n">
        <v>46357</v>
      </c>
      <c r="E2119" s="18" t="s">
        <v>109</v>
      </c>
      <c r="F2119" s="18" t="s">
        <v>99</v>
      </c>
      <c r="G2119" s="18" t="s">
        <v>110</v>
      </c>
      <c r="H2119" s="18" t="s">
        <v>107</v>
      </c>
      <c r="I2119" s="18" t="s">
        <v>102</v>
      </c>
      <c r="J2119" s="18" t="s">
        <v>235</v>
      </c>
      <c r="K2119" s="18" t="s">
        <v>195</v>
      </c>
      <c r="L2119" s="64" t="n">
        <v>298.37808</v>
      </c>
      <c r="M2119" s="64" t="n">
        <v>7.86</v>
      </c>
      <c r="N2119" s="18" t="s">
        <v>1587</v>
      </c>
      <c r="O2119" s="65" t="n">
        <v>2345.2517</v>
      </c>
      <c r="P2119" s="65"/>
      <c r="Q2119" s="65"/>
      <c r="R2119" s="65" t="s">
        <v>232</v>
      </c>
      <c r="S2119" s="66" t="n">
        <f aca="false">Model_Calc!AL357</f>
        <v>2345.2517088</v>
      </c>
      <c r="T2119" s="66" t="n">
        <f aca="false">ROUND(S2119-O2119,4)</f>
        <v>0</v>
      </c>
    </row>
    <row r="2120" customFormat="false" ht="15" hidden="false" customHeight="false" outlineLevel="0" collapsed="false">
      <c r="A2120" s="18" t="s">
        <v>213</v>
      </c>
      <c r="B2120" s="18" t="s">
        <v>207</v>
      </c>
      <c r="C2120" s="18" t="s">
        <v>214</v>
      </c>
      <c r="D2120" s="49" t="n">
        <v>46357</v>
      </c>
      <c r="E2120" s="18" t="s">
        <v>109</v>
      </c>
      <c r="F2120" s="18" t="s">
        <v>99</v>
      </c>
      <c r="G2120" s="18" t="s">
        <v>110</v>
      </c>
      <c r="H2120" s="18" t="s">
        <v>107</v>
      </c>
      <c r="I2120" s="18" t="s">
        <v>102</v>
      </c>
      <c r="J2120" s="18" t="s">
        <v>237</v>
      </c>
      <c r="K2120" s="18" t="s">
        <v>195</v>
      </c>
      <c r="L2120" s="64" t="n">
        <v>116.62320384</v>
      </c>
      <c r="M2120" s="64" t="n">
        <v>7.86</v>
      </c>
      <c r="N2120" s="18" t="s">
        <v>1588</v>
      </c>
      <c r="O2120" s="65" t="n">
        <v>916.6584</v>
      </c>
      <c r="P2120" s="65"/>
      <c r="Q2120" s="65"/>
      <c r="R2120" s="65" t="s">
        <v>232</v>
      </c>
      <c r="S2120" s="66" t="n">
        <f aca="false">Model_Calc!AQ357</f>
        <v>916.6583821824</v>
      </c>
      <c r="T2120" s="66" t="n">
        <f aca="false">ROUND(S2120-O2120,4)</f>
        <v>0</v>
      </c>
    </row>
    <row r="2121" customFormat="false" ht="15" hidden="false" customHeight="false" outlineLevel="0" collapsed="false">
      <c r="A2121" s="18" t="s">
        <v>213</v>
      </c>
      <c r="B2121" s="18" t="s">
        <v>207</v>
      </c>
      <c r="C2121" s="18" t="s">
        <v>214</v>
      </c>
      <c r="D2121" s="49" t="n">
        <v>46357</v>
      </c>
      <c r="E2121" s="18" t="s">
        <v>109</v>
      </c>
      <c r="F2121" s="18" t="s">
        <v>99</v>
      </c>
      <c r="G2121" s="18" t="s">
        <v>110</v>
      </c>
      <c r="H2121" s="18" t="s">
        <v>107</v>
      </c>
      <c r="I2121" s="18" t="s">
        <v>102</v>
      </c>
      <c r="J2121" s="18" t="s">
        <v>239</v>
      </c>
      <c r="K2121" s="18" t="s">
        <v>195</v>
      </c>
      <c r="L2121" s="64" t="n">
        <v>53.992224</v>
      </c>
      <c r="M2121" s="64" t="n">
        <v>7.86</v>
      </c>
      <c r="N2121" s="18" t="s">
        <v>1589</v>
      </c>
      <c r="O2121" s="65" t="n">
        <v>424.3789</v>
      </c>
      <c r="P2121" s="65"/>
      <c r="Q2121" s="65"/>
      <c r="R2121" s="65" t="s">
        <v>232</v>
      </c>
      <c r="S2121" s="66" t="n">
        <f aca="false">Model_Calc!AV357</f>
        <v>424.37888064</v>
      </c>
      <c r="T2121" s="66" t="n">
        <f aca="false">ROUND(S2121-O2121,4)</f>
        <v>0</v>
      </c>
    </row>
    <row r="2122" customFormat="false" ht="15" hidden="false" customHeight="false" outlineLevel="0" collapsed="false">
      <c r="A2122" s="18" t="s">
        <v>213</v>
      </c>
      <c r="B2122" s="18" t="s">
        <v>207</v>
      </c>
      <c r="C2122" s="18" t="s">
        <v>214</v>
      </c>
      <c r="D2122" s="49" t="n">
        <v>46357</v>
      </c>
      <c r="E2122" s="18" t="s">
        <v>109</v>
      </c>
      <c r="F2122" s="18" t="s">
        <v>99</v>
      </c>
      <c r="G2122" s="18" t="s">
        <v>110</v>
      </c>
      <c r="H2122" s="18" t="s">
        <v>107</v>
      </c>
      <c r="I2122" s="18" t="s">
        <v>102</v>
      </c>
      <c r="J2122" s="18" t="s">
        <v>241</v>
      </c>
      <c r="K2122" s="18" t="s">
        <v>195</v>
      </c>
      <c r="L2122" s="64" t="n">
        <v>9.8822820096</v>
      </c>
      <c r="M2122" s="64" t="n">
        <v>7.86</v>
      </c>
      <c r="N2122" s="18" t="s">
        <v>1590</v>
      </c>
      <c r="O2122" s="65" t="n">
        <v>77.6747</v>
      </c>
      <c r="P2122" s="65"/>
      <c r="Q2122" s="65"/>
      <c r="R2122" s="65" t="s">
        <v>232</v>
      </c>
      <c r="S2122" s="66" t="n">
        <f aca="false">Model_Calc!BA357</f>
        <v>77.674736595456</v>
      </c>
      <c r="T2122" s="66" t="n">
        <f aca="false">ROUND(S2122-O2122,4)</f>
        <v>0</v>
      </c>
    </row>
    <row r="2123" customFormat="false" ht="15" hidden="false" customHeight="false" outlineLevel="0" collapsed="false">
      <c r="A2123" s="18" t="s">
        <v>213</v>
      </c>
      <c r="B2123" s="18" t="s">
        <v>207</v>
      </c>
      <c r="C2123" s="18" t="s">
        <v>214</v>
      </c>
      <c r="D2123" s="49" t="n">
        <v>46357</v>
      </c>
      <c r="E2123" s="18" t="s">
        <v>112</v>
      </c>
      <c r="F2123" s="18" t="s">
        <v>113</v>
      </c>
      <c r="G2123" s="18" t="s">
        <v>110</v>
      </c>
      <c r="H2123" s="18" t="s">
        <v>101</v>
      </c>
      <c r="I2123" s="18" t="s">
        <v>102</v>
      </c>
      <c r="J2123" s="18" t="s">
        <v>230</v>
      </c>
      <c r="K2123" s="18" t="s">
        <v>195</v>
      </c>
      <c r="L2123" s="64" t="n">
        <v>4956.6994324848</v>
      </c>
      <c r="M2123" s="64" t="n">
        <v>7.86</v>
      </c>
      <c r="N2123" s="18" t="s">
        <v>1591</v>
      </c>
      <c r="O2123" s="65" t="n">
        <v>38959.6575</v>
      </c>
      <c r="P2123" s="65"/>
      <c r="Q2123" s="65"/>
      <c r="R2123" s="65" t="s">
        <v>232</v>
      </c>
      <c r="S2123" s="66" t="n">
        <f aca="false">Model_Calc!AF358</f>
        <v>38959.6575393305</v>
      </c>
      <c r="T2123" s="66" t="n">
        <f aca="false">ROUND(S2123-O2123,4)</f>
        <v>0</v>
      </c>
    </row>
    <row r="2124" customFormat="false" ht="15" hidden="false" customHeight="false" outlineLevel="0" collapsed="false">
      <c r="A2124" s="18" t="s">
        <v>213</v>
      </c>
      <c r="B2124" s="18" t="s">
        <v>207</v>
      </c>
      <c r="C2124" s="18" t="s">
        <v>214</v>
      </c>
      <c r="D2124" s="49" t="n">
        <v>46357</v>
      </c>
      <c r="E2124" s="18" t="s">
        <v>112</v>
      </c>
      <c r="F2124" s="18" t="s">
        <v>113</v>
      </c>
      <c r="G2124" s="18" t="s">
        <v>110</v>
      </c>
      <c r="H2124" s="18" t="s">
        <v>101</v>
      </c>
      <c r="I2124" s="18" t="s">
        <v>102</v>
      </c>
      <c r="J2124" s="18" t="s">
        <v>233</v>
      </c>
      <c r="K2124" s="18" t="s">
        <v>195</v>
      </c>
      <c r="L2124" s="64" t="n">
        <v>461.716552135959</v>
      </c>
      <c r="M2124" s="64" t="n">
        <v>7.86</v>
      </c>
      <c r="N2124" s="18" t="s">
        <v>1592</v>
      </c>
      <c r="O2124" s="65" t="n">
        <v>3629.0921</v>
      </c>
      <c r="P2124" s="65"/>
      <c r="Q2124" s="65"/>
      <c r="R2124" s="65" t="s">
        <v>232</v>
      </c>
      <c r="S2124" s="66" t="n">
        <f aca="false">Model_Calc!AG358</f>
        <v>3629.09209978864</v>
      </c>
      <c r="T2124" s="66" t="n">
        <f aca="false">ROUND(S2124-O2124,4)</f>
        <v>0</v>
      </c>
    </row>
    <row r="2125" customFormat="false" ht="15" hidden="false" customHeight="false" outlineLevel="0" collapsed="false">
      <c r="A2125" s="18" t="s">
        <v>213</v>
      </c>
      <c r="B2125" s="18" t="s">
        <v>207</v>
      </c>
      <c r="C2125" s="18" t="s">
        <v>214</v>
      </c>
      <c r="D2125" s="49" t="n">
        <v>46357</v>
      </c>
      <c r="E2125" s="18" t="s">
        <v>112</v>
      </c>
      <c r="F2125" s="18" t="s">
        <v>113</v>
      </c>
      <c r="G2125" s="18" t="s">
        <v>110</v>
      </c>
      <c r="H2125" s="18" t="s">
        <v>101</v>
      </c>
      <c r="I2125" s="18" t="s">
        <v>102</v>
      </c>
      <c r="J2125" s="18" t="s">
        <v>235</v>
      </c>
      <c r="K2125" s="18" t="s">
        <v>195</v>
      </c>
      <c r="L2125" s="64" t="n">
        <v>3045.9429</v>
      </c>
      <c r="M2125" s="64" t="n">
        <v>7.86</v>
      </c>
      <c r="N2125" s="18" t="s">
        <v>1593</v>
      </c>
      <c r="O2125" s="65" t="n">
        <v>23941.1112</v>
      </c>
      <c r="P2125" s="65"/>
      <c r="Q2125" s="65"/>
      <c r="R2125" s="65" t="s">
        <v>232</v>
      </c>
      <c r="S2125" s="66" t="n">
        <f aca="false">Model_Calc!AL358</f>
        <v>23941.111194</v>
      </c>
      <c r="T2125" s="66" t="n">
        <f aca="false">ROUND(S2125-O2125,4)</f>
        <v>0</v>
      </c>
    </row>
    <row r="2126" customFormat="false" ht="15" hidden="false" customHeight="false" outlineLevel="0" collapsed="false">
      <c r="A2126" s="18" t="s">
        <v>213</v>
      </c>
      <c r="B2126" s="18" t="s">
        <v>207</v>
      </c>
      <c r="C2126" s="18" t="s">
        <v>214</v>
      </c>
      <c r="D2126" s="49" t="n">
        <v>46357</v>
      </c>
      <c r="E2126" s="18" t="s">
        <v>112</v>
      </c>
      <c r="F2126" s="18" t="s">
        <v>113</v>
      </c>
      <c r="G2126" s="18" t="s">
        <v>110</v>
      </c>
      <c r="H2126" s="18" t="s">
        <v>101</v>
      </c>
      <c r="I2126" s="18" t="s">
        <v>102</v>
      </c>
      <c r="J2126" s="18" t="s">
        <v>237</v>
      </c>
      <c r="K2126" s="18" t="s">
        <v>195</v>
      </c>
      <c r="L2126" s="64" t="n">
        <v>1168.4817144</v>
      </c>
      <c r="M2126" s="64" t="n">
        <v>7.86</v>
      </c>
      <c r="N2126" s="18" t="s">
        <v>1594</v>
      </c>
      <c r="O2126" s="65" t="n">
        <v>9184.2663</v>
      </c>
      <c r="P2126" s="65"/>
      <c r="Q2126" s="65"/>
      <c r="R2126" s="65" t="s">
        <v>232</v>
      </c>
      <c r="S2126" s="66" t="n">
        <f aca="false">Model_Calc!AQ358</f>
        <v>9184.266275184</v>
      </c>
      <c r="T2126" s="66" t="n">
        <f aca="false">ROUND(S2126-O2126,4)</f>
        <v>0</v>
      </c>
    </row>
    <row r="2127" customFormat="false" ht="15" hidden="false" customHeight="false" outlineLevel="0" collapsed="false">
      <c r="A2127" s="18" t="s">
        <v>213</v>
      </c>
      <c r="B2127" s="18" t="s">
        <v>207</v>
      </c>
      <c r="C2127" s="18" t="s">
        <v>214</v>
      </c>
      <c r="D2127" s="49" t="n">
        <v>46357</v>
      </c>
      <c r="E2127" s="18" t="s">
        <v>112</v>
      </c>
      <c r="F2127" s="18" t="s">
        <v>113</v>
      </c>
      <c r="G2127" s="18" t="s">
        <v>110</v>
      </c>
      <c r="H2127" s="18" t="s">
        <v>101</v>
      </c>
      <c r="I2127" s="18" t="s">
        <v>102</v>
      </c>
      <c r="J2127" s="18" t="s">
        <v>239</v>
      </c>
      <c r="K2127" s="18" t="s">
        <v>195</v>
      </c>
      <c r="L2127" s="64" t="n">
        <v>522.16164</v>
      </c>
      <c r="M2127" s="64" t="n">
        <v>7.86</v>
      </c>
      <c r="N2127" s="18" t="s">
        <v>1595</v>
      </c>
      <c r="O2127" s="65" t="n">
        <v>4104.1905</v>
      </c>
      <c r="P2127" s="65"/>
      <c r="Q2127" s="65"/>
      <c r="R2127" s="65" t="s">
        <v>232</v>
      </c>
      <c r="S2127" s="66" t="n">
        <f aca="false">Model_Calc!AV358</f>
        <v>4104.1904904</v>
      </c>
      <c r="T2127" s="66" t="n">
        <f aca="false">ROUND(S2127-O2127,4)</f>
        <v>0</v>
      </c>
    </row>
    <row r="2128" customFormat="false" ht="15" hidden="false" customHeight="false" outlineLevel="0" collapsed="false">
      <c r="A2128" s="18" t="s">
        <v>213</v>
      </c>
      <c r="B2128" s="18" t="s">
        <v>207</v>
      </c>
      <c r="C2128" s="18" t="s">
        <v>214</v>
      </c>
      <c r="D2128" s="49" t="n">
        <v>46357</v>
      </c>
      <c r="E2128" s="18" t="s">
        <v>112</v>
      </c>
      <c r="F2128" s="18" t="s">
        <v>113</v>
      </c>
      <c r="G2128" s="18" t="s">
        <v>110</v>
      </c>
      <c r="H2128" s="18" t="s">
        <v>101</v>
      </c>
      <c r="I2128" s="18" t="s">
        <v>102</v>
      </c>
      <c r="J2128" s="18" t="s">
        <v>241</v>
      </c>
      <c r="K2128" s="18" t="s">
        <v>195</v>
      </c>
      <c r="L2128" s="64" t="n">
        <v>120.230618508</v>
      </c>
      <c r="M2128" s="64" t="n">
        <v>7.86</v>
      </c>
      <c r="N2128" s="18" t="s">
        <v>1596</v>
      </c>
      <c r="O2128" s="65" t="n">
        <v>945.0127</v>
      </c>
      <c r="P2128" s="65"/>
      <c r="Q2128" s="65"/>
      <c r="R2128" s="65" t="s">
        <v>232</v>
      </c>
      <c r="S2128" s="66" t="n">
        <f aca="false">Model_Calc!BA358</f>
        <v>945.01266147288</v>
      </c>
      <c r="T2128" s="66" t="n">
        <f aca="false">ROUND(S2128-O2128,4)</f>
        <v>0</v>
      </c>
    </row>
    <row r="2129" customFormat="false" ht="15" hidden="false" customHeight="false" outlineLevel="0" collapsed="false">
      <c r="A2129" s="18" t="s">
        <v>213</v>
      </c>
      <c r="B2129" s="18" t="s">
        <v>207</v>
      </c>
      <c r="C2129" s="18" t="s">
        <v>214</v>
      </c>
      <c r="D2129" s="49" t="n">
        <v>46357</v>
      </c>
      <c r="E2129" s="18" t="s">
        <v>116</v>
      </c>
      <c r="F2129" s="18" t="s">
        <v>113</v>
      </c>
      <c r="G2129" s="18" t="s">
        <v>110</v>
      </c>
      <c r="H2129" s="18" t="s">
        <v>107</v>
      </c>
      <c r="I2129" s="18" t="s">
        <v>102</v>
      </c>
      <c r="J2129" s="18" t="s">
        <v>230</v>
      </c>
      <c r="K2129" s="18" t="s">
        <v>195</v>
      </c>
      <c r="L2129" s="64" t="n">
        <v>11846.9198215368</v>
      </c>
      <c r="M2129" s="64" t="n">
        <v>7.86</v>
      </c>
      <c r="N2129" s="18" t="s">
        <v>1597</v>
      </c>
      <c r="O2129" s="65" t="n">
        <v>93116.7898</v>
      </c>
      <c r="P2129" s="65"/>
      <c r="Q2129" s="65"/>
      <c r="R2129" s="65" t="s">
        <v>232</v>
      </c>
      <c r="S2129" s="66" t="n">
        <f aca="false">Model_Calc!AF359</f>
        <v>93116.7897972793</v>
      </c>
      <c r="T2129" s="66" t="n">
        <f aca="false">ROUND(S2129-O2129,4)</f>
        <v>0</v>
      </c>
    </row>
    <row r="2130" customFormat="false" ht="15" hidden="false" customHeight="false" outlineLevel="0" collapsed="false">
      <c r="A2130" s="18" t="s">
        <v>213</v>
      </c>
      <c r="B2130" s="18" t="s">
        <v>207</v>
      </c>
      <c r="C2130" s="18" t="s">
        <v>214</v>
      </c>
      <c r="D2130" s="49" t="n">
        <v>46357</v>
      </c>
      <c r="E2130" s="18" t="s">
        <v>116</v>
      </c>
      <c r="F2130" s="18" t="s">
        <v>113</v>
      </c>
      <c r="G2130" s="18" t="s">
        <v>110</v>
      </c>
      <c r="H2130" s="18" t="s">
        <v>107</v>
      </c>
      <c r="I2130" s="18" t="s">
        <v>102</v>
      </c>
      <c r="J2130" s="18" t="s">
        <v>233</v>
      </c>
      <c r="K2130" s="18" t="s">
        <v>195</v>
      </c>
      <c r="L2130" s="64" t="n">
        <v>911.3015247336</v>
      </c>
      <c r="M2130" s="64" t="n">
        <v>7.86</v>
      </c>
      <c r="N2130" s="18" t="s">
        <v>1598</v>
      </c>
      <c r="O2130" s="65" t="n">
        <v>7162.83</v>
      </c>
      <c r="P2130" s="65"/>
      <c r="Q2130" s="65"/>
      <c r="R2130" s="65" t="s">
        <v>232</v>
      </c>
      <c r="S2130" s="66" t="n">
        <f aca="false">Model_Calc!AG359</f>
        <v>7162.8299844061</v>
      </c>
      <c r="T2130" s="66" t="n">
        <f aca="false">ROUND(S2130-O2130,4)</f>
        <v>0</v>
      </c>
    </row>
    <row r="2131" customFormat="false" ht="15" hidden="false" customHeight="false" outlineLevel="0" collapsed="false">
      <c r="A2131" s="18" t="s">
        <v>213</v>
      </c>
      <c r="B2131" s="18" t="s">
        <v>207</v>
      </c>
      <c r="C2131" s="18" t="s">
        <v>214</v>
      </c>
      <c r="D2131" s="49" t="n">
        <v>46357</v>
      </c>
      <c r="E2131" s="18" t="s">
        <v>116</v>
      </c>
      <c r="F2131" s="18" t="s">
        <v>113</v>
      </c>
      <c r="G2131" s="18" t="s">
        <v>110</v>
      </c>
      <c r="H2131" s="18" t="s">
        <v>107</v>
      </c>
      <c r="I2131" s="18" t="s">
        <v>102</v>
      </c>
      <c r="J2131" s="18" t="s">
        <v>235</v>
      </c>
      <c r="K2131" s="18" t="s">
        <v>195</v>
      </c>
      <c r="L2131" s="64" t="n">
        <v>5656.7511</v>
      </c>
      <c r="M2131" s="64" t="n">
        <v>7.86</v>
      </c>
      <c r="N2131" s="18" t="s">
        <v>1599</v>
      </c>
      <c r="O2131" s="65" t="n">
        <v>44462.0636</v>
      </c>
      <c r="P2131" s="65"/>
      <c r="Q2131" s="65"/>
      <c r="R2131" s="65" t="s">
        <v>232</v>
      </c>
      <c r="S2131" s="66" t="n">
        <f aca="false">Model_Calc!AL359</f>
        <v>44462.063646</v>
      </c>
      <c r="T2131" s="66" t="n">
        <f aca="false">ROUND(S2131-O2131,4)</f>
        <v>0</v>
      </c>
    </row>
    <row r="2132" customFormat="false" ht="15" hidden="false" customHeight="false" outlineLevel="0" collapsed="false">
      <c r="A2132" s="18" t="s">
        <v>213</v>
      </c>
      <c r="B2132" s="18" t="s">
        <v>207</v>
      </c>
      <c r="C2132" s="18" t="s">
        <v>214</v>
      </c>
      <c r="D2132" s="49" t="n">
        <v>46357</v>
      </c>
      <c r="E2132" s="18" t="s">
        <v>116</v>
      </c>
      <c r="F2132" s="18" t="s">
        <v>113</v>
      </c>
      <c r="G2132" s="18" t="s">
        <v>110</v>
      </c>
      <c r="H2132" s="18" t="s">
        <v>107</v>
      </c>
      <c r="I2132" s="18" t="s">
        <v>102</v>
      </c>
      <c r="J2132" s="18" t="s">
        <v>237</v>
      </c>
      <c r="K2132" s="18" t="s">
        <v>195</v>
      </c>
      <c r="L2132" s="64" t="n">
        <v>2170.0374696</v>
      </c>
      <c r="M2132" s="64" t="n">
        <v>7.86</v>
      </c>
      <c r="N2132" s="18" t="s">
        <v>1600</v>
      </c>
      <c r="O2132" s="65" t="n">
        <v>17056.4945</v>
      </c>
      <c r="P2132" s="65"/>
      <c r="Q2132" s="65"/>
      <c r="R2132" s="65" t="s">
        <v>232</v>
      </c>
      <c r="S2132" s="66" t="n">
        <f aca="false">Model_Calc!AQ359</f>
        <v>17056.494511056</v>
      </c>
      <c r="T2132" s="66" t="n">
        <f aca="false">ROUND(S2132-O2132,4)</f>
        <v>0</v>
      </c>
    </row>
    <row r="2133" customFormat="false" ht="15" hidden="false" customHeight="false" outlineLevel="0" collapsed="false">
      <c r="A2133" s="18" t="s">
        <v>213</v>
      </c>
      <c r="B2133" s="18" t="s">
        <v>207</v>
      </c>
      <c r="C2133" s="18" t="s">
        <v>214</v>
      </c>
      <c r="D2133" s="49" t="n">
        <v>46357</v>
      </c>
      <c r="E2133" s="18" t="s">
        <v>116</v>
      </c>
      <c r="F2133" s="18" t="s">
        <v>113</v>
      </c>
      <c r="G2133" s="18" t="s">
        <v>110</v>
      </c>
      <c r="H2133" s="18" t="s">
        <v>107</v>
      </c>
      <c r="I2133" s="18" t="s">
        <v>102</v>
      </c>
      <c r="J2133" s="18" t="s">
        <v>239</v>
      </c>
      <c r="K2133" s="18" t="s">
        <v>195</v>
      </c>
      <c r="L2133" s="64" t="n">
        <v>969.72876</v>
      </c>
      <c r="M2133" s="64" t="n">
        <v>7.86</v>
      </c>
      <c r="N2133" s="18" t="s">
        <v>1601</v>
      </c>
      <c r="O2133" s="65" t="n">
        <v>7622.0681</v>
      </c>
      <c r="P2133" s="65"/>
      <c r="Q2133" s="65"/>
      <c r="R2133" s="65" t="s">
        <v>232</v>
      </c>
      <c r="S2133" s="66" t="n">
        <f aca="false">Model_Calc!AV359</f>
        <v>7622.0680536</v>
      </c>
      <c r="T2133" s="66" t="n">
        <f aca="false">ROUND(S2133-O2133,4)</f>
        <v>0</v>
      </c>
    </row>
    <row r="2134" customFormat="false" ht="15" hidden="false" customHeight="false" outlineLevel="0" collapsed="false">
      <c r="A2134" s="18" t="s">
        <v>213</v>
      </c>
      <c r="B2134" s="18" t="s">
        <v>207</v>
      </c>
      <c r="C2134" s="18" t="s">
        <v>214</v>
      </c>
      <c r="D2134" s="49" t="n">
        <v>46357</v>
      </c>
      <c r="E2134" s="18" t="s">
        <v>116</v>
      </c>
      <c r="F2134" s="18" t="s">
        <v>113</v>
      </c>
      <c r="G2134" s="18" t="s">
        <v>110</v>
      </c>
      <c r="H2134" s="18" t="s">
        <v>107</v>
      </c>
      <c r="I2134" s="18" t="s">
        <v>102</v>
      </c>
      <c r="J2134" s="18" t="s">
        <v>241</v>
      </c>
      <c r="K2134" s="18" t="s">
        <v>195</v>
      </c>
      <c r="L2134" s="64" t="n">
        <v>183.882122424</v>
      </c>
      <c r="M2134" s="64" t="n">
        <v>7.86</v>
      </c>
      <c r="N2134" s="18" t="s">
        <v>1602</v>
      </c>
      <c r="O2134" s="65" t="n">
        <v>1445.3135</v>
      </c>
      <c r="P2134" s="65"/>
      <c r="Q2134" s="65"/>
      <c r="R2134" s="65" t="s">
        <v>232</v>
      </c>
      <c r="S2134" s="66" t="n">
        <f aca="false">Model_Calc!BA359</f>
        <v>1445.31348225264</v>
      </c>
      <c r="T2134" s="66" t="n">
        <f aca="false">ROUND(S2134-O2134,4)</f>
        <v>0</v>
      </c>
    </row>
    <row r="2135" customFormat="false" ht="15" hidden="false" customHeight="false" outlineLevel="0" collapsed="false">
      <c r="A2135" s="18" t="s">
        <v>213</v>
      </c>
      <c r="B2135" s="18" t="s">
        <v>207</v>
      </c>
      <c r="C2135" s="18" t="s">
        <v>214</v>
      </c>
      <c r="D2135" s="49" t="n">
        <v>46357</v>
      </c>
      <c r="E2135" s="18" t="s">
        <v>118</v>
      </c>
      <c r="F2135" s="18" t="s">
        <v>119</v>
      </c>
      <c r="G2135" s="18" t="s">
        <v>100</v>
      </c>
      <c r="H2135" s="18" t="s">
        <v>101</v>
      </c>
      <c r="I2135" s="18" t="s">
        <v>102</v>
      </c>
      <c r="J2135" s="18" t="s">
        <v>230</v>
      </c>
      <c r="K2135" s="18" t="s">
        <v>199</v>
      </c>
      <c r="L2135" s="64" t="n">
        <v>31313.0775065113</v>
      </c>
      <c r="M2135" s="64" t="n">
        <v>9</v>
      </c>
      <c r="N2135" s="18" t="s">
        <v>1908</v>
      </c>
      <c r="O2135" s="65" t="n">
        <v>281817.6976</v>
      </c>
      <c r="P2135" s="65"/>
      <c r="Q2135" s="65"/>
      <c r="R2135" s="65" t="s">
        <v>232</v>
      </c>
      <c r="S2135" s="66" t="n">
        <f aca="false">Model_Calc!AF360</f>
        <v>281817.697558601</v>
      </c>
      <c r="T2135" s="66" t="n">
        <f aca="false">ROUND(S2135-O2135,4)</f>
        <v>0</v>
      </c>
    </row>
    <row r="2136" customFormat="false" ht="15" hidden="false" customHeight="false" outlineLevel="0" collapsed="false">
      <c r="A2136" s="18" t="s">
        <v>213</v>
      </c>
      <c r="B2136" s="18" t="s">
        <v>207</v>
      </c>
      <c r="C2136" s="18" t="s">
        <v>214</v>
      </c>
      <c r="D2136" s="49" t="n">
        <v>46357</v>
      </c>
      <c r="E2136" s="18" t="s">
        <v>118</v>
      </c>
      <c r="F2136" s="18" t="s">
        <v>119</v>
      </c>
      <c r="G2136" s="18" t="s">
        <v>100</v>
      </c>
      <c r="H2136" s="18" t="s">
        <v>101</v>
      </c>
      <c r="I2136" s="18" t="s">
        <v>102</v>
      </c>
      <c r="J2136" s="18" t="s">
        <v>233</v>
      </c>
      <c r="K2136" s="18" t="s">
        <v>199</v>
      </c>
      <c r="L2136" s="64" t="n">
        <v>3240.90352192392</v>
      </c>
      <c r="M2136" s="64" t="n">
        <v>9</v>
      </c>
      <c r="N2136" s="18" t="s">
        <v>1909</v>
      </c>
      <c r="O2136" s="65" t="n">
        <v>29168.1317</v>
      </c>
      <c r="P2136" s="65"/>
      <c r="Q2136" s="65"/>
      <c r="R2136" s="65" t="s">
        <v>232</v>
      </c>
      <c r="S2136" s="66" t="n">
        <f aca="false">Model_Calc!AG360</f>
        <v>29168.1316973152</v>
      </c>
      <c r="T2136" s="66" t="n">
        <f aca="false">ROUND(S2136-O2136,4)</f>
        <v>0</v>
      </c>
    </row>
    <row r="2137" customFormat="false" ht="15" hidden="false" customHeight="false" outlineLevel="0" collapsed="false">
      <c r="A2137" s="18" t="s">
        <v>213</v>
      </c>
      <c r="B2137" s="18" t="s">
        <v>207</v>
      </c>
      <c r="C2137" s="18" t="s">
        <v>214</v>
      </c>
      <c r="D2137" s="49" t="n">
        <v>46357</v>
      </c>
      <c r="E2137" s="18" t="s">
        <v>118</v>
      </c>
      <c r="F2137" s="18" t="s">
        <v>119</v>
      </c>
      <c r="G2137" s="18" t="s">
        <v>100</v>
      </c>
      <c r="H2137" s="18" t="s">
        <v>101</v>
      </c>
      <c r="I2137" s="18" t="s">
        <v>102</v>
      </c>
      <c r="J2137" s="18" t="s">
        <v>235</v>
      </c>
      <c r="K2137" s="18" t="s">
        <v>195</v>
      </c>
      <c r="L2137" s="64" t="n">
        <v>8036.01683135115</v>
      </c>
      <c r="M2137" s="64" t="n">
        <v>7.86</v>
      </c>
      <c r="N2137" s="18" t="s">
        <v>1910</v>
      </c>
      <c r="O2137" s="65" t="n">
        <v>63163.0923</v>
      </c>
      <c r="P2137" s="65"/>
      <c r="Q2137" s="65"/>
      <c r="R2137" s="65" t="s">
        <v>232</v>
      </c>
      <c r="S2137" s="66" t="n">
        <f aca="false">Model_Calc!AL360</f>
        <v>63163.0922944201</v>
      </c>
      <c r="T2137" s="66" t="n">
        <f aca="false">ROUND(S2137-O2137,4)</f>
        <v>0</v>
      </c>
    </row>
    <row r="2138" customFormat="false" ht="15" hidden="false" customHeight="false" outlineLevel="0" collapsed="false">
      <c r="A2138" s="18" t="s">
        <v>213</v>
      </c>
      <c r="B2138" s="18" t="s">
        <v>207</v>
      </c>
      <c r="C2138" s="18" t="s">
        <v>214</v>
      </c>
      <c r="D2138" s="49" t="n">
        <v>46357</v>
      </c>
      <c r="E2138" s="18" t="s">
        <v>118</v>
      </c>
      <c r="F2138" s="18" t="s">
        <v>119</v>
      </c>
      <c r="G2138" s="18" t="s">
        <v>100</v>
      </c>
      <c r="H2138" s="18" t="s">
        <v>101</v>
      </c>
      <c r="I2138" s="18" t="s">
        <v>102</v>
      </c>
      <c r="J2138" s="18" t="s">
        <v>237</v>
      </c>
      <c r="K2138" s="18" t="s">
        <v>195</v>
      </c>
      <c r="L2138" s="64" t="n">
        <v>3128.911898112</v>
      </c>
      <c r="M2138" s="64" t="n">
        <v>7.86</v>
      </c>
      <c r="N2138" s="18" t="s">
        <v>1911</v>
      </c>
      <c r="O2138" s="65" t="n">
        <v>24593.2475</v>
      </c>
      <c r="P2138" s="65"/>
      <c r="Q2138" s="65"/>
      <c r="R2138" s="65" t="s">
        <v>232</v>
      </c>
      <c r="S2138" s="66" t="n">
        <f aca="false">Model_Calc!AQ360</f>
        <v>24593.2475191603</v>
      </c>
      <c r="T2138" s="66" t="n">
        <f aca="false">ROUND(S2138-O2138,4)</f>
        <v>0</v>
      </c>
    </row>
    <row r="2139" customFormat="false" ht="15" hidden="false" customHeight="false" outlineLevel="0" collapsed="false">
      <c r="A2139" s="18" t="s">
        <v>213</v>
      </c>
      <c r="B2139" s="18" t="s">
        <v>207</v>
      </c>
      <c r="C2139" s="18" t="s">
        <v>214</v>
      </c>
      <c r="D2139" s="49" t="n">
        <v>46357</v>
      </c>
      <c r="E2139" s="18" t="s">
        <v>118</v>
      </c>
      <c r="F2139" s="18" t="s">
        <v>119</v>
      </c>
      <c r="G2139" s="18" t="s">
        <v>100</v>
      </c>
      <c r="H2139" s="18" t="s">
        <v>101</v>
      </c>
      <c r="I2139" s="18" t="s">
        <v>102</v>
      </c>
      <c r="J2139" s="18" t="s">
        <v>239</v>
      </c>
      <c r="K2139" s="18" t="s">
        <v>199</v>
      </c>
      <c r="L2139" s="64" t="n">
        <v>2848.06139904</v>
      </c>
      <c r="M2139" s="64" t="n">
        <v>9</v>
      </c>
      <c r="N2139" s="18" t="s">
        <v>1912</v>
      </c>
      <c r="O2139" s="65" t="n">
        <v>25632.5526</v>
      </c>
      <c r="P2139" s="65"/>
      <c r="Q2139" s="65"/>
      <c r="R2139" s="65" t="s">
        <v>232</v>
      </c>
      <c r="S2139" s="66" t="n">
        <f aca="false">Model_Calc!AV360</f>
        <v>25632.55259136</v>
      </c>
      <c r="T2139" s="66" t="n">
        <f aca="false">ROUND(S2139-O2139,4)</f>
        <v>0</v>
      </c>
    </row>
    <row r="2140" customFormat="false" ht="15" hidden="false" customHeight="false" outlineLevel="0" collapsed="false">
      <c r="A2140" s="18" t="s">
        <v>213</v>
      </c>
      <c r="B2140" s="18" t="s">
        <v>207</v>
      </c>
      <c r="C2140" s="18" t="s">
        <v>214</v>
      </c>
      <c r="D2140" s="49" t="n">
        <v>46357</v>
      </c>
      <c r="E2140" s="18" t="s">
        <v>118</v>
      </c>
      <c r="F2140" s="18" t="s">
        <v>119</v>
      </c>
      <c r="G2140" s="18" t="s">
        <v>100</v>
      </c>
      <c r="H2140" s="18" t="s">
        <v>101</v>
      </c>
      <c r="I2140" s="18" t="s">
        <v>102</v>
      </c>
      <c r="J2140" s="18" t="s">
        <v>241</v>
      </c>
      <c r="K2140" s="18" t="s">
        <v>199</v>
      </c>
      <c r="L2140" s="64" t="n">
        <v>416.368776155904</v>
      </c>
      <c r="M2140" s="64" t="n">
        <v>9</v>
      </c>
      <c r="N2140" s="18" t="s">
        <v>1913</v>
      </c>
      <c r="O2140" s="65" t="n">
        <v>3747.319</v>
      </c>
      <c r="P2140" s="65"/>
      <c r="Q2140" s="65"/>
      <c r="R2140" s="65" t="s">
        <v>232</v>
      </c>
      <c r="S2140" s="66" t="n">
        <f aca="false">Model_Calc!BA360</f>
        <v>3747.31898540314</v>
      </c>
      <c r="T2140" s="66" t="n">
        <f aca="false">ROUND(S2140-O2140,4)</f>
        <v>0</v>
      </c>
    </row>
    <row r="2141" customFormat="false" ht="15" hidden="false" customHeight="false" outlineLevel="0" collapsed="false">
      <c r="A2141" s="18" t="s">
        <v>213</v>
      </c>
      <c r="B2141" s="18" t="s">
        <v>207</v>
      </c>
      <c r="C2141" s="18" t="s">
        <v>214</v>
      </c>
      <c r="D2141" s="49" t="n">
        <v>46357</v>
      </c>
      <c r="E2141" s="18" t="s">
        <v>122</v>
      </c>
      <c r="F2141" s="18" t="s">
        <v>119</v>
      </c>
      <c r="G2141" s="18" t="s">
        <v>100</v>
      </c>
      <c r="H2141" s="18" t="s">
        <v>107</v>
      </c>
      <c r="I2141" s="18" t="s">
        <v>102</v>
      </c>
      <c r="J2141" s="18" t="s">
        <v>230</v>
      </c>
      <c r="K2141" s="18" t="s">
        <v>199</v>
      </c>
      <c r="L2141" s="64" t="n">
        <v>17413.7973286717</v>
      </c>
      <c r="M2141" s="64" t="n">
        <v>9</v>
      </c>
      <c r="N2141" s="18" t="s">
        <v>1914</v>
      </c>
      <c r="O2141" s="65" t="n">
        <v>156724.176</v>
      </c>
      <c r="P2141" s="65"/>
      <c r="Q2141" s="65"/>
      <c r="R2141" s="65" t="s">
        <v>232</v>
      </c>
      <c r="S2141" s="66" t="n">
        <f aca="false">Model_Calc!AF361</f>
        <v>156724.175958046</v>
      </c>
      <c r="T2141" s="66" t="n">
        <f aca="false">ROUND(S2141-O2141,4)</f>
        <v>0</v>
      </c>
    </row>
    <row r="2142" customFormat="false" ht="15" hidden="false" customHeight="false" outlineLevel="0" collapsed="false">
      <c r="A2142" s="18" t="s">
        <v>213</v>
      </c>
      <c r="B2142" s="18" t="s">
        <v>207</v>
      </c>
      <c r="C2142" s="18" t="s">
        <v>214</v>
      </c>
      <c r="D2142" s="49" t="n">
        <v>46357</v>
      </c>
      <c r="E2142" s="18" t="s">
        <v>122</v>
      </c>
      <c r="F2142" s="18" t="s">
        <v>119</v>
      </c>
      <c r="G2142" s="18" t="s">
        <v>100</v>
      </c>
      <c r="H2142" s="18" t="s">
        <v>107</v>
      </c>
      <c r="I2142" s="18" t="s">
        <v>102</v>
      </c>
      <c r="J2142" s="18" t="s">
        <v>233</v>
      </c>
      <c r="K2142" s="18" t="s">
        <v>199</v>
      </c>
      <c r="L2142" s="64" t="n">
        <v>1222.67087626844</v>
      </c>
      <c r="M2142" s="64" t="n">
        <v>9</v>
      </c>
      <c r="N2142" s="18" t="s">
        <v>1915</v>
      </c>
      <c r="O2142" s="65" t="n">
        <v>11004.0379</v>
      </c>
      <c r="P2142" s="65"/>
      <c r="Q2142" s="65"/>
      <c r="R2142" s="65" t="s">
        <v>232</v>
      </c>
      <c r="S2142" s="66" t="n">
        <f aca="false">Model_Calc!AG361</f>
        <v>11004.037886416</v>
      </c>
      <c r="T2142" s="66" t="n">
        <f aca="false">ROUND(S2142-O2142,4)</f>
        <v>0</v>
      </c>
    </row>
    <row r="2143" customFormat="false" ht="15" hidden="false" customHeight="false" outlineLevel="0" collapsed="false">
      <c r="A2143" s="18" t="s">
        <v>213</v>
      </c>
      <c r="B2143" s="18" t="s">
        <v>207</v>
      </c>
      <c r="C2143" s="18" t="s">
        <v>214</v>
      </c>
      <c r="D2143" s="49" t="n">
        <v>46357</v>
      </c>
      <c r="E2143" s="18" t="s">
        <v>122</v>
      </c>
      <c r="F2143" s="18" t="s">
        <v>119</v>
      </c>
      <c r="G2143" s="18" t="s">
        <v>100</v>
      </c>
      <c r="H2143" s="18" t="s">
        <v>107</v>
      </c>
      <c r="I2143" s="18" t="s">
        <v>102</v>
      </c>
      <c r="J2143" s="18" t="s">
        <v>235</v>
      </c>
      <c r="K2143" s="18" t="s">
        <v>195</v>
      </c>
      <c r="L2143" s="64" t="n">
        <v>3879.45640134194</v>
      </c>
      <c r="M2143" s="64" t="n">
        <v>7.86</v>
      </c>
      <c r="N2143" s="18" t="s">
        <v>1916</v>
      </c>
      <c r="O2143" s="65" t="n">
        <v>30492.5273</v>
      </c>
      <c r="P2143" s="65"/>
      <c r="Q2143" s="65"/>
      <c r="R2143" s="65" t="s">
        <v>232</v>
      </c>
      <c r="S2143" s="66" t="n">
        <f aca="false">Model_Calc!AL361</f>
        <v>30492.5273145476</v>
      </c>
      <c r="T2143" s="66" t="n">
        <f aca="false">ROUND(S2143-O2143,4)</f>
        <v>0</v>
      </c>
    </row>
    <row r="2144" customFormat="false" ht="15" hidden="false" customHeight="false" outlineLevel="0" collapsed="false">
      <c r="A2144" s="18" t="s">
        <v>213</v>
      </c>
      <c r="B2144" s="18" t="s">
        <v>207</v>
      </c>
      <c r="C2144" s="18" t="s">
        <v>214</v>
      </c>
      <c r="D2144" s="49" t="n">
        <v>46357</v>
      </c>
      <c r="E2144" s="18" t="s">
        <v>122</v>
      </c>
      <c r="F2144" s="18" t="s">
        <v>119</v>
      </c>
      <c r="G2144" s="18" t="s">
        <v>100</v>
      </c>
      <c r="H2144" s="18" t="s">
        <v>107</v>
      </c>
      <c r="I2144" s="18" t="s">
        <v>102</v>
      </c>
      <c r="J2144" s="18" t="s">
        <v>237</v>
      </c>
      <c r="K2144" s="18" t="s">
        <v>195</v>
      </c>
      <c r="L2144" s="64" t="n">
        <v>1510.509192192</v>
      </c>
      <c r="M2144" s="64" t="n">
        <v>7.86</v>
      </c>
      <c r="N2144" s="18" t="s">
        <v>1917</v>
      </c>
      <c r="O2144" s="65" t="n">
        <v>11872.6023</v>
      </c>
      <c r="P2144" s="65"/>
      <c r="Q2144" s="65"/>
      <c r="R2144" s="65" t="s">
        <v>232</v>
      </c>
      <c r="S2144" s="66" t="n">
        <f aca="false">Model_Calc!AQ361</f>
        <v>11872.6022506291</v>
      </c>
      <c r="T2144" s="66" t="n">
        <f aca="false">ROUND(S2144-O2144,4)</f>
        <v>0</v>
      </c>
    </row>
    <row r="2145" customFormat="false" ht="15" hidden="false" customHeight="false" outlineLevel="0" collapsed="false">
      <c r="A2145" s="18" t="s">
        <v>213</v>
      </c>
      <c r="B2145" s="18" t="s">
        <v>207</v>
      </c>
      <c r="C2145" s="18" t="s">
        <v>214</v>
      </c>
      <c r="D2145" s="49" t="n">
        <v>46357</v>
      </c>
      <c r="E2145" s="18" t="s">
        <v>122</v>
      </c>
      <c r="F2145" s="18" t="s">
        <v>119</v>
      </c>
      <c r="G2145" s="18" t="s">
        <v>100</v>
      </c>
      <c r="H2145" s="18" t="s">
        <v>107</v>
      </c>
      <c r="I2145" s="18" t="s">
        <v>102</v>
      </c>
      <c r="J2145" s="18" t="s">
        <v>239</v>
      </c>
      <c r="K2145" s="18" t="s">
        <v>199</v>
      </c>
      <c r="L2145" s="64" t="n">
        <v>1374.92619264</v>
      </c>
      <c r="M2145" s="64" t="n">
        <v>9</v>
      </c>
      <c r="N2145" s="18" t="s">
        <v>1918</v>
      </c>
      <c r="O2145" s="65" t="n">
        <v>12374.3357</v>
      </c>
      <c r="P2145" s="65"/>
      <c r="Q2145" s="65"/>
      <c r="R2145" s="65" t="s">
        <v>232</v>
      </c>
      <c r="S2145" s="66" t="n">
        <f aca="false">Model_Calc!AV361</f>
        <v>12374.33573376</v>
      </c>
      <c r="T2145" s="66" t="n">
        <f aca="false">ROUND(S2145-O2145,4)</f>
        <v>0</v>
      </c>
    </row>
    <row r="2146" customFormat="false" ht="15" hidden="false" customHeight="false" outlineLevel="0" collapsed="false">
      <c r="A2146" s="18" t="s">
        <v>213</v>
      </c>
      <c r="B2146" s="18" t="s">
        <v>207</v>
      </c>
      <c r="C2146" s="18" t="s">
        <v>214</v>
      </c>
      <c r="D2146" s="49" t="n">
        <v>46357</v>
      </c>
      <c r="E2146" s="18" t="s">
        <v>122</v>
      </c>
      <c r="F2146" s="18" t="s">
        <v>119</v>
      </c>
      <c r="G2146" s="18" t="s">
        <v>100</v>
      </c>
      <c r="H2146" s="18" t="s">
        <v>107</v>
      </c>
      <c r="I2146" s="18" t="s">
        <v>102</v>
      </c>
      <c r="J2146" s="18" t="s">
        <v>241</v>
      </c>
      <c r="K2146" s="18" t="s">
        <v>199</v>
      </c>
      <c r="L2146" s="64" t="n">
        <v>148.89304894464</v>
      </c>
      <c r="M2146" s="64" t="n">
        <v>9</v>
      </c>
      <c r="N2146" s="18" t="s">
        <v>1919</v>
      </c>
      <c r="O2146" s="65" t="n">
        <v>1340.0374</v>
      </c>
      <c r="P2146" s="65"/>
      <c r="Q2146" s="65"/>
      <c r="R2146" s="65" t="s">
        <v>232</v>
      </c>
      <c r="S2146" s="66" t="n">
        <f aca="false">Model_Calc!BA361</f>
        <v>1340.03744050176</v>
      </c>
      <c r="T2146" s="66" t="n">
        <f aca="false">ROUND(S2146-O2146,4)</f>
        <v>0</v>
      </c>
    </row>
    <row r="2147" customFormat="false" ht="15" hidden="false" customHeight="false" outlineLevel="0" collapsed="false">
      <c r="A2147" s="18" t="s">
        <v>213</v>
      </c>
      <c r="B2147" s="18" t="s">
        <v>207</v>
      </c>
      <c r="C2147" s="18" t="s">
        <v>214</v>
      </c>
      <c r="D2147" s="49" t="n">
        <v>46357</v>
      </c>
      <c r="E2147" s="18" t="s">
        <v>124</v>
      </c>
      <c r="F2147" s="18" t="s">
        <v>119</v>
      </c>
      <c r="G2147" s="18" t="s">
        <v>100</v>
      </c>
      <c r="H2147" s="18" t="s">
        <v>107</v>
      </c>
      <c r="I2147" s="18" t="s">
        <v>125</v>
      </c>
      <c r="J2147" s="18" t="s">
        <v>230</v>
      </c>
      <c r="K2147" s="18" t="s">
        <v>199</v>
      </c>
      <c r="L2147" s="64" t="n">
        <v>8020.29751251967</v>
      </c>
      <c r="M2147" s="64" t="n">
        <v>9</v>
      </c>
      <c r="N2147" s="18" t="s">
        <v>1920</v>
      </c>
      <c r="O2147" s="65" t="n">
        <v>72182.6776</v>
      </c>
      <c r="P2147" s="65"/>
      <c r="Q2147" s="65"/>
      <c r="R2147" s="65" t="s">
        <v>232</v>
      </c>
      <c r="S2147" s="66" t="n">
        <f aca="false">Model_Calc!AF362</f>
        <v>72182.677612677</v>
      </c>
      <c r="T2147" s="66" t="n">
        <f aca="false">ROUND(S2147-O2147,4)</f>
        <v>0</v>
      </c>
    </row>
    <row r="2148" customFormat="false" ht="15" hidden="false" customHeight="false" outlineLevel="0" collapsed="false">
      <c r="A2148" s="18" t="s">
        <v>213</v>
      </c>
      <c r="B2148" s="18" t="s">
        <v>207</v>
      </c>
      <c r="C2148" s="18" t="s">
        <v>214</v>
      </c>
      <c r="D2148" s="49" t="n">
        <v>46357</v>
      </c>
      <c r="E2148" s="18" t="s">
        <v>124</v>
      </c>
      <c r="F2148" s="18" t="s">
        <v>119</v>
      </c>
      <c r="G2148" s="18" t="s">
        <v>100</v>
      </c>
      <c r="H2148" s="18" t="s">
        <v>107</v>
      </c>
      <c r="I2148" s="18" t="s">
        <v>125</v>
      </c>
      <c r="J2148" s="18" t="s">
        <v>233</v>
      </c>
      <c r="K2148" s="18" t="s">
        <v>199</v>
      </c>
      <c r="L2148" s="64" t="n">
        <v>992.80054788476</v>
      </c>
      <c r="M2148" s="64" t="n">
        <v>9</v>
      </c>
      <c r="N2148" s="18" t="s">
        <v>1921</v>
      </c>
      <c r="O2148" s="65" t="n">
        <v>8935.2049</v>
      </c>
      <c r="P2148" s="65"/>
      <c r="Q2148" s="65"/>
      <c r="R2148" s="65" t="s">
        <v>232</v>
      </c>
      <c r="S2148" s="66" t="n">
        <f aca="false">Model_Calc!AG362</f>
        <v>8935.20493096284</v>
      </c>
      <c r="T2148" s="66" t="n">
        <f aca="false">ROUND(S2148-O2148,4)</f>
        <v>0</v>
      </c>
    </row>
    <row r="2149" customFormat="false" ht="15" hidden="false" customHeight="false" outlineLevel="0" collapsed="false">
      <c r="A2149" s="18" t="s">
        <v>213</v>
      </c>
      <c r="B2149" s="18" t="s">
        <v>207</v>
      </c>
      <c r="C2149" s="18" t="s">
        <v>214</v>
      </c>
      <c r="D2149" s="49" t="n">
        <v>46357</v>
      </c>
      <c r="E2149" s="18" t="s">
        <v>124</v>
      </c>
      <c r="F2149" s="18" t="s">
        <v>119</v>
      </c>
      <c r="G2149" s="18" t="s">
        <v>100</v>
      </c>
      <c r="H2149" s="18" t="s">
        <v>107</v>
      </c>
      <c r="I2149" s="18" t="s">
        <v>125</v>
      </c>
      <c r="J2149" s="18" t="s">
        <v>235</v>
      </c>
      <c r="K2149" s="18" t="s">
        <v>195</v>
      </c>
      <c r="L2149" s="64" t="n">
        <v>1385.52014333641</v>
      </c>
      <c r="M2149" s="64" t="n">
        <v>7.86</v>
      </c>
      <c r="N2149" s="18" t="s">
        <v>1922</v>
      </c>
      <c r="O2149" s="65" t="n">
        <v>10890.1883</v>
      </c>
      <c r="P2149" s="65"/>
      <c r="Q2149" s="65"/>
      <c r="R2149" s="65" t="s">
        <v>232</v>
      </c>
      <c r="S2149" s="66" t="n">
        <f aca="false">Model_Calc!AL362</f>
        <v>10890.1883266242</v>
      </c>
      <c r="T2149" s="66" t="n">
        <f aca="false">ROUND(S2149-O2149,4)</f>
        <v>0</v>
      </c>
    </row>
    <row r="2150" customFormat="false" ht="15" hidden="false" customHeight="false" outlineLevel="0" collapsed="false">
      <c r="A2150" s="18" t="s">
        <v>213</v>
      </c>
      <c r="B2150" s="18" t="s">
        <v>207</v>
      </c>
      <c r="C2150" s="18" t="s">
        <v>214</v>
      </c>
      <c r="D2150" s="49" t="n">
        <v>46357</v>
      </c>
      <c r="E2150" s="18" t="s">
        <v>124</v>
      </c>
      <c r="F2150" s="18" t="s">
        <v>119</v>
      </c>
      <c r="G2150" s="18" t="s">
        <v>100</v>
      </c>
      <c r="H2150" s="18" t="s">
        <v>107</v>
      </c>
      <c r="I2150" s="18" t="s">
        <v>125</v>
      </c>
      <c r="J2150" s="18" t="s">
        <v>237</v>
      </c>
      <c r="K2150" s="18" t="s">
        <v>195</v>
      </c>
      <c r="L2150" s="64" t="n">
        <v>539.46756864</v>
      </c>
      <c r="M2150" s="64" t="n">
        <v>7.86</v>
      </c>
      <c r="N2150" s="18" t="s">
        <v>1923</v>
      </c>
      <c r="O2150" s="65" t="n">
        <v>4240.2151</v>
      </c>
      <c r="P2150" s="65"/>
      <c r="Q2150" s="65"/>
      <c r="R2150" s="65" t="s">
        <v>232</v>
      </c>
      <c r="S2150" s="66" t="n">
        <f aca="false">Model_Calc!AQ362</f>
        <v>4240.2150895104</v>
      </c>
      <c r="T2150" s="66" t="n">
        <f aca="false">ROUND(S2150-O2150,4)</f>
        <v>0</v>
      </c>
    </row>
    <row r="2151" customFormat="false" ht="15" hidden="false" customHeight="false" outlineLevel="0" collapsed="false">
      <c r="A2151" s="18" t="s">
        <v>213</v>
      </c>
      <c r="B2151" s="18" t="s">
        <v>207</v>
      </c>
      <c r="C2151" s="18" t="s">
        <v>214</v>
      </c>
      <c r="D2151" s="49" t="n">
        <v>46357</v>
      </c>
      <c r="E2151" s="18" t="s">
        <v>124</v>
      </c>
      <c r="F2151" s="18" t="s">
        <v>119</v>
      </c>
      <c r="G2151" s="18" t="s">
        <v>100</v>
      </c>
      <c r="H2151" s="18" t="s">
        <v>107</v>
      </c>
      <c r="I2151" s="18" t="s">
        <v>125</v>
      </c>
      <c r="J2151" s="18" t="s">
        <v>239</v>
      </c>
      <c r="K2151" s="18" t="s">
        <v>199</v>
      </c>
      <c r="L2151" s="64" t="n">
        <v>491.0450688</v>
      </c>
      <c r="M2151" s="64" t="n">
        <v>9</v>
      </c>
      <c r="N2151" s="18" t="s">
        <v>1924</v>
      </c>
      <c r="O2151" s="65" t="n">
        <v>4419.4056</v>
      </c>
      <c r="P2151" s="65"/>
      <c r="Q2151" s="65"/>
      <c r="R2151" s="65" t="s">
        <v>232</v>
      </c>
      <c r="S2151" s="66" t="n">
        <f aca="false">Model_Calc!AV362</f>
        <v>4419.4056192</v>
      </c>
      <c r="T2151" s="66" t="n">
        <f aca="false">ROUND(S2151-O2151,4)</f>
        <v>0</v>
      </c>
    </row>
    <row r="2152" customFormat="false" ht="15" hidden="false" customHeight="false" outlineLevel="0" collapsed="false">
      <c r="A2152" s="18" t="s">
        <v>213</v>
      </c>
      <c r="B2152" s="18" t="s">
        <v>207</v>
      </c>
      <c r="C2152" s="18" t="s">
        <v>214</v>
      </c>
      <c r="D2152" s="49" t="n">
        <v>46357</v>
      </c>
      <c r="E2152" s="18" t="s">
        <v>124</v>
      </c>
      <c r="F2152" s="18" t="s">
        <v>119</v>
      </c>
      <c r="G2152" s="18" t="s">
        <v>100</v>
      </c>
      <c r="H2152" s="18" t="s">
        <v>107</v>
      </c>
      <c r="I2152" s="18" t="s">
        <v>125</v>
      </c>
      <c r="J2152" s="18" t="s">
        <v>241</v>
      </c>
      <c r="K2152" s="18" t="s">
        <v>199</v>
      </c>
      <c r="L2152" s="64" t="n">
        <v>51.78888658944</v>
      </c>
      <c r="M2152" s="64" t="n">
        <v>9</v>
      </c>
      <c r="N2152" s="18" t="s">
        <v>1925</v>
      </c>
      <c r="O2152" s="65" t="n">
        <v>466.1</v>
      </c>
      <c r="P2152" s="65"/>
      <c r="Q2152" s="65"/>
      <c r="R2152" s="65" t="s">
        <v>232</v>
      </c>
      <c r="S2152" s="66" t="n">
        <f aca="false">Model_Calc!BA362</f>
        <v>466.09997930496</v>
      </c>
      <c r="T2152" s="66" t="n">
        <f aca="false">ROUND(S2152-O2152,4)</f>
        <v>0</v>
      </c>
    </row>
    <row r="2153" customFormat="false" ht="15" hidden="false" customHeight="false" outlineLevel="0" collapsed="false">
      <c r="A2153" s="18" t="s">
        <v>213</v>
      </c>
      <c r="B2153" s="18" t="s">
        <v>207</v>
      </c>
      <c r="C2153" s="18" t="s">
        <v>214</v>
      </c>
      <c r="D2153" s="49" t="n">
        <v>46357</v>
      </c>
      <c r="E2153" s="18" t="s">
        <v>127</v>
      </c>
      <c r="F2153" s="18" t="s">
        <v>119</v>
      </c>
      <c r="G2153" s="18" t="s">
        <v>100</v>
      </c>
      <c r="H2153" s="18" t="s">
        <v>128</v>
      </c>
      <c r="I2153" s="18" t="s">
        <v>125</v>
      </c>
      <c r="J2153" s="18" t="s">
        <v>230</v>
      </c>
      <c r="K2153" s="18" t="s">
        <v>199</v>
      </c>
      <c r="L2153" s="64" t="n">
        <v>3871.26181343177</v>
      </c>
      <c r="M2153" s="64" t="n">
        <v>9</v>
      </c>
      <c r="N2153" s="18" t="s">
        <v>1926</v>
      </c>
      <c r="O2153" s="65" t="n">
        <v>34841.3563</v>
      </c>
      <c r="P2153" s="65"/>
      <c r="Q2153" s="65"/>
      <c r="R2153" s="65" t="s">
        <v>232</v>
      </c>
      <c r="S2153" s="66" t="n">
        <f aca="false">Model_Calc!AF363</f>
        <v>34841.3563208859</v>
      </c>
      <c r="T2153" s="66" t="n">
        <f aca="false">ROUND(S2153-O2153,4)</f>
        <v>0</v>
      </c>
    </row>
    <row r="2154" customFormat="false" ht="15" hidden="false" customHeight="false" outlineLevel="0" collapsed="false">
      <c r="A2154" s="18" t="s">
        <v>213</v>
      </c>
      <c r="B2154" s="18" t="s">
        <v>207</v>
      </c>
      <c r="C2154" s="18" t="s">
        <v>214</v>
      </c>
      <c r="D2154" s="49" t="n">
        <v>46357</v>
      </c>
      <c r="E2154" s="18" t="s">
        <v>127</v>
      </c>
      <c r="F2154" s="18" t="s">
        <v>119</v>
      </c>
      <c r="G2154" s="18" t="s">
        <v>100</v>
      </c>
      <c r="H2154" s="18" t="s">
        <v>128</v>
      </c>
      <c r="I2154" s="18" t="s">
        <v>125</v>
      </c>
      <c r="J2154" s="18" t="s">
        <v>233</v>
      </c>
      <c r="K2154" s="18" t="s">
        <v>199</v>
      </c>
      <c r="L2154" s="64" t="n">
        <v>299.377580238723</v>
      </c>
      <c r="M2154" s="64" t="n">
        <v>9</v>
      </c>
      <c r="N2154" s="18" t="s">
        <v>1927</v>
      </c>
      <c r="O2154" s="65" t="n">
        <v>2694.3982</v>
      </c>
      <c r="P2154" s="65"/>
      <c r="Q2154" s="65"/>
      <c r="R2154" s="65" t="s">
        <v>232</v>
      </c>
      <c r="S2154" s="66" t="n">
        <f aca="false">Model_Calc!AG363</f>
        <v>2694.39822214851</v>
      </c>
      <c r="T2154" s="66" t="n">
        <f aca="false">ROUND(S2154-O2154,4)</f>
        <v>0</v>
      </c>
    </row>
    <row r="2155" customFormat="false" ht="15" hidden="false" customHeight="false" outlineLevel="0" collapsed="false">
      <c r="A2155" s="18" t="s">
        <v>213</v>
      </c>
      <c r="B2155" s="18" t="s">
        <v>207</v>
      </c>
      <c r="C2155" s="18" t="s">
        <v>214</v>
      </c>
      <c r="D2155" s="49" t="n">
        <v>46357</v>
      </c>
      <c r="E2155" s="18" t="s">
        <v>127</v>
      </c>
      <c r="F2155" s="18" t="s">
        <v>119</v>
      </c>
      <c r="G2155" s="18" t="s">
        <v>100</v>
      </c>
      <c r="H2155" s="18" t="s">
        <v>128</v>
      </c>
      <c r="I2155" s="18" t="s">
        <v>125</v>
      </c>
      <c r="J2155" s="18" t="s">
        <v>235</v>
      </c>
      <c r="K2155" s="18" t="s">
        <v>195</v>
      </c>
      <c r="L2155" s="64" t="n">
        <v>554.208057334562</v>
      </c>
      <c r="M2155" s="64" t="n">
        <v>7.86</v>
      </c>
      <c r="N2155" s="18" t="s">
        <v>1928</v>
      </c>
      <c r="O2155" s="65" t="n">
        <v>4356.0753</v>
      </c>
      <c r="P2155" s="65"/>
      <c r="Q2155" s="65"/>
      <c r="R2155" s="65" t="s">
        <v>232</v>
      </c>
      <c r="S2155" s="66" t="n">
        <f aca="false">Model_Calc!AL363</f>
        <v>4356.07533064966</v>
      </c>
      <c r="T2155" s="66" t="n">
        <f aca="false">ROUND(S2155-O2155,4)</f>
        <v>0</v>
      </c>
    </row>
    <row r="2156" customFormat="false" ht="15" hidden="false" customHeight="false" outlineLevel="0" collapsed="false">
      <c r="A2156" s="18" t="s">
        <v>213</v>
      </c>
      <c r="B2156" s="18" t="s">
        <v>207</v>
      </c>
      <c r="C2156" s="18" t="s">
        <v>214</v>
      </c>
      <c r="D2156" s="49" t="n">
        <v>46357</v>
      </c>
      <c r="E2156" s="18" t="s">
        <v>127</v>
      </c>
      <c r="F2156" s="18" t="s">
        <v>119</v>
      </c>
      <c r="G2156" s="18" t="s">
        <v>100</v>
      </c>
      <c r="H2156" s="18" t="s">
        <v>128</v>
      </c>
      <c r="I2156" s="18" t="s">
        <v>125</v>
      </c>
      <c r="J2156" s="18" t="s">
        <v>237</v>
      </c>
      <c r="K2156" s="18" t="s">
        <v>195</v>
      </c>
      <c r="L2156" s="64" t="n">
        <v>215.787027456</v>
      </c>
      <c r="M2156" s="64" t="n">
        <v>7.86</v>
      </c>
      <c r="N2156" s="18" t="s">
        <v>1929</v>
      </c>
      <c r="O2156" s="65" t="n">
        <v>1696.086</v>
      </c>
      <c r="P2156" s="65"/>
      <c r="Q2156" s="65"/>
      <c r="R2156" s="65" t="s">
        <v>232</v>
      </c>
      <c r="S2156" s="66" t="n">
        <f aca="false">Model_Calc!AQ363</f>
        <v>1696.08603580416</v>
      </c>
      <c r="T2156" s="66" t="n">
        <f aca="false">ROUND(S2156-O2156,4)</f>
        <v>0</v>
      </c>
    </row>
    <row r="2157" customFormat="false" ht="15" hidden="false" customHeight="false" outlineLevel="0" collapsed="false">
      <c r="A2157" s="18" t="s">
        <v>213</v>
      </c>
      <c r="B2157" s="18" t="s">
        <v>207</v>
      </c>
      <c r="C2157" s="18" t="s">
        <v>214</v>
      </c>
      <c r="D2157" s="49" t="n">
        <v>46357</v>
      </c>
      <c r="E2157" s="18" t="s">
        <v>127</v>
      </c>
      <c r="F2157" s="18" t="s">
        <v>119</v>
      </c>
      <c r="G2157" s="18" t="s">
        <v>100</v>
      </c>
      <c r="H2157" s="18" t="s">
        <v>128</v>
      </c>
      <c r="I2157" s="18" t="s">
        <v>125</v>
      </c>
      <c r="J2157" s="18" t="s">
        <v>239</v>
      </c>
      <c r="K2157" s="18" t="s">
        <v>199</v>
      </c>
      <c r="L2157" s="64" t="n">
        <v>196.41802752</v>
      </c>
      <c r="M2157" s="64" t="n">
        <v>9</v>
      </c>
      <c r="N2157" s="18" t="s">
        <v>1930</v>
      </c>
      <c r="O2157" s="65" t="n">
        <v>1767.7622</v>
      </c>
      <c r="P2157" s="65"/>
      <c r="Q2157" s="65"/>
      <c r="R2157" s="65" t="s">
        <v>232</v>
      </c>
      <c r="S2157" s="66" t="n">
        <f aca="false">Model_Calc!AV363</f>
        <v>1767.76224768</v>
      </c>
      <c r="T2157" s="66" t="n">
        <f aca="false">ROUND(S2157-O2157,4)</f>
        <v>0</v>
      </c>
    </row>
    <row r="2158" customFormat="false" ht="15" hidden="false" customHeight="false" outlineLevel="0" collapsed="false">
      <c r="A2158" s="18" t="s">
        <v>213</v>
      </c>
      <c r="B2158" s="18" t="s">
        <v>207</v>
      </c>
      <c r="C2158" s="18" t="s">
        <v>214</v>
      </c>
      <c r="D2158" s="49" t="n">
        <v>46357</v>
      </c>
      <c r="E2158" s="18" t="s">
        <v>127</v>
      </c>
      <c r="F2158" s="18" t="s">
        <v>119</v>
      </c>
      <c r="G2158" s="18" t="s">
        <v>100</v>
      </c>
      <c r="H2158" s="18" t="s">
        <v>128</v>
      </c>
      <c r="I2158" s="18" t="s">
        <v>125</v>
      </c>
      <c r="J2158" s="18" t="s">
        <v>241</v>
      </c>
      <c r="K2158" s="18" t="s">
        <v>199</v>
      </c>
      <c r="L2158" s="64" t="n">
        <v>18.311070615552</v>
      </c>
      <c r="M2158" s="64" t="n">
        <v>9</v>
      </c>
      <c r="N2158" s="18" t="s">
        <v>1931</v>
      </c>
      <c r="O2158" s="65" t="n">
        <v>164.7996</v>
      </c>
      <c r="P2158" s="65"/>
      <c r="Q2158" s="65"/>
      <c r="R2158" s="65" t="s">
        <v>232</v>
      </c>
      <c r="S2158" s="66" t="n">
        <f aca="false">Model_Calc!BA363</f>
        <v>164.799635539968</v>
      </c>
      <c r="T2158" s="66" t="n">
        <f aca="false">ROUND(S2158-O2158,4)</f>
        <v>0</v>
      </c>
    </row>
    <row r="2159" customFormat="false" ht="15" hidden="false" customHeight="false" outlineLevel="0" collapsed="false">
      <c r="A2159" s="18" t="s">
        <v>213</v>
      </c>
      <c r="B2159" s="18" t="s">
        <v>207</v>
      </c>
      <c r="C2159" s="18" t="s">
        <v>214</v>
      </c>
      <c r="D2159" s="49" t="n">
        <v>46357</v>
      </c>
      <c r="E2159" s="18" t="s">
        <v>130</v>
      </c>
      <c r="F2159" s="18" t="s">
        <v>119</v>
      </c>
      <c r="G2159" s="18" t="s">
        <v>110</v>
      </c>
      <c r="H2159" s="18" t="s">
        <v>107</v>
      </c>
      <c r="I2159" s="18" t="s">
        <v>125</v>
      </c>
      <c r="J2159" s="18" t="s">
        <v>230</v>
      </c>
      <c r="K2159" s="18" t="s">
        <v>195</v>
      </c>
      <c r="L2159" s="64" t="n">
        <v>3442.31877049632</v>
      </c>
      <c r="M2159" s="64" t="n">
        <v>7.86</v>
      </c>
      <c r="N2159" s="18" t="s">
        <v>1627</v>
      </c>
      <c r="O2159" s="65" t="n">
        <v>27056.6255</v>
      </c>
      <c r="P2159" s="65"/>
      <c r="Q2159" s="65"/>
      <c r="R2159" s="65" t="s">
        <v>232</v>
      </c>
      <c r="S2159" s="66" t="n">
        <f aca="false">Model_Calc!AF364</f>
        <v>27056.6255361011</v>
      </c>
      <c r="T2159" s="66" t="n">
        <f aca="false">ROUND(S2159-O2159,4)</f>
        <v>0</v>
      </c>
    </row>
    <row r="2160" customFormat="false" ht="15" hidden="false" customHeight="false" outlineLevel="0" collapsed="false">
      <c r="A2160" s="18" t="s">
        <v>213</v>
      </c>
      <c r="B2160" s="18" t="s">
        <v>207</v>
      </c>
      <c r="C2160" s="18" t="s">
        <v>214</v>
      </c>
      <c r="D2160" s="49" t="n">
        <v>46357</v>
      </c>
      <c r="E2160" s="18" t="s">
        <v>130</v>
      </c>
      <c r="F2160" s="18" t="s">
        <v>119</v>
      </c>
      <c r="G2160" s="18" t="s">
        <v>110</v>
      </c>
      <c r="H2160" s="18" t="s">
        <v>107</v>
      </c>
      <c r="I2160" s="18" t="s">
        <v>125</v>
      </c>
      <c r="J2160" s="18" t="s">
        <v>233</v>
      </c>
      <c r="K2160" s="18" t="s">
        <v>195</v>
      </c>
      <c r="L2160" s="64" t="n">
        <v>374.093992383688</v>
      </c>
      <c r="M2160" s="64" t="n">
        <v>7.86</v>
      </c>
      <c r="N2160" s="18" t="s">
        <v>1628</v>
      </c>
      <c r="O2160" s="65" t="n">
        <v>2940.3788</v>
      </c>
      <c r="P2160" s="65"/>
      <c r="Q2160" s="65"/>
      <c r="R2160" s="65" t="s">
        <v>232</v>
      </c>
      <c r="S2160" s="66" t="n">
        <f aca="false">Model_Calc!AG364</f>
        <v>2940.37878013578</v>
      </c>
      <c r="T2160" s="66" t="n">
        <f aca="false">ROUND(S2160-O2160,4)</f>
        <v>0</v>
      </c>
    </row>
    <row r="2161" customFormat="false" ht="15" hidden="false" customHeight="false" outlineLevel="0" collapsed="false">
      <c r="A2161" s="18" t="s">
        <v>213</v>
      </c>
      <c r="B2161" s="18" t="s">
        <v>207</v>
      </c>
      <c r="C2161" s="18" t="s">
        <v>214</v>
      </c>
      <c r="D2161" s="49" t="n">
        <v>46357</v>
      </c>
      <c r="E2161" s="18" t="s">
        <v>130</v>
      </c>
      <c r="F2161" s="18" t="s">
        <v>119</v>
      </c>
      <c r="G2161" s="18" t="s">
        <v>110</v>
      </c>
      <c r="H2161" s="18" t="s">
        <v>107</v>
      </c>
      <c r="I2161" s="18" t="s">
        <v>125</v>
      </c>
      <c r="J2161" s="18" t="s">
        <v>235</v>
      </c>
      <c r="K2161" s="18" t="s">
        <v>195</v>
      </c>
      <c r="L2161" s="64" t="n">
        <v>497.2968</v>
      </c>
      <c r="M2161" s="64" t="n">
        <v>7.86</v>
      </c>
      <c r="N2161" s="18" t="s">
        <v>1629</v>
      </c>
      <c r="O2161" s="65" t="n">
        <v>3908.7528</v>
      </c>
      <c r="P2161" s="65"/>
      <c r="Q2161" s="65"/>
      <c r="R2161" s="65" t="s">
        <v>232</v>
      </c>
      <c r="S2161" s="66" t="n">
        <f aca="false">Model_Calc!AL364</f>
        <v>3908.752848</v>
      </c>
      <c r="T2161" s="66" t="n">
        <f aca="false">ROUND(S2161-O2161,4)</f>
        <v>0</v>
      </c>
    </row>
    <row r="2162" customFormat="false" ht="15" hidden="false" customHeight="false" outlineLevel="0" collapsed="false">
      <c r="A2162" s="18" t="s">
        <v>213</v>
      </c>
      <c r="B2162" s="18" t="s">
        <v>207</v>
      </c>
      <c r="C2162" s="18" t="s">
        <v>214</v>
      </c>
      <c r="D2162" s="49" t="n">
        <v>46357</v>
      </c>
      <c r="E2162" s="18" t="s">
        <v>130</v>
      </c>
      <c r="F2162" s="18" t="s">
        <v>119</v>
      </c>
      <c r="G2162" s="18" t="s">
        <v>110</v>
      </c>
      <c r="H2162" s="18" t="s">
        <v>107</v>
      </c>
      <c r="I2162" s="18" t="s">
        <v>125</v>
      </c>
      <c r="J2162" s="18" t="s">
        <v>237</v>
      </c>
      <c r="K2162" s="18" t="s">
        <v>195</v>
      </c>
      <c r="L2162" s="64" t="n">
        <v>210.5696736</v>
      </c>
      <c r="M2162" s="64" t="n">
        <v>7.86</v>
      </c>
      <c r="N2162" s="18" t="s">
        <v>1630</v>
      </c>
      <c r="O2162" s="65" t="n">
        <v>1655.0776</v>
      </c>
      <c r="P2162" s="65"/>
      <c r="Q2162" s="65"/>
      <c r="R2162" s="65" t="s">
        <v>232</v>
      </c>
      <c r="S2162" s="66" t="n">
        <f aca="false">Model_Calc!AQ364</f>
        <v>1655.077634496</v>
      </c>
      <c r="T2162" s="66" t="n">
        <f aca="false">ROUND(S2162-O2162,4)</f>
        <v>0</v>
      </c>
    </row>
    <row r="2163" customFormat="false" ht="15" hidden="false" customHeight="false" outlineLevel="0" collapsed="false">
      <c r="A2163" s="18" t="s">
        <v>213</v>
      </c>
      <c r="B2163" s="18" t="s">
        <v>207</v>
      </c>
      <c r="C2163" s="18" t="s">
        <v>214</v>
      </c>
      <c r="D2163" s="49" t="n">
        <v>46357</v>
      </c>
      <c r="E2163" s="18" t="s">
        <v>130</v>
      </c>
      <c r="F2163" s="18" t="s">
        <v>119</v>
      </c>
      <c r="G2163" s="18" t="s">
        <v>110</v>
      </c>
      <c r="H2163" s="18" t="s">
        <v>107</v>
      </c>
      <c r="I2163" s="18" t="s">
        <v>125</v>
      </c>
      <c r="J2163" s="18" t="s">
        <v>239</v>
      </c>
      <c r="K2163" s="18" t="s">
        <v>195</v>
      </c>
      <c r="L2163" s="64" t="n">
        <v>221.652288</v>
      </c>
      <c r="M2163" s="64" t="n">
        <v>7.86</v>
      </c>
      <c r="N2163" s="18" t="s">
        <v>1631</v>
      </c>
      <c r="O2163" s="65" t="n">
        <v>1742.187</v>
      </c>
      <c r="P2163" s="65"/>
      <c r="Q2163" s="65"/>
      <c r="R2163" s="65" t="s">
        <v>232</v>
      </c>
      <c r="S2163" s="66" t="n">
        <f aca="false">Model_Calc!AV364</f>
        <v>1742.18698368</v>
      </c>
      <c r="T2163" s="66" t="n">
        <f aca="false">ROUND(S2163-O2163,4)</f>
        <v>0</v>
      </c>
    </row>
    <row r="2164" customFormat="false" ht="15" hidden="false" customHeight="false" outlineLevel="0" collapsed="false">
      <c r="A2164" s="21" t="s">
        <v>213</v>
      </c>
      <c r="B2164" s="21" t="s">
        <v>207</v>
      </c>
      <c r="C2164" s="21" t="s">
        <v>214</v>
      </c>
      <c r="D2164" s="55" t="n">
        <v>46357</v>
      </c>
      <c r="E2164" s="21" t="s">
        <v>130</v>
      </c>
      <c r="F2164" s="21" t="s">
        <v>119</v>
      </c>
      <c r="G2164" s="21" t="s">
        <v>110</v>
      </c>
      <c r="H2164" s="21" t="s">
        <v>107</v>
      </c>
      <c r="I2164" s="21" t="s">
        <v>125</v>
      </c>
      <c r="J2164" s="21" t="s">
        <v>241</v>
      </c>
      <c r="K2164" s="21" t="s">
        <v>195</v>
      </c>
      <c r="L2164" s="67" t="n">
        <v>19.5497318016</v>
      </c>
      <c r="M2164" s="67" t="n">
        <v>7.86</v>
      </c>
      <c r="N2164" s="21" t="s">
        <v>1932</v>
      </c>
      <c r="O2164" s="68" t="n">
        <v>153.6609</v>
      </c>
      <c r="P2164" s="68"/>
      <c r="Q2164" s="68"/>
      <c r="R2164" s="68" t="s">
        <v>232</v>
      </c>
      <c r="S2164" s="69" t="n">
        <f aca="false">Model_Calc!BA364</f>
        <v>153.660891960576</v>
      </c>
      <c r="T2164" s="69" t="n">
        <f aca="false">ROUND(S2164-O2164,4)</f>
        <v>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4"/>
    <col collapsed="false" customWidth="true" hidden="false" outlineLevel="0" max="9" min="7" style="0" width="16"/>
    <col collapsed="false" customWidth="true" hidden="false" outlineLevel="0" max="10" min="10" style="0" width="26"/>
    <col collapsed="false" customWidth="true" hidden="false" outlineLevel="0" max="13" min="11" style="0" width="16"/>
  </cols>
  <sheetData>
    <row r="1" customFormat="false" ht="32" hidden="false" customHeight="true" outlineLevel="0" collapsed="false">
      <c r="A1" s="24" t="s">
        <v>1933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28" hidden="false" customHeight="true" outlineLevel="0" collapsed="false">
      <c r="A2" s="2" t="s">
        <v>1934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1935</v>
      </c>
      <c r="F4" s="12" t="s">
        <v>1936</v>
      </c>
      <c r="G4" s="12" t="s">
        <v>220</v>
      </c>
      <c r="H4" s="12" t="s">
        <v>221</v>
      </c>
      <c r="I4" s="12" t="s">
        <v>222</v>
      </c>
      <c r="J4" s="12" t="s">
        <v>223</v>
      </c>
      <c r="K4" s="12" t="s">
        <v>224</v>
      </c>
      <c r="L4" s="12" t="s">
        <v>1937</v>
      </c>
      <c r="M4" s="13" t="s">
        <v>1938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100</v>
      </c>
      <c r="F5" s="15" t="s">
        <v>1939</v>
      </c>
      <c r="G5" s="15" t="s">
        <v>195</v>
      </c>
      <c r="H5" s="62" t="n">
        <v>25000</v>
      </c>
      <c r="I5" s="62" t="n">
        <v>7.8</v>
      </c>
      <c r="J5" s="62" t="s">
        <v>1940</v>
      </c>
      <c r="K5" s="62" t="n">
        <v>195000</v>
      </c>
      <c r="L5" s="63" t="n">
        <f aca="false">H5*I5</f>
        <v>195000</v>
      </c>
      <c r="M5" s="63" t="n">
        <f aca="false">L5-K5</f>
        <v>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100</v>
      </c>
      <c r="F6" s="18" t="s">
        <v>1941</v>
      </c>
      <c r="G6" s="18" t="s">
        <v>195</v>
      </c>
      <c r="H6" s="65" t="n">
        <v>14000</v>
      </c>
      <c r="I6" s="65" t="n">
        <v>7.8</v>
      </c>
      <c r="J6" s="65" t="s">
        <v>1942</v>
      </c>
      <c r="K6" s="65" t="n">
        <v>109200</v>
      </c>
      <c r="L6" s="66" t="n">
        <f aca="false">H6*I6</f>
        <v>109200</v>
      </c>
      <c r="M6" s="66" t="n">
        <f aca="false">L6-K6</f>
        <v>0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100</v>
      </c>
      <c r="F7" s="18" t="s">
        <v>1943</v>
      </c>
      <c r="G7" s="18" t="s">
        <v>195</v>
      </c>
      <c r="H7" s="65" t="n">
        <v>4000</v>
      </c>
      <c r="I7" s="65" t="n">
        <v>7.8</v>
      </c>
      <c r="J7" s="65" t="s">
        <v>1944</v>
      </c>
      <c r="K7" s="65" t="n">
        <v>31200</v>
      </c>
      <c r="L7" s="66" t="n">
        <f aca="false">H7*I7</f>
        <v>31200</v>
      </c>
      <c r="M7" s="66" t="n">
        <f aca="false">L7-K7</f>
        <v>0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110</v>
      </c>
      <c r="F8" s="18" t="s">
        <v>1939</v>
      </c>
      <c r="G8" s="18" t="s">
        <v>195</v>
      </c>
      <c r="H8" s="65" t="n">
        <v>18000</v>
      </c>
      <c r="I8" s="65" t="n">
        <v>7.8</v>
      </c>
      <c r="J8" s="65" t="s">
        <v>1945</v>
      </c>
      <c r="K8" s="65" t="n">
        <v>140400</v>
      </c>
      <c r="L8" s="66" t="n">
        <f aca="false">H8*I8</f>
        <v>140400</v>
      </c>
      <c r="M8" s="66" t="n">
        <f aca="false">L8-K8</f>
        <v>0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110</v>
      </c>
      <c r="F9" s="18" t="s">
        <v>1941</v>
      </c>
      <c r="G9" s="18" t="s">
        <v>195</v>
      </c>
      <c r="H9" s="65" t="n">
        <v>11000</v>
      </c>
      <c r="I9" s="65" t="n">
        <v>7.8</v>
      </c>
      <c r="J9" s="65" t="s">
        <v>1946</v>
      </c>
      <c r="K9" s="65" t="n">
        <v>85800</v>
      </c>
      <c r="L9" s="66" t="n">
        <f aca="false">H9*I9</f>
        <v>85800</v>
      </c>
      <c r="M9" s="66" t="n">
        <f aca="false">L9-K9</f>
        <v>0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110</v>
      </c>
      <c r="F10" s="18" t="s">
        <v>1943</v>
      </c>
      <c r="G10" s="18" t="s">
        <v>195</v>
      </c>
      <c r="H10" s="65" t="n">
        <v>3000</v>
      </c>
      <c r="I10" s="65" t="n">
        <v>7.8</v>
      </c>
      <c r="J10" s="65" t="s">
        <v>1947</v>
      </c>
      <c r="K10" s="65" t="n">
        <v>23400</v>
      </c>
      <c r="L10" s="66" t="n">
        <f aca="false">H10*I10</f>
        <v>23400</v>
      </c>
      <c r="M10" s="66" t="n">
        <f aca="false">L10-K10</f>
        <v>0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1948</v>
      </c>
      <c r="F11" s="18" t="s">
        <v>1949</v>
      </c>
      <c r="G11" s="18" t="s">
        <v>43</v>
      </c>
      <c r="H11" s="65" t="n">
        <v>50000</v>
      </c>
      <c r="I11" s="65" t="n">
        <v>1</v>
      </c>
      <c r="J11" s="65" t="s">
        <v>1950</v>
      </c>
      <c r="K11" s="65" t="n">
        <v>50000</v>
      </c>
      <c r="L11" s="66" t="n">
        <f aca="false">H11*I11</f>
        <v>50000</v>
      </c>
      <c r="M11" s="66" t="n">
        <f aca="false">L11-K11</f>
        <v>0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46054</v>
      </c>
      <c r="E12" s="18" t="s">
        <v>100</v>
      </c>
      <c r="F12" s="18" t="s">
        <v>1939</v>
      </c>
      <c r="G12" s="18" t="s">
        <v>195</v>
      </c>
      <c r="H12" s="65" t="n">
        <v>25000</v>
      </c>
      <c r="I12" s="65" t="n">
        <v>7.8</v>
      </c>
      <c r="J12" s="65" t="s">
        <v>1940</v>
      </c>
      <c r="K12" s="65" t="n">
        <v>195000</v>
      </c>
      <c r="L12" s="66" t="n">
        <f aca="false">H12*I12</f>
        <v>195000</v>
      </c>
      <c r="M12" s="66" t="n">
        <f aca="false">L12-K12</f>
        <v>0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46054</v>
      </c>
      <c r="E13" s="18" t="s">
        <v>100</v>
      </c>
      <c r="F13" s="18" t="s">
        <v>1941</v>
      </c>
      <c r="G13" s="18" t="s">
        <v>195</v>
      </c>
      <c r="H13" s="65" t="n">
        <v>14000</v>
      </c>
      <c r="I13" s="65" t="n">
        <v>7.8</v>
      </c>
      <c r="J13" s="65" t="s">
        <v>1942</v>
      </c>
      <c r="K13" s="65" t="n">
        <v>109200</v>
      </c>
      <c r="L13" s="66" t="n">
        <f aca="false">H13*I13</f>
        <v>109200</v>
      </c>
      <c r="M13" s="66" t="n">
        <f aca="false">L13-K13</f>
        <v>0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46054</v>
      </c>
      <c r="E14" s="18" t="s">
        <v>100</v>
      </c>
      <c r="F14" s="18" t="s">
        <v>1943</v>
      </c>
      <c r="G14" s="18" t="s">
        <v>195</v>
      </c>
      <c r="H14" s="65" t="n">
        <v>4000</v>
      </c>
      <c r="I14" s="65" t="n">
        <v>7.8</v>
      </c>
      <c r="J14" s="65" t="s">
        <v>1944</v>
      </c>
      <c r="K14" s="65" t="n">
        <v>31200</v>
      </c>
      <c r="L14" s="66" t="n">
        <f aca="false">H14*I14</f>
        <v>31200</v>
      </c>
      <c r="M14" s="66" t="n">
        <f aca="false">L14-K14</f>
        <v>0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46054</v>
      </c>
      <c r="E15" s="18" t="s">
        <v>110</v>
      </c>
      <c r="F15" s="18" t="s">
        <v>1939</v>
      </c>
      <c r="G15" s="18" t="s">
        <v>195</v>
      </c>
      <c r="H15" s="65" t="n">
        <v>18000</v>
      </c>
      <c r="I15" s="65" t="n">
        <v>7.8</v>
      </c>
      <c r="J15" s="65" t="s">
        <v>1945</v>
      </c>
      <c r="K15" s="65" t="n">
        <v>140400</v>
      </c>
      <c r="L15" s="66" t="n">
        <f aca="false">H15*I15</f>
        <v>140400</v>
      </c>
      <c r="M15" s="66" t="n">
        <f aca="false">L15-K15</f>
        <v>0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46054</v>
      </c>
      <c r="E16" s="18" t="s">
        <v>110</v>
      </c>
      <c r="F16" s="18" t="s">
        <v>1941</v>
      </c>
      <c r="G16" s="18" t="s">
        <v>195</v>
      </c>
      <c r="H16" s="65" t="n">
        <v>11000</v>
      </c>
      <c r="I16" s="65" t="n">
        <v>7.8</v>
      </c>
      <c r="J16" s="65" t="s">
        <v>1946</v>
      </c>
      <c r="K16" s="65" t="n">
        <v>85800</v>
      </c>
      <c r="L16" s="66" t="n">
        <f aca="false">H16*I16</f>
        <v>85800</v>
      </c>
      <c r="M16" s="66" t="n">
        <f aca="false">L16-K16</f>
        <v>0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46054</v>
      </c>
      <c r="E17" s="18" t="s">
        <v>110</v>
      </c>
      <c r="F17" s="18" t="s">
        <v>1943</v>
      </c>
      <c r="G17" s="18" t="s">
        <v>195</v>
      </c>
      <c r="H17" s="65" t="n">
        <v>3000</v>
      </c>
      <c r="I17" s="65" t="n">
        <v>7.8</v>
      </c>
      <c r="J17" s="65" t="s">
        <v>1947</v>
      </c>
      <c r="K17" s="65" t="n">
        <v>23400</v>
      </c>
      <c r="L17" s="66" t="n">
        <f aca="false">H17*I17</f>
        <v>23400</v>
      </c>
      <c r="M17" s="66" t="n">
        <f aca="false">L17-K17</f>
        <v>0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46054</v>
      </c>
      <c r="E18" s="18" t="s">
        <v>1948</v>
      </c>
      <c r="F18" s="18" t="s">
        <v>1949</v>
      </c>
      <c r="G18" s="18" t="s">
        <v>43</v>
      </c>
      <c r="H18" s="65" t="n">
        <v>50000</v>
      </c>
      <c r="I18" s="65" t="n">
        <v>1</v>
      </c>
      <c r="J18" s="65" t="s">
        <v>1950</v>
      </c>
      <c r="K18" s="65" t="n">
        <v>50000</v>
      </c>
      <c r="L18" s="66" t="n">
        <f aca="false">H18*I18</f>
        <v>50000</v>
      </c>
      <c r="M18" s="66" t="n">
        <f aca="false">L18-K18</f>
        <v>0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46082</v>
      </c>
      <c r="E19" s="18" t="s">
        <v>100</v>
      </c>
      <c r="F19" s="18" t="s">
        <v>1939</v>
      </c>
      <c r="G19" s="18" t="s">
        <v>195</v>
      </c>
      <c r="H19" s="65" t="n">
        <v>25000</v>
      </c>
      <c r="I19" s="65" t="n">
        <v>7.8</v>
      </c>
      <c r="J19" s="65" t="s">
        <v>1940</v>
      </c>
      <c r="K19" s="65" t="n">
        <v>195000</v>
      </c>
      <c r="L19" s="66" t="n">
        <f aca="false">H19*I19</f>
        <v>195000</v>
      </c>
      <c r="M19" s="66" t="n">
        <f aca="false">L19-K19</f>
        <v>0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46082</v>
      </c>
      <c r="E20" s="18" t="s">
        <v>100</v>
      </c>
      <c r="F20" s="18" t="s">
        <v>1941</v>
      </c>
      <c r="G20" s="18" t="s">
        <v>195</v>
      </c>
      <c r="H20" s="65" t="n">
        <v>14000</v>
      </c>
      <c r="I20" s="65" t="n">
        <v>7.8</v>
      </c>
      <c r="J20" s="65" t="s">
        <v>1942</v>
      </c>
      <c r="K20" s="65" t="n">
        <v>109200</v>
      </c>
      <c r="L20" s="66" t="n">
        <f aca="false">H20*I20</f>
        <v>109200</v>
      </c>
      <c r="M20" s="66" t="n">
        <f aca="false">L20-K20</f>
        <v>0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46082</v>
      </c>
      <c r="E21" s="18" t="s">
        <v>100</v>
      </c>
      <c r="F21" s="18" t="s">
        <v>1943</v>
      </c>
      <c r="G21" s="18" t="s">
        <v>195</v>
      </c>
      <c r="H21" s="65" t="n">
        <v>4000</v>
      </c>
      <c r="I21" s="65" t="n">
        <v>7.8</v>
      </c>
      <c r="J21" s="65" t="s">
        <v>1944</v>
      </c>
      <c r="K21" s="65" t="n">
        <v>31200</v>
      </c>
      <c r="L21" s="66" t="n">
        <f aca="false">H21*I21</f>
        <v>31200</v>
      </c>
      <c r="M21" s="66" t="n">
        <f aca="false">L21-K21</f>
        <v>0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46082</v>
      </c>
      <c r="E22" s="18" t="s">
        <v>110</v>
      </c>
      <c r="F22" s="18" t="s">
        <v>1939</v>
      </c>
      <c r="G22" s="18" t="s">
        <v>195</v>
      </c>
      <c r="H22" s="65" t="n">
        <v>18000</v>
      </c>
      <c r="I22" s="65" t="n">
        <v>7.8</v>
      </c>
      <c r="J22" s="65" t="s">
        <v>1945</v>
      </c>
      <c r="K22" s="65" t="n">
        <v>140400</v>
      </c>
      <c r="L22" s="66" t="n">
        <f aca="false">H22*I22</f>
        <v>140400</v>
      </c>
      <c r="M22" s="66" t="n">
        <f aca="false">L22-K22</f>
        <v>0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46082</v>
      </c>
      <c r="E23" s="18" t="s">
        <v>110</v>
      </c>
      <c r="F23" s="18" t="s">
        <v>1941</v>
      </c>
      <c r="G23" s="18" t="s">
        <v>195</v>
      </c>
      <c r="H23" s="65" t="n">
        <v>11000</v>
      </c>
      <c r="I23" s="65" t="n">
        <v>7.8</v>
      </c>
      <c r="J23" s="65" t="s">
        <v>1946</v>
      </c>
      <c r="K23" s="65" t="n">
        <v>85800</v>
      </c>
      <c r="L23" s="66" t="n">
        <f aca="false">H23*I23</f>
        <v>85800</v>
      </c>
      <c r="M23" s="66" t="n">
        <f aca="false">L23-K23</f>
        <v>0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46082</v>
      </c>
      <c r="E24" s="18" t="s">
        <v>110</v>
      </c>
      <c r="F24" s="18" t="s">
        <v>1943</v>
      </c>
      <c r="G24" s="18" t="s">
        <v>195</v>
      </c>
      <c r="H24" s="65" t="n">
        <v>3000</v>
      </c>
      <c r="I24" s="65" t="n">
        <v>7.8</v>
      </c>
      <c r="J24" s="65" t="s">
        <v>1947</v>
      </c>
      <c r="K24" s="65" t="n">
        <v>23400</v>
      </c>
      <c r="L24" s="66" t="n">
        <f aca="false">H24*I24</f>
        <v>23400</v>
      </c>
      <c r="M24" s="66" t="n">
        <f aca="false">L24-K24</f>
        <v>0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46082</v>
      </c>
      <c r="E25" s="18" t="s">
        <v>1948</v>
      </c>
      <c r="F25" s="18" t="s">
        <v>1949</v>
      </c>
      <c r="G25" s="18" t="s">
        <v>43</v>
      </c>
      <c r="H25" s="65" t="n">
        <v>50000</v>
      </c>
      <c r="I25" s="65" t="n">
        <v>1</v>
      </c>
      <c r="J25" s="65" t="s">
        <v>1950</v>
      </c>
      <c r="K25" s="65" t="n">
        <v>50000</v>
      </c>
      <c r="L25" s="66" t="n">
        <f aca="false">H25*I25</f>
        <v>50000</v>
      </c>
      <c r="M25" s="66" t="n">
        <f aca="false">L25-K25</f>
        <v>0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46113</v>
      </c>
      <c r="E26" s="18" t="s">
        <v>100</v>
      </c>
      <c r="F26" s="18" t="s">
        <v>1939</v>
      </c>
      <c r="G26" s="18" t="s">
        <v>195</v>
      </c>
      <c r="H26" s="65" t="n">
        <v>25000</v>
      </c>
      <c r="I26" s="65" t="n">
        <v>7.8</v>
      </c>
      <c r="J26" s="65" t="s">
        <v>1940</v>
      </c>
      <c r="K26" s="65" t="n">
        <v>195000</v>
      </c>
      <c r="L26" s="66" t="n">
        <f aca="false">H26*I26</f>
        <v>195000</v>
      </c>
      <c r="M26" s="66" t="n">
        <f aca="false">L26-K26</f>
        <v>0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46113</v>
      </c>
      <c r="E27" s="18" t="s">
        <v>100</v>
      </c>
      <c r="F27" s="18" t="s">
        <v>1941</v>
      </c>
      <c r="G27" s="18" t="s">
        <v>195</v>
      </c>
      <c r="H27" s="65" t="n">
        <v>14000</v>
      </c>
      <c r="I27" s="65" t="n">
        <v>7.8</v>
      </c>
      <c r="J27" s="65" t="s">
        <v>1942</v>
      </c>
      <c r="K27" s="65" t="n">
        <v>109200</v>
      </c>
      <c r="L27" s="66" t="n">
        <f aca="false">H27*I27</f>
        <v>109200</v>
      </c>
      <c r="M27" s="66" t="n">
        <f aca="false">L27-K27</f>
        <v>0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46113</v>
      </c>
      <c r="E28" s="18" t="s">
        <v>100</v>
      </c>
      <c r="F28" s="18" t="s">
        <v>1943</v>
      </c>
      <c r="G28" s="18" t="s">
        <v>195</v>
      </c>
      <c r="H28" s="65" t="n">
        <v>4000</v>
      </c>
      <c r="I28" s="65" t="n">
        <v>7.8</v>
      </c>
      <c r="J28" s="65" t="s">
        <v>1944</v>
      </c>
      <c r="K28" s="65" t="n">
        <v>31200</v>
      </c>
      <c r="L28" s="66" t="n">
        <f aca="false">H28*I28</f>
        <v>31200</v>
      </c>
      <c r="M28" s="66" t="n">
        <f aca="false">L28-K28</f>
        <v>0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46113</v>
      </c>
      <c r="E29" s="18" t="s">
        <v>110</v>
      </c>
      <c r="F29" s="18" t="s">
        <v>1939</v>
      </c>
      <c r="G29" s="18" t="s">
        <v>195</v>
      </c>
      <c r="H29" s="65" t="n">
        <v>18000</v>
      </c>
      <c r="I29" s="65" t="n">
        <v>7.8</v>
      </c>
      <c r="J29" s="65" t="s">
        <v>1945</v>
      </c>
      <c r="K29" s="65" t="n">
        <v>140400</v>
      </c>
      <c r="L29" s="66" t="n">
        <f aca="false">H29*I29</f>
        <v>140400</v>
      </c>
      <c r="M29" s="66" t="n">
        <f aca="false">L29-K29</f>
        <v>0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46113</v>
      </c>
      <c r="E30" s="18" t="s">
        <v>110</v>
      </c>
      <c r="F30" s="18" t="s">
        <v>1941</v>
      </c>
      <c r="G30" s="18" t="s">
        <v>195</v>
      </c>
      <c r="H30" s="65" t="n">
        <v>11000</v>
      </c>
      <c r="I30" s="65" t="n">
        <v>7.8</v>
      </c>
      <c r="J30" s="65" t="s">
        <v>1946</v>
      </c>
      <c r="K30" s="65" t="n">
        <v>85800</v>
      </c>
      <c r="L30" s="66" t="n">
        <f aca="false">H30*I30</f>
        <v>85800</v>
      </c>
      <c r="M30" s="66" t="n">
        <f aca="false">L30-K30</f>
        <v>0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46113</v>
      </c>
      <c r="E31" s="18" t="s">
        <v>110</v>
      </c>
      <c r="F31" s="18" t="s">
        <v>1943</v>
      </c>
      <c r="G31" s="18" t="s">
        <v>195</v>
      </c>
      <c r="H31" s="65" t="n">
        <v>3000</v>
      </c>
      <c r="I31" s="65" t="n">
        <v>7.8</v>
      </c>
      <c r="J31" s="65" t="s">
        <v>1947</v>
      </c>
      <c r="K31" s="65" t="n">
        <v>23400</v>
      </c>
      <c r="L31" s="66" t="n">
        <f aca="false">H31*I31</f>
        <v>23400</v>
      </c>
      <c r="M31" s="66" t="n">
        <f aca="false">L31-K31</f>
        <v>0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46113</v>
      </c>
      <c r="E32" s="18" t="s">
        <v>1948</v>
      </c>
      <c r="F32" s="18" t="s">
        <v>1949</v>
      </c>
      <c r="G32" s="18" t="s">
        <v>43</v>
      </c>
      <c r="H32" s="65" t="n">
        <v>50000</v>
      </c>
      <c r="I32" s="65" t="n">
        <v>1</v>
      </c>
      <c r="J32" s="65" t="s">
        <v>1950</v>
      </c>
      <c r="K32" s="65" t="n">
        <v>50000</v>
      </c>
      <c r="L32" s="66" t="n">
        <f aca="false">H32*I32</f>
        <v>50000</v>
      </c>
      <c r="M32" s="66" t="n">
        <f aca="false">L32-K32</f>
        <v>0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46143</v>
      </c>
      <c r="E33" s="18" t="s">
        <v>100</v>
      </c>
      <c r="F33" s="18" t="s">
        <v>1939</v>
      </c>
      <c r="G33" s="18" t="s">
        <v>195</v>
      </c>
      <c r="H33" s="65" t="n">
        <v>25000</v>
      </c>
      <c r="I33" s="65" t="n">
        <v>7.8</v>
      </c>
      <c r="J33" s="65" t="s">
        <v>1940</v>
      </c>
      <c r="K33" s="65" t="n">
        <v>195000</v>
      </c>
      <c r="L33" s="66" t="n">
        <f aca="false">H33*I33</f>
        <v>195000</v>
      </c>
      <c r="M33" s="66" t="n">
        <f aca="false">L33-K33</f>
        <v>0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46143</v>
      </c>
      <c r="E34" s="18" t="s">
        <v>100</v>
      </c>
      <c r="F34" s="18" t="s">
        <v>1941</v>
      </c>
      <c r="G34" s="18" t="s">
        <v>195</v>
      </c>
      <c r="H34" s="65" t="n">
        <v>14000</v>
      </c>
      <c r="I34" s="65" t="n">
        <v>7.8</v>
      </c>
      <c r="J34" s="65" t="s">
        <v>1942</v>
      </c>
      <c r="K34" s="65" t="n">
        <v>109200</v>
      </c>
      <c r="L34" s="66" t="n">
        <f aca="false">H34*I34</f>
        <v>109200</v>
      </c>
      <c r="M34" s="66" t="n">
        <f aca="false">L34-K34</f>
        <v>0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46143</v>
      </c>
      <c r="E35" s="18" t="s">
        <v>100</v>
      </c>
      <c r="F35" s="18" t="s">
        <v>1943</v>
      </c>
      <c r="G35" s="18" t="s">
        <v>195</v>
      </c>
      <c r="H35" s="65" t="n">
        <v>4000</v>
      </c>
      <c r="I35" s="65" t="n">
        <v>7.8</v>
      </c>
      <c r="J35" s="65" t="s">
        <v>1944</v>
      </c>
      <c r="K35" s="65" t="n">
        <v>31200</v>
      </c>
      <c r="L35" s="66" t="n">
        <f aca="false">H35*I35</f>
        <v>31200</v>
      </c>
      <c r="M35" s="66" t="n">
        <f aca="false">L35-K35</f>
        <v>0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46143</v>
      </c>
      <c r="E36" s="18" t="s">
        <v>110</v>
      </c>
      <c r="F36" s="18" t="s">
        <v>1939</v>
      </c>
      <c r="G36" s="18" t="s">
        <v>195</v>
      </c>
      <c r="H36" s="65" t="n">
        <v>18000</v>
      </c>
      <c r="I36" s="65" t="n">
        <v>7.8</v>
      </c>
      <c r="J36" s="65" t="s">
        <v>1945</v>
      </c>
      <c r="K36" s="65" t="n">
        <v>140400</v>
      </c>
      <c r="L36" s="66" t="n">
        <f aca="false">H36*I36</f>
        <v>140400</v>
      </c>
      <c r="M36" s="66" t="n">
        <f aca="false">L36-K36</f>
        <v>0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46143</v>
      </c>
      <c r="E37" s="18" t="s">
        <v>110</v>
      </c>
      <c r="F37" s="18" t="s">
        <v>1941</v>
      </c>
      <c r="G37" s="18" t="s">
        <v>195</v>
      </c>
      <c r="H37" s="65" t="n">
        <v>11000</v>
      </c>
      <c r="I37" s="65" t="n">
        <v>7.8</v>
      </c>
      <c r="J37" s="65" t="s">
        <v>1946</v>
      </c>
      <c r="K37" s="65" t="n">
        <v>85800</v>
      </c>
      <c r="L37" s="66" t="n">
        <f aca="false">H37*I37</f>
        <v>85800</v>
      </c>
      <c r="M37" s="66" t="n">
        <f aca="false">L37-K37</f>
        <v>0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46143</v>
      </c>
      <c r="E38" s="18" t="s">
        <v>110</v>
      </c>
      <c r="F38" s="18" t="s">
        <v>1943</v>
      </c>
      <c r="G38" s="18" t="s">
        <v>195</v>
      </c>
      <c r="H38" s="65" t="n">
        <v>3000</v>
      </c>
      <c r="I38" s="65" t="n">
        <v>7.8</v>
      </c>
      <c r="J38" s="65" t="s">
        <v>1947</v>
      </c>
      <c r="K38" s="65" t="n">
        <v>23400</v>
      </c>
      <c r="L38" s="66" t="n">
        <f aca="false">H38*I38</f>
        <v>23400</v>
      </c>
      <c r="M38" s="66" t="n">
        <f aca="false">L38-K38</f>
        <v>0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46143</v>
      </c>
      <c r="E39" s="18" t="s">
        <v>1948</v>
      </c>
      <c r="F39" s="18" t="s">
        <v>1949</v>
      </c>
      <c r="G39" s="18" t="s">
        <v>43</v>
      </c>
      <c r="H39" s="65" t="n">
        <v>50000</v>
      </c>
      <c r="I39" s="65" t="n">
        <v>1</v>
      </c>
      <c r="J39" s="65" t="s">
        <v>1950</v>
      </c>
      <c r="K39" s="65" t="n">
        <v>50000</v>
      </c>
      <c r="L39" s="66" t="n">
        <f aca="false">H39*I39</f>
        <v>50000</v>
      </c>
      <c r="M39" s="66" t="n">
        <f aca="false">L39-K39</f>
        <v>0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46174</v>
      </c>
      <c r="E40" s="18" t="s">
        <v>100</v>
      </c>
      <c r="F40" s="18" t="s">
        <v>1939</v>
      </c>
      <c r="G40" s="18" t="s">
        <v>195</v>
      </c>
      <c r="H40" s="65" t="n">
        <v>25000</v>
      </c>
      <c r="I40" s="65" t="n">
        <v>7.8</v>
      </c>
      <c r="J40" s="65" t="s">
        <v>1940</v>
      </c>
      <c r="K40" s="65" t="n">
        <v>195000</v>
      </c>
      <c r="L40" s="66" t="n">
        <f aca="false">H40*I40</f>
        <v>195000</v>
      </c>
      <c r="M40" s="66" t="n">
        <f aca="false">L40-K40</f>
        <v>0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46174</v>
      </c>
      <c r="E41" s="18" t="s">
        <v>100</v>
      </c>
      <c r="F41" s="18" t="s">
        <v>1941</v>
      </c>
      <c r="G41" s="18" t="s">
        <v>195</v>
      </c>
      <c r="H41" s="65" t="n">
        <v>14000</v>
      </c>
      <c r="I41" s="65" t="n">
        <v>7.8</v>
      </c>
      <c r="J41" s="65" t="s">
        <v>1942</v>
      </c>
      <c r="K41" s="65" t="n">
        <v>109200</v>
      </c>
      <c r="L41" s="66" t="n">
        <f aca="false">H41*I41</f>
        <v>109200</v>
      </c>
      <c r="M41" s="66" t="n">
        <f aca="false">L41-K41</f>
        <v>0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46174</v>
      </c>
      <c r="E42" s="18" t="s">
        <v>100</v>
      </c>
      <c r="F42" s="18" t="s">
        <v>1943</v>
      </c>
      <c r="G42" s="18" t="s">
        <v>195</v>
      </c>
      <c r="H42" s="65" t="n">
        <v>4000</v>
      </c>
      <c r="I42" s="65" t="n">
        <v>7.8</v>
      </c>
      <c r="J42" s="65" t="s">
        <v>1944</v>
      </c>
      <c r="K42" s="65" t="n">
        <v>31200</v>
      </c>
      <c r="L42" s="66" t="n">
        <f aca="false">H42*I42</f>
        <v>31200</v>
      </c>
      <c r="M42" s="66" t="n">
        <f aca="false">L42-K42</f>
        <v>0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46174</v>
      </c>
      <c r="E43" s="18" t="s">
        <v>110</v>
      </c>
      <c r="F43" s="18" t="s">
        <v>1939</v>
      </c>
      <c r="G43" s="18" t="s">
        <v>195</v>
      </c>
      <c r="H43" s="65" t="n">
        <v>18000</v>
      </c>
      <c r="I43" s="65" t="n">
        <v>7.8</v>
      </c>
      <c r="J43" s="65" t="s">
        <v>1945</v>
      </c>
      <c r="K43" s="65" t="n">
        <v>140400</v>
      </c>
      <c r="L43" s="66" t="n">
        <f aca="false">H43*I43</f>
        <v>140400</v>
      </c>
      <c r="M43" s="66" t="n">
        <f aca="false">L43-K43</f>
        <v>0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46174</v>
      </c>
      <c r="E44" s="18" t="s">
        <v>110</v>
      </c>
      <c r="F44" s="18" t="s">
        <v>1941</v>
      </c>
      <c r="G44" s="18" t="s">
        <v>195</v>
      </c>
      <c r="H44" s="65" t="n">
        <v>11000</v>
      </c>
      <c r="I44" s="65" t="n">
        <v>7.8</v>
      </c>
      <c r="J44" s="65" t="s">
        <v>1946</v>
      </c>
      <c r="K44" s="65" t="n">
        <v>85800</v>
      </c>
      <c r="L44" s="66" t="n">
        <f aca="false">H44*I44</f>
        <v>85800</v>
      </c>
      <c r="M44" s="66" t="n">
        <f aca="false">L44-K44</f>
        <v>0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46174</v>
      </c>
      <c r="E45" s="18" t="s">
        <v>110</v>
      </c>
      <c r="F45" s="18" t="s">
        <v>1943</v>
      </c>
      <c r="G45" s="18" t="s">
        <v>195</v>
      </c>
      <c r="H45" s="65" t="n">
        <v>3000</v>
      </c>
      <c r="I45" s="65" t="n">
        <v>7.8</v>
      </c>
      <c r="J45" s="65" t="s">
        <v>1947</v>
      </c>
      <c r="K45" s="65" t="n">
        <v>23400</v>
      </c>
      <c r="L45" s="66" t="n">
        <f aca="false">H45*I45</f>
        <v>23400</v>
      </c>
      <c r="M45" s="66" t="n">
        <f aca="false">L45-K45</f>
        <v>0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46174</v>
      </c>
      <c r="E46" s="18" t="s">
        <v>1948</v>
      </c>
      <c r="F46" s="18" t="s">
        <v>1949</v>
      </c>
      <c r="G46" s="18" t="s">
        <v>43</v>
      </c>
      <c r="H46" s="65" t="n">
        <v>50000</v>
      </c>
      <c r="I46" s="65" t="n">
        <v>1</v>
      </c>
      <c r="J46" s="65" t="s">
        <v>1950</v>
      </c>
      <c r="K46" s="65" t="n">
        <v>50000</v>
      </c>
      <c r="L46" s="66" t="n">
        <f aca="false">H46*I46</f>
        <v>50000</v>
      </c>
      <c r="M46" s="66" t="n">
        <f aca="false">L46-K46</f>
        <v>0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46204</v>
      </c>
      <c r="E47" s="18" t="s">
        <v>100</v>
      </c>
      <c r="F47" s="18" t="s">
        <v>1939</v>
      </c>
      <c r="G47" s="18" t="s">
        <v>195</v>
      </c>
      <c r="H47" s="65" t="n">
        <v>25000</v>
      </c>
      <c r="I47" s="65" t="n">
        <v>7.8</v>
      </c>
      <c r="J47" s="65" t="s">
        <v>1940</v>
      </c>
      <c r="K47" s="65" t="n">
        <v>195000</v>
      </c>
      <c r="L47" s="66" t="n">
        <f aca="false">H47*I47</f>
        <v>195000</v>
      </c>
      <c r="M47" s="66" t="n">
        <f aca="false">L47-K47</f>
        <v>0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46204</v>
      </c>
      <c r="E48" s="18" t="s">
        <v>100</v>
      </c>
      <c r="F48" s="18" t="s">
        <v>1941</v>
      </c>
      <c r="G48" s="18" t="s">
        <v>195</v>
      </c>
      <c r="H48" s="65" t="n">
        <v>14000</v>
      </c>
      <c r="I48" s="65" t="n">
        <v>7.8</v>
      </c>
      <c r="J48" s="65" t="s">
        <v>1942</v>
      </c>
      <c r="K48" s="65" t="n">
        <v>109200</v>
      </c>
      <c r="L48" s="66" t="n">
        <f aca="false">H48*I48</f>
        <v>109200</v>
      </c>
      <c r="M48" s="66" t="n">
        <f aca="false">L48-K48</f>
        <v>0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46204</v>
      </c>
      <c r="E49" s="18" t="s">
        <v>100</v>
      </c>
      <c r="F49" s="18" t="s">
        <v>1943</v>
      </c>
      <c r="G49" s="18" t="s">
        <v>195</v>
      </c>
      <c r="H49" s="65" t="n">
        <v>4000</v>
      </c>
      <c r="I49" s="65" t="n">
        <v>7.8</v>
      </c>
      <c r="J49" s="65" t="s">
        <v>1944</v>
      </c>
      <c r="K49" s="65" t="n">
        <v>31200</v>
      </c>
      <c r="L49" s="66" t="n">
        <f aca="false">H49*I49</f>
        <v>31200</v>
      </c>
      <c r="M49" s="66" t="n">
        <f aca="false">L49-K49</f>
        <v>0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46204</v>
      </c>
      <c r="E50" s="18" t="s">
        <v>110</v>
      </c>
      <c r="F50" s="18" t="s">
        <v>1939</v>
      </c>
      <c r="G50" s="18" t="s">
        <v>195</v>
      </c>
      <c r="H50" s="65" t="n">
        <v>18000</v>
      </c>
      <c r="I50" s="65" t="n">
        <v>7.8</v>
      </c>
      <c r="J50" s="65" t="s">
        <v>1945</v>
      </c>
      <c r="K50" s="65" t="n">
        <v>140400</v>
      </c>
      <c r="L50" s="66" t="n">
        <f aca="false">H50*I50</f>
        <v>140400</v>
      </c>
      <c r="M50" s="66" t="n">
        <f aca="false">L50-K50</f>
        <v>0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46204</v>
      </c>
      <c r="E51" s="18" t="s">
        <v>110</v>
      </c>
      <c r="F51" s="18" t="s">
        <v>1941</v>
      </c>
      <c r="G51" s="18" t="s">
        <v>195</v>
      </c>
      <c r="H51" s="65" t="n">
        <v>11000</v>
      </c>
      <c r="I51" s="65" t="n">
        <v>7.8</v>
      </c>
      <c r="J51" s="65" t="s">
        <v>1946</v>
      </c>
      <c r="K51" s="65" t="n">
        <v>85800</v>
      </c>
      <c r="L51" s="66" t="n">
        <f aca="false">H51*I51</f>
        <v>85800</v>
      </c>
      <c r="M51" s="66" t="n">
        <f aca="false">L51-K51</f>
        <v>0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46204</v>
      </c>
      <c r="E52" s="18" t="s">
        <v>110</v>
      </c>
      <c r="F52" s="18" t="s">
        <v>1943</v>
      </c>
      <c r="G52" s="18" t="s">
        <v>195</v>
      </c>
      <c r="H52" s="65" t="n">
        <v>3000</v>
      </c>
      <c r="I52" s="65" t="n">
        <v>7.8</v>
      </c>
      <c r="J52" s="65" t="s">
        <v>1947</v>
      </c>
      <c r="K52" s="65" t="n">
        <v>23400</v>
      </c>
      <c r="L52" s="66" t="n">
        <f aca="false">H52*I52</f>
        <v>23400</v>
      </c>
      <c r="M52" s="66" t="n">
        <f aca="false">L52-K52</f>
        <v>0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46204</v>
      </c>
      <c r="E53" s="18" t="s">
        <v>1948</v>
      </c>
      <c r="F53" s="18" t="s">
        <v>1949</v>
      </c>
      <c r="G53" s="18" t="s">
        <v>43</v>
      </c>
      <c r="H53" s="65" t="n">
        <v>50000</v>
      </c>
      <c r="I53" s="65" t="n">
        <v>1</v>
      </c>
      <c r="J53" s="65" t="s">
        <v>1950</v>
      </c>
      <c r="K53" s="65" t="n">
        <v>50000</v>
      </c>
      <c r="L53" s="66" t="n">
        <f aca="false">H53*I53</f>
        <v>50000</v>
      </c>
      <c r="M53" s="66" t="n">
        <f aca="false">L53-K53</f>
        <v>0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46235</v>
      </c>
      <c r="E54" s="18" t="s">
        <v>100</v>
      </c>
      <c r="F54" s="18" t="s">
        <v>1939</v>
      </c>
      <c r="G54" s="18" t="s">
        <v>195</v>
      </c>
      <c r="H54" s="65" t="n">
        <v>25000</v>
      </c>
      <c r="I54" s="65" t="n">
        <v>7.8</v>
      </c>
      <c r="J54" s="65" t="s">
        <v>1940</v>
      </c>
      <c r="K54" s="65" t="n">
        <v>195000</v>
      </c>
      <c r="L54" s="66" t="n">
        <f aca="false">H54*I54</f>
        <v>195000</v>
      </c>
      <c r="M54" s="66" t="n">
        <f aca="false">L54-K54</f>
        <v>0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46235</v>
      </c>
      <c r="E55" s="18" t="s">
        <v>100</v>
      </c>
      <c r="F55" s="18" t="s">
        <v>1941</v>
      </c>
      <c r="G55" s="18" t="s">
        <v>195</v>
      </c>
      <c r="H55" s="65" t="n">
        <v>14000</v>
      </c>
      <c r="I55" s="65" t="n">
        <v>7.8</v>
      </c>
      <c r="J55" s="65" t="s">
        <v>1942</v>
      </c>
      <c r="K55" s="65" t="n">
        <v>109200</v>
      </c>
      <c r="L55" s="66" t="n">
        <f aca="false">H55*I55</f>
        <v>109200</v>
      </c>
      <c r="M55" s="66" t="n">
        <f aca="false">L55-K55</f>
        <v>0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46235</v>
      </c>
      <c r="E56" s="18" t="s">
        <v>100</v>
      </c>
      <c r="F56" s="18" t="s">
        <v>1943</v>
      </c>
      <c r="G56" s="18" t="s">
        <v>195</v>
      </c>
      <c r="H56" s="65" t="n">
        <v>4000</v>
      </c>
      <c r="I56" s="65" t="n">
        <v>7.8</v>
      </c>
      <c r="J56" s="65" t="s">
        <v>1944</v>
      </c>
      <c r="K56" s="65" t="n">
        <v>31200</v>
      </c>
      <c r="L56" s="66" t="n">
        <f aca="false">H56*I56</f>
        <v>31200</v>
      </c>
      <c r="M56" s="66" t="n">
        <f aca="false">L56-K56</f>
        <v>0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46235</v>
      </c>
      <c r="E57" s="18" t="s">
        <v>110</v>
      </c>
      <c r="F57" s="18" t="s">
        <v>1939</v>
      </c>
      <c r="G57" s="18" t="s">
        <v>195</v>
      </c>
      <c r="H57" s="65" t="n">
        <v>18000</v>
      </c>
      <c r="I57" s="65" t="n">
        <v>7.8</v>
      </c>
      <c r="J57" s="65" t="s">
        <v>1945</v>
      </c>
      <c r="K57" s="65" t="n">
        <v>140400</v>
      </c>
      <c r="L57" s="66" t="n">
        <f aca="false">H57*I57</f>
        <v>140400</v>
      </c>
      <c r="M57" s="66" t="n">
        <f aca="false">L57-K57</f>
        <v>0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46235</v>
      </c>
      <c r="E58" s="18" t="s">
        <v>110</v>
      </c>
      <c r="F58" s="18" t="s">
        <v>1941</v>
      </c>
      <c r="G58" s="18" t="s">
        <v>195</v>
      </c>
      <c r="H58" s="65" t="n">
        <v>11000</v>
      </c>
      <c r="I58" s="65" t="n">
        <v>7.8</v>
      </c>
      <c r="J58" s="65" t="s">
        <v>1946</v>
      </c>
      <c r="K58" s="65" t="n">
        <v>85800</v>
      </c>
      <c r="L58" s="66" t="n">
        <f aca="false">H58*I58</f>
        <v>85800</v>
      </c>
      <c r="M58" s="66" t="n">
        <f aca="false">L58-K58</f>
        <v>0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46235</v>
      </c>
      <c r="E59" s="18" t="s">
        <v>110</v>
      </c>
      <c r="F59" s="18" t="s">
        <v>1943</v>
      </c>
      <c r="G59" s="18" t="s">
        <v>195</v>
      </c>
      <c r="H59" s="65" t="n">
        <v>3000</v>
      </c>
      <c r="I59" s="65" t="n">
        <v>7.8</v>
      </c>
      <c r="J59" s="65" t="s">
        <v>1947</v>
      </c>
      <c r="K59" s="65" t="n">
        <v>23400</v>
      </c>
      <c r="L59" s="66" t="n">
        <f aca="false">H59*I59</f>
        <v>23400</v>
      </c>
      <c r="M59" s="66" t="n">
        <f aca="false">L59-K59</f>
        <v>0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46235</v>
      </c>
      <c r="E60" s="18" t="s">
        <v>1948</v>
      </c>
      <c r="F60" s="18" t="s">
        <v>1949</v>
      </c>
      <c r="G60" s="18" t="s">
        <v>43</v>
      </c>
      <c r="H60" s="65" t="n">
        <v>50000</v>
      </c>
      <c r="I60" s="65" t="n">
        <v>1</v>
      </c>
      <c r="J60" s="65" t="s">
        <v>1950</v>
      </c>
      <c r="K60" s="65" t="n">
        <v>50000</v>
      </c>
      <c r="L60" s="66" t="n">
        <f aca="false">H60*I60</f>
        <v>50000</v>
      </c>
      <c r="M60" s="66" t="n">
        <f aca="false">L60-K60</f>
        <v>0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46266</v>
      </c>
      <c r="E61" s="18" t="s">
        <v>100</v>
      </c>
      <c r="F61" s="18" t="s">
        <v>1939</v>
      </c>
      <c r="G61" s="18" t="s">
        <v>195</v>
      </c>
      <c r="H61" s="65" t="n">
        <v>25000</v>
      </c>
      <c r="I61" s="65" t="n">
        <v>7.8</v>
      </c>
      <c r="J61" s="65" t="s">
        <v>1940</v>
      </c>
      <c r="K61" s="65" t="n">
        <v>195000</v>
      </c>
      <c r="L61" s="66" t="n">
        <f aca="false">H61*I61</f>
        <v>195000</v>
      </c>
      <c r="M61" s="66" t="n">
        <f aca="false">L61-K61</f>
        <v>0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46266</v>
      </c>
      <c r="E62" s="18" t="s">
        <v>100</v>
      </c>
      <c r="F62" s="18" t="s">
        <v>1941</v>
      </c>
      <c r="G62" s="18" t="s">
        <v>195</v>
      </c>
      <c r="H62" s="65" t="n">
        <v>14000</v>
      </c>
      <c r="I62" s="65" t="n">
        <v>7.8</v>
      </c>
      <c r="J62" s="65" t="s">
        <v>1942</v>
      </c>
      <c r="K62" s="65" t="n">
        <v>109200</v>
      </c>
      <c r="L62" s="66" t="n">
        <f aca="false">H62*I62</f>
        <v>109200</v>
      </c>
      <c r="M62" s="66" t="n">
        <f aca="false">L62-K62</f>
        <v>0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46266</v>
      </c>
      <c r="E63" s="18" t="s">
        <v>100</v>
      </c>
      <c r="F63" s="18" t="s">
        <v>1943</v>
      </c>
      <c r="G63" s="18" t="s">
        <v>195</v>
      </c>
      <c r="H63" s="65" t="n">
        <v>4000</v>
      </c>
      <c r="I63" s="65" t="n">
        <v>7.8</v>
      </c>
      <c r="J63" s="65" t="s">
        <v>1944</v>
      </c>
      <c r="K63" s="65" t="n">
        <v>31200</v>
      </c>
      <c r="L63" s="66" t="n">
        <f aca="false">H63*I63</f>
        <v>31200</v>
      </c>
      <c r="M63" s="66" t="n">
        <f aca="false">L63-K63</f>
        <v>0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46266</v>
      </c>
      <c r="E64" s="18" t="s">
        <v>110</v>
      </c>
      <c r="F64" s="18" t="s">
        <v>1939</v>
      </c>
      <c r="G64" s="18" t="s">
        <v>195</v>
      </c>
      <c r="H64" s="65" t="n">
        <v>18000</v>
      </c>
      <c r="I64" s="65" t="n">
        <v>7.8</v>
      </c>
      <c r="J64" s="65" t="s">
        <v>1945</v>
      </c>
      <c r="K64" s="65" t="n">
        <v>140400</v>
      </c>
      <c r="L64" s="66" t="n">
        <f aca="false">H64*I64</f>
        <v>140400</v>
      </c>
      <c r="M64" s="66" t="n">
        <f aca="false">L64-K64</f>
        <v>0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46266</v>
      </c>
      <c r="E65" s="18" t="s">
        <v>110</v>
      </c>
      <c r="F65" s="18" t="s">
        <v>1941</v>
      </c>
      <c r="G65" s="18" t="s">
        <v>195</v>
      </c>
      <c r="H65" s="65" t="n">
        <v>11000</v>
      </c>
      <c r="I65" s="65" t="n">
        <v>7.8</v>
      </c>
      <c r="J65" s="65" t="s">
        <v>1946</v>
      </c>
      <c r="K65" s="65" t="n">
        <v>85800</v>
      </c>
      <c r="L65" s="66" t="n">
        <f aca="false">H65*I65</f>
        <v>85800</v>
      </c>
      <c r="M65" s="66" t="n">
        <f aca="false">L65-K65</f>
        <v>0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46266</v>
      </c>
      <c r="E66" s="18" t="s">
        <v>110</v>
      </c>
      <c r="F66" s="18" t="s">
        <v>1943</v>
      </c>
      <c r="G66" s="18" t="s">
        <v>195</v>
      </c>
      <c r="H66" s="65" t="n">
        <v>3000</v>
      </c>
      <c r="I66" s="65" t="n">
        <v>7.8</v>
      </c>
      <c r="J66" s="65" t="s">
        <v>1947</v>
      </c>
      <c r="K66" s="65" t="n">
        <v>23400</v>
      </c>
      <c r="L66" s="66" t="n">
        <f aca="false">H66*I66</f>
        <v>23400</v>
      </c>
      <c r="M66" s="66" t="n">
        <f aca="false">L66-K66</f>
        <v>0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46266</v>
      </c>
      <c r="E67" s="18" t="s">
        <v>1948</v>
      </c>
      <c r="F67" s="18" t="s">
        <v>1949</v>
      </c>
      <c r="G67" s="18" t="s">
        <v>43</v>
      </c>
      <c r="H67" s="65" t="n">
        <v>50000</v>
      </c>
      <c r="I67" s="65" t="n">
        <v>1</v>
      </c>
      <c r="J67" s="65" t="s">
        <v>1950</v>
      </c>
      <c r="K67" s="65" t="n">
        <v>50000</v>
      </c>
      <c r="L67" s="66" t="n">
        <f aca="false">H67*I67</f>
        <v>50000</v>
      </c>
      <c r="M67" s="66" t="n">
        <f aca="false">L67-K67</f>
        <v>0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46296</v>
      </c>
      <c r="E68" s="18" t="s">
        <v>100</v>
      </c>
      <c r="F68" s="18" t="s">
        <v>1939</v>
      </c>
      <c r="G68" s="18" t="s">
        <v>195</v>
      </c>
      <c r="H68" s="65" t="n">
        <v>25000</v>
      </c>
      <c r="I68" s="65" t="n">
        <v>7.8</v>
      </c>
      <c r="J68" s="65" t="s">
        <v>1940</v>
      </c>
      <c r="K68" s="65" t="n">
        <v>195000</v>
      </c>
      <c r="L68" s="66" t="n">
        <f aca="false">H68*I68</f>
        <v>195000</v>
      </c>
      <c r="M68" s="66" t="n">
        <f aca="false">L68-K68</f>
        <v>0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46296</v>
      </c>
      <c r="E69" s="18" t="s">
        <v>100</v>
      </c>
      <c r="F69" s="18" t="s">
        <v>1941</v>
      </c>
      <c r="G69" s="18" t="s">
        <v>195</v>
      </c>
      <c r="H69" s="65" t="n">
        <v>14000</v>
      </c>
      <c r="I69" s="65" t="n">
        <v>7.8</v>
      </c>
      <c r="J69" s="65" t="s">
        <v>1942</v>
      </c>
      <c r="K69" s="65" t="n">
        <v>109200</v>
      </c>
      <c r="L69" s="66" t="n">
        <f aca="false">H69*I69</f>
        <v>109200</v>
      </c>
      <c r="M69" s="66" t="n">
        <f aca="false">L69-K69</f>
        <v>0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46296</v>
      </c>
      <c r="E70" s="18" t="s">
        <v>100</v>
      </c>
      <c r="F70" s="18" t="s">
        <v>1943</v>
      </c>
      <c r="G70" s="18" t="s">
        <v>195</v>
      </c>
      <c r="H70" s="65" t="n">
        <v>4000</v>
      </c>
      <c r="I70" s="65" t="n">
        <v>7.8</v>
      </c>
      <c r="J70" s="65" t="s">
        <v>1944</v>
      </c>
      <c r="K70" s="65" t="n">
        <v>31200</v>
      </c>
      <c r="L70" s="66" t="n">
        <f aca="false">H70*I70</f>
        <v>31200</v>
      </c>
      <c r="M70" s="66" t="n">
        <f aca="false">L70-K70</f>
        <v>0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46296</v>
      </c>
      <c r="E71" s="18" t="s">
        <v>110</v>
      </c>
      <c r="F71" s="18" t="s">
        <v>1939</v>
      </c>
      <c r="G71" s="18" t="s">
        <v>195</v>
      </c>
      <c r="H71" s="65" t="n">
        <v>18000</v>
      </c>
      <c r="I71" s="65" t="n">
        <v>7.8</v>
      </c>
      <c r="J71" s="65" t="s">
        <v>1945</v>
      </c>
      <c r="K71" s="65" t="n">
        <v>140400</v>
      </c>
      <c r="L71" s="66" t="n">
        <f aca="false">H71*I71</f>
        <v>140400</v>
      </c>
      <c r="M71" s="66" t="n">
        <f aca="false">L71-K71</f>
        <v>0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46296</v>
      </c>
      <c r="E72" s="18" t="s">
        <v>110</v>
      </c>
      <c r="F72" s="18" t="s">
        <v>1941</v>
      </c>
      <c r="G72" s="18" t="s">
        <v>195</v>
      </c>
      <c r="H72" s="65" t="n">
        <v>11000</v>
      </c>
      <c r="I72" s="65" t="n">
        <v>7.8</v>
      </c>
      <c r="J72" s="65" t="s">
        <v>1946</v>
      </c>
      <c r="K72" s="65" t="n">
        <v>85800</v>
      </c>
      <c r="L72" s="66" t="n">
        <f aca="false">H72*I72</f>
        <v>85800</v>
      </c>
      <c r="M72" s="66" t="n">
        <f aca="false">L72-K72</f>
        <v>0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46296</v>
      </c>
      <c r="E73" s="18" t="s">
        <v>110</v>
      </c>
      <c r="F73" s="18" t="s">
        <v>1943</v>
      </c>
      <c r="G73" s="18" t="s">
        <v>195</v>
      </c>
      <c r="H73" s="65" t="n">
        <v>3000</v>
      </c>
      <c r="I73" s="65" t="n">
        <v>7.8</v>
      </c>
      <c r="J73" s="65" t="s">
        <v>1947</v>
      </c>
      <c r="K73" s="65" t="n">
        <v>23400</v>
      </c>
      <c r="L73" s="66" t="n">
        <f aca="false">H73*I73</f>
        <v>23400</v>
      </c>
      <c r="M73" s="66" t="n">
        <f aca="false">L73-K73</f>
        <v>0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46296</v>
      </c>
      <c r="E74" s="18" t="s">
        <v>1948</v>
      </c>
      <c r="F74" s="18" t="s">
        <v>1949</v>
      </c>
      <c r="G74" s="18" t="s">
        <v>43</v>
      </c>
      <c r="H74" s="65" t="n">
        <v>50000</v>
      </c>
      <c r="I74" s="65" t="n">
        <v>1</v>
      </c>
      <c r="J74" s="65" t="s">
        <v>1950</v>
      </c>
      <c r="K74" s="65" t="n">
        <v>50000</v>
      </c>
      <c r="L74" s="66" t="n">
        <f aca="false">H74*I74</f>
        <v>50000</v>
      </c>
      <c r="M74" s="66" t="n">
        <f aca="false">L74-K74</f>
        <v>0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46327</v>
      </c>
      <c r="E75" s="18" t="s">
        <v>100</v>
      </c>
      <c r="F75" s="18" t="s">
        <v>1939</v>
      </c>
      <c r="G75" s="18" t="s">
        <v>195</v>
      </c>
      <c r="H75" s="65" t="n">
        <v>25000</v>
      </c>
      <c r="I75" s="65" t="n">
        <v>7.8</v>
      </c>
      <c r="J75" s="65" t="s">
        <v>1940</v>
      </c>
      <c r="K75" s="65" t="n">
        <v>195000</v>
      </c>
      <c r="L75" s="66" t="n">
        <f aca="false">H75*I75</f>
        <v>195000</v>
      </c>
      <c r="M75" s="66" t="n">
        <f aca="false">L75-K75</f>
        <v>0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46327</v>
      </c>
      <c r="E76" s="18" t="s">
        <v>100</v>
      </c>
      <c r="F76" s="18" t="s">
        <v>1941</v>
      </c>
      <c r="G76" s="18" t="s">
        <v>195</v>
      </c>
      <c r="H76" s="65" t="n">
        <v>14000</v>
      </c>
      <c r="I76" s="65" t="n">
        <v>7.8</v>
      </c>
      <c r="J76" s="65" t="s">
        <v>1942</v>
      </c>
      <c r="K76" s="65" t="n">
        <v>109200</v>
      </c>
      <c r="L76" s="66" t="n">
        <f aca="false">H76*I76</f>
        <v>109200</v>
      </c>
      <c r="M76" s="66" t="n">
        <f aca="false">L76-K76</f>
        <v>0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46327</v>
      </c>
      <c r="E77" s="18" t="s">
        <v>100</v>
      </c>
      <c r="F77" s="18" t="s">
        <v>1943</v>
      </c>
      <c r="G77" s="18" t="s">
        <v>195</v>
      </c>
      <c r="H77" s="65" t="n">
        <v>4000</v>
      </c>
      <c r="I77" s="65" t="n">
        <v>7.8</v>
      </c>
      <c r="J77" s="65" t="s">
        <v>1944</v>
      </c>
      <c r="K77" s="65" t="n">
        <v>31200</v>
      </c>
      <c r="L77" s="66" t="n">
        <f aca="false">H77*I77</f>
        <v>31200</v>
      </c>
      <c r="M77" s="66" t="n">
        <f aca="false">L77-K77</f>
        <v>0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46327</v>
      </c>
      <c r="E78" s="18" t="s">
        <v>110</v>
      </c>
      <c r="F78" s="18" t="s">
        <v>1939</v>
      </c>
      <c r="G78" s="18" t="s">
        <v>195</v>
      </c>
      <c r="H78" s="65" t="n">
        <v>18000</v>
      </c>
      <c r="I78" s="65" t="n">
        <v>7.8</v>
      </c>
      <c r="J78" s="65" t="s">
        <v>1945</v>
      </c>
      <c r="K78" s="65" t="n">
        <v>140400</v>
      </c>
      <c r="L78" s="66" t="n">
        <f aca="false">H78*I78</f>
        <v>140400</v>
      </c>
      <c r="M78" s="66" t="n">
        <f aca="false">L78-K78</f>
        <v>0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46327</v>
      </c>
      <c r="E79" s="18" t="s">
        <v>110</v>
      </c>
      <c r="F79" s="18" t="s">
        <v>1941</v>
      </c>
      <c r="G79" s="18" t="s">
        <v>195</v>
      </c>
      <c r="H79" s="65" t="n">
        <v>11000</v>
      </c>
      <c r="I79" s="65" t="n">
        <v>7.8</v>
      </c>
      <c r="J79" s="65" t="s">
        <v>1946</v>
      </c>
      <c r="K79" s="65" t="n">
        <v>85800</v>
      </c>
      <c r="L79" s="66" t="n">
        <f aca="false">H79*I79</f>
        <v>85800</v>
      </c>
      <c r="M79" s="66" t="n">
        <f aca="false">L79-K79</f>
        <v>0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46327</v>
      </c>
      <c r="E80" s="18" t="s">
        <v>110</v>
      </c>
      <c r="F80" s="18" t="s">
        <v>1943</v>
      </c>
      <c r="G80" s="18" t="s">
        <v>195</v>
      </c>
      <c r="H80" s="65" t="n">
        <v>3000</v>
      </c>
      <c r="I80" s="65" t="n">
        <v>7.8</v>
      </c>
      <c r="J80" s="65" t="s">
        <v>1947</v>
      </c>
      <c r="K80" s="65" t="n">
        <v>23400</v>
      </c>
      <c r="L80" s="66" t="n">
        <f aca="false">H80*I80</f>
        <v>23400</v>
      </c>
      <c r="M80" s="66" t="n">
        <f aca="false">L80-K80</f>
        <v>0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46327</v>
      </c>
      <c r="E81" s="18" t="s">
        <v>1948</v>
      </c>
      <c r="F81" s="18" t="s">
        <v>1949</v>
      </c>
      <c r="G81" s="18" t="s">
        <v>43</v>
      </c>
      <c r="H81" s="65" t="n">
        <v>50000</v>
      </c>
      <c r="I81" s="65" t="n">
        <v>1</v>
      </c>
      <c r="J81" s="65" t="s">
        <v>1950</v>
      </c>
      <c r="K81" s="65" t="n">
        <v>50000</v>
      </c>
      <c r="L81" s="66" t="n">
        <f aca="false">H81*I81</f>
        <v>50000</v>
      </c>
      <c r="M81" s="66" t="n">
        <f aca="false">L81-K81</f>
        <v>0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46357</v>
      </c>
      <c r="E82" s="18" t="s">
        <v>100</v>
      </c>
      <c r="F82" s="18" t="s">
        <v>1939</v>
      </c>
      <c r="G82" s="18" t="s">
        <v>195</v>
      </c>
      <c r="H82" s="65" t="n">
        <v>25000</v>
      </c>
      <c r="I82" s="65" t="n">
        <v>7.8</v>
      </c>
      <c r="J82" s="65" t="s">
        <v>1940</v>
      </c>
      <c r="K82" s="65" t="n">
        <v>195000</v>
      </c>
      <c r="L82" s="66" t="n">
        <f aca="false">H82*I82</f>
        <v>195000</v>
      </c>
      <c r="M82" s="66" t="n">
        <f aca="false">L82-K82</f>
        <v>0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46357</v>
      </c>
      <c r="E83" s="18" t="s">
        <v>100</v>
      </c>
      <c r="F83" s="18" t="s">
        <v>1941</v>
      </c>
      <c r="G83" s="18" t="s">
        <v>195</v>
      </c>
      <c r="H83" s="65" t="n">
        <v>14000</v>
      </c>
      <c r="I83" s="65" t="n">
        <v>7.8</v>
      </c>
      <c r="J83" s="65" t="s">
        <v>1942</v>
      </c>
      <c r="K83" s="65" t="n">
        <v>109200</v>
      </c>
      <c r="L83" s="66" t="n">
        <f aca="false">H83*I83</f>
        <v>109200</v>
      </c>
      <c r="M83" s="66" t="n">
        <f aca="false">L83-K83</f>
        <v>0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46357</v>
      </c>
      <c r="E84" s="18" t="s">
        <v>100</v>
      </c>
      <c r="F84" s="18" t="s">
        <v>1943</v>
      </c>
      <c r="G84" s="18" t="s">
        <v>195</v>
      </c>
      <c r="H84" s="65" t="n">
        <v>4000</v>
      </c>
      <c r="I84" s="65" t="n">
        <v>7.8</v>
      </c>
      <c r="J84" s="65" t="s">
        <v>1944</v>
      </c>
      <c r="K84" s="65" t="n">
        <v>31200</v>
      </c>
      <c r="L84" s="66" t="n">
        <f aca="false">H84*I84</f>
        <v>31200</v>
      </c>
      <c r="M84" s="66" t="n">
        <f aca="false">L84-K84</f>
        <v>0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46357</v>
      </c>
      <c r="E85" s="18" t="s">
        <v>110</v>
      </c>
      <c r="F85" s="18" t="s">
        <v>1939</v>
      </c>
      <c r="G85" s="18" t="s">
        <v>195</v>
      </c>
      <c r="H85" s="65" t="n">
        <v>18000</v>
      </c>
      <c r="I85" s="65" t="n">
        <v>7.8</v>
      </c>
      <c r="J85" s="65" t="s">
        <v>1945</v>
      </c>
      <c r="K85" s="65" t="n">
        <v>140400</v>
      </c>
      <c r="L85" s="66" t="n">
        <f aca="false">H85*I85</f>
        <v>140400</v>
      </c>
      <c r="M85" s="66" t="n">
        <f aca="false">L85-K85</f>
        <v>0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46357</v>
      </c>
      <c r="E86" s="18" t="s">
        <v>110</v>
      </c>
      <c r="F86" s="18" t="s">
        <v>1941</v>
      </c>
      <c r="G86" s="18" t="s">
        <v>195</v>
      </c>
      <c r="H86" s="65" t="n">
        <v>11000</v>
      </c>
      <c r="I86" s="65" t="n">
        <v>7.8</v>
      </c>
      <c r="J86" s="65" t="s">
        <v>1946</v>
      </c>
      <c r="K86" s="65" t="n">
        <v>85800</v>
      </c>
      <c r="L86" s="66" t="n">
        <f aca="false">H86*I86</f>
        <v>85800</v>
      </c>
      <c r="M86" s="66" t="n">
        <f aca="false">L86-K86</f>
        <v>0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46357</v>
      </c>
      <c r="E87" s="18" t="s">
        <v>110</v>
      </c>
      <c r="F87" s="18" t="s">
        <v>1943</v>
      </c>
      <c r="G87" s="18" t="s">
        <v>195</v>
      </c>
      <c r="H87" s="65" t="n">
        <v>3000</v>
      </c>
      <c r="I87" s="65" t="n">
        <v>7.8</v>
      </c>
      <c r="J87" s="65" t="s">
        <v>1947</v>
      </c>
      <c r="K87" s="65" t="n">
        <v>23400</v>
      </c>
      <c r="L87" s="66" t="n">
        <f aca="false">H87*I87</f>
        <v>23400</v>
      </c>
      <c r="M87" s="66" t="n">
        <f aca="false">L87-K87</f>
        <v>0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46357</v>
      </c>
      <c r="E88" s="18" t="s">
        <v>1948</v>
      </c>
      <c r="F88" s="18" t="s">
        <v>1949</v>
      </c>
      <c r="G88" s="18" t="s">
        <v>43</v>
      </c>
      <c r="H88" s="65" t="n">
        <v>50000</v>
      </c>
      <c r="I88" s="65" t="n">
        <v>1</v>
      </c>
      <c r="J88" s="65" t="s">
        <v>1950</v>
      </c>
      <c r="K88" s="65" t="n">
        <v>50000</v>
      </c>
      <c r="L88" s="66" t="n">
        <f aca="false">H88*I88</f>
        <v>50000</v>
      </c>
      <c r="M88" s="66" t="n">
        <f aca="false">L88-K88</f>
        <v>0</v>
      </c>
    </row>
    <row r="89" customFormat="false" ht="15" hidden="false" customHeight="false" outlineLevel="0" collapsed="false">
      <c r="A89" s="18" t="s">
        <v>200</v>
      </c>
      <c r="B89" s="18" t="s">
        <v>201</v>
      </c>
      <c r="C89" s="18"/>
      <c r="D89" s="49" t="n">
        <v>46023</v>
      </c>
      <c r="E89" s="18" t="s">
        <v>100</v>
      </c>
      <c r="F89" s="18" t="s">
        <v>1939</v>
      </c>
      <c r="G89" s="18" t="s">
        <v>195</v>
      </c>
      <c r="H89" s="65" t="n">
        <v>25037.5</v>
      </c>
      <c r="I89" s="65" t="n">
        <v>7.78</v>
      </c>
      <c r="J89" s="65" t="s">
        <v>1951</v>
      </c>
      <c r="K89" s="65" t="n">
        <v>194791.75</v>
      </c>
      <c r="L89" s="66" t="n">
        <f aca="false">H89*I89</f>
        <v>194791.75</v>
      </c>
      <c r="M89" s="66" t="n">
        <f aca="false">L89-K89</f>
        <v>0</v>
      </c>
    </row>
    <row r="90" customFormat="false" ht="15" hidden="false" customHeight="false" outlineLevel="0" collapsed="false">
      <c r="A90" s="18" t="s">
        <v>200</v>
      </c>
      <c r="B90" s="18" t="s">
        <v>201</v>
      </c>
      <c r="C90" s="18"/>
      <c r="D90" s="49" t="n">
        <v>46023</v>
      </c>
      <c r="E90" s="18" t="s">
        <v>100</v>
      </c>
      <c r="F90" s="18" t="s">
        <v>1941</v>
      </c>
      <c r="G90" s="18" t="s">
        <v>195</v>
      </c>
      <c r="H90" s="65" t="n">
        <v>14021</v>
      </c>
      <c r="I90" s="65" t="n">
        <v>7.78</v>
      </c>
      <c r="J90" s="65" t="s">
        <v>1952</v>
      </c>
      <c r="K90" s="65" t="n">
        <v>109083.38</v>
      </c>
      <c r="L90" s="66" t="n">
        <f aca="false">H90*I90</f>
        <v>109083.38</v>
      </c>
      <c r="M90" s="66" t="n">
        <f aca="false">L90-K90</f>
        <v>0</v>
      </c>
    </row>
    <row r="91" customFormat="false" ht="15" hidden="false" customHeight="false" outlineLevel="0" collapsed="false">
      <c r="A91" s="18" t="s">
        <v>200</v>
      </c>
      <c r="B91" s="18" t="s">
        <v>201</v>
      </c>
      <c r="C91" s="18"/>
      <c r="D91" s="49" t="n">
        <v>46023</v>
      </c>
      <c r="E91" s="18" t="s">
        <v>100</v>
      </c>
      <c r="F91" s="18" t="s">
        <v>1943</v>
      </c>
      <c r="G91" s="18" t="s">
        <v>195</v>
      </c>
      <c r="H91" s="65" t="n">
        <v>4006</v>
      </c>
      <c r="I91" s="65" t="n">
        <v>7.78</v>
      </c>
      <c r="J91" s="65" t="s">
        <v>1953</v>
      </c>
      <c r="K91" s="65" t="n">
        <v>31166.68</v>
      </c>
      <c r="L91" s="66" t="n">
        <f aca="false">H91*I91</f>
        <v>31166.68</v>
      </c>
      <c r="M91" s="66" t="n">
        <f aca="false">L91-K91</f>
        <v>0</v>
      </c>
    </row>
    <row r="92" customFormat="false" ht="15" hidden="false" customHeight="false" outlineLevel="0" collapsed="false">
      <c r="A92" s="18" t="s">
        <v>200</v>
      </c>
      <c r="B92" s="18" t="s">
        <v>201</v>
      </c>
      <c r="C92" s="18"/>
      <c r="D92" s="49" t="n">
        <v>46023</v>
      </c>
      <c r="E92" s="18" t="s">
        <v>110</v>
      </c>
      <c r="F92" s="18" t="s">
        <v>1939</v>
      </c>
      <c r="G92" s="18" t="s">
        <v>195</v>
      </c>
      <c r="H92" s="65" t="n">
        <v>18027</v>
      </c>
      <c r="I92" s="65" t="n">
        <v>7.78</v>
      </c>
      <c r="J92" s="65" t="s">
        <v>1954</v>
      </c>
      <c r="K92" s="65" t="n">
        <v>140250.06</v>
      </c>
      <c r="L92" s="66" t="n">
        <f aca="false">H92*I92</f>
        <v>140250.06</v>
      </c>
      <c r="M92" s="66" t="n">
        <f aca="false">L92-K92</f>
        <v>0</v>
      </c>
    </row>
    <row r="93" customFormat="false" ht="15" hidden="false" customHeight="false" outlineLevel="0" collapsed="false">
      <c r="A93" s="18" t="s">
        <v>200</v>
      </c>
      <c r="B93" s="18" t="s">
        <v>201</v>
      </c>
      <c r="C93" s="18"/>
      <c r="D93" s="49" t="n">
        <v>46023</v>
      </c>
      <c r="E93" s="18" t="s">
        <v>110</v>
      </c>
      <c r="F93" s="18" t="s">
        <v>1941</v>
      </c>
      <c r="G93" s="18" t="s">
        <v>195</v>
      </c>
      <c r="H93" s="65" t="n">
        <v>11016.5</v>
      </c>
      <c r="I93" s="65" t="n">
        <v>7.78</v>
      </c>
      <c r="J93" s="65" t="s">
        <v>1955</v>
      </c>
      <c r="K93" s="65" t="n">
        <v>85708.37</v>
      </c>
      <c r="L93" s="66" t="n">
        <f aca="false">H93*I93</f>
        <v>85708.37</v>
      </c>
      <c r="M93" s="66" t="n">
        <f aca="false">L93-K93</f>
        <v>1.45519152283669E-011</v>
      </c>
    </row>
    <row r="94" customFormat="false" ht="15" hidden="false" customHeight="false" outlineLevel="0" collapsed="false">
      <c r="A94" s="18" t="s">
        <v>200</v>
      </c>
      <c r="B94" s="18" t="s">
        <v>201</v>
      </c>
      <c r="C94" s="18"/>
      <c r="D94" s="49" t="n">
        <v>46023</v>
      </c>
      <c r="E94" s="18" t="s">
        <v>110</v>
      </c>
      <c r="F94" s="18" t="s">
        <v>1943</v>
      </c>
      <c r="G94" s="18" t="s">
        <v>195</v>
      </c>
      <c r="H94" s="65" t="n">
        <v>3004.5</v>
      </c>
      <c r="I94" s="65" t="n">
        <v>7.78</v>
      </c>
      <c r="J94" s="65" t="s">
        <v>1956</v>
      </c>
      <c r="K94" s="65" t="n">
        <v>23375.01</v>
      </c>
      <c r="L94" s="66" t="n">
        <f aca="false">H94*I94</f>
        <v>23375.01</v>
      </c>
      <c r="M94" s="66" t="n">
        <f aca="false">L94-K94</f>
        <v>3.63797880709171E-012</v>
      </c>
    </row>
    <row r="95" customFormat="false" ht="15" hidden="false" customHeight="false" outlineLevel="0" collapsed="false">
      <c r="A95" s="18" t="s">
        <v>200</v>
      </c>
      <c r="B95" s="18" t="s">
        <v>201</v>
      </c>
      <c r="C95" s="18"/>
      <c r="D95" s="49" t="n">
        <v>46023</v>
      </c>
      <c r="E95" s="18" t="s">
        <v>1948</v>
      </c>
      <c r="F95" s="18" t="s">
        <v>1949</v>
      </c>
      <c r="G95" s="18" t="s">
        <v>43</v>
      </c>
      <c r="H95" s="65" t="n">
        <v>50075</v>
      </c>
      <c r="I95" s="65" t="n">
        <v>1</v>
      </c>
      <c r="J95" s="65" t="s">
        <v>1957</v>
      </c>
      <c r="K95" s="65" t="n">
        <v>50075</v>
      </c>
      <c r="L95" s="66" t="n">
        <f aca="false">H95*I95</f>
        <v>50075</v>
      </c>
      <c r="M95" s="66" t="n">
        <f aca="false">L95-K95</f>
        <v>0</v>
      </c>
    </row>
    <row r="96" customFormat="false" ht="15" hidden="false" customHeight="false" outlineLevel="0" collapsed="false">
      <c r="A96" s="18" t="s">
        <v>200</v>
      </c>
      <c r="B96" s="18" t="s">
        <v>201</v>
      </c>
      <c r="C96" s="18"/>
      <c r="D96" s="49" t="n">
        <v>46054</v>
      </c>
      <c r="E96" s="18" t="s">
        <v>100</v>
      </c>
      <c r="F96" s="18" t="s">
        <v>1939</v>
      </c>
      <c r="G96" s="18" t="s">
        <v>195</v>
      </c>
      <c r="H96" s="65" t="n">
        <v>25075</v>
      </c>
      <c r="I96" s="65" t="n">
        <v>7.76</v>
      </c>
      <c r="J96" s="65" t="s">
        <v>1958</v>
      </c>
      <c r="K96" s="65" t="n">
        <v>194582</v>
      </c>
      <c r="L96" s="66" t="n">
        <f aca="false">H96*I96</f>
        <v>194582</v>
      </c>
      <c r="M96" s="66" t="n">
        <f aca="false">L96-K96</f>
        <v>0</v>
      </c>
    </row>
    <row r="97" customFormat="false" ht="15" hidden="false" customHeight="false" outlineLevel="0" collapsed="false">
      <c r="A97" s="18" t="s">
        <v>200</v>
      </c>
      <c r="B97" s="18" t="s">
        <v>201</v>
      </c>
      <c r="C97" s="18"/>
      <c r="D97" s="49" t="n">
        <v>46054</v>
      </c>
      <c r="E97" s="18" t="s">
        <v>100</v>
      </c>
      <c r="F97" s="18" t="s">
        <v>1941</v>
      </c>
      <c r="G97" s="18" t="s">
        <v>195</v>
      </c>
      <c r="H97" s="65" t="n">
        <v>14042</v>
      </c>
      <c r="I97" s="65" t="n">
        <v>7.76</v>
      </c>
      <c r="J97" s="65" t="s">
        <v>1959</v>
      </c>
      <c r="K97" s="65" t="n">
        <v>108965.92</v>
      </c>
      <c r="L97" s="66" t="n">
        <f aca="false">H97*I97</f>
        <v>108965.92</v>
      </c>
      <c r="M97" s="66" t="n">
        <f aca="false">L97-K97</f>
        <v>0</v>
      </c>
    </row>
    <row r="98" customFormat="false" ht="15" hidden="false" customHeight="false" outlineLevel="0" collapsed="false">
      <c r="A98" s="18" t="s">
        <v>200</v>
      </c>
      <c r="B98" s="18" t="s">
        <v>201</v>
      </c>
      <c r="C98" s="18"/>
      <c r="D98" s="49" t="n">
        <v>46054</v>
      </c>
      <c r="E98" s="18" t="s">
        <v>100</v>
      </c>
      <c r="F98" s="18" t="s">
        <v>1943</v>
      </c>
      <c r="G98" s="18" t="s">
        <v>195</v>
      </c>
      <c r="H98" s="65" t="n">
        <v>4012</v>
      </c>
      <c r="I98" s="65" t="n">
        <v>7.76</v>
      </c>
      <c r="J98" s="65" t="s">
        <v>1960</v>
      </c>
      <c r="K98" s="65" t="n">
        <v>31133.12</v>
      </c>
      <c r="L98" s="66" t="n">
        <f aca="false">H98*I98</f>
        <v>31133.12</v>
      </c>
      <c r="M98" s="66" t="n">
        <f aca="false">L98-K98</f>
        <v>0</v>
      </c>
    </row>
    <row r="99" customFormat="false" ht="15" hidden="false" customHeight="false" outlineLevel="0" collapsed="false">
      <c r="A99" s="18" t="s">
        <v>200</v>
      </c>
      <c r="B99" s="18" t="s">
        <v>201</v>
      </c>
      <c r="C99" s="18"/>
      <c r="D99" s="49" t="n">
        <v>46054</v>
      </c>
      <c r="E99" s="18" t="s">
        <v>110</v>
      </c>
      <c r="F99" s="18" t="s">
        <v>1939</v>
      </c>
      <c r="G99" s="18" t="s">
        <v>195</v>
      </c>
      <c r="H99" s="65" t="n">
        <v>18054</v>
      </c>
      <c r="I99" s="65" t="n">
        <v>7.76</v>
      </c>
      <c r="J99" s="65" t="s">
        <v>1961</v>
      </c>
      <c r="K99" s="65" t="n">
        <v>140099.04</v>
      </c>
      <c r="L99" s="66" t="n">
        <f aca="false">H99*I99</f>
        <v>140099.04</v>
      </c>
      <c r="M99" s="66" t="n">
        <f aca="false">L99-K99</f>
        <v>0</v>
      </c>
    </row>
    <row r="100" customFormat="false" ht="15" hidden="false" customHeight="false" outlineLevel="0" collapsed="false">
      <c r="A100" s="18" t="s">
        <v>200</v>
      </c>
      <c r="B100" s="18" t="s">
        <v>201</v>
      </c>
      <c r="C100" s="18"/>
      <c r="D100" s="49" t="n">
        <v>46054</v>
      </c>
      <c r="E100" s="18" t="s">
        <v>110</v>
      </c>
      <c r="F100" s="18" t="s">
        <v>1941</v>
      </c>
      <c r="G100" s="18" t="s">
        <v>195</v>
      </c>
      <c r="H100" s="65" t="n">
        <v>11033</v>
      </c>
      <c r="I100" s="65" t="n">
        <v>7.76</v>
      </c>
      <c r="J100" s="65" t="s">
        <v>1962</v>
      </c>
      <c r="K100" s="65" t="n">
        <v>85616.08</v>
      </c>
      <c r="L100" s="66" t="n">
        <f aca="false">H100*I100</f>
        <v>85616.08</v>
      </c>
      <c r="M100" s="66" t="n">
        <f aca="false">L100-K100</f>
        <v>0</v>
      </c>
    </row>
    <row r="101" customFormat="false" ht="15" hidden="false" customHeight="false" outlineLevel="0" collapsed="false">
      <c r="A101" s="18" t="s">
        <v>200</v>
      </c>
      <c r="B101" s="18" t="s">
        <v>201</v>
      </c>
      <c r="C101" s="18"/>
      <c r="D101" s="49" t="n">
        <v>46054</v>
      </c>
      <c r="E101" s="18" t="s">
        <v>110</v>
      </c>
      <c r="F101" s="18" t="s">
        <v>1943</v>
      </c>
      <c r="G101" s="18" t="s">
        <v>195</v>
      </c>
      <c r="H101" s="65" t="n">
        <v>3009</v>
      </c>
      <c r="I101" s="65" t="n">
        <v>7.76</v>
      </c>
      <c r="J101" s="65" t="s">
        <v>1963</v>
      </c>
      <c r="K101" s="65" t="n">
        <v>23349.84</v>
      </c>
      <c r="L101" s="66" t="n">
        <f aca="false">H101*I101</f>
        <v>23349.84</v>
      </c>
      <c r="M101" s="66" t="n">
        <f aca="false">L101-K101</f>
        <v>0</v>
      </c>
    </row>
    <row r="102" customFormat="false" ht="15" hidden="false" customHeight="false" outlineLevel="0" collapsed="false">
      <c r="A102" s="18" t="s">
        <v>200</v>
      </c>
      <c r="B102" s="18" t="s">
        <v>201</v>
      </c>
      <c r="C102" s="18"/>
      <c r="D102" s="49" t="n">
        <v>46054</v>
      </c>
      <c r="E102" s="18" t="s">
        <v>1948</v>
      </c>
      <c r="F102" s="18" t="s">
        <v>1949</v>
      </c>
      <c r="G102" s="18" t="s">
        <v>43</v>
      </c>
      <c r="H102" s="65" t="n">
        <v>50150</v>
      </c>
      <c r="I102" s="65" t="n">
        <v>1</v>
      </c>
      <c r="J102" s="65" t="s">
        <v>1964</v>
      </c>
      <c r="K102" s="65" t="n">
        <v>50150</v>
      </c>
      <c r="L102" s="66" t="n">
        <f aca="false">H102*I102</f>
        <v>50150</v>
      </c>
      <c r="M102" s="66" t="n">
        <f aca="false">L102-K102</f>
        <v>0</v>
      </c>
    </row>
    <row r="103" customFormat="false" ht="15" hidden="false" customHeight="false" outlineLevel="0" collapsed="false">
      <c r="A103" s="18" t="s">
        <v>200</v>
      </c>
      <c r="B103" s="18" t="s">
        <v>201</v>
      </c>
      <c r="C103" s="18"/>
      <c r="D103" s="49" t="n">
        <v>46082</v>
      </c>
      <c r="E103" s="18" t="s">
        <v>100</v>
      </c>
      <c r="F103" s="18" t="s">
        <v>1939</v>
      </c>
      <c r="G103" s="18" t="s">
        <v>195</v>
      </c>
      <c r="H103" s="65" t="n">
        <v>25112.5</v>
      </c>
      <c r="I103" s="65" t="n">
        <v>7.82</v>
      </c>
      <c r="J103" s="65" t="s">
        <v>1965</v>
      </c>
      <c r="K103" s="65" t="n">
        <v>196379.75</v>
      </c>
      <c r="L103" s="66" t="n">
        <f aca="false">H103*I103</f>
        <v>196379.75</v>
      </c>
      <c r="M103" s="66" t="n">
        <f aca="false">L103-K103</f>
        <v>0</v>
      </c>
    </row>
    <row r="104" customFormat="false" ht="15" hidden="false" customHeight="false" outlineLevel="0" collapsed="false">
      <c r="A104" s="18" t="s">
        <v>200</v>
      </c>
      <c r="B104" s="18" t="s">
        <v>201</v>
      </c>
      <c r="C104" s="18"/>
      <c r="D104" s="49" t="n">
        <v>46082</v>
      </c>
      <c r="E104" s="18" t="s">
        <v>100</v>
      </c>
      <c r="F104" s="18" t="s">
        <v>1941</v>
      </c>
      <c r="G104" s="18" t="s">
        <v>195</v>
      </c>
      <c r="H104" s="65" t="n">
        <v>14063</v>
      </c>
      <c r="I104" s="65" t="n">
        <v>7.82</v>
      </c>
      <c r="J104" s="65" t="s">
        <v>1966</v>
      </c>
      <c r="K104" s="65" t="n">
        <v>109972.66</v>
      </c>
      <c r="L104" s="66" t="n">
        <f aca="false">H104*I104</f>
        <v>109972.66</v>
      </c>
      <c r="M104" s="66" t="n">
        <f aca="false">L104-K104</f>
        <v>0</v>
      </c>
    </row>
    <row r="105" customFormat="false" ht="15" hidden="false" customHeight="false" outlineLevel="0" collapsed="false">
      <c r="A105" s="18" t="s">
        <v>200</v>
      </c>
      <c r="B105" s="18" t="s">
        <v>201</v>
      </c>
      <c r="C105" s="18"/>
      <c r="D105" s="49" t="n">
        <v>46082</v>
      </c>
      <c r="E105" s="18" t="s">
        <v>100</v>
      </c>
      <c r="F105" s="18" t="s">
        <v>1943</v>
      </c>
      <c r="G105" s="18" t="s">
        <v>195</v>
      </c>
      <c r="H105" s="65" t="n">
        <v>4018</v>
      </c>
      <c r="I105" s="65" t="n">
        <v>7.82</v>
      </c>
      <c r="J105" s="65" t="s">
        <v>1967</v>
      </c>
      <c r="K105" s="65" t="n">
        <v>31420.76</v>
      </c>
      <c r="L105" s="66" t="n">
        <f aca="false">H105*I105</f>
        <v>31420.76</v>
      </c>
      <c r="M105" s="66" t="n">
        <f aca="false">L105-K105</f>
        <v>3.63797880709171E-012</v>
      </c>
    </row>
    <row r="106" customFormat="false" ht="15" hidden="false" customHeight="false" outlineLevel="0" collapsed="false">
      <c r="A106" s="18" t="s">
        <v>200</v>
      </c>
      <c r="B106" s="18" t="s">
        <v>201</v>
      </c>
      <c r="C106" s="18"/>
      <c r="D106" s="49" t="n">
        <v>46082</v>
      </c>
      <c r="E106" s="18" t="s">
        <v>110</v>
      </c>
      <c r="F106" s="18" t="s">
        <v>1939</v>
      </c>
      <c r="G106" s="18" t="s">
        <v>195</v>
      </c>
      <c r="H106" s="65" t="n">
        <v>18081</v>
      </c>
      <c r="I106" s="65" t="n">
        <v>7.82</v>
      </c>
      <c r="J106" s="65" t="s">
        <v>1968</v>
      </c>
      <c r="K106" s="65" t="n">
        <v>141393.42</v>
      </c>
      <c r="L106" s="66" t="n">
        <f aca="false">H106*I106</f>
        <v>141393.42</v>
      </c>
      <c r="M106" s="66" t="n">
        <f aca="false">L106-K106</f>
        <v>0</v>
      </c>
    </row>
    <row r="107" customFormat="false" ht="15" hidden="false" customHeight="false" outlineLevel="0" collapsed="false">
      <c r="A107" s="18" t="s">
        <v>200</v>
      </c>
      <c r="B107" s="18" t="s">
        <v>201</v>
      </c>
      <c r="C107" s="18"/>
      <c r="D107" s="49" t="n">
        <v>46082</v>
      </c>
      <c r="E107" s="18" t="s">
        <v>110</v>
      </c>
      <c r="F107" s="18" t="s">
        <v>1941</v>
      </c>
      <c r="G107" s="18" t="s">
        <v>195</v>
      </c>
      <c r="H107" s="65" t="n">
        <v>11049.5</v>
      </c>
      <c r="I107" s="65" t="n">
        <v>7.82</v>
      </c>
      <c r="J107" s="65" t="s">
        <v>1969</v>
      </c>
      <c r="K107" s="65" t="n">
        <v>86407.09</v>
      </c>
      <c r="L107" s="66" t="n">
        <f aca="false">H107*I107</f>
        <v>86407.09</v>
      </c>
      <c r="M107" s="66" t="n">
        <f aca="false">L107-K107</f>
        <v>0</v>
      </c>
    </row>
    <row r="108" customFormat="false" ht="15" hidden="false" customHeight="false" outlineLevel="0" collapsed="false">
      <c r="A108" s="18" t="s">
        <v>200</v>
      </c>
      <c r="B108" s="18" t="s">
        <v>201</v>
      </c>
      <c r="C108" s="18"/>
      <c r="D108" s="49" t="n">
        <v>46082</v>
      </c>
      <c r="E108" s="18" t="s">
        <v>110</v>
      </c>
      <c r="F108" s="18" t="s">
        <v>1943</v>
      </c>
      <c r="G108" s="18" t="s">
        <v>195</v>
      </c>
      <c r="H108" s="65" t="n">
        <v>3013.5</v>
      </c>
      <c r="I108" s="65" t="n">
        <v>7.82</v>
      </c>
      <c r="J108" s="65" t="s">
        <v>1970</v>
      </c>
      <c r="K108" s="65" t="n">
        <v>23565.57</v>
      </c>
      <c r="L108" s="66" t="n">
        <f aca="false">H108*I108</f>
        <v>23565.57</v>
      </c>
      <c r="M108" s="66" t="n">
        <f aca="false">L108-K108</f>
        <v>0</v>
      </c>
    </row>
    <row r="109" customFormat="false" ht="15" hidden="false" customHeight="false" outlineLevel="0" collapsed="false">
      <c r="A109" s="18" t="s">
        <v>200</v>
      </c>
      <c r="B109" s="18" t="s">
        <v>201</v>
      </c>
      <c r="C109" s="18"/>
      <c r="D109" s="49" t="n">
        <v>46082</v>
      </c>
      <c r="E109" s="18" t="s">
        <v>1948</v>
      </c>
      <c r="F109" s="18" t="s">
        <v>1949</v>
      </c>
      <c r="G109" s="18" t="s">
        <v>43</v>
      </c>
      <c r="H109" s="65" t="n">
        <v>50225</v>
      </c>
      <c r="I109" s="65" t="n">
        <v>1</v>
      </c>
      <c r="J109" s="65" t="s">
        <v>1971</v>
      </c>
      <c r="K109" s="65" t="n">
        <v>50225</v>
      </c>
      <c r="L109" s="66" t="n">
        <f aca="false">H109*I109</f>
        <v>50225</v>
      </c>
      <c r="M109" s="66" t="n">
        <f aca="false">L109-K109</f>
        <v>0</v>
      </c>
    </row>
    <row r="110" customFormat="false" ht="15" hidden="false" customHeight="false" outlineLevel="0" collapsed="false">
      <c r="A110" s="18" t="s">
        <v>200</v>
      </c>
      <c r="B110" s="18" t="s">
        <v>201</v>
      </c>
      <c r="C110" s="18"/>
      <c r="D110" s="49" t="n">
        <v>46113</v>
      </c>
      <c r="E110" s="18" t="s">
        <v>100</v>
      </c>
      <c r="F110" s="18" t="s">
        <v>1939</v>
      </c>
      <c r="G110" s="18" t="s">
        <v>195</v>
      </c>
      <c r="H110" s="65" t="n">
        <v>25150</v>
      </c>
      <c r="I110" s="65" t="n">
        <v>7.84</v>
      </c>
      <c r="J110" s="65" t="s">
        <v>1972</v>
      </c>
      <c r="K110" s="65" t="n">
        <v>197176</v>
      </c>
      <c r="L110" s="66" t="n">
        <f aca="false">H110*I110</f>
        <v>197176</v>
      </c>
      <c r="M110" s="66" t="n">
        <f aca="false">L110-K110</f>
        <v>0</v>
      </c>
    </row>
    <row r="111" customFormat="false" ht="15" hidden="false" customHeight="false" outlineLevel="0" collapsed="false">
      <c r="A111" s="18" t="s">
        <v>200</v>
      </c>
      <c r="B111" s="18" t="s">
        <v>201</v>
      </c>
      <c r="C111" s="18"/>
      <c r="D111" s="49" t="n">
        <v>46113</v>
      </c>
      <c r="E111" s="18" t="s">
        <v>100</v>
      </c>
      <c r="F111" s="18" t="s">
        <v>1941</v>
      </c>
      <c r="G111" s="18" t="s">
        <v>195</v>
      </c>
      <c r="H111" s="65" t="n">
        <v>14084</v>
      </c>
      <c r="I111" s="65" t="n">
        <v>7.84</v>
      </c>
      <c r="J111" s="65" t="s">
        <v>1973</v>
      </c>
      <c r="K111" s="65" t="n">
        <v>110418.56</v>
      </c>
      <c r="L111" s="66" t="n">
        <f aca="false">H111*I111</f>
        <v>110418.56</v>
      </c>
      <c r="M111" s="66" t="n">
        <f aca="false">L111-K111</f>
        <v>0</v>
      </c>
    </row>
    <row r="112" customFormat="false" ht="15" hidden="false" customHeight="false" outlineLevel="0" collapsed="false">
      <c r="A112" s="18" t="s">
        <v>200</v>
      </c>
      <c r="B112" s="18" t="s">
        <v>201</v>
      </c>
      <c r="C112" s="18"/>
      <c r="D112" s="49" t="n">
        <v>46113</v>
      </c>
      <c r="E112" s="18" t="s">
        <v>100</v>
      </c>
      <c r="F112" s="18" t="s">
        <v>1943</v>
      </c>
      <c r="G112" s="18" t="s">
        <v>195</v>
      </c>
      <c r="H112" s="65" t="n">
        <v>4024</v>
      </c>
      <c r="I112" s="65" t="n">
        <v>7.84</v>
      </c>
      <c r="J112" s="65" t="s">
        <v>1974</v>
      </c>
      <c r="K112" s="65" t="n">
        <v>31548.16</v>
      </c>
      <c r="L112" s="66" t="n">
        <f aca="false">H112*I112</f>
        <v>31548.16</v>
      </c>
      <c r="M112" s="66" t="n">
        <f aca="false">L112-K112</f>
        <v>0</v>
      </c>
    </row>
    <row r="113" customFormat="false" ht="15" hidden="false" customHeight="false" outlineLevel="0" collapsed="false">
      <c r="A113" s="18" t="s">
        <v>200</v>
      </c>
      <c r="B113" s="18" t="s">
        <v>201</v>
      </c>
      <c r="C113" s="18"/>
      <c r="D113" s="49" t="n">
        <v>46113</v>
      </c>
      <c r="E113" s="18" t="s">
        <v>110</v>
      </c>
      <c r="F113" s="18" t="s">
        <v>1939</v>
      </c>
      <c r="G113" s="18" t="s">
        <v>195</v>
      </c>
      <c r="H113" s="65" t="n">
        <v>18108</v>
      </c>
      <c r="I113" s="65" t="n">
        <v>7.84</v>
      </c>
      <c r="J113" s="65" t="s">
        <v>1975</v>
      </c>
      <c r="K113" s="65" t="n">
        <v>141966.72</v>
      </c>
      <c r="L113" s="66" t="n">
        <f aca="false">H113*I113</f>
        <v>141966.72</v>
      </c>
      <c r="M113" s="66" t="n">
        <f aca="false">L113-K113</f>
        <v>0</v>
      </c>
    </row>
    <row r="114" customFormat="false" ht="15" hidden="false" customHeight="false" outlineLevel="0" collapsed="false">
      <c r="A114" s="18" t="s">
        <v>200</v>
      </c>
      <c r="B114" s="18" t="s">
        <v>201</v>
      </c>
      <c r="C114" s="18"/>
      <c r="D114" s="49" t="n">
        <v>46113</v>
      </c>
      <c r="E114" s="18" t="s">
        <v>110</v>
      </c>
      <c r="F114" s="18" t="s">
        <v>1941</v>
      </c>
      <c r="G114" s="18" t="s">
        <v>195</v>
      </c>
      <c r="H114" s="65" t="n">
        <v>11066</v>
      </c>
      <c r="I114" s="65" t="n">
        <v>7.84</v>
      </c>
      <c r="J114" s="65" t="s">
        <v>1976</v>
      </c>
      <c r="K114" s="65" t="n">
        <v>86757.44</v>
      </c>
      <c r="L114" s="66" t="n">
        <f aca="false">H114*I114</f>
        <v>86757.44</v>
      </c>
      <c r="M114" s="66" t="n">
        <f aca="false">L114-K114</f>
        <v>0</v>
      </c>
    </row>
    <row r="115" customFormat="false" ht="15" hidden="false" customHeight="false" outlineLevel="0" collapsed="false">
      <c r="A115" s="18" t="s">
        <v>200</v>
      </c>
      <c r="B115" s="18" t="s">
        <v>201</v>
      </c>
      <c r="C115" s="18"/>
      <c r="D115" s="49" t="n">
        <v>46113</v>
      </c>
      <c r="E115" s="18" t="s">
        <v>110</v>
      </c>
      <c r="F115" s="18" t="s">
        <v>1943</v>
      </c>
      <c r="G115" s="18" t="s">
        <v>195</v>
      </c>
      <c r="H115" s="65" t="n">
        <v>3018</v>
      </c>
      <c r="I115" s="65" t="n">
        <v>7.84</v>
      </c>
      <c r="J115" s="65" t="s">
        <v>1977</v>
      </c>
      <c r="K115" s="65" t="n">
        <v>23661.12</v>
      </c>
      <c r="L115" s="66" t="n">
        <f aca="false">H115*I115</f>
        <v>23661.12</v>
      </c>
      <c r="M115" s="66" t="n">
        <f aca="false">L115-K115</f>
        <v>0</v>
      </c>
    </row>
    <row r="116" customFormat="false" ht="15" hidden="false" customHeight="false" outlineLevel="0" collapsed="false">
      <c r="A116" s="18" t="s">
        <v>200</v>
      </c>
      <c r="B116" s="18" t="s">
        <v>201</v>
      </c>
      <c r="C116" s="18"/>
      <c r="D116" s="49" t="n">
        <v>46113</v>
      </c>
      <c r="E116" s="18" t="s">
        <v>1948</v>
      </c>
      <c r="F116" s="18" t="s">
        <v>1949</v>
      </c>
      <c r="G116" s="18" t="s">
        <v>43</v>
      </c>
      <c r="H116" s="65" t="n">
        <v>50300</v>
      </c>
      <c r="I116" s="65" t="n">
        <v>1</v>
      </c>
      <c r="J116" s="65" t="s">
        <v>1978</v>
      </c>
      <c r="K116" s="65" t="n">
        <v>50300</v>
      </c>
      <c r="L116" s="66" t="n">
        <f aca="false">H116*I116</f>
        <v>50300</v>
      </c>
      <c r="M116" s="66" t="n">
        <f aca="false">L116-K116</f>
        <v>0</v>
      </c>
    </row>
    <row r="117" customFormat="false" ht="15" hidden="false" customHeight="false" outlineLevel="0" collapsed="false">
      <c r="A117" s="18" t="s">
        <v>200</v>
      </c>
      <c r="B117" s="18" t="s">
        <v>201</v>
      </c>
      <c r="C117" s="18"/>
      <c r="D117" s="49" t="n">
        <v>46143</v>
      </c>
      <c r="E117" s="18" t="s">
        <v>100</v>
      </c>
      <c r="F117" s="18" t="s">
        <v>1939</v>
      </c>
      <c r="G117" s="18" t="s">
        <v>195</v>
      </c>
      <c r="H117" s="65" t="n">
        <v>25187.5</v>
      </c>
      <c r="I117" s="65" t="n">
        <v>7.87</v>
      </c>
      <c r="J117" s="65" t="s">
        <v>1979</v>
      </c>
      <c r="K117" s="65" t="n">
        <v>198225.625</v>
      </c>
      <c r="L117" s="66" t="n">
        <f aca="false">H117*I117</f>
        <v>198225.625</v>
      </c>
      <c r="M117" s="66" t="n">
        <f aca="false">L117-K117</f>
        <v>0</v>
      </c>
    </row>
    <row r="118" customFormat="false" ht="15" hidden="false" customHeight="false" outlineLevel="0" collapsed="false">
      <c r="A118" s="18" t="s">
        <v>200</v>
      </c>
      <c r="B118" s="18" t="s">
        <v>201</v>
      </c>
      <c r="C118" s="18"/>
      <c r="D118" s="49" t="n">
        <v>46143</v>
      </c>
      <c r="E118" s="18" t="s">
        <v>100</v>
      </c>
      <c r="F118" s="18" t="s">
        <v>1941</v>
      </c>
      <c r="G118" s="18" t="s">
        <v>195</v>
      </c>
      <c r="H118" s="65" t="n">
        <v>14105</v>
      </c>
      <c r="I118" s="65" t="n">
        <v>7.87</v>
      </c>
      <c r="J118" s="65" t="s">
        <v>1980</v>
      </c>
      <c r="K118" s="65" t="n">
        <v>111006.35</v>
      </c>
      <c r="L118" s="66" t="n">
        <f aca="false">H118*I118</f>
        <v>111006.35</v>
      </c>
      <c r="M118" s="66" t="n">
        <f aca="false">L118-K118</f>
        <v>0</v>
      </c>
    </row>
    <row r="119" customFormat="false" ht="15" hidden="false" customHeight="false" outlineLevel="0" collapsed="false">
      <c r="A119" s="18" t="s">
        <v>200</v>
      </c>
      <c r="B119" s="18" t="s">
        <v>201</v>
      </c>
      <c r="C119" s="18"/>
      <c r="D119" s="49" t="n">
        <v>46143</v>
      </c>
      <c r="E119" s="18" t="s">
        <v>100</v>
      </c>
      <c r="F119" s="18" t="s">
        <v>1943</v>
      </c>
      <c r="G119" s="18" t="s">
        <v>195</v>
      </c>
      <c r="H119" s="65" t="n">
        <v>4030</v>
      </c>
      <c r="I119" s="65" t="n">
        <v>7.87</v>
      </c>
      <c r="J119" s="65" t="s">
        <v>1981</v>
      </c>
      <c r="K119" s="65" t="n">
        <v>31716.1</v>
      </c>
      <c r="L119" s="66" t="n">
        <f aca="false">H119*I119</f>
        <v>31716.1</v>
      </c>
      <c r="M119" s="66" t="n">
        <f aca="false">L119-K119</f>
        <v>3.63797880709171E-012</v>
      </c>
    </row>
    <row r="120" customFormat="false" ht="15" hidden="false" customHeight="false" outlineLevel="0" collapsed="false">
      <c r="A120" s="18" t="s">
        <v>200</v>
      </c>
      <c r="B120" s="18" t="s">
        <v>201</v>
      </c>
      <c r="C120" s="18"/>
      <c r="D120" s="49" t="n">
        <v>46143</v>
      </c>
      <c r="E120" s="18" t="s">
        <v>110</v>
      </c>
      <c r="F120" s="18" t="s">
        <v>1939</v>
      </c>
      <c r="G120" s="18" t="s">
        <v>195</v>
      </c>
      <c r="H120" s="65" t="n">
        <v>18135</v>
      </c>
      <c r="I120" s="65" t="n">
        <v>7.87</v>
      </c>
      <c r="J120" s="65" t="s">
        <v>1982</v>
      </c>
      <c r="K120" s="65" t="n">
        <v>142722.45</v>
      </c>
      <c r="L120" s="66" t="n">
        <f aca="false">H120*I120</f>
        <v>142722.45</v>
      </c>
      <c r="M120" s="66" t="n">
        <f aca="false">L120-K120</f>
        <v>0</v>
      </c>
    </row>
    <row r="121" customFormat="false" ht="15" hidden="false" customHeight="false" outlineLevel="0" collapsed="false">
      <c r="A121" s="18" t="s">
        <v>200</v>
      </c>
      <c r="B121" s="18" t="s">
        <v>201</v>
      </c>
      <c r="C121" s="18"/>
      <c r="D121" s="49" t="n">
        <v>46143</v>
      </c>
      <c r="E121" s="18" t="s">
        <v>110</v>
      </c>
      <c r="F121" s="18" t="s">
        <v>1941</v>
      </c>
      <c r="G121" s="18" t="s">
        <v>195</v>
      </c>
      <c r="H121" s="65" t="n">
        <v>11082.5</v>
      </c>
      <c r="I121" s="65" t="n">
        <v>7.87</v>
      </c>
      <c r="J121" s="65" t="s">
        <v>1983</v>
      </c>
      <c r="K121" s="65" t="n">
        <v>87219.275</v>
      </c>
      <c r="L121" s="66" t="n">
        <f aca="false">H121*I121</f>
        <v>87219.275</v>
      </c>
      <c r="M121" s="66" t="n">
        <f aca="false">L121-K121</f>
        <v>0</v>
      </c>
    </row>
    <row r="122" customFormat="false" ht="15" hidden="false" customHeight="false" outlineLevel="0" collapsed="false">
      <c r="A122" s="18" t="s">
        <v>200</v>
      </c>
      <c r="B122" s="18" t="s">
        <v>201</v>
      </c>
      <c r="C122" s="18"/>
      <c r="D122" s="49" t="n">
        <v>46143</v>
      </c>
      <c r="E122" s="18" t="s">
        <v>110</v>
      </c>
      <c r="F122" s="18" t="s">
        <v>1943</v>
      </c>
      <c r="G122" s="18" t="s">
        <v>195</v>
      </c>
      <c r="H122" s="65" t="n">
        <v>3022.5</v>
      </c>
      <c r="I122" s="65" t="n">
        <v>7.87</v>
      </c>
      <c r="J122" s="65" t="s">
        <v>1984</v>
      </c>
      <c r="K122" s="65" t="n">
        <v>23787.075</v>
      </c>
      <c r="L122" s="66" t="n">
        <f aca="false">H122*I122</f>
        <v>23787.075</v>
      </c>
      <c r="M122" s="66" t="n">
        <f aca="false">L122-K122</f>
        <v>0</v>
      </c>
    </row>
    <row r="123" customFormat="false" ht="15" hidden="false" customHeight="false" outlineLevel="0" collapsed="false">
      <c r="A123" s="18" t="s">
        <v>200</v>
      </c>
      <c r="B123" s="18" t="s">
        <v>201</v>
      </c>
      <c r="C123" s="18"/>
      <c r="D123" s="49" t="n">
        <v>46143</v>
      </c>
      <c r="E123" s="18" t="s">
        <v>1948</v>
      </c>
      <c r="F123" s="18" t="s">
        <v>1949</v>
      </c>
      <c r="G123" s="18" t="s">
        <v>43</v>
      </c>
      <c r="H123" s="65" t="n">
        <v>50375</v>
      </c>
      <c r="I123" s="65" t="n">
        <v>1</v>
      </c>
      <c r="J123" s="65" t="s">
        <v>1985</v>
      </c>
      <c r="K123" s="65" t="n">
        <v>50375</v>
      </c>
      <c r="L123" s="66" t="n">
        <f aca="false">H123*I123</f>
        <v>50375</v>
      </c>
      <c r="M123" s="66" t="n">
        <f aca="false">L123-K123</f>
        <v>0</v>
      </c>
    </row>
    <row r="124" customFormat="false" ht="15" hidden="false" customHeight="false" outlineLevel="0" collapsed="false">
      <c r="A124" s="18" t="s">
        <v>200</v>
      </c>
      <c r="B124" s="18" t="s">
        <v>201</v>
      </c>
      <c r="C124" s="18"/>
      <c r="D124" s="49" t="n">
        <v>46174</v>
      </c>
      <c r="E124" s="18" t="s">
        <v>100</v>
      </c>
      <c r="F124" s="18" t="s">
        <v>1939</v>
      </c>
      <c r="G124" s="18" t="s">
        <v>195</v>
      </c>
      <c r="H124" s="65" t="n">
        <v>25225</v>
      </c>
      <c r="I124" s="65" t="n">
        <v>7.89</v>
      </c>
      <c r="J124" s="65" t="s">
        <v>1986</v>
      </c>
      <c r="K124" s="65" t="n">
        <v>199025.25</v>
      </c>
      <c r="L124" s="66" t="n">
        <f aca="false">H124*I124</f>
        <v>199025.25</v>
      </c>
      <c r="M124" s="66" t="n">
        <f aca="false">L124-K124</f>
        <v>0</v>
      </c>
    </row>
    <row r="125" customFormat="false" ht="15" hidden="false" customHeight="false" outlineLevel="0" collapsed="false">
      <c r="A125" s="18" t="s">
        <v>200</v>
      </c>
      <c r="B125" s="18" t="s">
        <v>201</v>
      </c>
      <c r="C125" s="18"/>
      <c r="D125" s="49" t="n">
        <v>46174</v>
      </c>
      <c r="E125" s="18" t="s">
        <v>100</v>
      </c>
      <c r="F125" s="18" t="s">
        <v>1941</v>
      </c>
      <c r="G125" s="18" t="s">
        <v>195</v>
      </c>
      <c r="H125" s="65" t="n">
        <v>14126</v>
      </c>
      <c r="I125" s="65" t="n">
        <v>7.89</v>
      </c>
      <c r="J125" s="65" t="s">
        <v>1987</v>
      </c>
      <c r="K125" s="65" t="n">
        <v>111454.14</v>
      </c>
      <c r="L125" s="66" t="n">
        <f aca="false">H125*I125</f>
        <v>111454.14</v>
      </c>
      <c r="M125" s="66" t="n">
        <f aca="false">L125-K125</f>
        <v>0</v>
      </c>
    </row>
    <row r="126" customFormat="false" ht="15" hidden="false" customHeight="false" outlineLevel="0" collapsed="false">
      <c r="A126" s="18" t="s">
        <v>200</v>
      </c>
      <c r="B126" s="18" t="s">
        <v>201</v>
      </c>
      <c r="C126" s="18"/>
      <c r="D126" s="49" t="n">
        <v>46174</v>
      </c>
      <c r="E126" s="18" t="s">
        <v>100</v>
      </c>
      <c r="F126" s="18" t="s">
        <v>1943</v>
      </c>
      <c r="G126" s="18" t="s">
        <v>195</v>
      </c>
      <c r="H126" s="65" t="n">
        <v>4036</v>
      </c>
      <c r="I126" s="65" t="n">
        <v>7.89</v>
      </c>
      <c r="J126" s="65" t="s">
        <v>1988</v>
      </c>
      <c r="K126" s="65" t="n">
        <v>31844.04</v>
      </c>
      <c r="L126" s="66" t="n">
        <f aca="false">H126*I126</f>
        <v>31844.04</v>
      </c>
      <c r="M126" s="66" t="n">
        <f aca="false">L126-K126</f>
        <v>-3.63797880709171E-012</v>
      </c>
    </row>
    <row r="127" customFormat="false" ht="15" hidden="false" customHeight="false" outlineLevel="0" collapsed="false">
      <c r="A127" s="18" t="s">
        <v>200</v>
      </c>
      <c r="B127" s="18" t="s">
        <v>201</v>
      </c>
      <c r="C127" s="18"/>
      <c r="D127" s="49" t="n">
        <v>46174</v>
      </c>
      <c r="E127" s="18" t="s">
        <v>110</v>
      </c>
      <c r="F127" s="18" t="s">
        <v>1939</v>
      </c>
      <c r="G127" s="18" t="s">
        <v>195</v>
      </c>
      <c r="H127" s="65" t="n">
        <v>18162</v>
      </c>
      <c r="I127" s="65" t="n">
        <v>7.89</v>
      </c>
      <c r="J127" s="65" t="s">
        <v>1989</v>
      </c>
      <c r="K127" s="65" t="n">
        <v>143298.18</v>
      </c>
      <c r="L127" s="66" t="n">
        <f aca="false">H127*I127</f>
        <v>143298.18</v>
      </c>
      <c r="M127" s="66" t="n">
        <f aca="false">L127-K127</f>
        <v>0</v>
      </c>
    </row>
    <row r="128" customFormat="false" ht="15" hidden="false" customHeight="false" outlineLevel="0" collapsed="false">
      <c r="A128" s="18" t="s">
        <v>200</v>
      </c>
      <c r="B128" s="18" t="s">
        <v>201</v>
      </c>
      <c r="C128" s="18"/>
      <c r="D128" s="49" t="n">
        <v>46174</v>
      </c>
      <c r="E128" s="18" t="s">
        <v>110</v>
      </c>
      <c r="F128" s="18" t="s">
        <v>1941</v>
      </c>
      <c r="G128" s="18" t="s">
        <v>195</v>
      </c>
      <c r="H128" s="65" t="n">
        <v>11099</v>
      </c>
      <c r="I128" s="65" t="n">
        <v>7.89</v>
      </c>
      <c r="J128" s="65" t="s">
        <v>1990</v>
      </c>
      <c r="K128" s="65" t="n">
        <v>87571.11</v>
      </c>
      <c r="L128" s="66" t="n">
        <f aca="false">H128*I128</f>
        <v>87571.11</v>
      </c>
      <c r="M128" s="66" t="n">
        <f aca="false">L128-K128</f>
        <v>0</v>
      </c>
    </row>
    <row r="129" customFormat="false" ht="15" hidden="false" customHeight="false" outlineLevel="0" collapsed="false">
      <c r="A129" s="18" t="s">
        <v>200</v>
      </c>
      <c r="B129" s="18" t="s">
        <v>201</v>
      </c>
      <c r="C129" s="18"/>
      <c r="D129" s="49" t="n">
        <v>46174</v>
      </c>
      <c r="E129" s="18" t="s">
        <v>110</v>
      </c>
      <c r="F129" s="18" t="s">
        <v>1943</v>
      </c>
      <c r="G129" s="18" t="s">
        <v>195</v>
      </c>
      <c r="H129" s="65" t="n">
        <v>3027</v>
      </c>
      <c r="I129" s="65" t="n">
        <v>7.89</v>
      </c>
      <c r="J129" s="65" t="s">
        <v>1991</v>
      </c>
      <c r="K129" s="65" t="n">
        <v>23883.03</v>
      </c>
      <c r="L129" s="66" t="n">
        <f aca="false">H129*I129</f>
        <v>23883.03</v>
      </c>
      <c r="M129" s="66" t="n">
        <f aca="false">L129-K129</f>
        <v>0</v>
      </c>
    </row>
    <row r="130" customFormat="false" ht="15" hidden="false" customHeight="false" outlineLevel="0" collapsed="false">
      <c r="A130" s="18" t="s">
        <v>200</v>
      </c>
      <c r="B130" s="18" t="s">
        <v>201</v>
      </c>
      <c r="C130" s="18"/>
      <c r="D130" s="49" t="n">
        <v>46174</v>
      </c>
      <c r="E130" s="18" t="s">
        <v>1948</v>
      </c>
      <c r="F130" s="18" t="s">
        <v>1949</v>
      </c>
      <c r="G130" s="18" t="s">
        <v>43</v>
      </c>
      <c r="H130" s="65" t="n">
        <v>50450</v>
      </c>
      <c r="I130" s="65" t="n">
        <v>1</v>
      </c>
      <c r="J130" s="65" t="s">
        <v>1992</v>
      </c>
      <c r="K130" s="65" t="n">
        <v>50450</v>
      </c>
      <c r="L130" s="66" t="n">
        <f aca="false">H130*I130</f>
        <v>50450</v>
      </c>
      <c r="M130" s="66" t="n">
        <f aca="false">L130-K130</f>
        <v>0</v>
      </c>
    </row>
    <row r="131" customFormat="false" ht="15" hidden="false" customHeight="false" outlineLevel="0" collapsed="false">
      <c r="A131" s="18" t="s">
        <v>200</v>
      </c>
      <c r="B131" s="18" t="s">
        <v>201</v>
      </c>
      <c r="C131" s="18"/>
      <c r="D131" s="49" t="n">
        <v>46204</v>
      </c>
      <c r="E131" s="18" t="s">
        <v>100</v>
      </c>
      <c r="F131" s="18" t="s">
        <v>1939</v>
      </c>
      <c r="G131" s="18" t="s">
        <v>195</v>
      </c>
      <c r="H131" s="65" t="n">
        <v>25262.5</v>
      </c>
      <c r="I131" s="65" t="n">
        <v>7.91</v>
      </c>
      <c r="J131" s="65" t="s">
        <v>1993</v>
      </c>
      <c r="K131" s="65" t="n">
        <v>199826.375</v>
      </c>
      <c r="L131" s="66" t="n">
        <f aca="false">H131*I131</f>
        <v>199826.375</v>
      </c>
      <c r="M131" s="66" t="n">
        <f aca="false">L131-K131</f>
        <v>0</v>
      </c>
    </row>
    <row r="132" customFormat="false" ht="15" hidden="false" customHeight="false" outlineLevel="0" collapsed="false">
      <c r="A132" s="18" t="s">
        <v>200</v>
      </c>
      <c r="B132" s="18" t="s">
        <v>201</v>
      </c>
      <c r="C132" s="18"/>
      <c r="D132" s="49" t="n">
        <v>46204</v>
      </c>
      <c r="E132" s="18" t="s">
        <v>100</v>
      </c>
      <c r="F132" s="18" t="s">
        <v>1941</v>
      </c>
      <c r="G132" s="18" t="s">
        <v>195</v>
      </c>
      <c r="H132" s="65" t="n">
        <v>14147</v>
      </c>
      <c r="I132" s="65" t="n">
        <v>7.91</v>
      </c>
      <c r="J132" s="65" t="s">
        <v>1994</v>
      </c>
      <c r="K132" s="65" t="n">
        <v>111902.77</v>
      </c>
      <c r="L132" s="66" t="n">
        <f aca="false">H132*I132</f>
        <v>111902.77</v>
      </c>
      <c r="M132" s="66" t="n">
        <f aca="false">L132-K132</f>
        <v>0</v>
      </c>
    </row>
    <row r="133" customFormat="false" ht="15" hidden="false" customHeight="false" outlineLevel="0" collapsed="false">
      <c r="A133" s="18" t="s">
        <v>200</v>
      </c>
      <c r="B133" s="18" t="s">
        <v>201</v>
      </c>
      <c r="C133" s="18"/>
      <c r="D133" s="49" t="n">
        <v>46204</v>
      </c>
      <c r="E133" s="18" t="s">
        <v>100</v>
      </c>
      <c r="F133" s="18" t="s">
        <v>1943</v>
      </c>
      <c r="G133" s="18" t="s">
        <v>195</v>
      </c>
      <c r="H133" s="65" t="n">
        <v>4042</v>
      </c>
      <c r="I133" s="65" t="n">
        <v>7.91</v>
      </c>
      <c r="J133" s="65" t="s">
        <v>1995</v>
      </c>
      <c r="K133" s="65" t="n">
        <v>31972.22</v>
      </c>
      <c r="L133" s="66" t="n">
        <f aca="false">H133*I133</f>
        <v>31972.22</v>
      </c>
      <c r="M133" s="66" t="n">
        <f aca="false">L133-K133</f>
        <v>0</v>
      </c>
    </row>
    <row r="134" customFormat="false" ht="15" hidden="false" customHeight="false" outlineLevel="0" collapsed="false">
      <c r="A134" s="18" t="s">
        <v>200</v>
      </c>
      <c r="B134" s="18" t="s">
        <v>201</v>
      </c>
      <c r="C134" s="18"/>
      <c r="D134" s="49" t="n">
        <v>46204</v>
      </c>
      <c r="E134" s="18" t="s">
        <v>110</v>
      </c>
      <c r="F134" s="18" t="s">
        <v>1939</v>
      </c>
      <c r="G134" s="18" t="s">
        <v>195</v>
      </c>
      <c r="H134" s="65" t="n">
        <v>18189</v>
      </c>
      <c r="I134" s="65" t="n">
        <v>7.91</v>
      </c>
      <c r="J134" s="65" t="s">
        <v>1996</v>
      </c>
      <c r="K134" s="65" t="n">
        <v>143874.99</v>
      </c>
      <c r="L134" s="66" t="n">
        <f aca="false">H134*I134</f>
        <v>143874.99</v>
      </c>
      <c r="M134" s="66" t="n">
        <f aca="false">L134-K134</f>
        <v>0</v>
      </c>
    </row>
    <row r="135" customFormat="false" ht="15" hidden="false" customHeight="false" outlineLevel="0" collapsed="false">
      <c r="A135" s="18" t="s">
        <v>200</v>
      </c>
      <c r="B135" s="18" t="s">
        <v>201</v>
      </c>
      <c r="C135" s="18"/>
      <c r="D135" s="49" t="n">
        <v>46204</v>
      </c>
      <c r="E135" s="18" t="s">
        <v>110</v>
      </c>
      <c r="F135" s="18" t="s">
        <v>1941</v>
      </c>
      <c r="G135" s="18" t="s">
        <v>195</v>
      </c>
      <c r="H135" s="65" t="n">
        <v>11115.5</v>
      </c>
      <c r="I135" s="65" t="n">
        <v>7.91</v>
      </c>
      <c r="J135" s="65" t="s">
        <v>1997</v>
      </c>
      <c r="K135" s="65" t="n">
        <v>87923.605</v>
      </c>
      <c r="L135" s="66" t="n">
        <f aca="false">H135*I135</f>
        <v>87923.605</v>
      </c>
      <c r="M135" s="66" t="n">
        <f aca="false">L135-K135</f>
        <v>0</v>
      </c>
    </row>
    <row r="136" customFormat="false" ht="15" hidden="false" customHeight="false" outlineLevel="0" collapsed="false">
      <c r="A136" s="18" t="s">
        <v>200</v>
      </c>
      <c r="B136" s="18" t="s">
        <v>201</v>
      </c>
      <c r="C136" s="18"/>
      <c r="D136" s="49" t="n">
        <v>46204</v>
      </c>
      <c r="E136" s="18" t="s">
        <v>110</v>
      </c>
      <c r="F136" s="18" t="s">
        <v>1943</v>
      </c>
      <c r="G136" s="18" t="s">
        <v>195</v>
      </c>
      <c r="H136" s="65" t="n">
        <v>3031.5</v>
      </c>
      <c r="I136" s="65" t="n">
        <v>7.91</v>
      </c>
      <c r="J136" s="65" t="s">
        <v>1998</v>
      </c>
      <c r="K136" s="65" t="n">
        <v>23979.165</v>
      </c>
      <c r="L136" s="66" t="n">
        <f aca="false">H136*I136</f>
        <v>23979.165</v>
      </c>
      <c r="M136" s="66" t="n">
        <f aca="false">L136-K136</f>
        <v>0</v>
      </c>
    </row>
    <row r="137" customFormat="false" ht="15" hidden="false" customHeight="false" outlineLevel="0" collapsed="false">
      <c r="A137" s="18" t="s">
        <v>200</v>
      </c>
      <c r="B137" s="18" t="s">
        <v>201</v>
      </c>
      <c r="C137" s="18"/>
      <c r="D137" s="49" t="n">
        <v>46204</v>
      </c>
      <c r="E137" s="18" t="s">
        <v>1948</v>
      </c>
      <c r="F137" s="18" t="s">
        <v>1949</v>
      </c>
      <c r="G137" s="18" t="s">
        <v>43</v>
      </c>
      <c r="H137" s="65" t="n">
        <v>50525</v>
      </c>
      <c r="I137" s="65" t="n">
        <v>1</v>
      </c>
      <c r="J137" s="65" t="s">
        <v>1999</v>
      </c>
      <c r="K137" s="65" t="n">
        <v>50525</v>
      </c>
      <c r="L137" s="66" t="n">
        <f aca="false">H137*I137</f>
        <v>50525</v>
      </c>
      <c r="M137" s="66" t="n">
        <f aca="false">L137-K137</f>
        <v>0</v>
      </c>
    </row>
    <row r="138" customFormat="false" ht="15" hidden="false" customHeight="false" outlineLevel="0" collapsed="false">
      <c r="A138" s="18" t="s">
        <v>200</v>
      </c>
      <c r="B138" s="18" t="s">
        <v>201</v>
      </c>
      <c r="C138" s="18"/>
      <c r="D138" s="49" t="n">
        <v>46235</v>
      </c>
      <c r="E138" s="18" t="s">
        <v>100</v>
      </c>
      <c r="F138" s="18" t="s">
        <v>1939</v>
      </c>
      <c r="G138" s="18" t="s">
        <v>195</v>
      </c>
      <c r="H138" s="65" t="n">
        <v>25300</v>
      </c>
      <c r="I138" s="65" t="n">
        <v>7.95</v>
      </c>
      <c r="J138" s="65" t="s">
        <v>2000</v>
      </c>
      <c r="K138" s="65" t="n">
        <v>201135</v>
      </c>
      <c r="L138" s="66" t="n">
        <f aca="false">H138*I138</f>
        <v>201135</v>
      </c>
      <c r="M138" s="66" t="n">
        <f aca="false">L138-K138</f>
        <v>0</v>
      </c>
    </row>
    <row r="139" customFormat="false" ht="15" hidden="false" customHeight="false" outlineLevel="0" collapsed="false">
      <c r="A139" s="18" t="s">
        <v>200</v>
      </c>
      <c r="B139" s="18" t="s">
        <v>201</v>
      </c>
      <c r="C139" s="18"/>
      <c r="D139" s="49" t="n">
        <v>46235</v>
      </c>
      <c r="E139" s="18" t="s">
        <v>100</v>
      </c>
      <c r="F139" s="18" t="s">
        <v>1941</v>
      </c>
      <c r="G139" s="18" t="s">
        <v>195</v>
      </c>
      <c r="H139" s="65" t="n">
        <v>14168</v>
      </c>
      <c r="I139" s="65" t="n">
        <v>7.95</v>
      </c>
      <c r="J139" s="65" t="s">
        <v>2001</v>
      </c>
      <c r="K139" s="65" t="n">
        <v>112635.6</v>
      </c>
      <c r="L139" s="66" t="n">
        <f aca="false">H139*I139</f>
        <v>112635.6</v>
      </c>
      <c r="M139" s="66" t="n">
        <f aca="false">L139-K139</f>
        <v>0</v>
      </c>
    </row>
    <row r="140" customFormat="false" ht="15" hidden="false" customHeight="false" outlineLevel="0" collapsed="false">
      <c r="A140" s="18" t="s">
        <v>200</v>
      </c>
      <c r="B140" s="18" t="s">
        <v>201</v>
      </c>
      <c r="C140" s="18"/>
      <c r="D140" s="49" t="n">
        <v>46235</v>
      </c>
      <c r="E140" s="18" t="s">
        <v>100</v>
      </c>
      <c r="F140" s="18" t="s">
        <v>1943</v>
      </c>
      <c r="G140" s="18" t="s">
        <v>195</v>
      </c>
      <c r="H140" s="65" t="n">
        <v>4048</v>
      </c>
      <c r="I140" s="65" t="n">
        <v>7.95</v>
      </c>
      <c r="J140" s="65" t="s">
        <v>2002</v>
      </c>
      <c r="K140" s="65" t="n">
        <v>32181.6</v>
      </c>
      <c r="L140" s="66" t="n">
        <f aca="false">H140*I140</f>
        <v>32181.6</v>
      </c>
      <c r="M140" s="66" t="n">
        <f aca="false">L140-K140</f>
        <v>3.63797880709171E-012</v>
      </c>
    </row>
    <row r="141" customFormat="false" ht="15" hidden="false" customHeight="false" outlineLevel="0" collapsed="false">
      <c r="A141" s="18" t="s">
        <v>200</v>
      </c>
      <c r="B141" s="18" t="s">
        <v>201</v>
      </c>
      <c r="C141" s="18"/>
      <c r="D141" s="49" t="n">
        <v>46235</v>
      </c>
      <c r="E141" s="18" t="s">
        <v>110</v>
      </c>
      <c r="F141" s="18" t="s">
        <v>1939</v>
      </c>
      <c r="G141" s="18" t="s">
        <v>195</v>
      </c>
      <c r="H141" s="65" t="n">
        <v>18216</v>
      </c>
      <c r="I141" s="65" t="n">
        <v>7.95</v>
      </c>
      <c r="J141" s="65" t="s">
        <v>2003</v>
      </c>
      <c r="K141" s="65" t="n">
        <v>144817.2</v>
      </c>
      <c r="L141" s="66" t="n">
        <f aca="false">H141*I141</f>
        <v>144817.2</v>
      </c>
      <c r="M141" s="66" t="n">
        <f aca="false">L141-K141</f>
        <v>0</v>
      </c>
    </row>
    <row r="142" customFormat="false" ht="15" hidden="false" customHeight="false" outlineLevel="0" collapsed="false">
      <c r="A142" s="18" t="s">
        <v>200</v>
      </c>
      <c r="B142" s="18" t="s">
        <v>201</v>
      </c>
      <c r="C142" s="18"/>
      <c r="D142" s="49" t="n">
        <v>46235</v>
      </c>
      <c r="E142" s="18" t="s">
        <v>110</v>
      </c>
      <c r="F142" s="18" t="s">
        <v>1941</v>
      </c>
      <c r="G142" s="18" t="s">
        <v>195</v>
      </c>
      <c r="H142" s="65" t="n">
        <v>11132</v>
      </c>
      <c r="I142" s="65" t="n">
        <v>7.95</v>
      </c>
      <c r="J142" s="65" t="s">
        <v>2004</v>
      </c>
      <c r="K142" s="65" t="n">
        <v>88499.4</v>
      </c>
      <c r="L142" s="66" t="n">
        <f aca="false">H142*I142</f>
        <v>88499.4</v>
      </c>
      <c r="M142" s="66" t="n">
        <f aca="false">L142-K142</f>
        <v>1.45519152283669E-011</v>
      </c>
    </row>
    <row r="143" customFormat="false" ht="15" hidden="false" customHeight="false" outlineLevel="0" collapsed="false">
      <c r="A143" s="18" t="s">
        <v>200</v>
      </c>
      <c r="B143" s="18" t="s">
        <v>201</v>
      </c>
      <c r="C143" s="18"/>
      <c r="D143" s="49" t="n">
        <v>46235</v>
      </c>
      <c r="E143" s="18" t="s">
        <v>110</v>
      </c>
      <c r="F143" s="18" t="s">
        <v>1943</v>
      </c>
      <c r="G143" s="18" t="s">
        <v>195</v>
      </c>
      <c r="H143" s="65" t="n">
        <v>3036</v>
      </c>
      <c r="I143" s="65" t="n">
        <v>7.95</v>
      </c>
      <c r="J143" s="65" t="s">
        <v>2005</v>
      </c>
      <c r="K143" s="65" t="n">
        <v>24136.2</v>
      </c>
      <c r="L143" s="66" t="n">
        <f aca="false">H143*I143</f>
        <v>24136.2</v>
      </c>
      <c r="M143" s="66" t="n">
        <f aca="false">L143-K143</f>
        <v>0</v>
      </c>
    </row>
    <row r="144" customFormat="false" ht="15" hidden="false" customHeight="false" outlineLevel="0" collapsed="false">
      <c r="A144" s="18" t="s">
        <v>200</v>
      </c>
      <c r="B144" s="18" t="s">
        <v>201</v>
      </c>
      <c r="C144" s="18"/>
      <c r="D144" s="49" t="n">
        <v>46235</v>
      </c>
      <c r="E144" s="18" t="s">
        <v>1948</v>
      </c>
      <c r="F144" s="18" t="s">
        <v>1949</v>
      </c>
      <c r="G144" s="18" t="s">
        <v>43</v>
      </c>
      <c r="H144" s="65" t="n">
        <v>50600</v>
      </c>
      <c r="I144" s="65" t="n">
        <v>1</v>
      </c>
      <c r="J144" s="65" t="s">
        <v>2006</v>
      </c>
      <c r="K144" s="65" t="n">
        <v>50600</v>
      </c>
      <c r="L144" s="66" t="n">
        <f aca="false">H144*I144</f>
        <v>50600</v>
      </c>
      <c r="M144" s="66" t="n">
        <f aca="false">L144-K144</f>
        <v>0</v>
      </c>
    </row>
    <row r="145" customFormat="false" ht="15" hidden="false" customHeight="false" outlineLevel="0" collapsed="false">
      <c r="A145" s="18" t="s">
        <v>203</v>
      </c>
      <c r="B145" s="18" t="s">
        <v>204</v>
      </c>
      <c r="C145" s="18"/>
      <c r="D145" s="49" t="n">
        <v>46266</v>
      </c>
      <c r="E145" s="18" t="s">
        <v>100</v>
      </c>
      <c r="F145" s="18" t="s">
        <v>1939</v>
      </c>
      <c r="G145" s="18" t="s">
        <v>195</v>
      </c>
      <c r="H145" s="65" t="n">
        <v>25450</v>
      </c>
      <c r="I145" s="65" t="n">
        <v>7.92</v>
      </c>
      <c r="J145" s="65" t="s">
        <v>2007</v>
      </c>
      <c r="K145" s="65" t="n">
        <v>201564</v>
      </c>
      <c r="L145" s="66" t="n">
        <f aca="false">H145*I145</f>
        <v>201564</v>
      </c>
      <c r="M145" s="66" t="n">
        <f aca="false">L145-K145</f>
        <v>0</v>
      </c>
    </row>
    <row r="146" customFormat="false" ht="15" hidden="false" customHeight="false" outlineLevel="0" collapsed="false">
      <c r="A146" s="18" t="s">
        <v>203</v>
      </c>
      <c r="B146" s="18" t="s">
        <v>204</v>
      </c>
      <c r="C146" s="18"/>
      <c r="D146" s="49" t="n">
        <v>46266</v>
      </c>
      <c r="E146" s="18" t="s">
        <v>100</v>
      </c>
      <c r="F146" s="18" t="s">
        <v>1941</v>
      </c>
      <c r="G146" s="18" t="s">
        <v>195</v>
      </c>
      <c r="H146" s="65" t="n">
        <v>14252</v>
      </c>
      <c r="I146" s="65" t="n">
        <v>7.92</v>
      </c>
      <c r="J146" s="65" t="s">
        <v>2008</v>
      </c>
      <c r="K146" s="65" t="n">
        <v>112875.84</v>
      </c>
      <c r="L146" s="66" t="n">
        <f aca="false">H146*I146</f>
        <v>112875.84</v>
      </c>
      <c r="M146" s="66" t="n">
        <f aca="false">L146-K146</f>
        <v>0</v>
      </c>
    </row>
    <row r="147" customFormat="false" ht="15" hidden="false" customHeight="false" outlineLevel="0" collapsed="false">
      <c r="A147" s="18" t="s">
        <v>203</v>
      </c>
      <c r="B147" s="18" t="s">
        <v>204</v>
      </c>
      <c r="C147" s="18"/>
      <c r="D147" s="49" t="n">
        <v>46266</v>
      </c>
      <c r="E147" s="18" t="s">
        <v>100</v>
      </c>
      <c r="F147" s="18" t="s">
        <v>1943</v>
      </c>
      <c r="G147" s="18" t="s">
        <v>195</v>
      </c>
      <c r="H147" s="65" t="n">
        <v>4072</v>
      </c>
      <c r="I147" s="65" t="n">
        <v>7.92</v>
      </c>
      <c r="J147" s="65" t="s">
        <v>2009</v>
      </c>
      <c r="K147" s="65" t="n">
        <v>32250.24</v>
      </c>
      <c r="L147" s="66" t="n">
        <f aca="false">H147*I147</f>
        <v>32250.24</v>
      </c>
      <c r="M147" s="66" t="n">
        <f aca="false">L147-K147</f>
        <v>-3.63797880709171E-012</v>
      </c>
    </row>
    <row r="148" customFormat="false" ht="15" hidden="false" customHeight="false" outlineLevel="0" collapsed="false">
      <c r="A148" s="18" t="s">
        <v>203</v>
      </c>
      <c r="B148" s="18" t="s">
        <v>204</v>
      </c>
      <c r="C148" s="18"/>
      <c r="D148" s="49" t="n">
        <v>46266</v>
      </c>
      <c r="E148" s="18" t="s">
        <v>110</v>
      </c>
      <c r="F148" s="18" t="s">
        <v>1939</v>
      </c>
      <c r="G148" s="18" t="s">
        <v>195</v>
      </c>
      <c r="H148" s="65" t="n">
        <v>18324</v>
      </c>
      <c r="I148" s="65" t="n">
        <v>7.92</v>
      </c>
      <c r="J148" s="65" t="s">
        <v>2010</v>
      </c>
      <c r="K148" s="65" t="n">
        <v>145126.08</v>
      </c>
      <c r="L148" s="66" t="n">
        <f aca="false">H148*I148</f>
        <v>145126.08</v>
      </c>
      <c r="M148" s="66" t="n">
        <f aca="false">L148-K148</f>
        <v>0</v>
      </c>
    </row>
    <row r="149" customFormat="false" ht="15" hidden="false" customHeight="false" outlineLevel="0" collapsed="false">
      <c r="A149" s="18" t="s">
        <v>203</v>
      </c>
      <c r="B149" s="18" t="s">
        <v>204</v>
      </c>
      <c r="C149" s="18"/>
      <c r="D149" s="49" t="n">
        <v>46266</v>
      </c>
      <c r="E149" s="18" t="s">
        <v>110</v>
      </c>
      <c r="F149" s="18" t="s">
        <v>1941</v>
      </c>
      <c r="G149" s="18" t="s">
        <v>195</v>
      </c>
      <c r="H149" s="65" t="n">
        <v>11198</v>
      </c>
      <c r="I149" s="65" t="n">
        <v>7.92</v>
      </c>
      <c r="J149" s="65" t="s">
        <v>2011</v>
      </c>
      <c r="K149" s="65" t="n">
        <v>88688.16</v>
      </c>
      <c r="L149" s="66" t="n">
        <f aca="false">H149*I149</f>
        <v>88688.16</v>
      </c>
      <c r="M149" s="66" t="n">
        <f aca="false">L149-K149</f>
        <v>0</v>
      </c>
    </row>
    <row r="150" customFormat="false" ht="15" hidden="false" customHeight="false" outlineLevel="0" collapsed="false">
      <c r="A150" s="18" t="s">
        <v>203</v>
      </c>
      <c r="B150" s="18" t="s">
        <v>204</v>
      </c>
      <c r="C150" s="18"/>
      <c r="D150" s="49" t="n">
        <v>46266</v>
      </c>
      <c r="E150" s="18" t="s">
        <v>110</v>
      </c>
      <c r="F150" s="18" t="s">
        <v>1943</v>
      </c>
      <c r="G150" s="18" t="s">
        <v>195</v>
      </c>
      <c r="H150" s="65" t="n">
        <v>3054</v>
      </c>
      <c r="I150" s="65" t="n">
        <v>7.92</v>
      </c>
      <c r="J150" s="65" t="s">
        <v>2012</v>
      </c>
      <c r="K150" s="65" t="n">
        <v>24187.68</v>
      </c>
      <c r="L150" s="66" t="n">
        <f aca="false">H150*I150</f>
        <v>24187.68</v>
      </c>
      <c r="M150" s="66" t="n">
        <f aca="false">L150-K150</f>
        <v>0</v>
      </c>
    </row>
    <row r="151" customFormat="false" ht="15" hidden="false" customHeight="false" outlineLevel="0" collapsed="false">
      <c r="A151" s="18" t="s">
        <v>203</v>
      </c>
      <c r="B151" s="18" t="s">
        <v>204</v>
      </c>
      <c r="C151" s="18"/>
      <c r="D151" s="49" t="n">
        <v>46266</v>
      </c>
      <c r="E151" s="18" t="s">
        <v>1948</v>
      </c>
      <c r="F151" s="18" t="s">
        <v>1949</v>
      </c>
      <c r="G151" s="18" t="s">
        <v>43</v>
      </c>
      <c r="H151" s="65" t="n">
        <v>50900</v>
      </c>
      <c r="I151" s="65" t="n">
        <v>1</v>
      </c>
      <c r="J151" s="65" t="s">
        <v>2013</v>
      </c>
      <c r="K151" s="65" t="n">
        <v>50900</v>
      </c>
      <c r="L151" s="66" t="n">
        <f aca="false">H151*I151</f>
        <v>50900</v>
      </c>
      <c r="M151" s="66" t="n">
        <f aca="false">L151-K151</f>
        <v>0</v>
      </c>
    </row>
    <row r="152" customFormat="false" ht="15" hidden="false" customHeight="false" outlineLevel="0" collapsed="false">
      <c r="A152" s="18" t="s">
        <v>203</v>
      </c>
      <c r="B152" s="18" t="s">
        <v>204</v>
      </c>
      <c r="C152" s="18"/>
      <c r="D152" s="49" t="n">
        <v>46296</v>
      </c>
      <c r="E152" s="18" t="s">
        <v>100</v>
      </c>
      <c r="F152" s="18" t="s">
        <v>1939</v>
      </c>
      <c r="G152" s="18" t="s">
        <v>195</v>
      </c>
      <c r="H152" s="65" t="n">
        <v>25450</v>
      </c>
      <c r="I152" s="65" t="n">
        <v>7.9</v>
      </c>
      <c r="J152" s="65" t="s">
        <v>2014</v>
      </c>
      <c r="K152" s="65" t="n">
        <v>201055</v>
      </c>
      <c r="L152" s="66" t="n">
        <f aca="false">H152*I152</f>
        <v>201055</v>
      </c>
      <c r="M152" s="66" t="n">
        <f aca="false">L152-K152</f>
        <v>0</v>
      </c>
    </row>
    <row r="153" customFormat="false" ht="15" hidden="false" customHeight="false" outlineLevel="0" collapsed="false">
      <c r="A153" s="18" t="s">
        <v>203</v>
      </c>
      <c r="B153" s="18" t="s">
        <v>204</v>
      </c>
      <c r="C153" s="18"/>
      <c r="D153" s="49" t="n">
        <v>46296</v>
      </c>
      <c r="E153" s="18" t="s">
        <v>100</v>
      </c>
      <c r="F153" s="18" t="s">
        <v>1941</v>
      </c>
      <c r="G153" s="18" t="s">
        <v>195</v>
      </c>
      <c r="H153" s="65" t="n">
        <v>14252</v>
      </c>
      <c r="I153" s="65" t="n">
        <v>7.9</v>
      </c>
      <c r="J153" s="65" t="s">
        <v>2015</v>
      </c>
      <c r="K153" s="65" t="n">
        <v>112590.8</v>
      </c>
      <c r="L153" s="66" t="n">
        <f aca="false">H153*I153</f>
        <v>112590.8</v>
      </c>
      <c r="M153" s="66" t="n">
        <f aca="false">L153-K153</f>
        <v>0</v>
      </c>
    </row>
    <row r="154" customFormat="false" ht="15" hidden="false" customHeight="false" outlineLevel="0" collapsed="false">
      <c r="A154" s="18" t="s">
        <v>203</v>
      </c>
      <c r="B154" s="18" t="s">
        <v>204</v>
      </c>
      <c r="C154" s="18"/>
      <c r="D154" s="49" t="n">
        <v>46296</v>
      </c>
      <c r="E154" s="18" t="s">
        <v>100</v>
      </c>
      <c r="F154" s="18" t="s">
        <v>1943</v>
      </c>
      <c r="G154" s="18" t="s">
        <v>195</v>
      </c>
      <c r="H154" s="65" t="n">
        <v>4072</v>
      </c>
      <c r="I154" s="65" t="n">
        <v>7.9</v>
      </c>
      <c r="J154" s="65" t="s">
        <v>2016</v>
      </c>
      <c r="K154" s="65" t="n">
        <v>32168.8</v>
      </c>
      <c r="L154" s="66" t="n">
        <f aca="false">H154*I154</f>
        <v>32168.8</v>
      </c>
      <c r="M154" s="66" t="n">
        <f aca="false">L154-K154</f>
        <v>3.63797880709171E-012</v>
      </c>
    </row>
    <row r="155" customFormat="false" ht="15" hidden="false" customHeight="false" outlineLevel="0" collapsed="false">
      <c r="A155" s="18" t="s">
        <v>203</v>
      </c>
      <c r="B155" s="18" t="s">
        <v>204</v>
      </c>
      <c r="C155" s="18"/>
      <c r="D155" s="49" t="n">
        <v>46296</v>
      </c>
      <c r="E155" s="18" t="s">
        <v>110</v>
      </c>
      <c r="F155" s="18" t="s">
        <v>1939</v>
      </c>
      <c r="G155" s="18" t="s">
        <v>195</v>
      </c>
      <c r="H155" s="65" t="n">
        <v>18324</v>
      </c>
      <c r="I155" s="65" t="n">
        <v>7.9</v>
      </c>
      <c r="J155" s="65" t="s">
        <v>2017</v>
      </c>
      <c r="K155" s="65" t="n">
        <v>144759.6</v>
      </c>
      <c r="L155" s="66" t="n">
        <f aca="false">H155*I155</f>
        <v>144759.6</v>
      </c>
      <c r="M155" s="66" t="n">
        <f aca="false">L155-K155</f>
        <v>0</v>
      </c>
    </row>
    <row r="156" customFormat="false" ht="15" hidden="false" customHeight="false" outlineLevel="0" collapsed="false">
      <c r="A156" s="18" t="s">
        <v>203</v>
      </c>
      <c r="B156" s="18" t="s">
        <v>204</v>
      </c>
      <c r="C156" s="18"/>
      <c r="D156" s="49" t="n">
        <v>46296</v>
      </c>
      <c r="E156" s="18" t="s">
        <v>110</v>
      </c>
      <c r="F156" s="18" t="s">
        <v>1941</v>
      </c>
      <c r="G156" s="18" t="s">
        <v>195</v>
      </c>
      <c r="H156" s="65" t="n">
        <v>11198</v>
      </c>
      <c r="I156" s="65" t="n">
        <v>7.9</v>
      </c>
      <c r="J156" s="65" t="s">
        <v>2018</v>
      </c>
      <c r="K156" s="65" t="n">
        <v>88464.2</v>
      </c>
      <c r="L156" s="66" t="n">
        <f aca="false">H156*I156</f>
        <v>88464.2</v>
      </c>
      <c r="M156" s="66" t="n">
        <f aca="false">L156-K156</f>
        <v>0</v>
      </c>
    </row>
    <row r="157" customFormat="false" ht="15" hidden="false" customHeight="false" outlineLevel="0" collapsed="false">
      <c r="A157" s="18" t="s">
        <v>203</v>
      </c>
      <c r="B157" s="18" t="s">
        <v>204</v>
      </c>
      <c r="C157" s="18"/>
      <c r="D157" s="49" t="n">
        <v>46296</v>
      </c>
      <c r="E157" s="18" t="s">
        <v>110</v>
      </c>
      <c r="F157" s="18" t="s">
        <v>1943</v>
      </c>
      <c r="G157" s="18" t="s">
        <v>195</v>
      </c>
      <c r="H157" s="65" t="n">
        <v>3054</v>
      </c>
      <c r="I157" s="65" t="n">
        <v>7.9</v>
      </c>
      <c r="J157" s="65" t="s">
        <v>2019</v>
      </c>
      <c r="K157" s="65" t="n">
        <v>24126.6</v>
      </c>
      <c r="L157" s="66" t="n">
        <f aca="false">H157*I157</f>
        <v>24126.6</v>
      </c>
      <c r="M157" s="66" t="n">
        <f aca="false">L157-K157</f>
        <v>3.63797880709171E-012</v>
      </c>
    </row>
    <row r="158" customFormat="false" ht="15" hidden="false" customHeight="false" outlineLevel="0" collapsed="false">
      <c r="A158" s="18" t="s">
        <v>203</v>
      </c>
      <c r="B158" s="18" t="s">
        <v>204</v>
      </c>
      <c r="C158" s="18"/>
      <c r="D158" s="49" t="n">
        <v>46296</v>
      </c>
      <c r="E158" s="18" t="s">
        <v>1948</v>
      </c>
      <c r="F158" s="18" t="s">
        <v>1949</v>
      </c>
      <c r="G158" s="18" t="s">
        <v>43</v>
      </c>
      <c r="H158" s="65" t="n">
        <v>50900</v>
      </c>
      <c r="I158" s="65" t="n">
        <v>1</v>
      </c>
      <c r="J158" s="65" t="s">
        <v>2013</v>
      </c>
      <c r="K158" s="65" t="n">
        <v>50900</v>
      </c>
      <c r="L158" s="66" t="n">
        <f aca="false">H158*I158</f>
        <v>50900</v>
      </c>
      <c r="M158" s="66" t="n">
        <f aca="false">L158-K158</f>
        <v>0</v>
      </c>
    </row>
    <row r="159" customFormat="false" ht="15" hidden="false" customHeight="false" outlineLevel="0" collapsed="false">
      <c r="A159" s="18" t="s">
        <v>203</v>
      </c>
      <c r="B159" s="18" t="s">
        <v>204</v>
      </c>
      <c r="C159" s="18"/>
      <c r="D159" s="49" t="n">
        <v>46327</v>
      </c>
      <c r="E159" s="18" t="s">
        <v>100</v>
      </c>
      <c r="F159" s="18" t="s">
        <v>1939</v>
      </c>
      <c r="G159" s="18" t="s">
        <v>195</v>
      </c>
      <c r="H159" s="65" t="n">
        <v>25450</v>
      </c>
      <c r="I159" s="65" t="n">
        <v>7.88</v>
      </c>
      <c r="J159" s="65" t="s">
        <v>2020</v>
      </c>
      <c r="K159" s="65" t="n">
        <v>200546</v>
      </c>
      <c r="L159" s="66" t="n">
        <f aca="false">H159*I159</f>
        <v>200546</v>
      </c>
      <c r="M159" s="66" t="n">
        <f aca="false">L159-K159</f>
        <v>0</v>
      </c>
    </row>
    <row r="160" customFormat="false" ht="15" hidden="false" customHeight="false" outlineLevel="0" collapsed="false">
      <c r="A160" s="18" t="s">
        <v>203</v>
      </c>
      <c r="B160" s="18" t="s">
        <v>204</v>
      </c>
      <c r="C160" s="18"/>
      <c r="D160" s="49" t="n">
        <v>46327</v>
      </c>
      <c r="E160" s="18" t="s">
        <v>100</v>
      </c>
      <c r="F160" s="18" t="s">
        <v>1941</v>
      </c>
      <c r="G160" s="18" t="s">
        <v>195</v>
      </c>
      <c r="H160" s="65" t="n">
        <v>14252</v>
      </c>
      <c r="I160" s="65" t="n">
        <v>7.88</v>
      </c>
      <c r="J160" s="65" t="s">
        <v>2021</v>
      </c>
      <c r="K160" s="65" t="n">
        <v>112305.76</v>
      </c>
      <c r="L160" s="66" t="n">
        <f aca="false">H160*I160</f>
        <v>112305.76</v>
      </c>
      <c r="M160" s="66" t="n">
        <f aca="false">L160-K160</f>
        <v>0</v>
      </c>
    </row>
    <row r="161" customFormat="false" ht="15" hidden="false" customHeight="false" outlineLevel="0" collapsed="false">
      <c r="A161" s="18" t="s">
        <v>203</v>
      </c>
      <c r="B161" s="18" t="s">
        <v>204</v>
      </c>
      <c r="C161" s="18"/>
      <c r="D161" s="49" t="n">
        <v>46327</v>
      </c>
      <c r="E161" s="18" t="s">
        <v>100</v>
      </c>
      <c r="F161" s="18" t="s">
        <v>1943</v>
      </c>
      <c r="G161" s="18" t="s">
        <v>195</v>
      </c>
      <c r="H161" s="65" t="n">
        <v>4072</v>
      </c>
      <c r="I161" s="65" t="n">
        <v>7.88</v>
      </c>
      <c r="J161" s="65" t="s">
        <v>2022</v>
      </c>
      <c r="K161" s="65" t="n">
        <v>32087.36</v>
      </c>
      <c r="L161" s="66" t="n">
        <f aca="false">H161*I161</f>
        <v>32087.36</v>
      </c>
      <c r="M161" s="66" t="n">
        <f aca="false">L161-K161</f>
        <v>0</v>
      </c>
    </row>
    <row r="162" customFormat="false" ht="15" hidden="false" customHeight="false" outlineLevel="0" collapsed="false">
      <c r="A162" s="18" t="s">
        <v>203</v>
      </c>
      <c r="B162" s="18" t="s">
        <v>204</v>
      </c>
      <c r="C162" s="18"/>
      <c r="D162" s="49" t="n">
        <v>46327</v>
      </c>
      <c r="E162" s="18" t="s">
        <v>110</v>
      </c>
      <c r="F162" s="18" t="s">
        <v>1939</v>
      </c>
      <c r="G162" s="18" t="s">
        <v>195</v>
      </c>
      <c r="H162" s="65" t="n">
        <v>18324</v>
      </c>
      <c r="I162" s="65" t="n">
        <v>7.88</v>
      </c>
      <c r="J162" s="65" t="s">
        <v>2023</v>
      </c>
      <c r="K162" s="65" t="n">
        <v>144393.12</v>
      </c>
      <c r="L162" s="66" t="n">
        <f aca="false">H162*I162</f>
        <v>144393.12</v>
      </c>
      <c r="M162" s="66" t="n">
        <f aca="false">L162-K162</f>
        <v>0</v>
      </c>
    </row>
    <row r="163" customFormat="false" ht="15" hidden="false" customHeight="false" outlineLevel="0" collapsed="false">
      <c r="A163" s="18" t="s">
        <v>203</v>
      </c>
      <c r="B163" s="18" t="s">
        <v>204</v>
      </c>
      <c r="C163" s="18"/>
      <c r="D163" s="49" t="n">
        <v>46327</v>
      </c>
      <c r="E163" s="18" t="s">
        <v>110</v>
      </c>
      <c r="F163" s="18" t="s">
        <v>1941</v>
      </c>
      <c r="G163" s="18" t="s">
        <v>195</v>
      </c>
      <c r="H163" s="65" t="n">
        <v>11198</v>
      </c>
      <c r="I163" s="65" t="n">
        <v>7.88</v>
      </c>
      <c r="J163" s="65" t="s">
        <v>2024</v>
      </c>
      <c r="K163" s="65" t="n">
        <v>88240.24</v>
      </c>
      <c r="L163" s="66" t="n">
        <f aca="false">H163*I163</f>
        <v>88240.24</v>
      </c>
      <c r="M163" s="66" t="n">
        <f aca="false">L163-K163</f>
        <v>0</v>
      </c>
    </row>
    <row r="164" customFormat="false" ht="15" hidden="false" customHeight="false" outlineLevel="0" collapsed="false">
      <c r="A164" s="18" t="s">
        <v>203</v>
      </c>
      <c r="B164" s="18" t="s">
        <v>204</v>
      </c>
      <c r="C164" s="18"/>
      <c r="D164" s="49" t="n">
        <v>46327</v>
      </c>
      <c r="E164" s="18" t="s">
        <v>110</v>
      </c>
      <c r="F164" s="18" t="s">
        <v>1943</v>
      </c>
      <c r="G164" s="18" t="s">
        <v>195</v>
      </c>
      <c r="H164" s="65" t="n">
        <v>3054</v>
      </c>
      <c r="I164" s="65" t="n">
        <v>7.88</v>
      </c>
      <c r="J164" s="65" t="s">
        <v>2025</v>
      </c>
      <c r="K164" s="65" t="n">
        <v>24065.52</v>
      </c>
      <c r="L164" s="66" t="n">
        <f aca="false">H164*I164</f>
        <v>24065.52</v>
      </c>
      <c r="M164" s="66" t="n">
        <f aca="false">L164-K164</f>
        <v>0</v>
      </c>
    </row>
    <row r="165" customFormat="false" ht="15" hidden="false" customHeight="false" outlineLevel="0" collapsed="false">
      <c r="A165" s="18" t="s">
        <v>203</v>
      </c>
      <c r="B165" s="18" t="s">
        <v>204</v>
      </c>
      <c r="C165" s="18"/>
      <c r="D165" s="49" t="n">
        <v>46327</v>
      </c>
      <c r="E165" s="18" t="s">
        <v>1948</v>
      </c>
      <c r="F165" s="18" t="s">
        <v>1949</v>
      </c>
      <c r="G165" s="18" t="s">
        <v>43</v>
      </c>
      <c r="H165" s="65" t="n">
        <v>50900</v>
      </c>
      <c r="I165" s="65" t="n">
        <v>1</v>
      </c>
      <c r="J165" s="65" t="s">
        <v>2013</v>
      </c>
      <c r="K165" s="65" t="n">
        <v>50900</v>
      </c>
      <c r="L165" s="66" t="n">
        <f aca="false">H165*I165</f>
        <v>50900</v>
      </c>
      <c r="M165" s="66" t="n">
        <f aca="false">L165-K165</f>
        <v>0</v>
      </c>
    </row>
    <row r="166" customFormat="false" ht="15" hidden="false" customHeight="false" outlineLevel="0" collapsed="false">
      <c r="A166" s="18" t="s">
        <v>203</v>
      </c>
      <c r="B166" s="18" t="s">
        <v>204</v>
      </c>
      <c r="C166" s="18"/>
      <c r="D166" s="49" t="n">
        <v>46357</v>
      </c>
      <c r="E166" s="18" t="s">
        <v>100</v>
      </c>
      <c r="F166" s="18" t="s">
        <v>1939</v>
      </c>
      <c r="G166" s="18" t="s">
        <v>195</v>
      </c>
      <c r="H166" s="65" t="n">
        <v>25450</v>
      </c>
      <c r="I166" s="65" t="n">
        <v>7.86</v>
      </c>
      <c r="J166" s="65" t="s">
        <v>2026</v>
      </c>
      <c r="K166" s="65" t="n">
        <v>200037</v>
      </c>
      <c r="L166" s="66" t="n">
        <f aca="false">H166*I166</f>
        <v>200037</v>
      </c>
      <c r="M166" s="66" t="n">
        <f aca="false">L166-K166</f>
        <v>0</v>
      </c>
    </row>
    <row r="167" customFormat="false" ht="15" hidden="false" customHeight="false" outlineLevel="0" collapsed="false">
      <c r="A167" s="18" t="s">
        <v>203</v>
      </c>
      <c r="B167" s="18" t="s">
        <v>204</v>
      </c>
      <c r="C167" s="18"/>
      <c r="D167" s="49" t="n">
        <v>46357</v>
      </c>
      <c r="E167" s="18" t="s">
        <v>100</v>
      </c>
      <c r="F167" s="18" t="s">
        <v>1941</v>
      </c>
      <c r="G167" s="18" t="s">
        <v>195</v>
      </c>
      <c r="H167" s="65" t="n">
        <v>14252</v>
      </c>
      <c r="I167" s="65" t="n">
        <v>7.86</v>
      </c>
      <c r="J167" s="65" t="s">
        <v>2027</v>
      </c>
      <c r="K167" s="65" t="n">
        <v>112020.72</v>
      </c>
      <c r="L167" s="66" t="n">
        <f aca="false">H167*I167</f>
        <v>112020.72</v>
      </c>
      <c r="M167" s="66" t="n">
        <f aca="false">L167-K167</f>
        <v>0</v>
      </c>
    </row>
    <row r="168" customFormat="false" ht="15" hidden="false" customHeight="false" outlineLevel="0" collapsed="false">
      <c r="A168" s="18" t="s">
        <v>203</v>
      </c>
      <c r="B168" s="18" t="s">
        <v>204</v>
      </c>
      <c r="C168" s="18"/>
      <c r="D168" s="49" t="n">
        <v>46357</v>
      </c>
      <c r="E168" s="18" t="s">
        <v>100</v>
      </c>
      <c r="F168" s="18" t="s">
        <v>1943</v>
      </c>
      <c r="G168" s="18" t="s">
        <v>195</v>
      </c>
      <c r="H168" s="65" t="n">
        <v>4072</v>
      </c>
      <c r="I168" s="65" t="n">
        <v>7.86</v>
      </c>
      <c r="J168" s="65" t="s">
        <v>2028</v>
      </c>
      <c r="K168" s="65" t="n">
        <v>32005.92</v>
      </c>
      <c r="L168" s="66" t="n">
        <f aca="false">H168*I168</f>
        <v>32005.92</v>
      </c>
      <c r="M168" s="66" t="n">
        <f aca="false">L168-K168</f>
        <v>3.63797880709171E-012</v>
      </c>
    </row>
    <row r="169" customFormat="false" ht="15" hidden="false" customHeight="false" outlineLevel="0" collapsed="false">
      <c r="A169" s="18" t="s">
        <v>203</v>
      </c>
      <c r="B169" s="18" t="s">
        <v>204</v>
      </c>
      <c r="C169" s="18"/>
      <c r="D169" s="49" t="n">
        <v>46357</v>
      </c>
      <c r="E169" s="18" t="s">
        <v>110</v>
      </c>
      <c r="F169" s="18" t="s">
        <v>1939</v>
      </c>
      <c r="G169" s="18" t="s">
        <v>195</v>
      </c>
      <c r="H169" s="65" t="n">
        <v>18324</v>
      </c>
      <c r="I169" s="65" t="n">
        <v>7.86</v>
      </c>
      <c r="J169" s="65" t="s">
        <v>2029</v>
      </c>
      <c r="K169" s="65" t="n">
        <v>144026.64</v>
      </c>
      <c r="L169" s="66" t="n">
        <f aca="false">H169*I169</f>
        <v>144026.64</v>
      </c>
      <c r="M169" s="66" t="n">
        <f aca="false">L169-K169</f>
        <v>0</v>
      </c>
    </row>
    <row r="170" customFormat="false" ht="15" hidden="false" customHeight="false" outlineLevel="0" collapsed="false">
      <c r="A170" s="18" t="s">
        <v>203</v>
      </c>
      <c r="B170" s="18" t="s">
        <v>204</v>
      </c>
      <c r="C170" s="18"/>
      <c r="D170" s="49" t="n">
        <v>46357</v>
      </c>
      <c r="E170" s="18" t="s">
        <v>110</v>
      </c>
      <c r="F170" s="18" t="s">
        <v>1941</v>
      </c>
      <c r="G170" s="18" t="s">
        <v>195</v>
      </c>
      <c r="H170" s="65" t="n">
        <v>11198</v>
      </c>
      <c r="I170" s="65" t="n">
        <v>7.86</v>
      </c>
      <c r="J170" s="65" t="s">
        <v>2030</v>
      </c>
      <c r="K170" s="65" t="n">
        <v>88016.28</v>
      </c>
      <c r="L170" s="66" t="n">
        <f aca="false">H170*I170</f>
        <v>88016.28</v>
      </c>
      <c r="M170" s="66" t="n">
        <f aca="false">L170-K170</f>
        <v>0</v>
      </c>
    </row>
    <row r="171" customFormat="false" ht="15" hidden="false" customHeight="false" outlineLevel="0" collapsed="false">
      <c r="A171" s="18" t="s">
        <v>203</v>
      </c>
      <c r="B171" s="18" t="s">
        <v>204</v>
      </c>
      <c r="C171" s="18"/>
      <c r="D171" s="49" t="n">
        <v>46357</v>
      </c>
      <c r="E171" s="18" t="s">
        <v>110</v>
      </c>
      <c r="F171" s="18" t="s">
        <v>1943</v>
      </c>
      <c r="G171" s="18" t="s">
        <v>195</v>
      </c>
      <c r="H171" s="65" t="n">
        <v>3054</v>
      </c>
      <c r="I171" s="65" t="n">
        <v>7.86</v>
      </c>
      <c r="J171" s="65" t="s">
        <v>2031</v>
      </c>
      <c r="K171" s="65" t="n">
        <v>24004.44</v>
      </c>
      <c r="L171" s="66" t="n">
        <f aca="false">H171*I171</f>
        <v>24004.44</v>
      </c>
      <c r="M171" s="66" t="n">
        <f aca="false">L171-K171</f>
        <v>3.63797880709171E-012</v>
      </c>
    </row>
    <row r="172" customFormat="false" ht="15" hidden="false" customHeight="false" outlineLevel="0" collapsed="false">
      <c r="A172" s="18" t="s">
        <v>203</v>
      </c>
      <c r="B172" s="18" t="s">
        <v>204</v>
      </c>
      <c r="C172" s="18"/>
      <c r="D172" s="49" t="n">
        <v>46357</v>
      </c>
      <c r="E172" s="18" t="s">
        <v>1948</v>
      </c>
      <c r="F172" s="18" t="s">
        <v>1949</v>
      </c>
      <c r="G172" s="18" t="s">
        <v>43</v>
      </c>
      <c r="H172" s="65" t="n">
        <v>50900</v>
      </c>
      <c r="I172" s="65" t="n">
        <v>1</v>
      </c>
      <c r="J172" s="65" t="s">
        <v>2013</v>
      </c>
      <c r="K172" s="65" t="n">
        <v>50900</v>
      </c>
      <c r="L172" s="66" t="n">
        <f aca="false">H172*I172</f>
        <v>50900</v>
      </c>
      <c r="M172" s="66" t="n">
        <f aca="false">L172-K172</f>
        <v>0</v>
      </c>
    </row>
    <row r="173" customFormat="false" ht="15" hidden="false" customHeight="false" outlineLevel="0" collapsed="false">
      <c r="A173" s="18" t="s">
        <v>206</v>
      </c>
      <c r="B173" s="18" t="s">
        <v>207</v>
      </c>
      <c r="C173" s="18" t="s">
        <v>208</v>
      </c>
      <c r="D173" s="49" t="n">
        <v>46266</v>
      </c>
      <c r="E173" s="18" t="s">
        <v>100</v>
      </c>
      <c r="F173" s="18" t="s">
        <v>1939</v>
      </c>
      <c r="G173" s="18" t="s">
        <v>195</v>
      </c>
      <c r="H173" s="65" t="n">
        <v>25450</v>
      </c>
      <c r="I173" s="65" t="n">
        <v>7.92</v>
      </c>
      <c r="J173" s="65" t="s">
        <v>2007</v>
      </c>
      <c r="K173" s="65" t="n">
        <v>201564</v>
      </c>
      <c r="L173" s="66" t="n">
        <f aca="false">H173*I173</f>
        <v>201564</v>
      </c>
      <c r="M173" s="66" t="n">
        <f aca="false">L173-K173</f>
        <v>0</v>
      </c>
    </row>
    <row r="174" customFormat="false" ht="15" hidden="false" customHeight="false" outlineLevel="0" collapsed="false">
      <c r="A174" s="18" t="s">
        <v>206</v>
      </c>
      <c r="B174" s="18" t="s">
        <v>207</v>
      </c>
      <c r="C174" s="18" t="s">
        <v>208</v>
      </c>
      <c r="D174" s="49" t="n">
        <v>46266</v>
      </c>
      <c r="E174" s="18" t="s">
        <v>100</v>
      </c>
      <c r="F174" s="18" t="s">
        <v>1941</v>
      </c>
      <c r="G174" s="18" t="s">
        <v>195</v>
      </c>
      <c r="H174" s="65" t="n">
        <v>14252</v>
      </c>
      <c r="I174" s="65" t="n">
        <v>7.92</v>
      </c>
      <c r="J174" s="65" t="s">
        <v>2008</v>
      </c>
      <c r="K174" s="65" t="n">
        <v>112875.84</v>
      </c>
      <c r="L174" s="66" t="n">
        <f aca="false">H174*I174</f>
        <v>112875.84</v>
      </c>
      <c r="M174" s="66" t="n">
        <f aca="false">L174-K174</f>
        <v>0</v>
      </c>
    </row>
    <row r="175" customFormat="false" ht="15" hidden="false" customHeight="false" outlineLevel="0" collapsed="false">
      <c r="A175" s="18" t="s">
        <v>206</v>
      </c>
      <c r="B175" s="18" t="s">
        <v>207</v>
      </c>
      <c r="C175" s="18" t="s">
        <v>208</v>
      </c>
      <c r="D175" s="49" t="n">
        <v>46266</v>
      </c>
      <c r="E175" s="18" t="s">
        <v>100</v>
      </c>
      <c r="F175" s="18" t="s">
        <v>1943</v>
      </c>
      <c r="G175" s="18" t="s">
        <v>195</v>
      </c>
      <c r="H175" s="65" t="n">
        <v>4072</v>
      </c>
      <c r="I175" s="65" t="n">
        <v>7.92</v>
      </c>
      <c r="J175" s="65" t="s">
        <v>2009</v>
      </c>
      <c r="K175" s="65" t="n">
        <v>32250.24</v>
      </c>
      <c r="L175" s="66" t="n">
        <f aca="false">H175*I175</f>
        <v>32250.24</v>
      </c>
      <c r="M175" s="66" t="n">
        <f aca="false">L175-K175</f>
        <v>-3.63797880709171E-012</v>
      </c>
    </row>
    <row r="176" customFormat="false" ht="15" hidden="false" customHeight="false" outlineLevel="0" collapsed="false">
      <c r="A176" s="18" t="s">
        <v>206</v>
      </c>
      <c r="B176" s="18" t="s">
        <v>207</v>
      </c>
      <c r="C176" s="18" t="s">
        <v>208</v>
      </c>
      <c r="D176" s="49" t="n">
        <v>46266</v>
      </c>
      <c r="E176" s="18" t="s">
        <v>110</v>
      </c>
      <c r="F176" s="18" t="s">
        <v>1939</v>
      </c>
      <c r="G176" s="18" t="s">
        <v>195</v>
      </c>
      <c r="H176" s="65" t="n">
        <v>18324</v>
      </c>
      <c r="I176" s="65" t="n">
        <v>7.92</v>
      </c>
      <c r="J176" s="65" t="s">
        <v>2010</v>
      </c>
      <c r="K176" s="65" t="n">
        <v>145126.08</v>
      </c>
      <c r="L176" s="66" t="n">
        <f aca="false">H176*I176</f>
        <v>145126.08</v>
      </c>
      <c r="M176" s="66" t="n">
        <f aca="false">L176-K176</f>
        <v>0</v>
      </c>
    </row>
    <row r="177" customFormat="false" ht="15" hidden="false" customHeight="false" outlineLevel="0" collapsed="false">
      <c r="A177" s="18" t="s">
        <v>206</v>
      </c>
      <c r="B177" s="18" t="s">
        <v>207</v>
      </c>
      <c r="C177" s="18" t="s">
        <v>208</v>
      </c>
      <c r="D177" s="49" t="n">
        <v>46266</v>
      </c>
      <c r="E177" s="18" t="s">
        <v>110</v>
      </c>
      <c r="F177" s="18" t="s">
        <v>1941</v>
      </c>
      <c r="G177" s="18" t="s">
        <v>195</v>
      </c>
      <c r="H177" s="65" t="n">
        <v>11198</v>
      </c>
      <c r="I177" s="65" t="n">
        <v>7.92</v>
      </c>
      <c r="J177" s="65" t="s">
        <v>2011</v>
      </c>
      <c r="K177" s="65" t="n">
        <v>88688.16</v>
      </c>
      <c r="L177" s="66" t="n">
        <f aca="false">H177*I177</f>
        <v>88688.16</v>
      </c>
      <c r="M177" s="66" t="n">
        <f aca="false">L177-K177</f>
        <v>0</v>
      </c>
    </row>
    <row r="178" customFormat="false" ht="15" hidden="false" customHeight="false" outlineLevel="0" collapsed="false">
      <c r="A178" s="18" t="s">
        <v>206</v>
      </c>
      <c r="B178" s="18" t="s">
        <v>207</v>
      </c>
      <c r="C178" s="18" t="s">
        <v>208</v>
      </c>
      <c r="D178" s="49" t="n">
        <v>46266</v>
      </c>
      <c r="E178" s="18" t="s">
        <v>110</v>
      </c>
      <c r="F178" s="18" t="s">
        <v>1943</v>
      </c>
      <c r="G178" s="18" t="s">
        <v>195</v>
      </c>
      <c r="H178" s="65" t="n">
        <v>3054</v>
      </c>
      <c r="I178" s="65" t="n">
        <v>7.92</v>
      </c>
      <c r="J178" s="65" t="s">
        <v>2012</v>
      </c>
      <c r="K178" s="65" t="n">
        <v>24187.68</v>
      </c>
      <c r="L178" s="66" t="n">
        <f aca="false">H178*I178</f>
        <v>24187.68</v>
      </c>
      <c r="M178" s="66" t="n">
        <f aca="false">L178-K178</f>
        <v>0</v>
      </c>
    </row>
    <row r="179" customFormat="false" ht="15" hidden="false" customHeight="false" outlineLevel="0" collapsed="false">
      <c r="A179" s="18" t="s">
        <v>206</v>
      </c>
      <c r="B179" s="18" t="s">
        <v>207</v>
      </c>
      <c r="C179" s="18" t="s">
        <v>208</v>
      </c>
      <c r="D179" s="49" t="n">
        <v>46266</v>
      </c>
      <c r="E179" s="18" t="s">
        <v>1948</v>
      </c>
      <c r="F179" s="18" t="s">
        <v>1949</v>
      </c>
      <c r="G179" s="18" t="s">
        <v>43</v>
      </c>
      <c r="H179" s="65" t="n">
        <v>50900</v>
      </c>
      <c r="I179" s="65" t="n">
        <v>1</v>
      </c>
      <c r="J179" s="65" t="s">
        <v>2013</v>
      </c>
      <c r="K179" s="65" t="n">
        <v>50900</v>
      </c>
      <c r="L179" s="66" t="n">
        <f aca="false">H179*I179</f>
        <v>50900</v>
      </c>
      <c r="M179" s="66" t="n">
        <f aca="false">L179-K179</f>
        <v>0</v>
      </c>
    </row>
    <row r="180" customFormat="false" ht="15" hidden="false" customHeight="false" outlineLevel="0" collapsed="false">
      <c r="A180" s="18" t="s">
        <v>206</v>
      </c>
      <c r="B180" s="18" t="s">
        <v>207</v>
      </c>
      <c r="C180" s="18" t="s">
        <v>208</v>
      </c>
      <c r="D180" s="49" t="n">
        <v>46296</v>
      </c>
      <c r="E180" s="18" t="s">
        <v>100</v>
      </c>
      <c r="F180" s="18" t="s">
        <v>1939</v>
      </c>
      <c r="G180" s="18" t="s">
        <v>195</v>
      </c>
      <c r="H180" s="65" t="n">
        <v>25450</v>
      </c>
      <c r="I180" s="65" t="n">
        <v>7.9</v>
      </c>
      <c r="J180" s="65" t="s">
        <v>2014</v>
      </c>
      <c r="K180" s="65" t="n">
        <v>201055</v>
      </c>
      <c r="L180" s="66" t="n">
        <f aca="false">H180*I180</f>
        <v>201055</v>
      </c>
      <c r="M180" s="66" t="n">
        <f aca="false">L180-K180</f>
        <v>0</v>
      </c>
    </row>
    <row r="181" customFormat="false" ht="15" hidden="false" customHeight="false" outlineLevel="0" collapsed="false">
      <c r="A181" s="18" t="s">
        <v>206</v>
      </c>
      <c r="B181" s="18" t="s">
        <v>207</v>
      </c>
      <c r="C181" s="18" t="s">
        <v>208</v>
      </c>
      <c r="D181" s="49" t="n">
        <v>46296</v>
      </c>
      <c r="E181" s="18" t="s">
        <v>100</v>
      </c>
      <c r="F181" s="18" t="s">
        <v>1941</v>
      </c>
      <c r="G181" s="18" t="s">
        <v>195</v>
      </c>
      <c r="H181" s="65" t="n">
        <v>14252</v>
      </c>
      <c r="I181" s="65" t="n">
        <v>7.9</v>
      </c>
      <c r="J181" s="65" t="s">
        <v>2015</v>
      </c>
      <c r="K181" s="65" t="n">
        <v>112590.8</v>
      </c>
      <c r="L181" s="66" t="n">
        <f aca="false">H181*I181</f>
        <v>112590.8</v>
      </c>
      <c r="M181" s="66" t="n">
        <f aca="false">L181-K181</f>
        <v>0</v>
      </c>
    </row>
    <row r="182" customFormat="false" ht="15" hidden="false" customHeight="false" outlineLevel="0" collapsed="false">
      <c r="A182" s="18" t="s">
        <v>206</v>
      </c>
      <c r="B182" s="18" t="s">
        <v>207</v>
      </c>
      <c r="C182" s="18" t="s">
        <v>208</v>
      </c>
      <c r="D182" s="49" t="n">
        <v>46296</v>
      </c>
      <c r="E182" s="18" t="s">
        <v>100</v>
      </c>
      <c r="F182" s="18" t="s">
        <v>1943</v>
      </c>
      <c r="G182" s="18" t="s">
        <v>195</v>
      </c>
      <c r="H182" s="65" t="n">
        <v>4072</v>
      </c>
      <c r="I182" s="65" t="n">
        <v>7.9</v>
      </c>
      <c r="J182" s="65" t="s">
        <v>2016</v>
      </c>
      <c r="K182" s="65" t="n">
        <v>32168.8</v>
      </c>
      <c r="L182" s="66" t="n">
        <f aca="false">H182*I182</f>
        <v>32168.8</v>
      </c>
      <c r="M182" s="66" t="n">
        <f aca="false">L182-K182</f>
        <v>3.63797880709171E-012</v>
      </c>
    </row>
    <row r="183" customFormat="false" ht="15" hidden="false" customHeight="false" outlineLevel="0" collapsed="false">
      <c r="A183" s="18" t="s">
        <v>206</v>
      </c>
      <c r="B183" s="18" t="s">
        <v>207</v>
      </c>
      <c r="C183" s="18" t="s">
        <v>208</v>
      </c>
      <c r="D183" s="49" t="n">
        <v>46296</v>
      </c>
      <c r="E183" s="18" t="s">
        <v>110</v>
      </c>
      <c r="F183" s="18" t="s">
        <v>1939</v>
      </c>
      <c r="G183" s="18" t="s">
        <v>195</v>
      </c>
      <c r="H183" s="65" t="n">
        <v>18324</v>
      </c>
      <c r="I183" s="65" t="n">
        <v>7.9</v>
      </c>
      <c r="J183" s="65" t="s">
        <v>2017</v>
      </c>
      <c r="K183" s="65" t="n">
        <v>144759.6</v>
      </c>
      <c r="L183" s="66" t="n">
        <f aca="false">H183*I183</f>
        <v>144759.6</v>
      </c>
      <c r="M183" s="66" t="n">
        <f aca="false">L183-K183</f>
        <v>0</v>
      </c>
    </row>
    <row r="184" customFormat="false" ht="15" hidden="false" customHeight="false" outlineLevel="0" collapsed="false">
      <c r="A184" s="18" t="s">
        <v>206</v>
      </c>
      <c r="B184" s="18" t="s">
        <v>207</v>
      </c>
      <c r="C184" s="18" t="s">
        <v>208</v>
      </c>
      <c r="D184" s="49" t="n">
        <v>46296</v>
      </c>
      <c r="E184" s="18" t="s">
        <v>110</v>
      </c>
      <c r="F184" s="18" t="s">
        <v>1941</v>
      </c>
      <c r="G184" s="18" t="s">
        <v>195</v>
      </c>
      <c r="H184" s="65" t="n">
        <v>11198</v>
      </c>
      <c r="I184" s="65" t="n">
        <v>7.9</v>
      </c>
      <c r="J184" s="65" t="s">
        <v>2018</v>
      </c>
      <c r="K184" s="65" t="n">
        <v>88464.2</v>
      </c>
      <c r="L184" s="66" t="n">
        <f aca="false">H184*I184</f>
        <v>88464.2</v>
      </c>
      <c r="M184" s="66" t="n">
        <f aca="false">L184-K184</f>
        <v>0</v>
      </c>
    </row>
    <row r="185" customFormat="false" ht="15" hidden="false" customHeight="false" outlineLevel="0" collapsed="false">
      <c r="A185" s="18" t="s">
        <v>206</v>
      </c>
      <c r="B185" s="18" t="s">
        <v>207</v>
      </c>
      <c r="C185" s="18" t="s">
        <v>208</v>
      </c>
      <c r="D185" s="49" t="n">
        <v>46296</v>
      </c>
      <c r="E185" s="18" t="s">
        <v>110</v>
      </c>
      <c r="F185" s="18" t="s">
        <v>1943</v>
      </c>
      <c r="G185" s="18" t="s">
        <v>195</v>
      </c>
      <c r="H185" s="65" t="n">
        <v>3054</v>
      </c>
      <c r="I185" s="65" t="n">
        <v>7.9</v>
      </c>
      <c r="J185" s="65" t="s">
        <v>2019</v>
      </c>
      <c r="K185" s="65" t="n">
        <v>24126.6</v>
      </c>
      <c r="L185" s="66" t="n">
        <f aca="false">H185*I185</f>
        <v>24126.6</v>
      </c>
      <c r="M185" s="66" t="n">
        <f aca="false">L185-K185</f>
        <v>3.63797880709171E-012</v>
      </c>
    </row>
    <row r="186" customFormat="false" ht="15" hidden="false" customHeight="false" outlineLevel="0" collapsed="false">
      <c r="A186" s="18" t="s">
        <v>206</v>
      </c>
      <c r="B186" s="18" t="s">
        <v>207</v>
      </c>
      <c r="C186" s="18" t="s">
        <v>208</v>
      </c>
      <c r="D186" s="49" t="n">
        <v>46296</v>
      </c>
      <c r="E186" s="18" t="s">
        <v>1948</v>
      </c>
      <c r="F186" s="18" t="s">
        <v>1949</v>
      </c>
      <c r="G186" s="18" t="s">
        <v>43</v>
      </c>
      <c r="H186" s="65" t="n">
        <v>50900</v>
      </c>
      <c r="I186" s="65" t="n">
        <v>1</v>
      </c>
      <c r="J186" s="65" t="s">
        <v>2013</v>
      </c>
      <c r="K186" s="65" t="n">
        <v>50900</v>
      </c>
      <c r="L186" s="66" t="n">
        <f aca="false">H186*I186</f>
        <v>50900</v>
      </c>
      <c r="M186" s="66" t="n">
        <f aca="false">L186-K186</f>
        <v>0</v>
      </c>
    </row>
    <row r="187" customFormat="false" ht="15" hidden="false" customHeight="false" outlineLevel="0" collapsed="false">
      <c r="A187" s="18" t="s">
        <v>206</v>
      </c>
      <c r="B187" s="18" t="s">
        <v>207</v>
      </c>
      <c r="C187" s="18" t="s">
        <v>208</v>
      </c>
      <c r="D187" s="49" t="n">
        <v>46327</v>
      </c>
      <c r="E187" s="18" t="s">
        <v>100</v>
      </c>
      <c r="F187" s="18" t="s">
        <v>1939</v>
      </c>
      <c r="G187" s="18" t="s">
        <v>195</v>
      </c>
      <c r="H187" s="65" t="n">
        <v>25450</v>
      </c>
      <c r="I187" s="65" t="n">
        <v>7.88</v>
      </c>
      <c r="J187" s="65" t="s">
        <v>2020</v>
      </c>
      <c r="K187" s="65" t="n">
        <v>200546</v>
      </c>
      <c r="L187" s="66" t="n">
        <f aca="false">H187*I187</f>
        <v>200546</v>
      </c>
      <c r="M187" s="66" t="n">
        <f aca="false">L187-K187</f>
        <v>0</v>
      </c>
    </row>
    <row r="188" customFormat="false" ht="15" hidden="false" customHeight="false" outlineLevel="0" collapsed="false">
      <c r="A188" s="18" t="s">
        <v>206</v>
      </c>
      <c r="B188" s="18" t="s">
        <v>207</v>
      </c>
      <c r="C188" s="18" t="s">
        <v>208</v>
      </c>
      <c r="D188" s="49" t="n">
        <v>46327</v>
      </c>
      <c r="E188" s="18" t="s">
        <v>100</v>
      </c>
      <c r="F188" s="18" t="s">
        <v>1941</v>
      </c>
      <c r="G188" s="18" t="s">
        <v>195</v>
      </c>
      <c r="H188" s="65" t="n">
        <v>14252</v>
      </c>
      <c r="I188" s="65" t="n">
        <v>7.88</v>
      </c>
      <c r="J188" s="65" t="s">
        <v>2021</v>
      </c>
      <c r="K188" s="65" t="n">
        <v>112305.76</v>
      </c>
      <c r="L188" s="66" t="n">
        <f aca="false">H188*I188</f>
        <v>112305.76</v>
      </c>
      <c r="M188" s="66" t="n">
        <f aca="false">L188-K188</f>
        <v>0</v>
      </c>
    </row>
    <row r="189" customFormat="false" ht="15" hidden="false" customHeight="false" outlineLevel="0" collapsed="false">
      <c r="A189" s="18" t="s">
        <v>206</v>
      </c>
      <c r="B189" s="18" t="s">
        <v>207</v>
      </c>
      <c r="C189" s="18" t="s">
        <v>208</v>
      </c>
      <c r="D189" s="49" t="n">
        <v>46327</v>
      </c>
      <c r="E189" s="18" t="s">
        <v>100</v>
      </c>
      <c r="F189" s="18" t="s">
        <v>1943</v>
      </c>
      <c r="G189" s="18" t="s">
        <v>195</v>
      </c>
      <c r="H189" s="65" t="n">
        <v>4072</v>
      </c>
      <c r="I189" s="65" t="n">
        <v>7.88</v>
      </c>
      <c r="J189" s="65" t="s">
        <v>2022</v>
      </c>
      <c r="K189" s="65" t="n">
        <v>32087.36</v>
      </c>
      <c r="L189" s="66" t="n">
        <f aca="false">H189*I189</f>
        <v>32087.36</v>
      </c>
      <c r="M189" s="66" t="n">
        <f aca="false">L189-K189</f>
        <v>0</v>
      </c>
    </row>
    <row r="190" customFormat="false" ht="15" hidden="false" customHeight="false" outlineLevel="0" collapsed="false">
      <c r="A190" s="18" t="s">
        <v>206</v>
      </c>
      <c r="B190" s="18" t="s">
        <v>207</v>
      </c>
      <c r="C190" s="18" t="s">
        <v>208</v>
      </c>
      <c r="D190" s="49" t="n">
        <v>46327</v>
      </c>
      <c r="E190" s="18" t="s">
        <v>110</v>
      </c>
      <c r="F190" s="18" t="s">
        <v>1939</v>
      </c>
      <c r="G190" s="18" t="s">
        <v>195</v>
      </c>
      <c r="H190" s="65" t="n">
        <v>18324</v>
      </c>
      <c r="I190" s="65" t="n">
        <v>7.88</v>
      </c>
      <c r="J190" s="65" t="s">
        <v>2023</v>
      </c>
      <c r="K190" s="65" t="n">
        <v>144393.12</v>
      </c>
      <c r="L190" s="66" t="n">
        <f aca="false">H190*I190</f>
        <v>144393.12</v>
      </c>
      <c r="M190" s="66" t="n">
        <f aca="false">L190-K190</f>
        <v>0</v>
      </c>
    </row>
    <row r="191" customFormat="false" ht="15" hidden="false" customHeight="false" outlineLevel="0" collapsed="false">
      <c r="A191" s="18" t="s">
        <v>206</v>
      </c>
      <c r="B191" s="18" t="s">
        <v>207</v>
      </c>
      <c r="C191" s="18" t="s">
        <v>208</v>
      </c>
      <c r="D191" s="49" t="n">
        <v>46327</v>
      </c>
      <c r="E191" s="18" t="s">
        <v>110</v>
      </c>
      <c r="F191" s="18" t="s">
        <v>1941</v>
      </c>
      <c r="G191" s="18" t="s">
        <v>195</v>
      </c>
      <c r="H191" s="65" t="n">
        <v>11198</v>
      </c>
      <c r="I191" s="65" t="n">
        <v>7.88</v>
      </c>
      <c r="J191" s="65" t="s">
        <v>2024</v>
      </c>
      <c r="K191" s="65" t="n">
        <v>88240.24</v>
      </c>
      <c r="L191" s="66" t="n">
        <f aca="false">H191*I191</f>
        <v>88240.24</v>
      </c>
      <c r="M191" s="66" t="n">
        <f aca="false">L191-K191</f>
        <v>0</v>
      </c>
    </row>
    <row r="192" customFormat="false" ht="15" hidden="false" customHeight="false" outlineLevel="0" collapsed="false">
      <c r="A192" s="18" t="s">
        <v>206</v>
      </c>
      <c r="B192" s="18" t="s">
        <v>207</v>
      </c>
      <c r="C192" s="18" t="s">
        <v>208</v>
      </c>
      <c r="D192" s="49" t="n">
        <v>46327</v>
      </c>
      <c r="E192" s="18" t="s">
        <v>110</v>
      </c>
      <c r="F192" s="18" t="s">
        <v>1943</v>
      </c>
      <c r="G192" s="18" t="s">
        <v>195</v>
      </c>
      <c r="H192" s="65" t="n">
        <v>3054</v>
      </c>
      <c r="I192" s="65" t="n">
        <v>7.88</v>
      </c>
      <c r="J192" s="65" t="s">
        <v>2025</v>
      </c>
      <c r="K192" s="65" t="n">
        <v>24065.52</v>
      </c>
      <c r="L192" s="66" t="n">
        <f aca="false">H192*I192</f>
        <v>24065.52</v>
      </c>
      <c r="M192" s="66" t="n">
        <f aca="false">L192-K192</f>
        <v>0</v>
      </c>
    </row>
    <row r="193" customFormat="false" ht="15" hidden="false" customHeight="false" outlineLevel="0" collapsed="false">
      <c r="A193" s="18" t="s">
        <v>206</v>
      </c>
      <c r="B193" s="18" t="s">
        <v>207</v>
      </c>
      <c r="C193" s="18" t="s">
        <v>208</v>
      </c>
      <c r="D193" s="49" t="n">
        <v>46327</v>
      </c>
      <c r="E193" s="18" t="s">
        <v>1948</v>
      </c>
      <c r="F193" s="18" t="s">
        <v>1949</v>
      </c>
      <c r="G193" s="18" t="s">
        <v>43</v>
      </c>
      <c r="H193" s="65" t="n">
        <v>50900</v>
      </c>
      <c r="I193" s="65" t="n">
        <v>1</v>
      </c>
      <c r="J193" s="65" t="s">
        <v>2013</v>
      </c>
      <c r="K193" s="65" t="n">
        <v>50900</v>
      </c>
      <c r="L193" s="66" t="n">
        <f aca="false">H193*I193</f>
        <v>50900</v>
      </c>
      <c r="M193" s="66" t="n">
        <f aca="false">L193-K193</f>
        <v>0</v>
      </c>
    </row>
    <row r="194" customFormat="false" ht="15" hidden="false" customHeight="false" outlineLevel="0" collapsed="false">
      <c r="A194" s="18" t="s">
        <v>206</v>
      </c>
      <c r="B194" s="18" t="s">
        <v>207</v>
      </c>
      <c r="C194" s="18" t="s">
        <v>208</v>
      </c>
      <c r="D194" s="49" t="n">
        <v>46357</v>
      </c>
      <c r="E194" s="18" t="s">
        <v>100</v>
      </c>
      <c r="F194" s="18" t="s">
        <v>1939</v>
      </c>
      <c r="G194" s="18" t="s">
        <v>195</v>
      </c>
      <c r="H194" s="65" t="n">
        <v>25450</v>
      </c>
      <c r="I194" s="65" t="n">
        <v>7.86</v>
      </c>
      <c r="J194" s="65" t="s">
        <v>2026</v>
      </c>
      <c r="K194" s="65" t="n">
        <v>200037</v>
      </c>
      <c r="L194" s="66" t="n">
        <f aca="false">H194*I194</f>
        <v>200037</v>
      </c>
      <c r="M194" s="66" t="n">
        <f aca="false">L194-K194</f>
        <v>0</v>
      </c>
    </row>
    <row r="195" customFormat="false" ht="15" hidden="false" customHeight="false" outlineLevel="0" collapsed="false">
      <c r="A195" s="18" t="s">
        <v>206</v>
      </c>
      <c r="B195" s="18" t="s">
        <v>207</v>
      </c>
      <c r="C195" s="18" t="s">
        <v>208</v>
      </c>
      <c r="D195" s="49" t="n">
        <v>46357</v>
      </c>
      <c r="E195" s="18" t="s">
        <v>100</v>
      </c>
      <c r="F195" s="18" t="s">
        <v>1941</v>
      </c>
      <c r="G195" s="18" t="s">
        <v>195</v>
      </c>
      <c r="H195" s="65" t="n">
        <v>14252</v>
      </c>
      <c r="I195" s="65" t="n">
        <v>7.86</v>
      </c>
      <c r="J195" s="65" t="s">
        <v>2027</v>
      </c>
      <c r="K195" s="65" t="n">
        <v>112020.72</v>
      </c>
      <c r="L195" s="66" t="n">
        <f aca="false">H195*I195</f>
        <v>112020.72</v>
      </c>
      <c r="M195" s="66" t="n">
        <f aca="false">L195-K195</f>
        <v>0</v>
      </c>
    </row>
    <row r="196" customFormat="false" ht="15" hidden="false" customHeight="false" outlineLevel="0" collapsed="false">
      <c r="A196" s="18" t="s">
        <v>206</v>
      </c>
      <c r="B196" s="18" t="s">
        <v>207</v>
      </c>
      <c r="C196" s="18" t="s">
        <v>208</v>
      </c>
      <c r="D196" s="49" t="n">
        <v>46357</v>
      </c>
      <c r="E196" s="18" t="s">
        <v>100</v>
      </c>
      <c r="F196" s="18" t="s">
        <v>1943</v>
      </c>
      <c r="G196" s="18" t="s">
        <v>195</v>
      </c>
      <c r="H196" s="65" t="n">
        <v>4072</v>
      </c>
      <c r="I196" s="65" t="n">
        <v>7.86</v>
      </c>
      <c r="J196" s="65" t="s">
        <v>2028</v>
      </c>
      <c r="K196" s="65" t="n">
        <v>32005.92</v>
      </c>
      <c r="L196" s="66" t="n">
        <f aca="false">H196*I196</f>
        <v>32005.92</v>
      </c>
      <c r="M196" s="66" t="n">
        <f aca="false">L196-K196</f>
        <v>3.63797880709171E-012</v>
      </c>
    </row>
    <row r="197" customFormat="false" ht="15" hidden="false" customHeight="false" outlineLevel="0" collapsed="false">
      <c r="A197" s="18" t="s">
        <v>206</v>
      </c>
      <c r="B197" s="18" t="s">
        <v>207</v>
      </c>
      <c r="C197" s="18" t="s">
        <v>208</v>
      </c>
      <c r="D197" s="49" t="n">
        <v>46357</v>
      </c>
      <c r="E197" s="18" t="s">
        <v>110</v>
      </c>
      <c r="F197" s="18" t="s">
        <v>1939</v>
      </c>
      <c r="G197" s="18" t="s">
        <v>195</v>
      </c>
      <c r="H197" s="65" t="n">
        <v>18324</v>
      </c>
      <c r="I197" s="65" t="n">
        <v>7.86</v>
      </c>
      <c r="J197" s="65" t="s">
        <v>2029</v>
      </c>
      <c r="K197" s="65" t="n">
        <v>144026.64</v>
      </c>
      <c r="L197" s="66" t="n">
        <f aca="false">H197*I197</f>
        <v>144026.64</v>
      </c>
      <c r="M197" s="66" t="n">
        <f aca="false">L197-K197</f>
        <v>0</v>
      </c>
    </row>
    <row r="198" customFormat="false" ht="15" hidden="false" customHeight="false" outlineLevel="0" collapsed="false">
      <c r="A198" s="18" t="s">
        <v>206</v>
      </c>
      <c r="B198" s="18" t="s">
        <v>207</v>
      </c>
      <c r="C198" s="18" t="s">
        <v>208</v>
      </c>
      <c r="D198" s="49" t="n">
        <v>46357</v>
      </c>
      <c r="E198" s="18" t="s">
        <v>110</v>
      </c>
      <c r="F198" s="18" t="s">
        <v>1941</v>
      </c>
      <c r="G198" s="18" t="s">
        <v>195</v>
      </c>
      <c r="H198" s="65" t="n">
        <v>11198</v>
      </c>
      <c r="I198" s="65" t="n">
        <v>7.86</v>
      </c>
      <c r="J198" s="65" t="s">
        <v>2030</v>
      </c>
      <c r="K198" s="65" t="n">
        <v>88016.28</v>
      </c>
      <c r="L198" s="66" t="n">
        <f aca="false">H198*I198</f>
        <v>88016.28</v>
      </c>
      <c r="M198" s="66" t="n">
        <f aca="false">L198-K198</f>
        <v>0</v>
      </c>
    </row>
    <row r="199" customFormat="false" ht="15" hidden="false" customHeight="false" outlineLevel="0" collapsed="false">
      <c r="A199" s="18" t="s">
        <v>206</v>
      </c>
      <c r="B199" s="18" t="s">
        <v>207</v>
      </c>
      <c r="C199" s="18" t="s">
        <v>208</v>
      </c>
      <c r="D199" s="49" t="n">
        <v>46357</v>
      </c>
      <c r="E199" s="18" t="s">
        <v>110</v>
      </c>
      <c r="F199" s="18" t="s">
        <v>1943</v>
      </c>
      <c r="G199" s="18" t="s">
        <v>195</v>
      </c>
      <c r="H199" s="65" t="n">
        <v>3054</v>
      </c>
      <c r="I199" s="65" t="n">
        <v>7.86</v>
      </c>
      <c r="J199" s="65" t="s">
        <v>2031</v>
      </c>
      <c r="K199" s="65" t="n">
        <v>24004.44</v>
      </c>
      <c r="L199" s="66" t="n">
        <f aca="false">H199*I199</f>
        <v>24004.44</v>
      </c>
      <c r="M199" s="66" t="n">
        <f aca="false">L199-K199</f>
        <v>3.63797880709171E-012</v>
      </c>
    </row>
    <row r="200" customFormat="false" ht="15" hidden="false" customHeight="false" outlineLevel="0" collapsed="false">
      <c r="A200" s="18" t="s">
        <v>206</v>
      </c>
      <c r="B200" s="18" t="s">
        <v>207</v>
      </c>
      <c r="C200" s="18" t="s">
        <v>208</v>
      </c>
      <c r="D200" s="49" t="n">
        <v>46357</v>
      </c>
      <c r="E200" s="18" t="s">
        <v>1948</v>
      </c>
      <c r="F200" s="18" t="s">
        <v>1949</v>
      </c>
      <c r="G200" s="18" t="s">
        <v>43</v>
      </c>
      <c r="H200" s="65" t="n">
        <v>50900</v>
      </c>
      <c r="I200" s="65" t="n">
        <v>1</v>
      </c>
      <c r="J200" s="65" t="s">
        <v>2013</v>
      </c>
      <c r="K200" s="65" t="n">
        <v>50900</v>
      </c>
      <c r="L200" s="66" t="n">
        <f aca="false">H200*I200</f>
        <v>50900</v>
      </c>
      <c r="M200" s="66" t="n">
        <f aca="false">L200-K200</f>
        <v>0</v>
      </c>
    </row>
    <row r="201" customFormat="false" ht="15" hidden="false" customHeight="false" outlineLevel="0" collapsed="false">
      <c r="A201" s="18" t="s">
        <v>210</v>
      </c>
      <c r="B201" s="18" t="s">
        <v>207</v>
      </c>
      <c r="C201" s="18" t="s">
        <v>211</v>
      </c>
      <c r="D201" s="49" t="n">
        <v>46266</v>
      </c>
      <c r="E201" s="18" t="s">
        <v>100</v>
      </c>
      <c r="F201" s="18" t="s">
        <v>1939</v>
      </c>
      <c r="G201" s="18" t="s">
        <v>195</v>
      </c>
      <c r="H201" s="65" t="n">
        <v>25450</v>
      </c>
      <c r="I201" s="65" t="n">
        <v>7.92</v>
      </c>
      <c r="J201" s="65" t="s">
        <v>2007</v>
      </c>
      <c r="K201" s="65" t="n">
        <v>201564</v>
      </c>
      <c r="L201" s="66" t="n">
        <f aca="false">H201*I201</f>
        <v>201564</v>
      </c>
      <c r="M201" s="66" t="n">
        <f aca="false">L201-K201</f>
        <v>0</v>
      </c>
    </row>
    <row r="202" customFormat="false" ht="15" hidden="false" customHeight="false" outlineLevel="0" collapsed="false">
      <c r="A202" s="18" t="s">
        <v>210</v>
      </c>
      <c r="B202" s="18" t="s">
        <v>207</v>
      </c>
      <c r="C202" s="18" t="s">
        <v>211</v>
      </c>
      <c r="D202" s="49" t="n">
        <v>46266</v>
      </c>
      <c r="E202" s="18" t="s">
        <v>100</v>
      </c>
      <c r="F202" s="18" t="s">
        <v>1941</v>
      </c>
      <c r="G202" s="18" t="s">
        <v>195</v>
      </c>
      <c r="H202" s="65" t="n">
        <v>14252</v>
      </c>
      <c r="I202" s="65" t="n">
        <v>7.92</v>
      </c>
      <c r="J202" s="65" t="s">
        <v>2008</v>
      </c>
      <c r="K202" s="65" t="n">
        <v>112875.84</v>
      </c>
      <c r="L202" s="66" t="n">
        <f aca="false">H202*I202</f>
        <v>112875.84</v>
      </c>
      <c r="M202" s="66" t="n">
        <f aca="false">L202-K202</f>
        <v>0</v>
      </c>
    </row>
    <row r="203" customFormat="false" ht="15" hidden="false" customHeight="false" outlineLevel="0" collapsed="false">
      <c r="A203" s="18" t="s">
        <v>210</v>
      </c>
      <c r="B203" s="18" t="s">
        <v>207</v>
      </c>
      <c r="C203" s="18" t="s">
        <v>211</v>
      </c>
      <c r="D203" s="49" t="n">
        <v>46266</v>
      </c>
      <c r="E203" s="18" t="s">
        <v>100</v>
      </c>
      <c r="F203" s="18" t="s">
        <v>1943</v>
      </c>
      <c r="G203" s="18" t="s">
        <v>195</v>
      </c>
      <c r="H203" s="65" t="n">
        <v>4072</v>
      </c>
      <c r="I203" s="65" t="n">
        <v>7.92</v>
      </c>
      <c r="J203" s="65" t="s">
        <v>2009</v>
      </c>
      <c r="K203" s="65" t="n">
        <v>32250.24</v>
      </c>
      <c r="L203" s="66" t="n">
        <f aca="false">H203*I203</f>
        <v>32250.24</v>
      </c>
      <c r="M203" s="66" t="n">
        <f aca="false">L203-K203</f>
        <v>-3.63797880709171E-012</v>
      </c>
    </row>
    <row r="204" customFormat="false" ht="15" hidden="false" customHeight="false" outlineLevel="0" collapsed="false">
      <c r="A204" s="18" t="s">
        <v>210</v>
      </c>
      <c r="B204" s="18" t="s">
        <v>207</v>
      </c>
      <c r="C204" s="18" t="s">
        <v>211</v>
      </c>
      <c r="D204" s="49" t="n">
        <v>46266</v>
      </c>
      <c r="E204" s="18" t="s">
        <v>110</v>
      </c>
      <c r="F204" s="18" t="s">
        <v>1939</v>
      </c>
      <c r="G204" s="18" t="s">
        <v>195</v>
      </c>
      <c r="H204" s="65" t="n">
        <v>18324</v>
      </c>
      <c r="I204" s="65" t="n">
        <v>7.92</v>
      </c>
      <c r="J204" s="65" t="s">
        <v>2010</v>
      </c>
      <c r="K204" s="65" t="n">
        <v>145126.08</v>
      </c>
      <c r="L204" s="66" t="n">
        <f aca="false">H204*I204</f>
        <v>145126.08</v>
      </c>
      <c r="M204" s="66" t="n">
        <f aca="false">L204-K204</f>
        <v>0</v>
      </c>
    </row>
    <row r="205" customFormat="false" ht="15" hidden="false" customHeight="false" outlineLevel="0" collapsed="false">
      <c r="A205" s="18" t="s">
        <v>210</v>
      </c>
      <c r="B205" s="18" t="s">
        <v>207</v>
      </c>
      <c r="C205" s="18" t="s">
        <v>211</v>
      </c>
      <c r="D205" s="49" t="n">
        <v>46266</v>
      </c>
      <c r="E205" s="18" t="s">
        <v>110</v>
      </c>
      <c r="F205" s="18" t="s">
        <v>1941</v>
      </c>
      <c r="G205" s="18" t="s">
        <v>195</v>
      </c>
      <c r="H205" s="65" t="n">
        <v>11198</v>
      </c>
      <c r="I205" s="65" t="n">
        <v>7.92</v>
      </c>
      <c r="J205" s="65" t="s">
        <v>2011</v>
      </c>
      <c r="K205" s="65" t="n">
        <v>88688.16</v>
      </c>
      <c r="L205" s="66" t="n">
        <f aca="false">H205*I205</f>
        <v>88688.16</v>
      </c>
      <c r="M205" s="66" t="n">
        <f aca="false">L205-K205</f>
        <v>0</v>
      </c>
    </row>
    <row r="206" customFormat="false" ht="15" hidden="false" customHeight="false" outlineLevel="0" collapsed="false">
      <c r="A206" s="18" t="s">
        <v>210</v>
      </c>
      <c r="B206" s="18" t="s">
        <v>207</v>
      </c>
      <c r="C206" s="18" t="s">
        <v>211</v>
      </c>
      <c r="D206" s="49" t="n">
        <v>46266</v>
      </c>
      <c r="E206" s="18" t="s">
        <v>110</v>
      </c>
      <c r="F206" s="18" t="s">
        <v>1943</v>
      </c>
      <c r="G206" s="18" t="s">
        <v>195</v>
      </c>
      <c r="H206" s="65" t="n">
        <v>3054</v>
      </c>
      <c r="I206" s="65" t="n">
        <v>7.92</v>
      </c>
      <c r="J206" s="65" t="s">
        <v>2012</v>
      </c>
      <c r="K206" s="65" t="n">
        <v>24187.68</v>
      </c>
      <c r="L206" s="66" t="n">
        <f aca="false">H206*I206</f>
        <v>24187.68</v>
      </c>
      <c r="M206" s="66" t="n">
        <f aca="false">L206-K206</f>
        <v>0</v>
      </c>
    </row>
    <row r="207" customFormat="false" ht="15" hidden="false" customHeight="false" outlineLevel="0" collapsed="false">
      <c r="A207" s="18" t="s">
        <v>210</v>
      </c>
      <c r="B207" s="18" t="s">
        <v>207</v>
      </c>
      <c r="C207" s="18" t="s">
        <v>211</v>
      </c>
      <c r="D207" s="49" t="n">
        <v>46266</v>
      </c>
      <c r="E207" s="18" t="s">
        <v>1948</v>
      </c>
      <c r="F207" s="18" t="s">
        <v>1949</v>
      </c>
      <c r="G207" s="18" t="s">
        <v>43</v>
      </c>
      <c r="H207" s="65" t="n">
        <v>50900</v>
      </c>
      <c r="I207" s="65" t="n">
        <v>1</v>
      </c>
      <c r="J207" s="65" t="s">
        <v>2013</v>
      </c>
      <c r="K207" s="65" t="n">
        <v>50900</v>
      </c>
      <c r="L207" s="66" t="n">
        <f aca="false">H207*I207</f>
        <v>50900</v>
      </c>
      <c r="M207" s="66" t="n">
        <f aca="false">L207-K207</f>
        <v>0</v>
      </c>
    </row>
    <row r="208" customFormat="false" ht="15" hidden="false" customHeight="false" outlineLevel="0" collapsed="false">
      <c r="A208" s="18" t="s">
        <v>210</v>
      </c>
      <c r="B208" s="18" t="s">
        <v>207</v>
      </c>
      <c r="C208" s="18" t="s">
        <v>211</v>
      </c>
      <c r="D208" s="49" t="n">
        <v>46296</v>
      </c>
      <c r="E208" s="18" t="s">
        <v>100</v>
      </c>
      <c r="F208" s="18" t="s">
        <v>1939</v>
      </c>
      <c r="G208" s="18" t="s">
        <v>195</v>
      </c>
      <c r="H208" s="65" t="n">
        <v>25450</v>
      </c>
      <c r="I208" s="65" t="n">
        <v>7.9</v>
      </c>
      <c r="J208" s="65" t="s">
        <v>2014</v>
      </c>
      <c r="K208" s="65" t="n">
        <v>201055</v>
      </c>
      <c r="L208" s="66" t="n">
        <f aca="false">H208*I208</f>
        <v>201055</v>
      </c>
      <c r="M208" s="66" t="n">
        <f aca="false">L208-K208</f>
        <v>0</v>
      </c>
    </row>
    <row r="209" customFormat="false" ht="15" hidden="false" customHeight="false" outlineLevel="0" collapsed="false">
      <c r="A209" s="18" t="s">
        <v>210</v>
      </c>
      <c r="B209" s="18" t="s">
        <v>207</v>
      </c>
      <c r="C209" s="18" t="s">
        <v>211</v>
      </c>
      <c r="D209" s="49" t="n">
        <v>46296</v>
      </c>
      <c r="E209" s="18" t="s">
        <v>100</v>
      </c>
      <c r="F209" s="18" t="s">
        <v>1941</v>
      </c>
      <c r="G209" s="18" t="s">
        <v>195</v>
      </c>
      <c r="H209" s="65" t="n">
        <v>14252</v>
      </c>
      <c r="I209" s="65" t="n">
        <v>7.9</v>
      </c>
      <c r="J209" s="65" t="s">
        <v>2015</v>
      </c>
      <c r="K209" s="65" t="n">
        <v>112590.8</v>
      </c>
      <c r="L209" s="66" t="n">
        <f aca="false">H209*I209</f>
        <v>112590.8</v>
      </c>
      <c r="M209" s="66" t="n">
        <f aca="false">L209-K209</f>
        <v>0</v>
      </c>
    </row>
    <row r="210" customFormat="false" ht="15" hidden="false" customHeight="false" outlineLevel="0" collapsed="false">
      <c r="A210" s="18" t="s">
        <v>210</v>
      </c>
      <c r="B210" s="18" t="s">
        <v>207</v>
      </c>
      <c r="C210" s="18" t="s">
        <v>211</v>
      </c>
      <c r="D210" s="49" t="n">
        <v>46296</v>
      </c>
      <c r="E210" s="18" t="s">
        <v>100</v>
      </c>
      <c r="F210" s="18" t="s">
        <v>1943</v>
      </c>
      <c r="G210" s="18" t="s">
        <v>195</v>
      </c>
      <c r="H210" s="65" t="n">
        <v>4072</v>
      </c>
      <c r="I210" s="65" t="n">
        <v>7.9</v>
      </c>
      <c r="J210" s="65" t="s">
        <v>2016</v>
      </c>
      <c r="K210" s="65" t="n">
        <v>32168.8</v>
      </c>
      <c r="L210" s="66" t="n">
        <f aca="false">H210*I210</f>
        <v>32168.8</v>
      </c>
      <c r="M210" s="66" t="n">
        <f aca="false">L210-K210</f>
        <v>3.63797880709171E-012</v>
      </c>
    </row>
    <row r="211" customFormat="false" ht="15" hidden="false" customHeight="false" outlineLevel="0" collapsed="false">
      <c r="A211" s="18" t="s">
        <v>210</v>
      </c>
      <c r="B211" s="18" t="s">
        <v>207</v>
      </c>
      <c r="C211" s="18" t="s">
        <v>211</v>
      </c>
      <c r="D211" s="49" t="n">
        <v>46296</v>
      </c>
      <c r="E211" s="18" t="s">
        <v>110</v>
      </c>
      <c r="F211" s="18" t="s">
        <v>1939</v>
      </c>
      <c r="G211" s="18" t="s">
        <v>195</v>
      </c>
      <c r="H211" s="65" t="n">
        <v>18324</v>
      </c>
      <c r="I211" s="65" t="n">
        <v>7.9</v>
      </c>
      <c r="J211" s="65" t="s">
        <v>2017</v>
      </c>
      <c r="K211" s="65" t="n">
        <v>144759.6</v>
      </c>
      <c r="L211" s="66" t="n">
        <f aca="false">H211*I211</f>
        <v>144759.6</v>
      </c>
      <c r="M211" s="66" t="n">
        <f aca="false">L211-K211</f>
        <v>0</v>
      </c>
    </row>
    <row r="212" customFormat="false" ht="15" hidden="false" customHeight="false" outlineLevel="0" collapsed="false">
      <c r="A212" s="18" t="s">
        <v>210</v>
      </c>
      <c r="B212" s="18" t="s">
        <v>207</v>
      </c>
      <c r="C212" s="18" t="s">
        <v>211</v>
      </c>
      <c r="D212" s="49" t="n">
        <v>46296</v>
      </c>
      <c r="E212" s="18" t="s">
        <v>110</v>
      </c>
      <c r="F212" s="18" t="s">
        <v>1941</v>
      </c>
      <c r="G212" s="18" t="s">
        <v>195</v>
      </c>
      <c r="H212" s="65" t="n">
        <v>11198</v>
      </c>
      <c r="I212" s="65" t="n">
        <v>7.9</v>
      </c>
      <c r="J212" s="65" t="s">
        <v>2018</v>
      </c>
      <c r="K212" s="65" t="n">
        <v>88464.2</v>
      </c>
      <c r="L212" s="66" t="n">
        <f aca="false">H212*I212</f>
        <v>88464.2</v>
      </c>
      <c r="M212" s="66" t="n">
        <f aca="false">L212-K212</f>
        <v>0</v>
      </c>
    </row>
    <row r="213" customFormat="false" ht="15" hidden="false" customHeight="false" outlineLevel="0" collapsed="false">
      <c r="A213" s="18" t="s">
        <v>210</v>
      </c>
      <c r="B213" s="18" t="s">
        <v>207</v>
      </c>
      <c r="C213" s="18" t="s">
        <v>211</v>
      </c>
      <c r="D213" s="49" t="n">
        <v>46296</v>
      </c>
      <c r="E213" s="18" t="s">
        <v>110</v>
      </c>
      <c r="F213" s="18" t="s">
        <v>1943</v>
      </c>
      <c r="G213" s="18" t="s">
        <v>195</v>
      </c>
      <c r="H213" s="65" t="n">
        <v>3054</v>
      </c>
      <c r="I213" s="65" t="n">
        <v>7.9</v>
      </c>
      <c r="J213" s="65" t="s">
        <v>2019</v>
      </c>
      <c r="K213" s="65" t="n">
        <v>24126.6</v>
      </c>
      <c r="L213" s="66" t="n">
        <f aca="false">H213*I213</f>
        <v>24126.6</v>
      </c>
      <c r="M213" s="66" t="n">
        <f aca="false">L213-K213</f>
        <v>3.63797880709171E-012</v>
      </c>
    </row>
    <row r="214" customFormat="false" ht="15" hidden="false" customHeight="false" outlineLevel="0" collapsed="false">
      <c r="A214" s="18" t="s">
        <v>210</v>
      </c>
      <c r="B214" s="18" t="s">
        <v>207</v>
      </c>
      <c r="C214" s="18" t="s">
        <v>211</v>
      </c>
      <c r="D214" s="49" t="n">
        <v>46296</v>
      </c>
      <c r="E214" s="18" t="s">
        <v>1948</v>
      </c>
      <c r="F214" s="18" t="s">
        <v>1949</v>
      </c>
      <c r="G214" s="18" t="s">
        <v>43</v>
      </c>
      <c r="H214" s="65" t="n">
        <v>50900</v>
      </c>
      <c r="I214" s="65" t="n">
        <v>1</v>
      </c>
      <c r="J214" s="65" t="s">
        <v>2013</v>
      </c>
      <c r="K214" s="65" t="n">
        <v>50900</v>
      </c>
      <c r="L214" s="66" t="n">
        <f aca="false">H214*I214</f>
        <v>50900</v>
      </c>
      <c r="M214" s="66" t="n">
        <f aca="false">L214-K214</f>
        <v>0</v>
      </c>
    </row>
    <row r="215" customFormat="false" ht="15" hidden="false" customHeight="false" outlineLevel="0" collapsed="false">
      <c r="A215" s="18" t="s">
        <v>210</v>
      </c>
      <c r="B215" s="18" t="s">
        <v>207</v>
      </c>
      <c r="C215" s="18" t="s">
        <v>211</v>
      </c>
      <c r="D215" s="49" t="n">
        <v>46327</v>
      </c>
      <c r="E215" s="18" t="s">
        <v>100</v>
      </c>
      <c r="F215" s="18" t="s">
        <v>1939</v>
      </c>
      <c r="G215" s="18" t="s">
        <v>195</v>
      </c>
      <c r="H215" s="65" t="n">
        <v>25450</v>
      </c>
      <c r="I215" s="65" t="n">
        <v>7.88</v>
      </c>
      <c r="J215" s="65" t="s">
        <v>2020</v>
      </c>
      <c r="K215" s="65" t="n">
        <v>200546</v>
      </c>
      <c r="L215" s="66" t="n">
        <f aca="false">H215*I215</f>
        <v>200546</v>
      </c>
      <c r="M215" s="66" t="n">
        <f aca="false">L215-K215</f>
        <v>0</v>
      </c>
    </row>
    <row r="216" customFormat="false" ht="15" hidden="false" customHeight="false" outlineLevel="0" collapsed="false">
      <c r="A216" s="18" t="s">
        <v>210</v>
      </c>
      <c r="B216" s="18" t="s">
        <v>207</v>
      </c>
      <c r="C216" s="18" t="s">
        <v>211</v>
      </c>
      <c r="D216" s="49" t="n">
        <v>46327</v>
      </c>
      <c r="E216" s="18" t="s">
        <v>100</v>
      </c>
      <c r="F216" s="18" t="s">
        <v>1941</v>
      </c>
      <c r="G216" s="18" t="s">
        <v>195</v>
      </c>
      <c r="H216" s="65" t="n">
        <v>14252</v>
      </c>
      <c r="I216" s="65" t="n">
        <v>7.88</v>
      </c>
      <c r="J216" s="65" t="s">
        <v>2021</v>
      </c>
      <c r="K216" s="65" t="n">
        <v>112305.76</v>
      </c>
      <c r="L216" s="66" t="n">
        <f aca="false">H216*I216</f>
        <v>112305.76</v>
      </c>
      <c r="M216" s="66" t="n">
        <f aca="false">L216-K216</f>
        <v>0</v>
      </c>
    </row>
    <row r="217" customFormat="false" ht="15" hidden="false" customHeight="false" outlineLevel="0" collapsed="false">
      <c r="A217" s="18" t="s">
        <v>210</v>
      </c>
      <c r="B217" s="18" t="s">
        <v>207</v>
      </c>
      <c r="C217" s="18" t="s">
        <v>211</v>
      </c>
      <c r="D217" s="49" t="n">
        <v>46327</v>
      </c>
      <c r="E217" s="18" t="s">
        <v>100</v>
      </c>
      <c r="F217" s="18" t="s">
        <v>1943</v>
      </c>
      <c r="G217" s="18" t="s">
        <v>195</v>
      </c>
      <c r="H217" s="65" t="n">
        <v>4072</v>
      </c>
      <c r="I217" s="65" t="n">
        <v>7.88</v>
      </c>
      <c r="J217" s="65" t="s">
        <v>2022</v>
      </c>
      <c r="K217" s="65" t="n">
        <v>32087.36</v>
      </c>
      <c r="L217" s="66" t="n">
        <f aca="false">H217*I217</f>
        <v>32087.36</v>
      </c>
      <c r="M217" s="66" t="n">
        <f aca="false">L217-K217</f>
        <v>0</v>
      </c>
    </row>
    <row r="218" customFormat="false" ht="15" hidden="false" customHeight="false" outlineLevel="0" collapsed="false">
      <c r="A218" s="18" t="s">
        <v>210</v>
      </c>
      <c r="B218" s="18" t="s">
        <v>207</v>
      </c>
      <c r="C218" s="18" t="s">
        <v>211</v>
      </c>
      <c r="D218" s="49" t="n">
        <v>46327</v>
      </c>
      <c r="E218" s="18" t="s">
        <v>110</v>
      </c>
      <c r="F218" s="18" t="s">
        <v>1939</v>
      </c>
      <c r="G218" s="18" t="s">
        <v>195</v>
      </c>
      <c r="H218" s="65" t="n">
        <v>18324</v>
      </c>
      <c r="I218" s="65" t="n">
        <v>7.88</v>
      </c>
      <c r="J218" s="65" t="s">
        <v>2023</v>
      </c>
      <c r="K218" s="65" t="n">
        <v>144393.12</v>
      </c>
      <c r="L218" s="66" t="n">
        <f aca="false">H218*I218</f>
        <v>144393.12</v>
      </c>
      <c r="M218" s="66" t="n">
        <f aca="false">L218-K218</f>
        <v>0</v>
      </c>
    </row>
    <row r="219" customFormat="false" ht="15" hidden="false" customHeight="false" outlineLevel="0" collapsed="false">
      <c r="A219" s="18" t="s">
        <v>210</v>
      </c>
      <c r="B219" s="18" t="s">
        <v>207</v>
      </c>
      <c r="C219" s="18" t="s">
        <v>211</v>
      </c>
      <c r="D219" s="49" t="n">
        <v>46327</v>
      </c>
      <c r="E219" s="18" t="s">
        <v>110</v>
      </c>
      <c r="F219" s="18" t="s">
        <v>1941</v>
      </c>
      <c r="G219" s="18" t="s">
        <v>195</v>
      </c>
      <c r="H219" s="65" t="n">
        <v>11198</v>
      </c>
      <c r="I219" s="65" t="n">
        <v>7.88</v>
      </c>
      <c r="J219" s="65" t="s">
        <v>2024</v>
      </c>
      <c r="K219" s="65" t="n">
        <v>88240.24</v>
      </c>
      <c r="L219" s="66" t="n">
        <f aca="false">H219*I219</f>
        <v>88240.24</v>
      </c>
      <c r="M219" s="66" t="n">
        <f aca="false">L219-K219</f>
        <v>0</v>
      </c>
    </row>
    <row r="220" customFormat="false" ht="15" hidden="false" customHeight="false" outlineLevel="0" collapsed="false">
      <c r="A220" s="18" t="s">
        <v>210</v>
      </c>
      <c r="B220" s="18" t="s">
        <v>207</v>
      </c>
      <c r="C220" s="18" t="s">
        <v>211</v>
      </c>
      <c r="D220" s="49" t="n">
        <v>46327</v>
      </c>
      <c r="E220" s="18" t="s">
        <v>110</v>
      </c>
      <c r="F220" s="18" t="s">
        <v>1943</v>
      </c>
      <c r="G220" s="18" t="s">
        <v>195</v>
      </c>
      <c r="H220" s="65" t="n">
        <v>3054</v>
      </c>
      <c r="I220" s="65" t="n">
        <v>7.88</v>
      </c>
      <c r="J220" s="65" t="s">
        <v>2025</v>
      </c>
      <c r="K220" s="65" t="n">
        <v>24065.52</v>
      </c>
      <c r="L220" s="66" t="n">
        <f aca="false">H220*I220</f>
        <v>24065.52</v>
      </c>
      <c r="M220" s="66" t="n">
        <f aca="false">L220-K220</f>
        <v>0</v>
      </c>
    </row>
    <row r="221" customFormat="false" ht="15" hidden="false" customHeight="false" outlineLevel="0" collapsed="false">
      <c r="A221" s="18" t="s">
        <v>210</v>
      </c>
      <c r="B221" s="18" t="s">
        <v>207</v>
      </c>
      <c r="C221" s="18" t="s">
        <v>211</v>
      </c>
      <c r="D221" s="49" t="n">
        <v>46327</v>
      </c>
      <c r="E221" s="18" t="s">
        <v>1948</v>
      </c>
      <c r="F221" s="18" t="s">
        <v>1949</v>
      </c>
      <c r="G221" s="18" t="s">
        <v>43</v>
      </c>
      <c r="H221" s="65" t="n">
        <v>50900</v>
      </c>
      <c r="I221" s="65" t="n">
        <v>1</v>
      </c>
      <c r="J221" s="65" t="s">
        <v>2013</v>
      </c>
      <c r="K221" s="65" t="n">
        <v>50900</v>
      </c>
      <c r="L221" s="66" t="n">
        <f aca="false">H221*I221</f>
        <v>50900</v>
      </c>
      <c r="M221" s="66" t="n">
        <f aca="false">L221-K221</f>
        <v>0</v>
      </c>
    </row>
    <row r="222" customFormat="false" ht="15" hidden="false" customHeight="false" outlineLevel="0" collapsed="false">
      <c r="A222" s="18" t="s">
        <v>210</v>
      </c>
      <c r="B222" s="18" t="s">
        <v>207</v>
      </c>
      <c r="C222" s="18" t="s">
        <v>211</v>
      </c>
      <c r="D222" s="49" t="n">
        <v>46357</v>
      </c>
      <c r="E222" s="18" t="s">
        <v>100</v>
      </c>
      <c r="F222" s="18" t="s">
        <v>1939</v>
      </c>
      <c r="G222" s="18" t="s">
        <v>195</v>
      </c>
      <c r="H222" s="65" t="n">
        <v>25450</v>
      </c>
      <c r="I222" s="65" t="n">
        <v>7.86</v>
      </c>
      <c r="J222" s="65" t="s">
        <v>2026</v>
      </c>
      <c r="K222" s="65" t="n">
        <v>200037</v>
      </c>
      <c r="L222" s="66" t="n">
        <f aca="false">H222*I222</f>
        <v>200037</v>
      </c>
      <c r="M222" s="66" t="n">
        <f aca="false">L222-K222</f>
        <v>0</v>
      </c>
    </row>
    <row r="223" customFormat="false" ht="15" hidden="false" customHeight="false" outlineLevel="0" collapsed="false">
      <c r="A223" s="18" t="s">
        <v>210</v>
      </c>
      <c r="B223" s="18" t="s">
        <v>207</v>
      </c>
      <c r="C223" s="18" t="s">
        <v>211</v>
      </c>
      <c r="D223" s="49" t="n">
        <v>46357</v>
      </c>
      <c r="E223" s="18" t="s">
        <v>100</v>
      </c>
      <c r="F223" s="18" t="s">
        <v>1941</v>
      </c>
      <c r="G223" s="18" t="s">
        <v>195</v>
      </c>
      <c r="H223" s="65" t="n">
        <v>14252</v>
      </c>
      <c r="I223" s="65" t="n">
        <v>7.86</v>
      </c>
      <c r="J223" s="65" t="s">
        <v>2027</v>
      </c>
      <c r="K223" s="65" t="n">
        <v>112020.72</v>
      </c>
      <c r="L223" s="66" t="n">
        <f aca="false">H223*I223</f>
        <v>112020.72</v>
      </c>
      <c r="M223" s="66" t="n">
        <f aca="false">L223-K223</f>
        <v>0</v>
      </c>
    </row>
    <row r="224" customFormat="false" ht="15" hidden="false" customHeight="false" outlineLevel="0" collapsed="false">
      <c r="A224" s="18" t="s">
        <v>210</v>
      </c>
      <c r="B224" s="18" t="s">
        <v>207</v>
      </c>
      <c r="C224" s="18" t="s">
        <v>211</v>
      </c>
      <c r="D224" s="49" t="n">
        <v>46357</v>
      </c>
      <c r="E224" s="18" t="s">
        <v>100</v>
      </c>
      <c r="F224" s="18" t="s">
        <v>1943</v>
      </c>
      <c r="G224" s="18" t="s">
        <v>195</v>
      </c>
      <c r="H224" s="65" t="n">
        <v>4072</v>
      </c>
      <c r="I224" s="65" t="n">
        <v>7.86</v>
      </c>
      <c r="J224" s="65" t="s">
        <v>2028</v>
      </c>
      <c r="K224" s="65" t="n">
        <v>32005.92</v>
      </c>
      <c r="L224" s="66" t="n">
        <f aca="false">H224*I224</f>
        <v>32005.92</v>
      </c>
      <c r="M224" s="66" t="n">
        <f aca="false">L224-K224</f>
        <v>3.63797880709171E-012</v>
      </c>
    </row>
    <row r="225" customFormat="false" ht="15" hidden="false" customHeight="false" outlineLevel="0" collapsed="false">
      <c r="A225" s="18" t="s">
        <v>210</v>
      </c>
      <c r="B225" s="18" t="s">
        <v>207</v>
      </c>
      <c r="C225" s="18" t="s">
        <v>211</v>
      </c>
      <c r="D225" s="49" t="n">
        <v>46357</v>
      </c>
      <c r="E225" s="18" t="s">
        <v>110</v>
      </c>
      <c r="F225" s="18" t="s">
        <v>1939</v>
      </c>
      <c r="G225" s="18" t="s">
        <v>195</v>
      </c>
      <c r="H225" s="65" t="n">
        <v>18324</v>
      </c>
      <c r="I225" s="65" t="n">
        <v>7.86</v>
      </c>
      <c r="J225" s="65" t="s">
        <v>2029</v>
      </c>
      <c r="K225" s="65" t="n">
        <v>144026.64</v>
      </c>
      <c r="L225" s="66" t="n">
        <f aca="false">H225*I225</f>
        <v>144026.64</v>
      </c>
      <c r="M225" s="66" t="n">
        <f aca="false">L225-K225</f>
        <v>0</v>
      </c>
    </row>
    <row r="226" customFormat="false" ht="15" hidden="false" customHeight="false" outlineLevel="0" collapsed="false">
      <c r="A226" s="18" t="s">
        <v>210</v>
      </c>
      <c r="B226" s="18" t="s">
        <v>207</v>
      </c>
      <c r="C226" s="18" t="s">
        <v>211</v>
      </c>
      <c r="D226" s="49" t="n">
        <v>46357</v>
      </c>
      <c r="E226" s="18" t="s">
        <v>110</v>
      </c>
      <c r="F226" s="18" t="s">
        <v>1941</v>
      </c>
      <c r="G226" s="18" t="s">
        <v>195</v>
      </c>
      <c r="H226" s="65" t="n">
        <v>11198</v>
      </c>
      <c r="I226" s="65" t="n">
        <v>7.86</v>
      </c>
      <c r="J226" s="65" t="s">
        <v>2030</v>
      </c>
      <c r="K226" s="65" t="n">
        <v>88016.28</v>
      </c>
      <c r="L226" s="66" t="n">
        <f aca="false">H226*I226</f>
        <v>88016.28</v>
      </c>
      <c r="M226" s="66" t="n">
        <f aca="false">L226-K226</f>
        <v>0</v>
      </c>
    </row>
    <row r="227" customFormat="false" ht="15" hidden="false" customHeight="false" outlineLevel="0" collapsed="false">
      <c r="A227" s="18" t="s">
        <v>210</v>
      </c>
      <c r="B227" s="18" t="s">
        <v>207</v>
      </c>
      <c r="C227" s="18" t="s">
        <v>211</v>
      </c>
      <c r="D227" s="49" t="n">
        <v>46357</v>
      </c>
      <c r="E227" s="18" t="s">
        <v>110</v>
      </c>
      <c r="F227" s="18" t="s">
        <v>1943</v>
      </c>
      <c r="G227" s="18" t="s">
        <v>195</v>
      </c>
      <c r="H227" s="65" t="n">
        <v>3054</v>
      </c>
      <c r="I227" s="65" t="n">
        <v>7.86</v>
      </c>
      <c r="J227" s="65" t="s">
        <v>2031</v>
      </c>
      <c r="K227" s="65" t="n">
        <v>24004.44</v>
      </c>
      <c r="L227" s="66" t="n">
        <f aca="false">H227*I227</f>
        <v>24004.44</v>
      </c>
      <c r="M227" s="66" t="n">
        <f aca="false">L227-K227</f>
        <v>3.63797880709171E-012</v>
      </c>
    </row>
    <row r="228" customFormat="false" ht="15" hidden="false" customHeight="false" outlineLevel="0" collapsed="false">
      <c r="A228" s="18" t="s">
        <v>210</v>
      </c>
      <c r="B228" s="18" t="s">
        <v>207</v>
      </c>
      <c r="C228" s="18" t="s">
        <v>211</v>
      </c>
      <c r="D228" s="49" t="n">
        <v>46357</v>
      </c>
      <c r="E228" s="18" t="s">
        <v>1948</v>
      </c>
      <c r="F228" s="18" t="s">
        <v>1949</v>
      </c>
      <c r="G228" s="18" t="s">
        <v>43</v>
      </c>
      <c r="H228" s="65" t="n">
        <v>50900</v>
      </c>
      <c r="I228" s="65" t="n">
        <v>1</v>
      </c>
      <c r="J228" s="65" t="s">
        <v>2013</v>
      </c>
      <c r="K228" s="65" t="n">
        <v>50900</v>
      </c>
      <c r="L228" s="66" t="n">
        <f aca="false">H228*I228</f>
        <v>50900</v>
      </c>
      <c r="M228" s="66" t="n">
        <f aca="false">L228-K228</f>
        <v>0</v>
      </c>
    </row>
    <row r="229" customFormat="false" ht="15" hidden="false" customHeight="false" outlineLevel="0" collapsed="false">
      <c r="A229" s="18" t="s">
        <v>213</v>
      </c>
      <c r="B229" s="18" t="s">
        <v>207</v>
      </c>
      <c r="C229" s="18" t="s">
        <v>214</v>
      </c>
      <c r="D229" s="49" t="n">
        <v>46266</v>
      </c>
      <c r="E229" s="18" t="s">
        <v>100</v>
      </c>
      <c r="F229" s="18" t="s">
        <v>1939</v>
      </c>
      <c r="G229" s="18" t="s">
        <v>195</v>
      </c>
      <c r="H229" s="65" t="n">
        <v>25450</v>
      </c>
      <c r="I229" s="65" t="n">
        <v>7.92</v>
      </c>
      <c r="J229" s="65" t="s">
        <v>2007</v>
      </c>
      <c r="K229" s="65" t="n">
        <v>201564</v>
      </c>
      <c r="L229" s="66" t="n">
        <f aca="false">H229*I229</f>
        <v>201564</v>
      </c>
      <c r="M229" s="66" t="n">
        <f aca="false">L229-K229</f>
        <v>0</v>
      </c>
    </row>
    <row r="230" customFormat="false" ht="15" hidden="false" customHeight="false" outlineLevel="0" collapsed="false">
      <c r="A230" s="18" t="s">
        <v>213</v>
      </c>
      <c r="B230" s="18" t="s">
        <v>207</v>
      </c>
      <c r="C230" s="18" t="s">
        <v>214</v>
      </c>
      <c r="D230" s="49" t="n">
        <v>46266</v>
      </c>
      <c r="E230" s="18" t="s">
        <v>100</v>
      </c>
      <c r="F230" s="18" t="s">
        <v>1941</v>
      </c>
      <c r="G230" s="18" t="s">
        <v>195</v>
      </c>
      <c r="H230" s="65" t="n">
        <v>14252</v>
      </c>
      <c r="I230" s="65" t="n">
        <v>7.92</v>
      </c>
      <c r="J230" s="65" t="s">
        <v>2008</v>
      </c>
      <c r="K230" s="65" t="n">
        <v>112875.84</v>
      </c>
      <c r="L230" s="66" t="n">
        <f aca="false">H230*I230</f>
        <v>112875.84</v>
      </c>
      <c r="M230" s="66" t="n">
        <f aca="false">L230-K230</f>
        <v>0</v>
      </c>
    </row>
    <row r="231" customFormat="false" ht="15" hidden="false" customHeight="false" outlineLevel="0" collapsed="false">
      <c r="A231" s="18" t="s">
        <v>213</v>
      </c>
      <c r="B231" s="18" t="s">
        <v>207</v>
      </c>
      <c r="C231" s="18" t="s">
        <v>214</v>
      </c>
      <c r="D231" s="49" t="n">
        <v>46266</v>
      </c>
      <c r="E231" s="18" t="s">
        <v>100</v>
      </c>
      <c r="F231" s="18" t="s">
        <v>1943</v>
      </c>
      <c r="G231" s="18" t="s">
        <v>195</v>
      </c>
      <c r="H231" s="65" t="n">
        <v>4072</v>
      </c>
      <c r="I231" s="65" t="n">
        <v>7.92</v>
      </c>
      <c r="J231" s="65" t="s">
        <v>2009</v>
      </c>
      <c r="K231" s="65" t="n">
        <v>32250.24</v>
      </c>
      <c r="L231" s="66" t="n">
        <f aca="false">H231*I231</f>
        <v>32250.24</v>
      </c>
      <c r="M231" s="66" t="n">
        <f aca="false">L231-K231</f>
        <v>-3.63797880709171E-012</v>
      </c>
    </row>
    <row r="232" customFormat="false" ht="15" hidden="false" customHeight="false" outlineLevel="0" collapsed="false">
      <c r="A232" s="18" t="s">
        <v>213</v>
      </c>
      <c r="B232" s="18" t="s">
        <v>207</v>
      </c>
      <c r="C232" s="18" t="s">
        <v>214</v>
      </c>
      <c r="D232" s="49" t="n">
        <v>46266</v>
      </c>
      <c r="E232" s="18" t="s">
        <v>110</v>
      </c>
      <c r="F232" s="18" t="s">
        <v>1939</v>
      </c>
      <c r="G232" s="18" t="s">
        <v>195</v>
      </c>
      <c r="H232" s="65" t="n">
        <v>18324</v>
      </c>
      <c r="I232" s="65" t="n">
        <v>7.92</v>
      </c>
      <c r="J232" s="65" t="s">
        <v>2010</v>
      </c>
      <c r="K232" s="65" t="n">
        <v>145126.08</v>
      </c>
      <c r="L232" s="66" t="n">
        <f aca="false">H232*I232</f>
        <v>145126.08</v>
      </c>
      <c r="M232" s="66" t="n">
        <f aca="false">L232-K232</f>
        <v>0</v>
      </c>
    </row>
    <row r="233" customFormat="false" ht="15" hidden="false" customHeight="false" outlineLevel="0" collapsed="false">
      <c r="A233" s="18" t="s">
        <v>213</v>
      </c>
      <c r="B233" s="18" t="s">
        <v>207</v>
      </c>
      <c r="C233" s="18" t="s">
        <v>214</v>
      </c>
      <c r="D233" s="49" t="n">
        <v>46266</v>
      </c>
      <c r="E233" s="18" t="s">
        <v>110</v>
      </c>
      <c r="F233" s="18" t="s">
        <v>1941</v>
      </c>
      <c r="G233" s="18" t="s">
        <v>195</v>
      </c>
      <c r="H233" s="65" t="n">
        <v>11198</v>
      </c>
      <c r="I233" s="65" t="n">
        <v>7.92</v>
      </c>
      <c r="J233" s="65" t="s">
        <v>2011</v>
      </c>
      <c r="K233" s="65" t="n">
        <v>88688.16</v>
      </c>
      <c r="L233" s="66" t="n">
        <f aca="false">H233*I233</f>
        <v>88688.16</v>
      </c>
      <c r="M233" s="66" t="n">
        <f aca="false">L233-K233</f>
        <v>0</v>
      </c>
    </row>
    <row r="234" customFormat="false" ht="15" hidden="false" customHeight="false" outlineLevel="0" collapsed="false">
      <c r="A234" s="18" t="s">
        <v>213</v>
      </c>
      <c r="B234" s="18" t="s">
        <v>207</v>
      </c>
      <c r="C234" s="18" t="s">
        <v>214</v>
      </c>
      <c r="D234" s="49" t="n">
        <v>46266</v>
      </c>
      <c r="E234" s="18" t="s">
        <v>110</v>
      </c>
      <c r="F234" s="18" t="s">
        <v>1943</v>
      </c>
      <c r="G234" s="18" t="s">
        <v>195</v>
      </c>
      <c r="H234" s="65" t="n">
        <v>3054</v>
      </c>
      <c r="I234" s="65" t="n">
        <v>7.92</v>
      </c>
      <c r="J234" s="65" t="s">
        <v>2012</v>
      </c>
      <c r="K234" s="65" t="n">
        <v>24187.68</v>
      </c>
      <c r="L234" s="66" t="n">
        <f aca="false">H234*I234</f>
        <v>24187.68</v>
      </c>
      <c r="M234" s="66" t="n">
        <f aca="false">L234-K234</f>
        <v>0</v>
      </c>
    </row>
    <row r="235" customFormat="false" ht="15" hidden="false" customHeight="false" outlineLevel="0" collapsed="false">
      <c r="A235" s="18" t="s">
        <v>213</v>
      </c>
      <c r="B235" s="18" t="s">
        <v>207</v>
      </c>
      <c r="C235" s="18" t="s">
        <v>214</v>
      </c>
      <c r="D235" s="49" t="n">
        <v>46266</v>
      </c>
      <c r="E235" s="18" t="s">
        <v>1948</v>
      </c>
      <c r="F235" s="18" t="s">
        <v>1949</v>
      </c>
      <c r="G235" s="18" t="s">
        <v>43</v>
      </c>
      <c r="H235" s="65" t="n">
        <v>50900</v>
      </c>
      <c r="I235" s="65" t="n">
        <v>1</v>
      </c>
      <c r="J235" s="65" t="s">
        <v>2013</v>
      </c>
      <c r="K235" s="65" t="n">
        <v>50900</v>
      </c>
      <c r="L235" s="66" t="n">
        <f aca="false">H235*I235</f>
        <v>50900</v>
      </c>
      <c r="M235" s="66" t="n">
        <f aca="false">L235-K235</f>
        <v>0</v>
      </c>
    </row>
    <row r="236" customFormat="false" ht="15" hidden="false" customHeight="false" outlineLevel="0" collapsed="false">
      <c r="A236" s="18" t="s">
        <v>213</v>
      </c>
      <c r="B236" s="18" t="s">
        <v>207</v>
      </c>
      <c r="C236" s="18" t="s">
        <v>214</v>
      </c>
      <c r="D236" s="49" t="n">
        <v>46296</v>
      </c>
      <c r="E236" s="18" t="s">
        <v>100</v>
      </c>
      <c r="F236" s="18" t="s">
        <v>1939</v>
      </c>
      <c r="G236" s="18" t="s">
        <v>195</v>
      </c>
      <c r="H236" s="65" t="n">
        <v>25450</v>
      </c>
      <c r="I236" s="65" t="n">
        <v>7.9</v>
      </c>
      <c r="J236" s="65" t="s">
        <v>2014</v>
      </c>
      <c r="K236" s="65" t="n">
        <v>201055</v>
      </c>
      <c r="L236" s="66" t="n">
        <f aca="false">H236*I236</f>
        <v>201055</v>
      </c>
      <c r="M236" s="66" t="n">
        <f aca="false">L236-K236</f>
        <v>0</v>
      </c>
    </row>
    <row r="237" customFormat="false" ht="15" hidden="false" customHeight="false" outlineLevel="0" collapsed="false">
      <c r="A237" s="18" t="s">
        <v>213</v>
      </c>
      <c r="B237" s="18" t="s">
        <v>207</v>
      </c>
      <c r="C237" s="18" t="s">
        <v>214</v>
      </c>
      <c r="D237" s="49" t="n">
        <v>46296</v>
      </c>
      <c r="E237" s="18" t="s">
        <v>100</v>
      </c>
      <c r="F237" s="18" t="s">
        <v>1941</v>
      </c>
      <c r="G237" s="18" t="s">
        <v>195</v>
      </c>
      <c r="H237" s="65" t="n">
        <v>14252</v>
      </c>
      <c r="I237" s="65" t="n">
        <v>7.9</v>
      </c>
      <c r="J237" s="65" t="s">
        <v>2015</v>
      </c>
      <c r="K237" s="65" t="n">
        <v>112590.8</v>
      </c>
      <c r="L237" s="66" t="n">
        <f aca="false">H237*I237</f>
        <v>112590.8</v>
      </c>
      <c r="M237" s="66" t="n">
        <f aca="false">L237-K237</f>
        <v>0</v>
      </c>
    </row>
    <row r="238" customFormat="false" ht="15" hidden="false" customHeight="false" outlineLevel="0" collapsed="false">
      <c r="A238" s="18" t="s">
        <v>213</v>
      </c>
      <c r="B238" s="18" t="s">
        <v>207</v>
      </c>
      <c r="C238" s="18" t="s">
        <v>214</v>
      </c>
      <c r="D238" s="49" t="n">
        <v>46296</v>
      </c>
      <c r="E238" s="18" t="s">
        <v>100</v>
      </c>
      <c r="F238" s="18" t="s">
        <v>1943</v>
      </c>
      <c r="G238" s="18" t="s">
        <v>195</v>
      </c>
      <c r="H238" s="65" t="n">
        <v>4072</v>
      </c>
      <c r="I238" s="65" t="n">
        <v>7.9</v>
      </c>
      <c r="J238" s="65" t="s">
        <v>2016</v>
      </c>
      <c r="K238" s="65" t="n">
        <v>32168.8</v>
      </c>
      <c r="L238" s="66" t="n">
        <f aca="false">H238*I238</f>
        <v>32168.8</v>
      </c>
      <c r="M238" s="66" t="n">
        <f aca="false">L238-K238</f>
        <v>3.63797880709171E-012</v>
      </c>
    </row>
    <row r="239" customFormat="false" ht="15" hidden="false" customHeight="false" outlineLevel="0" collapsed="false">
      <c r="A239" s="18" t="s">
        <v>213</v>
      </c>
      <c r="B239" s="18" t="s">
        <v>207</v>
      </c>
      <c r="C239" s="18" t="s">
        <v>214</v>
      </c>
      <c r="D239" s="49" t="n">
        <v>46296</v>
      </c>
      <c r="E239" s="18" t="s">
        <v>110</v>
      </c>
      <c r="F239" s="18" t="s">
        <v>1939</v>
      </c>
      <c r="G239" s="18" t="s">
        <v>195</v>
      </c>
      <c r="H239" s="65" t="n">
        <v>18324</v>
      </c>
      <c r="I239" s="65" t="n">
        <v>7.9</v>
      </c>
      <c r="J239" s="65" t="s">
        <v>2017</v>
      </c>
      <c r="K239" s="65" t="n">
        <v>144759.6</v>
      </c>
      <c r="L239" s="66" t="n">
        <f aca="false">H239*I239</f>
        <v>144759.6</v>
      </c>
      <c r="M239" s="66" t="n">
        <f aca="false">L239-K239</f>
        <v>0</v>
      </c>
    </row>
    <row r="240" customFormat="false" ht="15" hidden="false" customHeight="false" outlineLevel="0" collapsed="false">
      <c r="A240" s="18" t="s">
        <v>213</v>
      </c>
      <c r="B240" s="18" t="s">
        <v>207</v>
      </c>
      <c r="C240" s="18" t="s">
        <v>214</v>
      </c>
      <c r="D240" s="49" t="n">
        <v>46296</v>
      </c>
      <c r="E240" s="18" t="s">
        <v>110</v>
      </c>
      <c r="F240" s="18" t="s">
        <v>1941</v>
      </c>
      <c r="G240" s="18" t="s">
        <v>195</v>
      </c>
      <c r="H240" s="65" t="n">
        <v>11198</v>
      </c>
      <c r="I240" s="65" t="n">
        <v>7.9</v>
      </c>
      <c r="J240" s="65" t="s">
        <v>2018</v>
      </c>
      <c r="K240" s="65" t="n">
        <v>88464.2</v>
      </c>
      <c r="L240" s="66" t="n">
        <f aca="false">H240*I240</f>
        <v>88464.2</v>
      </c>
      <c r="M240" s="66" t="n">
        <f aca="false">L240-K240</f>
        <v>0</v>
      </c>
    </row>
    <row r="241" customFormat="false" ht="15" hidden="false" customHeight="false" outlineLevel="0" collapsed="false">
      <c r="A241" s="18" t="s">
        <v>213</v>
      </c>
      <c r="B241" s="18" t="s">
        <v>207</v>
      </c>
      <c r="C241" s="18" t="s">
        <v>214</v>
      </c>
      <c r="D241" s="49" t="n">
        <v>46296</v>
      </c>
      <c r="E241" s="18" t="s">
        <v>110</v>
      </c>
      <c r="F241" s="18" t="s">
        <v>1943</v>
      </c>
      <c r="G241" s="18" t="s">
        <v>195</v>
      </c>
      <c r="H241" s="65" t="n">
        <v>3054</v>
      </c>
      <c r="I241" s="65" t="n">
        <v>7.9</v>
      </c>
      <c r="J241" s="65" t="s">
        <v>2019</v>
      </c>
      <c r="K241" s="65" t="n">
        <v>24126.6</v>
      </c>
      <c r="L241" s="66" t="n">
        <f aca="false">H241*I241</f>
        <v>24126.6</v>
      </c>
      <c r="M241" s="66" t="n">
        <f aca="false">L241-K241</f>
        <v>3.63797880709171E-012</v>
      </c>
    </row>
    <row r="242" customFormat="false" ht="15" hidden="false" customHeight="false" outlineLevel="0" collapsed="false">
      <c r="A242" s="18" t="s">
        <v>213</v>
      </c>
      <c r="B242" s="18" t="s">
        <v>207</v>
      </c>
      <c r="C242" s="18" t="s">
        <v>214</v>
      </c>
      <c r="D242" s="49" t="n">
        <v>46296</v>
      </c>
      <c r="E242" s="18" t="s">
        <v>1948</v>
      </c>
      <c r="F242" s="18" t="s">
        <v>1949</v>
      </c>
      <c r="G242" s="18" t="s">
        <v>43</v>
      </c>
      <c r="H242" s="65" t="n">
        <v>50900</v>
      </c>
      <c r="I242" s="65" t="n">
        <v>1</v>
      </c>
      <c r="J242" s="65" t="s">
        <v>2013</v>
      </c>
      <c r="K242" s="65" t="n">
        <v>50900</v>
      </c>
      <c r="L242" s="66" t="n">
        <f aca="false">H242*I242</f>
        <v>50900</v>
      </c>
      <c r="M242" s="66" t="n">
        <f aca="false">L242-K242</f>
        <v>0</v>
      </c>
    </row>
    <row r="243" customFormat="false" ht="15" hidden="false" customHeight="false" outlineLevel="0" collapsed="false">
      <c r="A243" s="18" t="s">
        <v>213</v>
      </c>
      <c r="B243" s="18" t="s">
        <v>207</v>
      </c>
      <c r="C243" s="18" t="s">
        <v>214</v>
      </c>
      <c r="D243" s="49" t="n">
        <v>46327</v>
      </c>
      <c r="E243" s="18" t="s">
        <v>100</v>
      </c>
      <c r="F243" s="18" t="s">
        <v>1939</v>
      </c>
      <c r="G243" s="18" t="s">
        <v>195</v>
      </c>
      <c r="H243" s="65" t="n">
        <v>25450</v>
      </c>
      <c r="I243" s="65" t="n">
        <v>7.88</v>
      </c>
      <c r="J243" s="65" t="s">
        <v>2020</v>
      </c>
      <c r="K243" s="65" t="n">
        <v>200546</v>
      </c>
      <c r="L243" s="66" t="n">
        <f aca="false">H243*I243</f>
        <v>200546</v>
      </c>
      <c r="M243" s="66" t="n">
        <f aca="false">L243-K243</f>
        <v>0</v>
      </c>
    </row>
    <row r="244" customFormat="false" ht="15" hidden="false" customHeight="false" outlineLevel="0" collapsed="false">
      <c r="A244" s="18" t="s">
        <v>213</v>
      </c>
      <c r="B244" s="18" t="s">
        <v>207</v>
      </c>
      <c r="C244" s="18" t="s">
        <v>214</v>
      </c>
      <c r="D244" s="49" t="n">
        <v>46327</v>
      </c>
      <c r="E244" s="18" t="s">
        <v>100</v>
      </c>
      <c r="F244" s="18" t="s">
        <v>1941</v>
      </c>
      <c r="G244" s="18" t="s">
        <v>195</v>
      </c>
      <c r="H244" s="65" t="n">
        <v>14252</v>
      </c>
      <c r="I244" s="65" t="n">
        <v>7.88</v>
      </c>
      <c r="J244" s="65" t="s">
        <v>2021</v>
      </c>
      <c r="K244" s="65" t="n">
        <v>112305.76</v>
      </c>
      <c r="L244" s="66" t="n">
        <f aca="false">H244*I244</f>
        <v>112305.76</v>
      </c>
      <c r="M244" s="66" t="n">
        <f aca="false">L244-K244</f>
        <v>0</v>
      </c>
    </row>
    <row r="245" customFormat="false" ht="15" hidden="false" customHeight="false" outlineLevel="0" collapsed="false">
      <c r="A245" s="18" t="s">
        <v>213</v>
      </c>
      <c r="B245" s="18" t="s">
        <v>207</v>
      </c>
      <c r="C245" s="18" t="s">
        <v>214</v>
      </c>
      <c r="D245" s="49" t="n">
        <v>46327</v>
      </c>
      <c r="E245" s="18" t="s">
        <v>100</v>
      </c>
      <c r="F245" s="18" t="s">
        <v>1943</v>
      </c>
      <c r="G245" s="18" t="s">
        <v>195</v>
      </c>
      <c r="H245" s="65" t="n">
        <v>4072</v>
      </c>
      <c r="I245" s="65" t="n">
        <v>7.88</v>
      </c>
      <c r="J245" s="65" t="s">
        <v>2022</v>
      </c>
      <c r="K245" s="65" t="n">
        <v>32087.36</v>
      </c>
      <c r="L245" s="66" t="n">
        <f aca="false">H245*I245</f>
        <v>32087.36</v>
      </c>
      <c r="M245" s="66" t="n">
        <f aca="false">L245-K245</f>
        <v>0</v>
      </c>
    </row>
    <row r="246" customFormat="false" ht="15" hidden="false" customHeight="false" outlineLevel="0" collapsed="false">
      <c r="A246" s="18" t="s">
        <v>213</v>
      </c>
      <c r="B246" s="18" t="s">
        <v>207</v>
      </c>
      <c r="C246" s="18" t="s">
        <v>214</v>
      </c>
      <c r="D246" s="49" t="n">
        <v>46327</v>
      </c>
      <c r="E246" s="18" t="s">
        <v>110</v>
      </c>
      <c r="F246" s="18" t="s">
        <v>1939</v>
      </c>
      <c r="G246" s="18" t="s">
        <v>195</v>
      </c>
      <c r="H246" s="65" t="n">
        <v>18324</v>
      </c>
      <c r="I246" s="65" t="n">
        <v>7.88</v>
      </c>
      <c r="J246" s="65" t="s">
        <v>2023</v>
      </c>
      <c r="K246" s="65" t="n">
        <v>144393.12</v>
      </c>
      <c r="L246" s="66" t="n">
        <f aca="false">H246*I246</f>
        <v>144393.12</v>
      </c>
      <c r="M246" s="66" t="n">
        <f aca="false">L246-K246</f>
        <v>0</v>
      </c>
    </row>
    <row r="247" customFormat="false" ht="15" hidden="false" customHeight="false" outlineLevel="0" collapsed="false">
      <c r="A247" s="18" t="s">
        <v>213</v>
      </c>
      <c r="B247" s="18" t="s">
        <v>207</v>
      </c>
      <c r="C247" s="18" t="s">
        <v>214</v>
      </c>
      <c r="D247" s="49" t="n">
        <v>46327</v>
      </c>
      <c r="E247" s="18" t="s">
        <v>110</v>
      </c>
      <c r="F247" s="18" t="s">
        <v>1941</v>
      </c>
      <c r="G247" s="18" t="s">
        <v>195</v>
      </c>
      <c r="H247" s="65" t="n">
        <v>11198</v>
      </c>
      <c r="I247" s="65" t="n">
        <v>7.88</v>
      </c>
      <c r="J247" s="65" t="s">
        <v>2024</v>
      </c>
      <c r="K247" s="65" t="n">
        <v>88240.24</v>
      </c>
      <c r="L247" s="66" t="n">
        <f aca="false">H247*I247</f>
        <v>88240.24</v>
      </c>
      <c r="M247" s="66" t="n">
        <f aca="false">L247-K247</f>
        <v>0</v>
      </c>
    </row>
    <row r="248" customFormat="false" ht="15" hidden="false" customHeight="false" outlineLevel="0" collapsed="false">
      <c r="A248" s="18" t="s">
        <v>213</v>
      </c>
      <c r="B248" s="18" t="s">
        <v>207</v>
      </c>
      <c r="C248" s="18" t="s">
        <v>214</v>
      </c>
      <c r="D248" s="49" t="n">
        <v>46327</v>
      </c>
      <c r="E248" s="18" t="s">
        <v>110</v>
      </c>
      <c r="F248" s="18" t="s">
        <v>1943</v>
      </c>
      <c r="G248" s="18" t="s">
        <v>195</v>
      </c>
      <c r="H248" s="65" t="n">
        <v>3054</v>
      </c>
      <c r="I248" s="65" t="n">
        <v>7.88</v>
      </c>
      <c r="J248" s="65" t="s">
        <v>2025</v>
      </c>
      <c r="K248" s="65" t="n">
        <v>24065.52</v>
      </c>
      <c r="L248" s="66" t="n">
        <f aca="false">H248*I248</f>
        <v>24065.52</v>
      </c>
      <c r="M248" s="66" t="n">
        <f aca="false">L248-K248</f>
        <v>0</v>
      </c>
    </row>
    <row r="249" customFormat="false" ht="15" hidden="false" customHeight="false" outlineLevel="0" collapsed="false">
      <c r="A249" s="18" t="s">
        <v>213</v>
      </c>
      <c r="B249" s="18" t="s">
        <v>207</v>
      </c>
      <c r="C249" s="18" t="s">
        <v>214</v>
      </c>
      <c r="D249" s="49" t="n">
        <v>46327</v>
      </c>
      <c r="E249" s="18" t="s">
        <v>1948</v>
      </c>
      <c r="F249" s="18" t="s">
        <v>1949</v>
      </c>
      <c r="G249" s="18" t="s">
        <v>43</v>
      </c>
      <c r="H249" s="65" t="n">
        <v>50900</v>
      </c>
      <c r="I249" s="65" t="n">
        <v>1</v>
      </c>
      <c r="J249" s="65" t="s">
        <v>2013</v>
      </c>
      <c r="K249" s="65" t="n">
        <v>50900</v>
      </c>
      <c r="L249" s="66" t="n">
        <f aca="false">H249*I249</f>
        <v>50900</v>
      </c>
      <c r="M249" s="66" t="n">
        <f aca="false">L249-K249</f>
        <v>0</v>
      </c>
    </row>
    <row r="250" customFormat="false" ht="15" hidden="false" customHeight="false" outlineLevel="0" collapsed="false">
      <c r="A250" s="18" t="s">
        <v>213</v>
      </c>
      <c r="B250" s="18" t="s">
        <v>207</v>
      </c>
      <c r="C250" s="18" t="s">
        <v>214</v>
      </c>
      <c r="D250" s="49" t="n">
        <v>46357</v>
      </c>
      <c r="E250" s="18" t="s">
        <v>100</v>
      </c>
      <c r="F250" s="18" t="s">
        <v>1939</v>
      </c>
      <c r="G250" s="18" t="s">
        <v>195</v>
      </c>
      <c r="H250" s="65" t="n">
        <v>25450</v>
      </c>
      <c r="I250" s="65" t="n">
        <v>7.86</v>
      </c>
      <c r="J250" s="65" t="s">
        <v>2026</v>
      </c>
      <c r="K250" s="65" t="n">
        <v>200037</v>
      </c>
      <c r="L250" s="66" t="n">
        <f aca="false">H250*I250</f>
        <v>200037</v>
      </c>
      <c r="M250" s="66" t="n">
        <f aca="false">L250-K250</f>
        <v>0</v>
      </c>
    </row>
    <row r="251" customFormat="false" ht="15" hidden="false" customHeight="false" outlineLevel="0" collapsed="false">
      <c r="A251" s="18" t="s">
        <v>213</v>
      </c>
      <c r="B251" s="18" t="s">
        <v>207</v>
      </c>
      <c r="C251" s="18" t="s">
        <v>214</v>
      </c>
      <c r="D251" s="49" t="n">
        <v>46357</v>
      </c>
      <c r="E251" s="18" t="s">
        <v>100</v>
      </c>
      <c r="F251" s="18" t="s">
        <v>1941</v>
      </c>
      <c r="G251" s="18" t="s">
        <v>195</v>
      </c>
      <c r="H251" s="65" t="n">
        <v>14252</v>
      </c>
      <c r="I251" s="65" t="n">
        <v>7.86</v>
      </c>
      <c r="J251" s="65" t="s">
        <v>2027</v>
      </c>
      <c r="K251" s="65" t="n">
        <v>112020.72</v>
      </c>
      <c r="L251" s="66" t="n">
        <f aca="false">H251*I251</f>
        <v>112020.72</v>
      </c>
      <c r="M251" s="66" t="n">
        <f aca="false">L251-K251</f>
        <v>0</v>
      </c>
    </row>
    <row r="252" customFormat="false" ht="15" hidden="false" customHeight="false" outlineLevel="0" collapsed="false">
      <c r="A252" s="18" t="s">
        <v>213</v>
      </c>
      <c r="B252" s="18" t="s">
        <v>207</v>
      </c>
      <c r="C252" s="18" t="s">
        <v>214</v>
      </c>
      <c r="D252" s="49" t="n">
        <v>46357</v>
      </c>
      <c r="E252" s="18" t="s">
        <v>100</v>
      </c>
      <c r="F252" s="18" t="s">
        <v>1943</v>
      </c>
      <c r="G252" s="18" t="s">
        <v>195</v>
      </c>
      <c r="H252" s="65" t="n">
        <v>4072</v>
      </c>
      <c r="I252" s="65" t="n">
        <v>7.86</v>
      </c>
      <c r="J252" s="65" t="s">
        <v>2028</v>
      </c>
      <c r="K252" s="65" t="n">
        <v>32005.92</v>
      </c>
      <c r="L252" s="66" t="n">
        <f aca="false">H252*I252</f>
        <v>32005.92</v>
      </c>
      <c r="M252" s="66" t="n">
        <f aca="false">L252-K252</f>
        <v>3.63797880709171E-012</v>
      </c>
    </row>
    <row r="253" customFormat="false" ht="15" hidden="false" customHeight="false" outlineLevel="0" collapsed="false">
      <c r="A253" s="18" t="s">
        <v>213</v>
      </c>
      <c r="B253" s="18" t="s">
        <v>207</v>
      </c>
      <c r="C253" s="18" t="s">
        <v>214</v>
      </c>
      <c r="D253" s="49" t="n">
        <v>46357</v>
      </c>
      <c r="E253" s="18" t="s">
        <v>110</v>
      </c>
      <c r="F253" s="18" t="s">
        <v>1939</v>
      </c>
      <c r="G253" s="18" t="s">
        <v>195</v>
      </c>
      <c r="H253" s="65" t="n">
        <v>18324</v>
      </c>
      <c r="I253" s="65" t="n">
        <v>7.86</v>
      </c>
      <c r="J253" s="65" t="s">
        <v>2029</v>
      </c>
      <c r="K253" s="65" t="n">
        <v>144026.64</v>
      </c>
      <c r="L253" s="66" t="n">
        <f aca="false">H253*I253</f>
        <v>144026.64</v>
      </c>
      <c r="M253" s="66" t="n">
        <f aca="false">L253-K253</f>
        <v>0</v>
      </c>
    </row>
    <row r="254" customFormat="false" ht="15" hidden="false" customHeight="false" outlineLevel="0" collapsed="false">
      <c r="A254" s="18" t="s">
        <v>213</v>
      </c>
      <c r="B254" s="18" t="s">
        <v>207</v>
      </c>
      <c r="C254" s="18" t="s">
        <v>214</v>
      </c>
      <c r="D254" s="49" t="n">
        <v>46357</v>
      </c>
      <c r="E254" s="18" t="s">
        <v>110</v>
      </c>
      <c r="F254" s="18" t="s">
        <v>1941</v>
      </c>
      <c r="G254" s="18" t="s">
        <v>195</v>
      </c>
      <c r="H254" s="65" t="n">
        <v>11198</v>
      </c>
      <c r="I254" s="65" t="n">
        <v>7.86</v>
      </c>
      <c r="J254" s="65" t="s">
        <v>2030</v>
      </c>
      <c r="K254" s="65" t="n">
        <v>88016.28</v>
      </c>
      <c r="L254" s="66" t="n">
        <f aca="false">H254*I254</f>
        <v>88016.28</v>
      </c>
      <c r="M254" s="66" t="n">
        <f aca="false">L254-K254</f>
        <v>0</v>
      </c>
    </row>
    <row r="255" customFormat="false" ht="15" hidden="false" customHeight="false" outlineLevel="0" collapsed="false">
      <c r="A255" s="18" t="s">
        <v>213</v>
      </c>
      <c r="B255" s="18" t="s">
        <v>207</v>
      </c>
      <c r="C255" s="18" t="s">
        <v>214</v>
      </c>
      <c r="D255" s="49" t="n">
        <v>46357</v>
      </c>
      <c r="E255" s="18" t="s">
        <v>110</v>
      </c>
      <c r="F255" s="18" t="s">
        <v>1943</v>
      </c>
      <c r="G255" s="18" t="s">
        <v>195</v>
      </c>
      <c r="H255" s="65" t="n">
        <v>3054</v>
      </c>
      <c r="I255" s="65" t="n">
        <v>7.86</v>
      </c>
      <c r="J255" s="65" t="s">
        <v>2031</v>
      </c>
      <c r="K255" s="65" t="n">
        <v>24004.44</v>
      </c>
      <c r="L255" s="66" t="n">
        <f aca="false">H255*I255</f>
        <v>24004.44</v>
      </c>
      <c r="M255" s="66" t="n">
        <f aca="false">L255-K255</f>
        <v>3.63797880709171E-012</v>
      </c>
    </row>
    <row r="256" customFormat="false" ht="15" hidden="false" customHeight="false" outlineLevel="0" collapsed="false">
      <c r="A256" s="21" t="s">
        <v>213</v>
      </c>
      <c r="B256" s="21" t="s">
        <v>207</v>
      </c>
      <c r="C256" s="21" t="s">
        <v>214</v>
      </c>
      <c r="D256" s="55" t="n">
        <v>46357</v>
      </c>
      <c r="E256" s="21" t="s">
        <v>1948</v>
      </c>
      <c r="F256" s="21" t="s">
        <v>1949</v>
      </c>
      <c r="G256" s="21" t="s">
        <v>43</v>
      </c>
      <c r="H256" s="68" t="n">
        <v>50900</v>
      </c>
      <c r="I256" s="68" t="n">
        <v>1</v>
      </c>
      <c r="J256" s="68" t="s">
        <v>2013</v>
      </c>
      <c r="K256" s="68" t="n">
        <v>50900</v>
      </c>
      <c r="L256" s="69" t="n">
        <f aca="false">H256*I256</f>
        <v>50900</v>
      </c>
      <c r="M256" s="69" t="n">
        <f aca="false">L256-K256</f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26"/>
    <col collapsed="false" customWidth="true" hidden="false" outlineLevel="0" max="12" min="10" style="0" width="16"/>
    <col collapsed="false" customWidth="true" hidden="false" outlineLevel="0" max="13" min="13" style="0" width="24"/>
    <col collapsed="false" customWidth="true" hidden="false" outlineLevel="0" max="14" min="14" style="0" width="30"/>
  </cols>
  <sheetData>
    <row r="1" customFormat="false" ht="32" hidden="false" customHeight="true" outlineLevel="0" collapsed="false">
      <c r="A1" s="24" t="s">
        <v>2032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28" hidden="false" customHeight="true" outlineLevel="0" collapsed="false">
      <c r="A2" s="70" t="s">
        <v>2033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139</v>
      </c>
      <c r="F4" s="12" t="s">
        <v>220</v>
      </c>
      <c r="G4" s="12" t="s">
        <v>221</v>
      </c>
      <c r="H4" s="12" t="s">
        <v>222</v>
      </c>
      <c r="I4" s="12" t="s">
        <v>223</v>
      </c>
      <c r="J4" s="12" t="s">
        <v>224</v>
      </c>
      <c r="K4" s="12" t="s">
        <v>1937</v>
      </c>
      <c r="L4" s="12" t="s">
        <v>1938</v>
      </c>
      <c r="M4" s="12" t="s">
        <v>2034</v>
      </c>
      <c r="N4" s="13" t="s">
        <v>2035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99</v>
      </c>
      <c r="F5" s="15" t="s">
        <v>195</v>
      </c>
      <c r="G5" s="62" t="n">
        <v>482160</v>
      </c>
      <c r="H5" s="62" t="n">
        <v>7.8</v>
      </c>
      <c r="I5" s="62" t="s">
        <v>2036</v>
      </c>
      <c r="J5" s="62" t="n">
        <v>3760848</v>
      </c>
      <c r="K5" s="63" t="n">
        <f aca="false">G5*H5</f>
        <v>3760848</v>
      </c>
      <c r="L5" s="63" t="n">
        <f aca="false">K5-J5</f>
        <v>0</v>
      </c>
      <c r="M5" s="15" t="s">
        <v>2037</v>
      </c>
      <c r="N5" s="17" t="s">
        <v>2038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113</v>
      </c>
      <c r="F6" s="18" t="s">
        <v>195</v>
      </c>
      <c r="G6" s="65" t="n">
        <v>385280</v>
      </c>
      <c r="H6" s="65" t="n">
        <v>7.8</v>
      </c>
      <c r="I6" s="65" t="s">
        <v>2039</v>
      </c>
      <c r="J6" s="65" t="n">
        <v>3005184</v>
      </c>
      <c r="K6" s="66" t="n">
        <f aca="false">G6*H6</f>
        <v>3005184</v>
      </c>
      <c r="L6" s="66" t="n">
        <f aca="false">K6-J6</f>
        <v>0</v>
      </c>
      <c r="M6" s="18" t="s">
        <v>2037</v>
      </c>
      <c r="N6" s="20" t="s">
        <v>2038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119</v>
      </c>
      <c r="F7" s="18" t="s">
        <v>199</v>
      </c>
      <c r="G7" s="65" t="n">
        <v>283920</v>
      </c>
      <c r="H7" s="65" t="n">
        <v>9</v>
      </c>
      <c r="I7" s="65" t="s">
        <v>2040</v>
      </c>
      <c r="J7" s="65" t="n">
        <v>2555280</v>
      </c>
      <c r="K7" s="66" t="n">
        <f aca="false">G7*H7</f>
        <v>2555280</v>
      </c>
      <c r="L7" s="66" t="n">
        <f aca="false">K7-J7</f>
        <v>0</v>
      </c>
      <c r="M7" s="18" t="s">
        <v>2037</v>
      </c>
      <c r="N7" s="20" t="s">
        <v>2038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46054</v>
      </c>
      <c r="E8" s="18" t="s">
        <v>99</v>
      </c>
      <c r="F8" s="18" t="s">
        <v>195</v>
      </c>
      <c r="G8" s="65" t="n">
        <v>464940</v>
      </c>
      <c r="H8" s="65" t="n">
        <v>7.8</v>
      </c>
      <c r="I8" s="65" t="s">
        <v>2041</v>
      </c>
      <c r="J8" s="65" t="n">
        <v>3626532</v>
      </c>
      <c r="K8" s="66" t="n">
        <f aca="false">G8*H8</f>
        <v>3626532</v>
      </c>
      <c r="L8" s="66" t="n">
        <f aca="false">K8-J8</f>
        <v>0</v>
      </c>
      <c r="M8" s="18" t="s">
        <v>2037</v>
      </c>
      <c r="N8" s="20" t="s">
        <v>2038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46054</v>
      </c>
      <c r="E9" s="18" t="s">
        <v>113</v>
      </c>
      <c r="F9" s="18" t="s">
        <v>195</v>
      </c>
      <c r="G9" s="65" t="n">
        <v>371520</v>
      </c>
      <c r="H9" s="65" t="n">
        <v>7.8</v>
      </c>
      <c r="I9" s="65" t="s">
        <v>2042</v>
      </c>
      <c r="J9" s="65" t="n">
        <v>2897856</v>
      </c>
      <c r="K9" s="66" t="n">
        <f aca="false">G9*H9</f>
        <v>2897856</v>
      </c>
      <c r="L9" s="66" t="n">
        <f aca="false">K9-J9</f>
        <v>0</v>
      </c>
      <c r="M9" s="18" t="s">
        <v>2037</v>
      </c>
      <c r="N9" s="20" t="s">
        <v>2038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46054</v>
      </c>
      <c r="E10" s="18" t="s">
        <v>119</v>
      </c>
      <c r="F10" s="18" t="s">
        <v>199</v>
      </c>
      <c r="G10" s="65" t="n">
        <v>273780</v>
      </c>
      <c r="H10" s="65" t="n">
        <v>9</v>
      </c>
      <c r="I10" s="65" t="s">
        <v>2043</v>
      </c>
      <c r="J10" s="65" t="n">
        <v>2464020</v>
      </c>
      <c r="K10" s="66" t="n">
        <f aca="false">G10*H10</f>
        <v>2464020</v>
      </c>
      <c r="L10" s="66" t="n">
        <f aca="false">K10-J10</f>
        <v>0</v>
      </c>
      <c r="M10" s="18" t="s">
        <v>2037</v>
      </c>
      <c r="N10" s="20" t="s">
        <v>2038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46082</v>
      </c>
      <c r="E11" s="18" t="s">
        <v>99</v>
      </c>
      <c r="F11" s="18" t="s">
        <v>195</v>
      </c>
      <c r="G11" s="65" t="n">
        <v>492000</v>
      </c>
      <c r="H11" s="65" t="n">
        <v>7.8</v>
      </c>
      <c r="I11" s="65" t="s">
        <v>2044</v>
      </c>
      <c r="J11" s="65" t="n">
        <v>3837600</v>
      </c>
      <c r="K11" s="66" t="n">
        <f aca="false">G11*H11</f>
        <v>3837600</v>
      </c>
      <c r="L11" s="66" t="n">
        <f aca="false">K11-J11</f>
        <v>0</v>
      </c>
      <c r="M11" s="18" t="s">
        <v>2037</v>
      </c>
      <c r="N11" s="20" t="s">
        <v>2038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46082</v>
      </c>
      <c r="E12" s="18" t="s">
        <v>113</v>
      </c>
      <c r="F12" s="18" t="s">
        <v>195</v>
      </c>
      <c r="G12" s="65" t="n">
        <v>412800</v>
      </c>
      <c r="H12" s="65" t="n">
        <v>7.8</v>
      </c>
      <c r="I12" s="65" t="s">
        <v>2045</v>
      </c>
      <c r="J12" s="65" t="n">
        <v>3219840</v>
      </c>
      <c r="K12" s="66" t="n">
        <f aca="false">G12*H12</f>
        <v>3219840</v>
      </c>
      <c r="L12" s="66" t="n">
        <f aca="false">K12-J12</f>
        <v>0</v>
      </c>
      <c r="M12" s="18" t="s">
        <v>2037</v>
      </c>
      <c r="N12" s="20" t="s">
        <v>2038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46082</v>
      </c>
      <c r="E13" s="18" t="s">
        <v>119</v>
      </c>
      <c r="F13" s="18" t="s">
        <v>199</v>
      </c>
      <c r="G13" s="65" t="n">
        <v>327600</v>
      </c>
      <c r="H13" s="65" t="n">
        <v>9</v>
      </c>
      <c r="I13" s="65" t="s">
        <v>2046</v>
      </c>
      <c r="J13" s="65" t="n">
        <v>2948400</v>
      </c>
      <c r="K13" s="66" t="n">
        <f aca="false">G13*H13</f>
        <v>2948400</v>
      </c>
      <c r="L13" s="66" t="n">
        <f aca="false">K13-J13</f>
        <v>0</v>
      </c>
      <c r="M13" s="18" t="s">
        <v>2037</v>
      </c>
      <c r="N13" s="20" t="s">
        <v>2038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46113</v>
      </c>
      <c r="E14" s="18" t="s">
        <v>99</v>
      </c>
      <c r="F14" s="18" t="s">
        <v>195</v>
      </c>
      <c r="G14" s="65" t="n">
        <v>508400</v>
      </c>
      <c r="H14" s="65" t="n">
        <v>7.8</v>
      </c>
      <c r="I14" s="65" t="s">
        <v>2047</v>
      </c>
      <c r="J14" s="65" t="n">
        <v>3965520</v>
      </c>
      <c r="K14" s="66" t="n">
        <f aca="false">G14*H14</f>
        <v>3965520</v>
      </c>
      <c r="L14" s="66" t="n">
        <f aca="false">K14-J14</f>
        <v>0</v>
      </c>
      <c r="M14" s="18" t="s">
        <v>2037</v>
      </c>
      <c r="N14" s="20" t="s">
        <v>2038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46113</v>
      </c>
      <c r="E15" s="18" t="s">
        <v>113</v>
      </c>
      <c r="F15" s="18" t="s">
        <v>195</v>
      </c>
      <c r="G15" s="65" t="n">
        <v>426560</v>
      </c>
      <c r="H15" s="65" t="n">
        <v>7.8</v>
      </c>
      <c r="I15" s="65" t="s">
        <v>2048</v>
      </c>
      <c r="J15" s="65" t="n">
        <v>3327168</v>
      </c>
      <c r="K15" s="66" t="n">
        <f aca="false">G15*H15</f>
        <v>3327168</v>
      </c>
      <c r="L15" s="66" t="n">
        <f aca="false">K15-J15</f>
        <v>0</v>
      </c>
      <c r="M15" s="18" t="s">
        <v>2037</v>
      </c>
      <c r="N15" s="20" t="s">
        <v>2038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46113</v>
      </c>
      <c r="E16" s="18" t="s">
        <v>119</v>
      </c>
      <c r="F16" s="18" t="s">
        <v>199</v>
      </c>
      <c r="G16" s="65" t="n">
        <v>338520</v>
      </c>
      <c r="H16" s="65" t="n">
        <v>9</v>
      </c>
      <c r="I16" s="65" t="s">
        <v>2049</v>
      </c>
      <c r="J16" s="65" t="n">
        <v>3046680</v>
      </c>
      <c r="K16" s="66" t="n">
        <f aca="false">G16*H16</f>
        <v>3046680</v>
      </c>
      <c r="L16" s="66" t="n">
        <f aca="false">K16-J16</f>
        <v>0</v>
      </c>
      <c r="M16" s="18" t="s">
        <v>2037</v>
      </c>
      <c r="N16" s="20" t="s">
        <v>2038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46143</v>
      </c>
      <c r="E17" s="18" t="s">
        <v>99</v>
      </c>
      <c r="F17" s="18" t="s">
        <v>195</v>
      </c>
      <c r="G17" s="65" t="n">
        <v>511680</v>
      </c>
      <c r="H17" s="65" t="n">
        <v>7.8</v>
      </c>
      <c r="I17" s="65" t="s">
        <v>2050</v>
      </c>
      <c r="J17" s="65" t="n">
        <v>3991104</v>
      </c>
      <c r="K17" s="66" t="n">
        <f aca="false">G17*H17</f>
        <v>3991104</v>
      </c>
      <c r="L17" s="66" t="n">
        <f aca="false">K17-J17</f>
        <v>0</v>
      </c>
      <c r="M17" s="18" t="s">
        <v>2037</v>
      </c>
      <c r="N17" s="20" t="s">
        <v>2038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46143</v>
      </c>
      <c r="E18" s="18" t="s">
        <v>113</v>
      </c>
      <c r="F18" s="18" t="s">
        <v>195</v>
      </c>
      <c r="G18" s="65" t="n">
        <v>440320</v>
      </c>
      <c r="H18" s="65" t="n">
        <v>7.8</v>
      </c>
      <c r="I18" s="65" t="s">
        <v>2051</v>
      </c>
      <c r="J18" s="65" t="n">
        <v>3434496</v>
      </c>
      <c r="K18" s="66" t="n">
        <f aca="false">G18*H18</f>
        <v>3434496</v>
      </c>
      <c r="L18" s="66" t="n">
        <f aca="false">K18-J18</f>
        <v>0</v>
      </c>
      <c r="M18" s="18" t="s">
        <v>2037</v>
      </c>
      <c r="N18" s="20" t="s">
        <v>2038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46143</v>
      </c>
      <c r="E19" s="18" t="s">
        <v>119</v>
      </c>
      <c r="F19" s="18" t="s">
        <v>199</v>
      </c>
      <c r="G19" s="65" t="n">
        <v>361920</v>
      </c>
      <c r="H19" s="65" t="n">
        <v>9</v>
      </c>
      <c r="I19" s="65" t="s">
        <v>2052</v>
      </c>
      <c r="J19" s="65" t="n">
        <v>3257280</v>
      </c>
      <c r="K19" s="66" t="n">
        <f aca="false">G19*H19</f>
        <v>3257280</v>
      </c>
      <c r="L19" s="66" t="n">
        <f aca="false">K19-J19</f>
        <v>0</v>
      </c>
      <c r="M19" s="18" t="s">
        <v>2037</v>
      </c>
      <c r="N19" s="20" t="s">
        <v>2038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46174</v>
      </c>
      <c r="E20" s="18" t="s">
        <v>99</v>
      </c>
      <c r="F20" s="18" t="s">
        <v>195</v>
      </c>
      <c r="G20" s="65" t="n">
        <v>527670</v>
      </c>
      <c r="H20" s="65" t="n">
        <v>7.8</v>
      </c>
      <c r="I20" s="65" t="s">
        <v>2053</v>
      </c>
      <c r="J20" s="65" t="n">
        <v>4115826</v>
      </c>
      <c r="K20" s="66" t="n">
        <f aca="false">G20*H20</f>
        <v>4115826</v>
      </c>
      <c r="L20" s="66" t="n">
        <f aca="false">K20-J20</f>
        <v>0</v>
      </c>
      <c r="M20" s="18" t="s">
        <v>2037</v>
      </c>
      <c r="N20" s="20" t="s">
        <v>2038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46174</v>
      </c>
      <c r="E21" s="18" t="s">
        <v>113</v>
      </c>
      <c r="F21" s="18" t="s">
        <v>195</v>
      </c>
      <c r="G21" s="65" t="n">
        <v>454080</v>
      </c>
      <c r="H21" s="65" t="n">
        <v>7.8</v>
      </c>
      <c r="I21" s="65" t="s">
        <v>2054</v>
      </c>
      <c r="J21" s="65" t="n">
        <v>3541824</v>
      </c>
      <c r="K21" s="66" t="n">
        <f aca="false">G21*H21</f>
        <v>3541824</v>
      </c>
      <c r="L21" s="66" t="n">
        <f aca="false">K21-J21</f>
        <v>0</v>
      </c>
      <c r="M21" s="18" t="s">
        <v>2037</v>
      </c>
      <c r="N21" s="20" t="s">
        <v>2038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46174</v>
      </c>
      <c r="E22" s="18" t="s">
        <v>119</v>
      </c>
      <c r="F22" s="18" t="s">
        <v>199</v>
      </c>
      <c r="G22" s="65" t="n">
        <v>373230</v>
      </c>
      <c r="H22" s="65" t="n">
        <v>9</v>
      </c>
      <c r="I22" s="65" t="s">
        <v>2055</v>
      </c>
      <c r="J22" s="65" t="n">
        <v>3359070</v>
      </c>
      <c r="K22" s="66" t="n">
        <f aca="false">G22*H22</f>
        <v>3359070</v>
      </c>
      <c r="L22" s="66" t="n">
        <f aca="false">K22-J22</f>
        <v>0</v>
      </c>
      <c r="M22" s="18" t="s">
        <v>2037</v>
      </c>
      <c r="N22" s="20" t="s">
        <v>2038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46204</v>
      </c>
      <c r="E23" s="18" t="s">
        <v>99</v>
      </c>
      <c r="F23" s="18" t="s">
        <v>195</v>
      </c>
      <c r="G23" s="65" t="n">
        <v>529720</v>
      </c>
      <c r="H23" s="65" t="n">
        <v>7.8</v>
      </c>
      <c r="I23" s="65" t="s">
        <v>2056</v>
      </c>
      <c r="J23" s="65" t="n">
        <v>4131816</v>
      </c>
      <c r="K23" s="66" t="n">
        <f aca="false">G23*H23</f>
        <v>4131816</v>
      </c>
      <c r="L23" s="66" t="n">
        <f aca="false">K23-J23</f>
        <v>0</v>
      </c>
      <c r="M23" s="18" t="s">
        <v>2037</v>
      </c>
      <c r="N23" s="20" t="s">
        <v>2038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46204</v>
      </c>
      <c r="E24" s="18" t="s">
        <v>113</v>
      </c>
      <c r="F24" s="18" t="s">
        <v>195</v>
      </c>
      <c r="G24" s="65" t="n">
        <v>467840</v>
      </c>
      <c r="H24" s="65" t="n">
        <v>7.8</v>
      </c>
      <c r="I24" s="65" t="s">
        <v>2057</v>
      </c>
      <c r="J24" s="65" t="n">
        <v>3649152</v>
      </c>
      <c r="K24" s="66" t="n">
        <f aca="false">G24*H24</f>
        <v>3649152</v>
      </c>
      <c r="L24" s="66" t="n">
        <f aca="false">K24-J24</f>
        <v>0</v>
      </c>
      <c r="M24" s="18" t="s">
        <v>2037</v>
      </c>
      <c r="N24" s="20" t="s">
        <v>2038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46204</v>
      </c>
      <c r="E25" s="18" t="s">
        <v>119</v>
      </c>
      <c r="F25" s="18" t="s">
        <v>199</v>
      </c>
      <c r="G25" s="65" t="n">
        <v>397800</v>
      </c>
      <c r="H25" s="65" t="n">
        <v>9</v>
      </c>
      <c r="I25" s="65" t="s">
        <v>2058</v>
      </c>
      <c r="J25" s="65" t="n">
        <v>3580200</v>
      </c>
      <c r="K25" s="66" t="n">
        <f aca="false">G25*H25</f>
        <v>3580200</v>
      </c>
      <c r="L25" s="66" t="n">
        <f aca="false">K25-J25</f>
        <v>0</v>
      </c>
      <c r="M25" s="18" t="s">
        <v>2037</v>
      </c>
      <c r="N25" s="20" t="s">
        <v>2038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46235</v>
      </c>
      <c r="E26" s="18" t="s">
        <v>99</v>
      </c>
      <c r="F26" s="18" t="s">
        <v>195</v>
      </c>
      <c r="G26" s="65" t="n">
        <v>498560</v>
      </c>
      <c r="H26" s="65" t="n">
        <v>7.8</v>
      </c>
      <c r="I26" s="65" t="s">
        <v>2059</v>
      </c>
      <c r="J26" s="65" t="n">
        <v>3888768</v>
      </c>
      <c r="K26" s="66" t="n">
        <f aca="false">G26*H26</f>
        <v>3888768</v>
      </c>
      <c r="L26" s="66" t="n">
        <f aca="false">K26-J26</f>
        <v>0</v>
      </c>
      <c r="M26" s="18" t="s">
        <v>2037</v>
      </c>
      <c r="N26" s="20" t="s">
        <v>2038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46235</v>
      </c>
      <c r="E27" s="18" t="s">
        <v>113</v>
      </c>
      <c r="F27" s="18" t="s">
        <v>195</v>
      </c>
      <c r="G27" s="65" t="n">
        <v>440320</v>
      </c>
      <c r="H27" s="65" t="n">
        <v>7.8</v>
      </c>
      <c r="I27" s="65" t="s">
        <v>2051</v>
      </c>
      <c r="J27" s="65" t="n">
        <v>3434496</v>
      </c>
      <c r="K27" s="66" t="n">
        <f aca="false">G27*H27</f>
        <v>3434496</v>
      </c>
      <c r="L27" s="66" t="n">
        <f aca="false">K27-J27</f>
        <v>0</v>
      </c>
      <c r="M27" s="18" t="s">
        <v>2037</v>
      </c>
      <c r="N27" s="20" t="s">
        <v>2038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46235</v>
      </c>
      <c r="E28" s="18" t="s">
        <v>119</v>
      </c>
      <c r="F28" s="18" t="s">
        <v>199</v>
      </c>
      <c r="G28" s="65" t="n">
        <v>374400</v>
      </c>
      <c r="H28" s="65" t="n">
        <v>9</v>
      </c>
      <c r="I28" s="65" t="s">
        <v>2060</v>
      </c>
      <c r="J28" s="65" t="n">
        <v>3369600</v>
      </c>
      <c r="K28" s="66" t="n">
        <f aca="false">G28*H28</f>
        <v>3369600</v>
      </c>
      <c r="L28" s="66" t="n">
        <f aca="false">K28-J28</f>
        <v>0</v>
      </c>
      <c r="M28" s="18" t="s">
        <v>2037</v>
      </c>
      <c r="N28" s="20" t="s">
        <v>2038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46266</v>
      </c>
      <c r="E29" s="18" t="s">
        <v>99</v>
      </c>
      <c r="F29" s="18" t="s">
        <v>195</v>
      </c>
      <c r="G29" s="65" t="n">
        <v>498560</v>
      </c>
      <c r="H29" s="65" t="n">
        <v>7.8</v>
      </c>
      <c r="I29" s="65" t="s">
        <v>2059</v>
      </c>
      <c r="J29" s="65" t="n">
        <v>3888768</v>
      </c>
      <c r="K29" s="66" t="n">
        <f aca="false">G29*H29</f>
        <v>3888768</v>
      </c>
      <c r="L29" s="66" t="n">
        <f aca="false">K29-J29</f>
        <v>0</v>
      </c>
      <c r="M29" s="18" t="s">
        <v>2037</v>
      </c>
      <c r="N29" s="20" t="s">
        <v>2038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46266</v>
      </c>
      <c r="E30" s="18" t="s">
        <v>113</v>
      </c>
      <c r="F30" s="18" t="s">
        <v>195</v>
      </c>
      <c r="G30" s="65" t="n">
        <v>426560</v>
      </c>
      <c r="H30" s="65" t="n">
        <v>7.8</v>
      </c>
      <c r="I30" s="65" t="s">
        <v>2048</v>
      </c>
      <c r="J30" s="65" t="n">
        <v>3327168</v>
      </c>
      <c r="K30" s="66" t="n">
        <f aca="false">G30*H30</f>
        <v>3327168</v>
      </c>
      <c r="L30" s="66" t="n">
        <f aca="false">K30-J30</f>
        <v>0</v>
      </c>
      <c r="M30" s="18" t="s">
        <v>2037</v>
      </c>
      <c r="N30" s="20" t="s">
        <v>2038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46266</v>
      </c>
      <c r="E31" s="18" t="s">
        <v>119</v>
      </c>
      <c r="F31" s="18" t="s">
        <v>199</v>
      </c>
      <c r="G31" s="65" t="n">
        <v>386880</v>
      </c>
      <c r="H31" s="65" t="n">
        <v>9</v>
      </c>
      <c r="I31" s="65" t="s">
        <v>2061</v>
      </c>
      <c r="J31" s="65" t="n">
        <v>3481920</v>
      </c>
      <c r="K31" s="66" t="n">
        <f aca="false">G31*H31</f>
        <v>3481920</v>
      </c>
      <c r="L31" s="66" t="n">
        <f aca="false">K31-J31</f>
        <v>0</v>
      </c>
      <c r="M31" s="18" t="s">
        <v>2037</v>
      </c>
      <c r="N31" s="20" t="s">
        <v>2038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46296</v>
      </c>
      <c r="E32" s="18" t="s">
        <v>99</v>
      </c>
      <c r="F32" s="18" t="s">
        <v>195</v>
      </c>
      <c r="G32" s="65" t="n">
        <v>531360</v>
      </c>
      <c r="H32" s="65" t="n">
        <v>7.8</v>
      </c>
      <c r="I32" s="65" t="s">
        <v>2062</v>
      </c>
      <c r="J32" s="65" t="n">
        <v>4144608</v>
      </c>
      <c r="K32" s="66" t="n">
        <f aca="false">G32*H32</f>
        <v>4144608</v>
      </c>
      <c r="L32" s="66" t="n">
        <f aca="false">K32-J32</f>
        <v>0</v>
      </c>
      <c r="M32" s="18" t="s">
        <v>2037</v>
      </c>
      <c r="N32" s="20" t="s">
        <v>2038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46296</v>
      </c>
      <c r="E33" s="18" t="s">
        <v>113</v>
      </c>
      <c r="F33" s="18" t="s">
        <v>195</v>
      </c>
      <c r="G33" s="65" t="n">
        <v>479880</v>
      </c>
      <c r="H33" s="65" t="n">
        <v>7.8</v>
      </c>
      <c r="I33" s="65" t="s">
        <v>2063</v>
      </c>
      <c r="J33" s="65" t="n">
        <v>3743064</v>
      </c>
      <c r="K33" s="66" t="n">
        <f aca="false">G33*H33</f>
        <v>3743064</v>
      </c>
      <c r="L33" s="66" t="n">
        <f aca="false">K33-J33</f>
        <v>0</v>
      </c>
      <c r="M33" s="18" t="s">
        <v>2037</v>
      </c>
      <c r="N33" s="20" t="s">
        <v>2038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46296</v>
      </c>
      <c r="E34" s="18" t="s">
        <v>119</v>
      </c>
      <c r="F34" s="18" t="s">
        <v>199</v>
      </c>
      <c r="G34" s="65" t="n">
        <v>463320</v>
      </c>
      <c r="H34" s="65" t="n">
        <v>9</v>
      </c>
      <c r="I34" s="65" t="s">
        <v>2064</v>
      </c>
      <c r="J34" s="65" t="n">
        <v>4169880</v>
      </c>
      <c r="K34" s="66" t="n">
        <f aca="false">G34*H34</f>
        <v>4169880</v>
      </c>
      <c r="L34" s="66" t="n">
        <f aca="false">K34-J34</f>
        <v>0</v>
      </c>
      <c r="M34" s="18" t="s">
        <v>2037</v>
      </c>
      <c r="N34" s="20" t="s">
        <v>2038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46327</v>
      </c>
      <c r="E35" s="18" t="s">
        <v>99</v>
      </c>
      <c r="F35" s="18" t="s">
        <v>195</v>
      </c>
      <c r="G35" s="65" t="n">
        <v>631760.8</v>
      </c>
      <c r="H35" s="65" t="n">
        <v>7.8</v>
      </c>
      <c r="I35" s="65" t="s">
        <v>2065</v>
      </c>
      <c r="J35" s="65" t="n">
        <v>4927734.24</v>
      </c>
      <c r="K35" s="66" t="n">
        <f aca="false">G35*H35</f>
        <v>4927734.24</v>
      </c>
      <c r="L35" s="66" t="n">
        <f aca="false">K35-J35</f>
        <v>0</v>
      </c>
      <c r="M35" s="18" t="s">
        <v>2037</v>
      </c>
      <c r="N35" s="20" t="s">
        <v>2038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46327</v>
      </c>
      <c r="E36" s="18" t="s">
        <v>113</v>
      </c>
      <c r="F36" s="18" t="s">
        <v>195</v>
      </c>
      <c r="G36" s="65" t="n">
        <v>584628</v>
      </c>
      <c r="H36" s="65" t="n">
        <v>7.8</v>
      </c>
      <c r="I36" s="65" t="s">
        <v>2066</v>
      </c>
      <c r="J36" s="65" t="n">
        <v>4560098.4</v>
      </c>
      <c r="K36" s="66" t="n">
        <f aca="false">G36*H36</f>
        <v>4560098.4</v>
      </c>
      <c r="L36" s="66" t="n">
        <f aca="false">K36-J36</f>
        <v>-9.31322574615479E-010</v>
      </c>
      <c r="M36" s="18" t="s">
        <v>2037</v>
      </c>
      <c r="N36" s="20" t="s">
        <v>2038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46327</v>
      </c>
      <c r="E37" s="18" t="s">
        <v>119</v>
      </c>
      <c r="F37" s="18" t="s">
        <v>199</v>
      </c>
      <c r="G37" s="65" t="n">
        <v>636292.8</v>
      </c>
      <c r="H37" s="65" t="n">
        <v>9</v>
      </c>
      <c r="I37" s="65" t="s">
        <v>2067</v>
      </c>
      <c r="J37" s="65" t="n">
        <v>5726635.2</v>
      </c>
      <c r="K37" s="66" t="n">
        <f aca="false">G37*H37</f>
        <v>5726635.2</v>
      </c>
      <c r="L37" s="66" t="n">
        <f aca="false">K37-J37</f>
        <v>0</v>
      </c>
      <c r="M37" s="18" t="s">
        <v>2037</v>
      </c>
      <c r="N37" s="20" t="s">
        <v>2038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46357</v>
      </c>
      <c r="E38" s="18" t="s">
        <v>99</v>
      </c>
      <c r="F38" s="18" t="s">
        <v>195</v>
      </c>
      <c r="G38" s="65" t="n">
        <v>746626.4</v>
      </c>
      <c r="H38" s="65" t="n">
        <v>7.8</v>
      </c>
      <c r="I38" s="65" t="s">
        <v>2068</v>
      </c>
      <c r="J38" s="65" t="n">
        <v>5823685.92</v>
      </c>
      <c r="K38" s="66" t="n">
        <f aca="false">G38*H38</f>
        <v>5823685.92</v>
      </c>
      <c r="L38" s="66" t="n">
        <f aca="false">K38-J38</f>
        <v>0</v>
      </c>
      <c r="M38" s="18" t="s">
        <v>2037</v>
      </c>
      <c r="N38" s="20" t="s">
        <v>2038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46357</v>
      </c>
      <c r="E39" s="18" t="s">
        <v>113</v>
      </c>
      <c r="F39" s="18" t="s">
        <v>195</v>
      </c>
      <c r="G39" s="65" t="n">
        <v>667893.2</v>
      </c>
      <c r="H39" s="65" t="n">
        <v>7.8</v>
      </c>
      <c r="I39" s="65" t="s">
        <v>2069</v>
      </c>
      <c r="J39" s="65" t="n">
        <v>5209566.96</v>
      </c>
      <c r="K39" s="66" t="n">
        <f aca="false">G39*H39</f>
        <v>5209566.96</v>
      </c>
      <c r="L39" s="66" t="n">
        <f aca="false">K39-J39</f>
        <v>0</v>
      </c>
      <c r="M39" s="18" t="s">
        <v>2037</v>
      </c>
      <c r="N39" s="20" t="s">
        <v>2038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46357</v>
      </c>
      <c r="E40" s="18" t="s">
        <v>119</v>
      </c>
      <c r="F40" s="18" t="s">
        <v>199</v>
      </c>
      <c r="G40" s="65" t="n">
        <v>772870.8</v>
      </c>
      <c r="H40" s="65" t="n">
        <v>9</v>
      </c>
      <c r="I40" s="65" t="s">
        <v>2070</v>
      </c>
      <c r="J40" s="65" t="n">
        <v>6955837.2</v>
      </c>
      <c r="K40" s="66" t="n">
        <f aca="false">G40*H40</f>
        <v>6955837.2</v>
      </c>
      <c r="L40" s="66" t="n">
        <f aca="false">K40-J40</f>
        <v>0</v>
      </c>
      <c r="M40" s="18" t="s">
        <v>2037</v>
      </c>
      <c r="N40" s="20" t="s">
        <v>2038</v>
      </c>
    </row>
    <row r="41" customFormat="false" ht="15" hidden="false" customHeight="false" outlineLevel="0" collapsed="false">
      <c r="A41" s="18" t="s">
        <v>200</v>
      </c>
      <c r="B41" s="18" t="s">
        <v>201</v>
      </c>
      <c r="C41" s="18"/>
      <c r="D41" s="49" t="n">
        <v>46023</v>
      </c>
      <c r="E41" s="18" t="s">
        <v>99</v>
      </c>
      <c r="F41" s="18" t="s">
        <v>195</v>
      </c>
      <c r="G41" s="65" t="n">
        <v>483960.55</v>
      </c>
      <c r="H41" s="65" t="n">
        <v>7.78</v>
      </c>
      <c r="I41" s="65" t="s">
        <v>2071</v>
      </c>
      <c r="J41" s="65" t="n">
        <v>3765213.079</v>
      </c>
      <c r="K41" s="66" t="n">
        <f aca="false">G41*H41</f>
        <v>3765213.079</v>
      </c>
      <c r="L41" s="66" t="n">
        <f aca="false">K41-J41</f>
        <v>0</v>
      </c>
      <c r="M41" s="18" t="s">
        <v>2037</v>
      </c>
      <c r="N41" s="20" t="s">
        <v>2038</v>
      </c>
    </row>
    <row r="42" customFormat="false" ht="15" hidden="false" customHeight="false" outlineLevel="0" collapsed="false">
      <c r="A42" s="18" t="s">
        <v>200</v>
      </c>
      <c r="B42" s="18" t="s">
        <v>201</v>
      </c>
      <c r="C42" s="18"/>
      <c r="D42" s="49" t="n">
        <v>46023</v>
      </c>
      <c r="E42" s="18" t="s">
        <v>113</v>
      </c>
      <c r="F42" s="18" t="s">
        <v>195</v>
      </c>
      <c r="G42" s="65" t="n">
        <v>382169.975</v>
      </c>
      <c r="H42" s="65" t="n">
        <v>7.78</v>
      </c>
      <c r="I42" s="65" t="s">
        <v>2072</v>
      </c>
      <c r="J42" s="65" t="n">
        <v>2973282.4055</v>
      </c>
      <c r="K42" s="66" t="n">
        <f aca="false">G42*H42</f>
        <v>2973282.4055</v>
      </c>
      <c r="L42" s="66" t="n">
        <f aca="false">K42-J42</f>
        <v>0</v>
      </c>
      <c r="M42" s="18" t="s">
        <v>2037</v>
      </c>
      <c r="N42" s="20" t="s">
        <v>2038</v>
      </c>
    </row>
    <row r="43" customFormat="false" ht="15" hidden="false" customHeight="false" outlineLevel="0" collapsed="false">
      <c r="A43" s="18" t="s">
        <v>200</v>
      </c>
      <c r="B43" s="18" t="s">
        <v>201</v>
      </c>
      <c r="C43" s="18"/>
      <c r="D43" s="49" t="n">
        <v>46023</v>
      </c>
      <c r="E43" s="18" t="s">
        <v>119</v>
      </c>
      <c r="F43" s="18" t="s">
        <v>199</v>
      </c>
      <c r="G43" s="65" t="n">
        <v>277277</v>
      </c>
      <c r="H43" s="65" t="n">
        <v>9.05</v>
      </c>
      <c r="I43" s="65" t="s">
        <v>2073</v>
      </c>
      <c r="J43" s="65" t="n">
        <v>2509356.85</v>
      </c>
      <c r="K43" s="66" t="n">
        <f aca="false">G43*H43</f>
        <v>2509356.85</v>
      </c>
      <c r="L43" s="66" t="n">
        <f aca="false">K43-J43</f>
        <v>0</v>
      </c>
      <c r="M43" s="18" t="s">
        <v>2037</v>
      </c>
      <c r="N43" s="20" t="s">
        <v>2038</v>
      </c>
    </row>
    <row r="44" customFormat="false" ht="15" hidden="false" customHeight="false" outlineLevel="0" collapsed="false">
      <c r="A44" s="18" t="s">
        <v>200</v>
      </c>
      <c r="B44" s="18" t="s">
        <v>201</v>
      </c>
      <c r="C44" s="18"/>
      <c r="D44" s="49" t="n">
        <v>46054</v>
      </c>
      <c r="E44" s="18" t="s">
        <v>99</v>
      </c>
      <c r="F44" s="18" t="s">
        <v>195</v>
      </c>
      <c r="G44" s="65" t="n">
        <v>470072.16</v>
      </c>
      <c r="H44" s="65" t="n">
        <v>7.76</v>
      </c>
      <c r="I44" s="65" t="s">
        <v>2074</v>
      </c>
      <c r="J44" s="65" t="n">
        <v>3647759.9616</v>
      </c>
      <c r="K44" s="66" t="n">
        <f aca="false">G44*H44</f>
        <v>3647759.9616</v>
      </c>
      <c r="L44" s="66" t="n">
        <f aca="false">K44-J44</f>
        <v>-4.65661287307739E-010</v>
      </c>
      <c r="M44" s="18" t="s">
        <v>2037</v>
      </c>
      <c r="N44" s="20" t="s">
        <v>2038</v>
      </c>
    </row>
    <row r="45" customFormat="false" ht="15" hidden="false" customHeight="false" outlineLevel="0" collapsed="false">
      <c r="A45" s="18" t="s">
        <v>200</v>
      </c>
      <c r="B45" s="18" t="s">
        <v>201</v>
      </c>
      <c r="C45" s="18"/>
      <c r="D45" s="49" t="n">
        <v>46054</v>
      </c>
      <c r="E45" s="18" t="s">
        <v>113</v>
      </c>
      <c r="F45" s="18" t="s">
        <v>195</v>
      </c>
      <c r="G45" s="65" t="n">
        <v>382212.36</v>
      </c>
      <c r="H45" s="65" t="n">
        <v>7.76</v>
      </c>
      <c r="I45" s="65" t="s">
        <v>2075</v>
      </c>
      <c r="J45" s="65" t="n">
        <v>2965967.9136</v>
      </c>
      <c r="K45" s="66" t="n">
        <f aca="false">G45*H45</f>
        <v>2965967.9136</v>
      </c>
      <c r="L45" s="66" t="n">
        <f aca="false">K45-J45</f>
        <v>-4.65661287307739E-010</v>
      </c>
      <c r="M45" s="18" t="s">
        <v>2037</v>
      </c>
      <c r="N45" s="20" t="s">
        <v>2038</v>
      </c>
    </row>
    <row r="46" customFormat="false" ht="15" hidden="false" customHeight="false" outlineLevel="0" collapsed="false">
      <c r="A46" s="18" t="s">
        <v>200</v>
      </c>
      <c r="B46" s="18" t="s">
        <v>201</v>
      </c>
      <c r="C46" s="18"/>
      <c r="D46" s="49" t="n">
        <v>46054</v>
      </c>
      <c r="E46" s="18" t="s">
        <v>119</v>
      </c>
      <c r="F46" s="18" t="s">
        <v>199</v>
      </c>
      <c r="G46" s="65" t="n">
        <v>277033.68</v>
      </c>
      <c r="H46" s="65" t="n">
        <v>9.02</v>
      </c>
      <c r="I46" s="65" t="s">
        <v>2076</v>
      </c>
      <c r="J46" s="65" t="n">
        <v>2498843.7936</v>
      </c>
      <c r="K46" s="66" t="n">
        <f aca="false">G46*H46</f>
        <v>2498843.7936</v>
      </c>
      <c r="L46" s="66" t="n">
        <f aca="false">K46-J46</f>
        <v>0</v>
      </c>
      <c r="M46" s="18" t="s">
        <v>2037</v>
      </c>
      <c r="N46" s="20" t="s">
        <v>2038</v>
      </c>
    </row>
    <row r="47" customFormat="false" ht="15" hidden="false" customHeight="false" outlineLevel="0" collapsed="false">
      <c r="A47" s="18" t="s">
        <v>200</v>
      </c>
      <c r="B47" s="18" t="s">
        <v>201</v>
      </c>
      <c r="C47" s="18"/>
      <c r="D47" s="49" t="n">
        <v>46082</v>
      </c>
      <c r="E47" s="18" t="s">
        <v>99</v>
      </c>
      <c r="F47" s="18" t="s">
        <v>195</v>
      </c>
      <c r="G47" s="65" t="n">
        <v>504150.3</v>
      </c>
      <c r="H47" s="65" t="n">
        <v>7.82</v>
      </c>
      <c r="I47" s="65" t="s">
        <v>2077</v>
      </c>
      <c r="J47" s="65" t="n">
        <v>3942455.346</v>
      </c>
      <c r="K47" s="66" t="n">
        <f aca="false">G47*H47</f>
        <v>3942455.346</v>
      </c>
      <c r="L47" s="66" t="n">
        <f aca="false">K47-J47</f>
        <v>0</v>
      </c>
      <c r="M47" s="18" t="s">
        <v>2037</v>
      </c>
      <c r="N47" s="20" t="s">
        <v>2038</v>
      </c>
    </row>
    <row r="48" customFormat="false" ht="15" hidden="false" customHeight="false" outlineLevel="0" collapsed="false">
      <c r="A48" s="18" t="s">
        <v>200</v>
      </c>
      <c r="B48" s="18" t="s">
        <v>201</v>
      </c>
      <c r="C48" s="18"/>
      <c r="D48" s="49" t="n">
        <v>46082</v>
      </c>
      <c r="E48" s="18" t="s">
        <v>113</v>
      </c>
      <c r="F48" s="18" t="s">
        <v>195</v>
      </c>
      <c r="G48" s="65" t="n">
        <v>422180.55</v>
      </c>
      <c r="H48" s="65" t="n">
        <v>7.82</v>
      </c>
      <c r="I48" s="65" t="s">
        <v>2078</v>
      </c>
      <c r="J48" s="65" t="n">
        <v>3301451.901</v>
      </c>
      <c r="K48" s="66" t="n">
        <f aca="false">G48*H48</f>
        <v>3301451.901</v>
      </c>
      <c r="L48" s="66" t="n">
        <f aca="false">K48-J48</f>
        <v>0</v>
      </c>
      <c r="M48" s="18" t="s">
        <v>2037</v>
      </c>
      <c r="N48" s="20" t="s">
        <v>2038</v>
      </c>
    </row>
    <row r="49" customFormat="false" ht="15" hidden="false" customHeight="false" outlineLevel="0" collapsed="false">
      <c r="A49" s="18" t="s">
        <v>200</v>
      </c>
      <c r="B49" s="18" t="s">
        <v>201</v>
      </c>
      <c r="C49" s="18"/>
      <c r="D49" s="49" t="n">
        <v>46082</v>
      </c>
      <c r="E49" s="18" t="s">
        <v>119</v>
      </c>
      <c r="F49" s="18" t="s">
        <v>199</v>
      </c>
      <c r="G49" s="65" t="n">
        <v>334580.4</v>
      </c>
      <c r="H49" s="65" t="n">
        <v>9.08</v>
      </c>
      <c r="I49" s="65" t="s">
        <v>2079</v>
      </c>
      <c r="J49" s="65" t="n">
        <v>3037990.032</v>
      </c>
      <c r="K49" s="66" t="n">
        <f aca="false">G49*H49</f>
        <v>3037990.032</v>
      </c>
      <c r="L49" s="66" t="n">
        <f aca="false">K49-J49</f>
        <v>0</v>
      </c>
      <c r="M49" s="18" t="s">
        <v>2037</v>
      </c>
      <c r="N49" s="20" t="s">
        <v>2038</v>
      </c>
    </row>
    <row r="50" customFormat="false" ht="15" hidden="false" customHeight="false" outlineLevel="0" collapsed="false">
      <c r="A50" s="18" t="s">
        <v>200</v>
      </c>
      <c r="B50" s="18" t="s">
        <v>201</v>
      </c>
      <c r="C50" s="18"/>
      <c r="D50" s="49" t="n">
        <v>46113</v>
      </c>
      <c r="E50" s="18" t="s">
        <v>99</v>
      </c>
      <c r="F50" s="18" t="s">
        <v>195</v>
      </c>
      <c r="G50" s="65" t="n">
        <v>521937.2</v>
      </c>
      <c r="H50" s="65" t="n">
        <v>7.84</v>
      </c>
      <c r="I50" s="65" t="s">
        <v>2080</v>
      </c>
      <c r="J50" s="65" t="n">
        <v>4091987.648</v>
      </c>
      <c r="K50" s="66" t="n">
        <f aca="false">G50*H50</f>
        <v>4091987.648</v>
      </c>
      <c r="L50" s="66" t="n">
        <f aca="false">K50-J50</f>
        <v>0</v>
      </c>
      <c r="M50" s="18" t="s">
        <v>2037</v>
      </c>
      <c r="N50" s="20" t="s">
        <v>2038</v>
      </c>
    </row>
    <row r="51" customFormat="false" ht="15" hidden="false" customHeight="false" outlineLevel="0" collapsed="false">
      <c r="A51" s="18" t="s">
        <v>200</v>
      </c>
      <c r="B51" s="18" t="s">
        <v>201</v>
      </c>
      <c r="C51" s="18"/>
      <c r="D51" s="49" t="n">
        <v>46113</v>
      </c>
      <c r="E51" s="18" t="s">
        <v>113</v>
      </c>
      <c r="F51" s="18" t="s">
        <v>195</v>
      </c>
      <c r="G51" s="65" t="n">
        <v>438710.7</v>
      </c>
      <c r="H51" s="65" t="n">
        <v>7.84</v>
      </c>
      <c r="I51" s="65" t="s">
        <v>2081</v>
      </c>
      <c r="J51" s="65" t="n">
        <v>3439491.888</v>
      </c>
      <c r="K51" s="66" t="n">
        <f aca="false">G51*H51</f>
        <v>3439491.888</v>
      </c>
      <c r="L51" s="66" t="n">
        <f aca="false">K51-J51</f>
        <v>0</v>
      </c>
      <c r="M51" s="18" t="s">
        <v>2037</v>
      </c>
      <c r="N51" s="20" t="s">
        <v>2038</v>
      </c>
    </row>
    <row r="52" customFormat="false" ht="15" hidden="false" customHeight="false" outlineLevel="0" collapsed="false">
      <c r="A52" s="18" t="s">
        <v>200</v>
      </c>
      <c r="B52" s="18" t="s">
        <v>201</v>
      </c>
      <c r="C52" s="18"/>
      <c r="D52" s="49" t="n">
        <v>46113</v>
      </c>
      <c r="E52" s="18" t="s">
        <v>119</v>
      </c>
      <c r="F52" s="18" t="s">
        <v>199</v>
      </c>
      <c r="G52" s="65" t="n">
        <v>341864.6</v>
      </c>
      <c r="H52" s="65" t="n">
        <v>9.11</v>
      </c>
      <c r="I52" s="65" t="s">
        <v>2082</v>
      </c>
      <c r="J52" s="65" t="n">
        <v>3114386.506</v>
      </c>
      <c r="K52" s="66" t="n">
        <f aca="false">G52*H52</f>
        <v>3114386.506</v>
      </c>
      <c r="L52" s="66" t="n">
        <f aca="false">K52-J52</f>
        <v>-4.65661287307739E-010</v>
      </c>
      <c r="M52" s="18" t="s">
        <v>2037</v>
      </c>
      <c r="N52" s="20" t="s">
        <v>2038</v>
      </c>
    </row>
    <row r="53" customFormat="false" ht="15" hidden="false" customHeight="false" outlineLevel="0" collapsed="false">
      <c r="A53" s="18" t="s">
        <v>200</v>
      </c>
      <c r="B53" s="18" t="s">
        <v>201</v>
      </c>
      <c r="C53" s="18"/>
      <c r="D53" s="49" t="n">
        <v>46143</v>
      </c>
      <c r="E53" s="18" t="s">
        <v>99</v>
      </c>
      <c r="F53" s="18" t="s">
        <v>195</v>
      </c>
      <c r="G53" s="65" t="n">
        <v>531830.8</v>
      </c>
      <c r="H53" s="65" t="n">
        <v>7.87</v>
      </c>
      <c r="I53" s="65" t="s">
        <v>2083</v>
      </c>
      <c r="J53" s="65" t="n">
        <v>4185508.396</v>
      </c>
      <c r="K53" s="66" t="n">
        <f aca="false">G53*H53</f>
        <v>4185508.396</v>
      </c>
      <c r="L53" s="66" t="n">
        <f aca="false">K53-J53</f>
        <v>4.65661287307739E-010</v>
      </c>
      <c r="M53" s="18" t="s">
        <v>2037</v>
      </c>
      <c r="N53" s="20" t="s">
        <v>2038</v>
      </c>
    </row>
    <row r="54" customFormat="false" ht="15" hidden="false" customHeight="false" outlineLevel="0" collapsed="false">
      <c r="A54" s="18" t="s">
        <v>200</v>
      </c>
      <c r="B54" s="18" t="s">
        <v>201</v>
      </c>
      <c r="C54" s="18"/>
      <c r="D54" s="49" t="n">
        <v>46143</v>
      </c>
      <c r="E54" s="18" t="s">
        <v>113</v>
      </c>
      <c r="F54" s="18" t="s">
        <v>195</v>
      </c>
      <c r="G54" s="65" t="n">
        <v>458052.1</v>
      </c>
      <c r="H54" s="65" t="n">
        <v>7.87</v>
      </c>
      <c r="I54" s="65" t="s">
        <v>2084</v>
      </c>
      <c r="J54" s="65" t="n">
        <v>3604870.027</v>
      </c>
      <c r="K54" s="66" t="n">
        <f aca="false">G54*H54</f>
        <v>3604870.027</v>
      </c>
      <c r="L54" s="66" t="n">
        <f aca="false">K54-J54</f>
        <v>0</v>
      </c>
      <c r="M54" s="18" t="s">
        <v>2037</v>
      </c>
      <c r="N54" s="20" t="s">
        <v>2038</v>
      </c>
    </row>
    <row r="55" customFormat="false" ht="15" hidden="false" customHeight="false" outlineLevel="0" collapsed="false">
      <c r="A55" s="18" t="s">
        <v>200</v>
      </c>
      <c r="B55" s="18" t="s">
        <v>201</v>
      </c>
      <c r="C55" s="18"/>
      <c r="D55" s="49" t="n">
        <v>46143</v>
      </c>
      <c r="E55" s="18" t="s">
        <v>119</v>
      </c>
      <c r="F55" s="18" t="s">
        <v>199</v>
      </c>
      <c r="G55" s="65" t="n">
        <v>377069</v>
      </c>
      <c r="H55" s="65" t="n">
        <v>9.13</v>
      </c>
      <c r="I55" s="65" t="s">
        <v>2085</v>
      </c>
      <c r="J55" s="65" t="n">
        <v>3442639.97</v>
      </c>
      <c r="K55" s="66" t="n">
        <f aca="false">G55*H55</f>
        <v>3442639.97</v>
      </c>
      <c r="L55" s="66" t="n">
        <f aca="false">K55-J55</f>
        <v>0</v>
      </c>
      <c r="M55" s="18" t="s">
        <v>2037</v>
      </c>
      <c r="N55" s="20" t="s">
        <v>2038</v>
      </c>
    </row>
    <row r="56" customFormat="false" ht="15" hidden="false" customHeight="false" outlineLevel="0" collapsed="false">
      <c r="A56" s="18" t="s">
        <v>200</v>
      </c>
      <c r="B56" s="18" t="s">
        <v>201</v>
      </c>
      <c r="C56" s="18"/>
      <c r="D56" s="49" t="n">
        <v>46174</v>
      </c>
      <c r="E56" s="18" t="s">
        <v>99</v>
      </c>
      <c r="F56" s="18" t="s">
        <v>195</v>
      </c>
      <c r="G56" s="65" t="n">
        <v>545343.2</v>
      </c>
      <c r="H56" s="65" t="n">
        <v>7.89</v>
      </c>
      <c r="I56" s="65" t="s">
        <v>2086</v>
      </c>
      <c r="J56" s="65" t="n">
        <v>4302757.848</v>
      </c>
      <c r="K56" s="66" t="n">
        <f aca="false">G56*H56</f>
        <v>4302757.848</v>
      </c>
      <c r="L56" s="66" t="n">
        <f aca="false">K56-J56</f>
        <v>-9.31322574615479E-010</v>
      </c>
      <c r="M56" s="18" t="s">
        <v>2037</v>
      </c>
      <c r="N56" s="20" t="s">
        <v>2038</v>
      </c>
    </row>
    <row r="57" customFormat="false" ht="15" hidden="false" customHeight="false" outlineLevel="0" collapsed="false">
      <c r="A57" s="18" t="s">
        <v>200</v>
      </c>
      <c r="B57" s="18" t="s">
        <v>201</v>
      </c>
      <c r="C57" s="18"/>
      <c r="D57" s="49" t="n">
        <v>46174</v>
      </c>
      <c r="E57" s="18" t="s">
        <v>113</v>
      </c>
      <c r="F57" s="18" t="s">
        <v>195</v>
      </c>
      <c r="G57" s="65" t="n">
        <v>468657</v>
      </c>
      <c r="H57" s="65" t="n">
        <v>7.89</v>
      </c>
      <c r="I57" s="65" t="s">
        <v>2087</v>
      </c>
      <c r="J57" s="65" t="n">
        <v>3697703.73</v>
      </c>
      <c r="K57" s="66" t="n">
        <f aca="false">G57*H57</f>
        <v>3697703.73</v>
      </c>
      <c r="L57" s="66" t="n">
        <f aca="false">K57-J57</f>
        <v>0</v>
      </c>
      <c r="M57" s="18" t="s">
        <v>2037</v>
      </c>
      <c r="N57" s="20" t="s">
        <v>2038</v>
      </c>
    </row>
    <row r="58" customFormat="false" ht="15" hidden="false" customHeight="false" outlineLevel="0" collapsed="false">
      <c r="A58" s="18" t="s">
        <v>200</v>
      </c>
      <c r="B58" s="18" t="s">
        <v>201</v>
      </c>
      <c r="C58" s="18"/>
      <c r="D58" s="49" t="n">
        <v>46174</v>
      </c>
      <c r="E58" s="18" t="s">
        <v>119</v>
      </c>
      <c r="F58" s="18" t="s">
        <v>199</v>
      </c>
      <c r="G58" s="65" t="n">
        <v>401293.2</v>
      </c>
      <c r="H58" s="65" t="n">
        <v>9.16</v>
      </c>
      <c r="I58" s="65" t="s">
        <v>2088</v>
      </c>
      <c r="J58" s="65" t="n">
        <v>3675845.712</v>
      </c>
      <c r="K58" s="66" t="n">
        <f aca="false">G58*H58</f>
        <v>3675845.712</v>
      </c>
      <c r="L58" s="66" t="n">
        <f aca="false">K58-J58</f>
        <v>4.65661287307739E-010</v>
      </c>
      <c r="M58" s="18" t="s">
        <v>2037</v>
      </c>
      <c r="N58" s="20" t="s">
        <v>2038</v>
      </c>
    </row>
    <row r="59" customFormat="false" ht="15" hidden="false" customHeight="false" outlineLevel="0" collapsed="false">
      <c r="A59" s="18" t="s">
        <v>200</v>
      </c>
      <c r="B59" s="18" t="s">
        <v>201</v>
      </c>
      <c r="C59" s="18"/>
      <c r="D59" s="49" t="n">
        <v>46204</v>
      </c>
      <c r="E59" s="18" t="s">
        <v>99</v>
      </c>
      <c r="F59" s="18" t="s">
        <v>195</v>
      </c>
      <c r="G59" s="65" t="n">
        <v>545310</v>
      </c>
      <c r="H59" s="65" t="n">
        <v>7.91</v>
      </c>
      <c r="I59" s="65" t="s">
        <v>2089</v>
      </c>
      <c r="J59" s="65" t="n">
        <v>4313402.1</v>
      </c>
      <c r="K59" s="66" t="n">
        <f aca="false">G59*H59</f>
        <v>4313402.1</v>
      </c>
      <c r="L59" s="66" t="n">
        <f aca="false">K59-J59</f>
        <v>0</v>
      </c>
      <c r="M59" s="18" t="s">
        <v>2037</v>
      </c>
      <c r="N59" s="20" t="s">
        <v>2038</v>
      </c>
    </row>
    <row r="60" customFormat="false" ht="15" hidden="false" customHeight="false" outlineLevel="0" collapsed="false">
      <c r="A60" s="18" t="s">
        <v>200</v>
      </c>
      <c r="B60" s="18" t="s">
        <v>201</v>
      </c>
      <c r="C60" s="18"/>
      <c r="D60" s="49" t="n">
        <v>46204</v>
      </c>
      <c r="E60" s="18" t="s">
        <v>113</v>
      </c>
      <c r="F60" s="18" t="s">
        <v>195</v>
      </c>
      <c r="G60" s="65" t="n">
        <v>474885</v>
      </c>
      <c r="H60" s="65" t="n">
        <v>7.91</v>
      </c>
      <c r="I60" s="65" t="s">
        <v>2090</v>
      </c>
      <c r="J60" s="65" t="n">
        <v>3756340.35</v>
      </c>
      <c r="K60" s="66" t="n">
        <f aca="false">G60*H60</f>
        <v>3756340.35</v>
      </c>
      <c r="L60" s="66" t="n">
        <f aca="false">K60-J60</f>
        <v>0</v>
      </c>
      <c r="M60" s="18" t="s">
        <v>2037</v>
      </c>
      <c r="N60" s="20" t="s">
        <v>2038</v>
      </c>
    </row>
    <row r="61" customFormat="false" ht="15" hidden="false" customHeight="false" outlineLevel="0" collapsed="false">
      <c r="A61" s="18" t="s">
        <v>200</v>
      </c>
      <c r="B61" s="18" t="s">
        <v>201</v>
      </c>
      <c r="C61" s="18"/>
      <c r="D61" s="49" t="n">
        <v>46204</v>
      </c>
      <c r="E61" s="18" t="s">
        <v>119</v>
      </c>
      <c r="F61" s="18" t="s">
        <v>199</v>
      </c>
      <c r="G61" s="65" t="n">
        <v>457380</v>
      </c>
      <c r="H61" s="65" t="n">
        <v>9.18</v>
      </c>
      <c r="I61" s="65" t="s">
        <v>2091</v>
      </c>
      <c r="J61" s="65" t="n">
        <v>4198748.4</v>
      </c>
      <c r="K61" s="66" t="n">
        <f aca="false">G61*H61</f>
        <v>4198748.4</v>
      </c>
      <c r="L61" s="66" t="n">
        <f aca="false">K61-J61</f>
        <v>-9.31322574615479E-010</v>
      </c>
      <c r="M61" s="18" t="s">
        <v>2037</v>
      </c>
      <c r="N61" s="20" t="s">
        <v>2038</v>
      </c>
    </row>
    <row r="62" customFormat="false" ht="15" hidden="false" customHeight="false" outlineLevel="0" collapsed="false">
      <c r="A62" s="18" t="s">
        <v>200</v>
      </c>
      <c r="B62" s="18" t="s">
        <v>201</v>
      </c>
      <c r="C62" s="18"/>
      <c r="D62" s="49" t="n">
        <v>46235</v>
      </c>
      <c r="E62" s="18" t="s">
        <v>99</v>
      </c>
      <c r="F62" s="18" t="s">
        <v>195</v>
      </c>
      <c r="G62" s="65" t="n">
        <v>522319</v>
      </c>
      <c r="H62" s="65" t="n">
        <v>7.95</v>
      </c>
      <c r="I62" s="65" t="s">
        <v>2092</v>
      </c>
      <c r="J62" s="65" t="n">
        <v>4152436.05</v>
      </c>
      <c r="K62" s="66" t="n">
        <f aca="false">G62*H62</f>
        <v>4152436.05</v>
      </c>
      <c r="L62" s="66" t="n">
        <f aca="false">K62-J62</f>
        <v>4.65661287307739E-010</v>
      </c>
      <c r="M62" s="18" t="s">
        <v>2037</v>
      </c>
      <c r="N62" s="20" t="s">
        <v>2038</v>
      </c>
    </row>
    <row r="63" customFormat="false" ht="15" hidden="false" customHeight="false" outlineLevel="0" collapsed="false">
      <c r="A63" s="18" t="s">
        <v>200</v>
      </c>
      <c r="B63" s="18" t="s">
        <v>201</v>
      </c>
      <c r="C63" s="18"/>
      <c r="D63" s="49" t="n">
        <v>46235</v>
      </c>
      <c r="E63" s="18" t="s">
        <v>113</v>
      </c>
      <c r="F63" s="18" t="s">
        <v>195</v>
      </c>
      <c r="G63" s="65" t="n">
        <v>438987.5</v>
      </c>
      <c r="H63" s="65" t="n">
        <v>7.95</v>
      </c>
      <c r="I63" s="65" t="s">
        <v>2093</v>
      </c>
      <c r="J63" s="65" t="n">
        <v>3489950.625</v>
      </c>
      <c r="K63" s="66" t="n">
        <f aca="false">G63*H63</f>
        <v>3489950.625</v>
      </c>
      <c r="L63" s="66" t="n">
        <f aca="false">K63-J63</f>
        <v>0</v>
      </c>
      <c r="M63" s="18" t="s">
        <v>2037</v>
      </c>
      <c r="N63" s="20" t="s">
        <v>2038</v>
      </c>
    </row>
    <row r="64" customFormat="false" ht="15" hidden="false" customHeight="false" outlineLevel="0" collapsed="false">
      <c r="A64" s="18" t="s">
        <v>200</v>
      </c>
      <c r="B64" s="18" t="s">
        <v>201</v>
      </c>
      <c r="C64" s="18"/>
      <c r="D64" s="49" t="n">
        <v>46235</v>
      </c>
      <c r="E64" s="18" t="s">
        <v>119</v>
      </c>
      <c r="F64" s="18" t="s">
        <v>199</v>
      </c>
      <c r="G64" s="65" t="n">
        <v>643104</v>
      </c>
      <c r="H64" s="65" t="n">
        <v>9.22</v>
      </c>
      <c r="I64" s="65" t="s">
        <v>2094</v>
      </c>
      <c r="J64" s="65" t="n">
        <v>5929418.88</v>
      </c>
      <c r="K64" s="66" t="n">
        <f aca="false">G64*H64</f>
        <v>5929418.88</v>
      </c>
      <c r="L64" s="66" t="n">
        <f aca="false">K64-J64</f>
        <v>9.31322574615479E-010</v>
      </c>
      <c r="M64" s="18" t="s">
        <v>2037</v>
      </c>
      <c r="N64" s="20" t="s">
        <v>2038</v>
      </c>
    </row>
    <row r="65" customFormat="false" ht="15" hidden="false" customHeight="false" outlineLevel="0" collapsed="false">
      <c r="A65" s="18" t="s">
        <v>203</v>
      </c>
      <c r="B65" s="18" t="s">
        <v>204</v>
      </c>
      <c r="C65" s="18"/>
      <c r="D65" s="49" t="n">
        <v>46266</v>
      </c>
      <c r="E65" s="18" t="s">
        <v>99</v>
      </c>
      <c r="F65" s="18" t="s">
        <v>195</v>
      </c>
      <c r="G65" s="65" t="n">
        <v>513936</v>
      </c>
      <c r="H65" s="65" t="n">
        <v>7.92</v>
      </c>
      <c r="I65" s="65" t="s">
        <v>2095</v>
      </c>
      <c r="J65" s="65" t="n">
        <v>4070373.12</v>
      </c>
      <c r="K65" s="66" t="n">
        <f aca="false">G65*H65</f>
        <v>4070373.12</v>
      </c>
      <c r="L65" s="66" t="n">
        <f aca="false">K65-J65</f>
        <v>0</v>
      </c>
      <c r="M65" s="18" t="s">
        <v>2037</v>
      </c>
      <c r="N65" s="20" t="s">
        <v>2038</v>
      </c>
    </row>
    <row r="66" customFormat="false" ht="15" hidden="false" customHeight="false" outlineLevel="0" collapsed="false">
      <c r="A66" s="18" t="s">
        <v>203</v>
      </c>
      <c r="B66" s="18" t="s">
        <v>204</v>
      </c>
      <c r="C66" s="18"/>
      <c r="D66" s="49" t="n">
        <v>46266</v>
      </c>
      <c r="E66" s="18" t="s">
        <v>113</v>
      </c>
      <c r="F66" s="18" t="s">
        <v>195</v>
      </c>
      <c r="G66" s="65" t="n">
        <v>448920</v>
      </c>
      <c r="H66" s="65" t="n">
        <v>7.92</v>
      </c>
      <c r="I66" s="65" t="s">
        <v>2096</v>
      </c>
      <c r="J66" s="65" t="n">
        <v>3555446.4</v>
      </c>
      <c r="K66" s="66" t="n">
        <f aca="false">G66*H66</f>
        <v>3555446.4</v>
      </c>
      <c r="L66" s="66" t="n">
        <f aca="false">K66-J66</f>
        <v>0</v>
      </c>
      <c r="M66" s="18" t="s">
        <v>2037</v>
      </c>
      <c r="N66" s="20" t="s">
        <v>2038</v>
      </c>
    </row>
    <row r="67" customFormat="false" ht="15" hidden="false" customHeight="false" outlineLevel="0" collapsed="false">
      <c r="A67" s="18" t="s">
        <v>203</v>
      </c>
      <c r="B67" s="18" t="s">
        <v>204</v>
      </c>
      <c r="C67" s="18"/>
      <c r="D67" s="49" t="n">
        <v>46266</v>
      </c>
      <c r="E67" s="18" t="s">
        <v>119</v>
      </c>
      <c r="F67" s="18" t="s">
        <v>199</v>
      </c>
      <c r="G67" s="65" t="n">
        <v>444448</v>
      </c>
      <c r="H67" s="65" t="n">
        <v>9.15</v>
      </c>
      <c r="I67" s="65" t="s">
        <v>2097</v>
      </c>
      <c r="J67" s="65" t="n">
        <v>4066699.2</v>
      </c>
      <c r="K67" s="66" t="n">
        <f aca="false">G67*H67</f>
        <v>4066699.2</v>
      </c>
      <c r="L67" s="66" t="n">
        <f aca="false">K67-J67</f>
        <v>0</v>
      </c>
      <c r="M67" s="18" t="s">
        <v>2037</v>
      </c>
      <c r="N67" s="20" t="s">
        <v>2038</v>
      </c>
    </row>
    <row r="68" customFormat="false" ht="15" hidden="false" customHeight="false" outlineLevel="0" collapsed="false">
      <c r="A68" s="18" t="s">
        <v>203</v>
      </c>
      <c r="B68" s="18" t="s">
        <v>204</v>
      </c>
      <c r="C68" s="18"/>
      <c r="D68" s="49" t="n">
        <v>46296</v>
      </c>
      <c r="E68" s="18" t="s">
        <v>99</v>
      </c>
      <c r="F68" s="18" t="s">
        <v>195</v>
      </c>
      <c r="G68" s="65" t="n">
        <v>550290</v>
      </c>
      <c r="H68" s="65" t="n">
        <v>7.9</v>
      </c>
      <c r="I68" s="65" t="s">
        <v>2098</v>
      </c>
      <c r="J68" s="65" t="n">
        <v>4347291</v>
      </c>
      <c r="K68" s="66" t="n">
        <f aca="false">G68*H68</f>
        <v>4347291</v>
      </c>
      <c r="L68" s="66" t="n">
        <f aca="false">K68-J68</f>
        <v>0</v>
      </c>
      <c r="M68" s="18" t="s">
        <v>2037</v>
      </c>
      <c r="N68" s="20" t="s">
        <v>2038</v>
      </c>
    </row>
    <row r="69" customFormat="false" ht="15" hidden="false" customHeight="false" outlineLevel="0" collapsed="false">
      <c r="A69" s="18" t="s">
        <v>203</v>
      </c>
      <c r="B69" s="18" t="s">
        <v>204</v>
      </c>
      <c r="C69" s="18"/>
      <c r="D69" s="49" t="n">
        <v>46296</v>
      </c>
      <c r="E69" s="18" t="s">
        <v>113</v>
      </c>
      <c r="F69" s="18" t="s">
        <v>195</v>
      </c>
      <c r="G69" s="65" t="n">
        <v>508950</v>
      </c>
      <c r="H69" s="65" t="n">
        <v>7.9</v>
      </c>
      <c r="I69" s="65" t="s">
        <v>2099</v>
      </c>
      <c r="J69" s="65" t="n">
        <v>4020705</v>
      </c>
      <c r="K69" s="66" t="n">
        <f aca="false">G69*H69</f>
        <v>4020705</v>
      </c>
      <c r="L69" s="66" t="n">
        <f aca="false">K69-J69</f>
        <v>0</v>
      </c>
      <c r="M69" s="18" t="s">
        <v>2037</v>
      </c>
      <c r="N69" s="20" t="s">
        <v>2038</v>
      </c>
    </row>
    <row r="70" customFormat="false" ht="15" hidden="false" customHeight="false" outlineLevel="0" collapsed="false">
      <c r="A70" s="18" t="s">
        <v>203</v>
      </c>
      <c r="B70" s="18" t="s">
        <v>204</v>
      </c>
      <c r="C70" s="18"/>
      <c r="D70" s="49" t="n">
        <v>46296</v>
      </c>
      <c r="E70" s="18" t="s">
        <v>119</v>
      </c>
      <c r="F70" s="18" t="s">
        <v>199</v>
      </c>
      <c r="G70" s="65" t="n">
        <v>533520</v>
      </c>
      <c r="H70" s="65" t="n">
        <v>9.1</v>
      </c>
      <c r="I70" s="65" t="s">
        <v>2100</v>
      </c>
      <c r="J70" s="65" t="n">
        <v>4855032</v>
      </c>
      <c r="K70" s="66" t="n">
        <f aca="false">G70*H70</f>
        <v>4855032</v>
      </c>
      <c r="L70" s="66" t="n">
        <f aca="false">K70-J70</f>
        <v>0</v>
      </c>
      <c r="M70" s="18" t="s">
        <v>2037</v>
      </c>
      <c r="N70" s="20" t="s">
        <v>2038</v>
      </c>
    </row>
    <row r="71" customFormat="false" ht="15" hidden="false" customHeight="false" outlineLevel="0" collapsed="false">
      <c r="A71" s="18" t="s">
        <v>203</v>
      </c>
      <c r="B71" s="18" t="s">
        <v>204</v>
      </c>
      <c r="C71" s="18"/>
      <c r="D71" s="49" t="n">
        <v>46327</v>
      </c>
      <c r="E71" s="18" t="s">
        <v>99</v>
      </c>
      <c r="F71" s="18" t="s">
        <v>195</v>
      </c>
      <c r="G71" s="65" t="n">
        <v>658688</v>
      </c>
      <c r="H71" s="65" t="n">
        <v>7.88</v>
      </c>
      <c r="I71" s="65" t="s">
        <v>2101</v>
      </c>
      <c r="J71" s="65" t="n">
        <v>5190461.44</v>
      </c>
      <c r="K71" s="66" t="n">
        <f aca="false">G71*H71</f>
        <v>5190461.44</v>
      </c>
      <c r="L71" s="66" t="n">
        <f aca="false">K71-J71</f>
        <v>-9.31322574615479E-010</v>
      </c>
      <c r="M71" s="18" t="s">
        <v>2037</v>
      </c>
      <c r="N71" s="20" t="s">
        <v>2038</v>
      </c>
    </row>
    <row r="72" customFormat="false" ht="15" hidden="false" customHeight="false" outlineLevel="0" collapsed="false">
      <c r="A72" s="18" t="s">
        <v>203</v>
      </c>
      <c r="B72" s="18" t="s">
        <v>204</v>
      </c>
      <c r="C72" s="18"/>
      <c r="D72" s="49" t="n">
        <v>46327</v>
      </c>
      <c r="E72" s="18" t="s">
        <v>113</v>
      </c>
      <c r="F72" s="18" t="s">
        <v>195</v>
      </c>
      <c r="G72" s="65" t="n">
        <v>625704</v>
      </c>
      <c r="H72" s="65" t="n">
        <v>7.88</v>
      </c>
      <c r="I72" s="65" t="s">
        <v>2102</v>
      </c>
      <c r="J72" s="65" t="n">
        <v>4930547.52</v>
      </c>
      <c r="K72" s="66" t="n">
        <f aca="false">G72*H72</f>
        <v>4930547.52</v>
      </c>
      <c r="L72" s="66" t="n">
        <f aca="false">K72-J72</f>
        <v>0</v>
      </c>
      <c r="M72" s="18" t="s">
        <v>2037</v>
      </c>
      <c r="N72" s="20" t="s">
        <v>2038</v>
      </c>
    </row>
    <row r="73" customFormat="false" ht="15" hidden="false" customHeight="false" outlineLevel="0" collapsed="false">
      <c r="A73" s="18" t="s">
        <v>203</v>
      </c>
      <c r="B73" s="18" t="s">
        <v>204</v>
      </c>
      <c r="C73" s="18"/>
      <c r="D73" s="49" t="n">
        <v>46327</v>
      </c>
      <c r="E73" s="18" t="s">
        <v>119</v>
      </c>
      <c r="F73" s="18" t="s">
        <v>199</v>
      </c>
      <c r="G73" s="65" t="n">
        <v>735072</v>
      </c>
      <c r="H73" s="65" t="n">
        <v>9.05</v>
      </c>
      <c r="I73" s="65" t="s">
        <v>2103</v>
      </c>
      <c r="J73" s="65" t="n">
        <v>6652401.6</v>
      </c>
      <c r="K73" s="66" t="n">
        <f aca="false">G73*H73</f>
        <v>6652401.6</v>
      </c>
      <c r="L73" s="66" t="n">
        <f aca="false">K73-J73</f>
        <v>9.31322574615479E-010</v>
      </c>
      <c r="M73" s="18" t="s">
        <v>2037</v>
      </c>
      <c r="N73" s="20" t="s">
        <v>2038</v>
      </c>
    </row>
    <row r="74" customFormat="false" ht="15" hidden="false" customHeight="false" outlineLevel="0" collapsed="false">
      <c r="A74" s="18" t="s">
        <v>203</v>
      </c>
      <c r="B74" s="18" t="s">
        <v>204</v>
      </c>
      <c r="C74" s="18"/>
      <c r="D74" s="49" t="n">
        <v>46357</v>
      </c>
      <c r="E74" s="18" t="s">
        <v>99</v>
      </c>
      <c r="F74" s="18" t="s">
        <v>195</v>
      </c>
      <c r="G74" s="65" t="n">
        <v>759616</v>
      </c>
      <c r="H74" s="65" t="n">
        <v>7.86</v>
      </c>
      <c r="I74" s="65" t="s">
        <v>2104</v>
      </c>
      <c r="J74" s="65" t="n">
        <v>5970581.76</v>
      </c>
      <c r="K74" s="66" t="n">
        <f aca="false">G74*H74</f>
        <v>5970581.76</v>
      </c>
      <c r="L74" s="66" t="n">
        <f aca="false">K74-J74</f>
        <v>9.31322574615479E-010</v>
      </c>
      <c r="M74" s="18" t="s">
        <v>2037</v>
      </c>
      <c r="N74" s="20" t="s">
        <v>2038</v>
      </c>
    </row>
    <row r="75" customFormat="false" ht="15" hidden="false" customHeight="false" outlineLevel="0" collapsed="false">
      <c r="A75" s="18" t="s">
        <v>203</v>
      </c>
      <c r="B75" s="18" t="s">
        <v>204</v>
      </c>
      <c r="C75" s="18"/>
      <c r="D75" s="49" t="n">
        <v>46357</v>
      </c>
      <c r="E75" s="18" t="s">
        <v>113</v>
      </c>
      <c r="F75" s="18" t="s">
        <v>195</v>
      </c>
      <c r="G75" s="65" t="n">
        <v>696696</v>
      </c>
      <c r="H75" s="65" t="n">
        <v>7.86</v>
      </c>
      <c r="I75" s="65" t="s">
        <v>2105</v>
      </c>
      <c r="J75" s="65" t="n">
        <v>5476030.56</v>
      </c>
      <c r="K75" s="66" t="n">
        <f aca="false">G75*H75</f>
        <v>5476030.56</v>
      </c>
      <c r="L75" s="66" t="n">
        <f aca="false">K75-J75</f>
        <v>9.31322574615479E-010</v>
      </c>
      <c r="M75" s="18" t="s">
        <v>2037</v>
      </c>
      <c r="N75" s="20" t="s">
        <v>2038</v>
      </c>
    </row>
    <row r="76" customFormat="false" ht="15" hidden="false" customHeight="false" outlineLevel="0" collapsed="false">
      <c r="A76" s="18" t="s">
        <v>203</v>
      </c>
      <c r="B76" s="18" t="s">
        <v>204</v>
      </c>
      <c r="C76" s="18"/>
      <c r="D76" s="49" t="n">
        <v>46357</v>
      </c>
      <c r="E76" s="18" t="s">
        <v>119</v>
      </c>
      <c r="F76" s="18" t="s">
        <v>199</v>
      </c>
      <c r="G76" s="65" t="n">
        <v>869440</v>
      </c>
      <c r="H76" s="65" t="n">
        <v>9</v>
      </c>
      <c r="I76" s="65" t="s">
        <v>2106</v>
      </c>
      <c r="J76" s="65" t="n">
        <v>7824960</v>
      </c>
      <c r="K76" s="66" t="n">
        <f aca="false">G76*H76</f>
        <v>7824960</v>
      </c>
      <c r="L76" s="66" t="n">
        <f aca="false">K76-J76</f>
        <v>0</v>
      </c>
      <c r="M76" s="18" t="s">
        <v>2037</v>
      </c>
      <c r="N76" s="20" t="s">
        <v>2038</v>
      </c>
    </row>
    <row r="77" customFormat="false" ht="15" hidden="false" customHeight="false" outlineLevel="0" collapsed="false">
      <c r="A77" s="18" t="s">
        <v>206</v>
      </c>
      <c r="B77" s="18" t="s">
        <v>207</v>
      </c>
      <c r="C77" s="18" t="s">
        <v>208</v>
      </c>
      <c r="D77" s="49" t="n">
        <v>46266</v>
      </c>
      <c r="E77" s="18" t="s">
        <v>99</v>
      </c>
      <c r="F77" s="18" t="s">
        <v>195</v>
      </c>
      <c r="G77" s="65" t="n">
        <v>513936</v>
      </c>
      <c r="H77" s="65" t="n">
        <v>7.92</v>
      </c>
      <c r="I77" s="65" t="s">
        <v>2095</v>
      </c>
      <c r="J77" s="65" t="n">
        <v>4070373.12</v>
      </c>
      <c r="K77" s="66" t="n">
        <f aca="false">G77*H77</f>
        <v>4070373.12</v>
      </c>
      <c r="L77" s="66" t="n">
        <f aca="false">K77-J77</f>
        <v>0</v>
      </c>
      <c r="M77" s="18" t="s">
        <v>2037</v>
      </c>
      <c r="N77" s="20" t="s">
        <v>2038</v>
      </c>
    </row>
    <row r="78" customFormat="false" ht="15" hidden="false" customHeight="false" outlineLevel="0" collapsed="false">
      <c r="A78" s="18" t="s">
        <v>206</v>
      </c>
      <c r="B78" s="18" t="s">
        <v>207</v>
      </c>
      <c r="C78" s="18" t="s">
        <v>208</v>
      </c>
      <c r="D78" s="49" t="n">
        <v>46266</v>
      </c>
      <c r="E78" s="18" t="s">
        <v>113</v>
      </c>
      <c r="F78" s="18" t="s">
        <v>195</v>
      </c>
      <c r="G78" s="65" t="n">
        <v>448920</v>
      </c>
      <c r="H78" s="65" t="n">
        <v>7.92</v>
      </c>
      <c r="I78" s="65" t="s">
        <v>2096</v>
      </c>
      <c r="J78" s="65" t="n">
        <v>3555446.4</v>
      </c>
      <c r="K78" s="66" t="n">
        <f aca="false">G78*H78</f>
        <v>3555446.4</v>
      </c>
      <c r="L78" s="66" t="n">
        <f aca="false">K78-J78</f>
        <v>0</v>
      </c>
      <c r="M78" s="18" t="s">
        <v>2037</v>
      </c>
      <c r="N78" s="20" t="s">
        <v>2038</v>
      </c>
    </row>
    <row r="79" customFormat="false" ht="15" hidden="false" customHeight="false" outlineLevel="0" collapsed="false">
      <c r="A79" s="18" t="s">
        <v>206</v>
      </c>
      <c r="B79" s="18" t="s">
        <v>207</v>
      </c>
      <c r="C79" s="18" t="s">
        <v>208</v>
      </c>
      <c r="D79" s="49" t="n">
        <v>46266</v>
      </c>
      <c r="E79" s="18" t="s">
        <v>119</v>
      </c>
      <c r="F79" s="18" t="s">
        <v>199</v>
      </c>
      <c r="G79" s="65" t="n">
        <v>444448</v>
      </c>
      <c r="H79" s="65" t="n">
        <v>9.15</v>
      </c>
      <c r="I79" s="65" t="s">
        <v>2097</v>
      </c>
      <c r="J79" s="65" t="n">
        <v>4066699.2</v>
      </c>
      <c r="K79" s="66" t="n">
        <f aca="false">G79*H79</f>
        <v>4066699.2</v>
      </c>
      <c r="L79" s="66" t="n">
        <f aca="false">K79-J79</f>
        <v>0</v>
      </c>
      <c r="M79" s="18" t="s">
        <v>2037</v>
      </c>
      <c r="N79" s="20" t="s">
        <v>2038</v>
      </c>
    </row>
    <row r="80" customFormat="false" ht="15" hidden="false" customHeight="false" outlineLevel="0" collapsed="false">
      <c r="A80" s="18" t="s">
        <v>206</v>
      </c>
      <c r="B80" s="18" t="s">
        <v>207</v>
      </c>
      <c r="C80" s="18" t="s">
        <v>208</v>
      </c>
      <c r="D80" s="49" t="n">
        <v>46296</v>
      </c>
      <c r="E80" s="18" t="s">
        <v>99</v>
      </c>
      <c r="F80" s="18" t="s">
        <v>195</v>
      </c>
      <c r="G80" s="65" t="n">
        <v>550290</v>
      </c>
      <c r="H80" s="65" t="n">
        <v>7.9</v>
      </c>
      <c r="I80" s="65" t="s">
        <v>2098</v>
      </c>
      <c r="J80" s="65" t="n">
        <v>4347291</v>
      </c>
      <c r="K80" s="66" t="n">
        <f aca="false">G80*H80</f>
        <v>4347291</v>
      </c>
      <c r="L80" s="66" t="n">
        <f aca="false">K80-J80</f>
        <v>0</v>
      </c>
      <c r="M80" s="18" t="s">
        <v>2037</v>
      </c>
      <c r="N80" s="20" t="s">
        <v>2038</v>
      </c>
    </row>
    <row r="81" customFormat="false" ht="15" hidden="false" customHeight="false" outlineLevel="0" collapsed="false">
      <c r="A81" s="18" t="s">
        <v>206</v>
      </c>
      <c r="B81" s="18" t="s">
        <v>207</v>
      </c>
      <c r="C81" s="18" t="s">
        <v>208</v>
      </c>
      <c r="D81" s="49" t="n">
        <v>46296</v>
      </c>
      <c r="E81" s="18" t="s">
        <v>113</v>
      </c>
      <c r="F81" s="18" t="s">
        <v>195</v>
      </c>
      <c r="G81" s="65" t="n">
        <v>508950</v>
      </c>
      <c r="H81" s="65" t="n">
        <v>7.9</v>
      </c>
      <c r="I81" s="65" t="s">
        <v>2099</v>
      </c>
      <c r="J81" s="65" t="n">
        <v>4020705</v>
      </c>
      <c r="K81" s="66" t="n">
        <f aca="false">G81*H81</f>
        <v>4020705</v>
      </c>
      <c r="L81" s="66" t="n">
        <f aca="false">K81-J81</f>
        <v>0</v>
      </c>
      <c r="M81" s="18" t="s">
        <v>2037</v>
      </c>
      <c r="N81" s="20" t="s">
        <v>2038</v>
      </c>
    </row>
    <row r="82" customFormat="false" ht="15" hidden="false" customHeight="false" outlineLevel="0" collapsed="false">
      <c r="A82" s="18" t="s">
        <v>206</v>
      </c>
      <c r="B82" s="18" t="s">
        <v>207</v>
      </c>
      <c r="C82" s="18" t="s">
        <v>208</v>
      </c>
      <c r="D82" s="49" t="n">
        <v>46296</v>
      </c>
      <c r="E82" s="18" t="s">
        <v>119</v>
      </c>
      <c r="F82" s="18" t="s">
        <v>199</v>
      </c>
      <c r="G82" s="65" t="n">
        <v>533520</v>
      </c>
      <c r="H82" s="65" t="n">
        <v>9.1</v>
      </c>
      <c r="I82" s="65" t="s">
        <v>2100</v>
      </c>
      <c r="J82" s="65" t="n">
        <v>4855032</v>
      </c>
      <c r="K82" s="66" t="n">
        <f aca="false">G82*H82</f>
        <v>4855032</v>
      </c>
      <c r="L82" s="66" t="n">
        <f aca="false">K82-J82</f>
        <v>0</v>
      </c>
      <c r="M82" s="18" t="s">
        <v>2037</v>
      </c>
      <c r="N82" s="20" t="s">
        <v>2038</v>
      </c>
    </row>
    <row r="83" customFormat="false" ht="15" hidden="false" customHeight="false" outlineLevel="0" collapsed="false">
      <c r="A83" s="18" t="s">
        <v>206</v>
      </c>
      <c r="B83" s="18" t="s">
        <v>207</v>
      </c>
      <c r="C83" s="18" t="s">
        <v>208</v>
      </c>
      <c r="D83" s="49" t="n">
        <v>46327</v>
      </c>
      <c r="E83" s="18" t="s">
        <v>99</v>
      </c>
      <c r="F83" s="18" t="s">
        <v>195</v>
      </c>
      <c r="G83" s="65" t="n">
        <v>658688</v>
      </c>
      <c r="H83" s="65" t="n">
        <v>7.88</v>
      </c>
      <c r="I83" s="65" t="s">
        <v>2101</v>
      </c>
      <c r="J83" s="65" t="n">
        <v>5190461.44</v>
      </c>
      <c r="K83" s="66" t="n">
        <f aca="false">G83*H83</f>
        <v>5190461.44</v>
      </c>
      <c r="L83" s="66" t="n">
        <f aca="false">K83-J83</f>
        <v>-9.31322574615479E-010</v>
      </c>
      <c r="M83" s="18" t="s">
        <v>2037</v>
      </c>
      <c r="N83" s="20" t="s">
        <v>2038</v>
      </c>
    </row>
    <row r="84" customFormat="false" ht="15" hidden="false" customHeight="false" outlineLevel="0" collapsed="false">
      <c r="A84" s="18" t="s">
        <v>206</v>
      </c>
      <c r="B84" s="18" t="s">
        <v>207</v>
      </c>
      <c r="C84" s="18" t="s">
        <v>208</v>
      </c>
      <c r="D84" s="49" t="n">
        <v>46327</v>
      </c>
      <c r="E84" s="18" t="s">
        <v>113</v>
      </c>
      <c r="F84" s="18" t="s">
        <v>195</v>
      </c>
      <c r="G84" s="65" t="n">
        <v>625704</v>
      </c>
      <c r="H84" s="65" t="n">
        <v>7.88</v>
      </c>
      <c r="I84" s="65" t="s">
        <v>2102</v>
      </c>
      <c r="J84" s="65" t="n">
        <v>4930547.52</v>
      </c>
      <c r="K84" s="66" t="n">
        <f aca="false">G84*H84</f>
        <v>4930547.52</v>
      </c>
      <c r="L84" s="66" t="n">
        <f aca="false">K84-J84</f>
        <v>0</v>
      </c>
      <c r="M84" s="18" t="s">
        <v>2037</v>
      </c>
      <c r="N84" s="20" t="s">
        <v>2038</v>
      </c>
    </row>
    <row r="85" customFormat="false" ht="15" hidden="false" customHeight="false" outlineLevel="0" collapsed="false">
      <c r="A85" s="18" t="s">
        <v>206</v>
      </c>
      <c r="B85" s="18" t="s">
        <v>207</v>
      </c>
      <c r="C85" s="18" t="s">
        <v>208</v>
      </c>
      <c r="D85" s="49" t="n">
        <v>46327</v>
      </c>
      <c r="E85" s="18" t="s">
        <v>119</v>
      </c>
      <c r="F85" s="18" t="s">
        <v>199</v>
      </c>
      <c r="G85" s="65" t="n">
        <v>735072</v>
      </c>
      <c r="H85" s="65" t="n">
        <v>9.05</v>
      </c>
      <c r="I85" s="65" t="s">
        <v>2103</v>
      </c>
      <c r="J85" s="65" t="n">
        <v>6652401.6</v>
      </c>
      <c r="K85" s="66" t="n">
        <f aca="false">G85*H85</f>
        <v>6652401.6</v>
      </c>
      <c r="L85" s="66" t="n">
        <f aca="false">K85-J85</f>
        <v>9.31322574615479E-010</v>
      </c>
      <c r="M85" s="18" t="s">
        <v>2037</v>
      </c>
      <c r="N85" s="20" t="s">
        <v>2038</v>
      </c>
    </row>
    <row r="86" customFormat="false" ht="15" hidden="false" customHeight="false" outlineLevel="0" collapsed="false">
      <c r="A86" s="18" t="s">
        <v>206</v>
      </c>
      <c r="B86" s="18" t="s">
        <v>207</v>
      </c>
      <c r="C86" s="18" t="s">
        <v>208</v>
      </c>
      <c r="D86" s="49" t="n">
        <v>46357</v>
      </c>
      <c r="E86" s="18" t="s">
        <v>99</v>
      </c>
      <c r="F86" s="18" t="s">
        <v>195</v>
      </c>
      <c r="G86" s="65" t="n">
        <v>759616</v>
      </c>
      <c r="H86" s="65" t="n">
        <v>7.86</v>
      </c>
      <c r="I86" s="65" t="s">
        <v>2104</v>
      </c>
      <c r="J86" s="65" t="n">
        <v>5970581.76</v>
      </c>
      <c r="K86" s="66" t="n">
        <f aca="false">G86*H86</f>
        <v>5970581.76</v>
      </c>
      <c r="L86" s="66" t="n">
        <f aca="false">K86-J86</f>
        <v>9.31322574615479E-010</v>
      </c>
      <c r="M86" s="18" t="s">
        <v>2037</v>
      </c>
      <c r="N86" s="20" t="s">
        <v>2038</v>
      </c>
    </row>
    <row r="87" customFormat="false" ht="15" hidden="false" customHeight="false" outlineLevel="0" collapsed="false">
      <c r="A87" s="18" t="s">
        <v>206</v>
      </c>
      <c r="B87" s="18" t="s">
        <v>207</v>
      </c>
      <c r="C87" s="18" t="s">
        <v>208</v>
      </c>
      <c r="D87" s="49" t="n">
        <v>46357</v>
      </c>
      <c r="E87" s="18" t="s">
        <v>113</v>
      </c>
      <c r="F87" s="18" t="s">
        <v>195</v>
      </c>
      <c r="G87" s="65" t="n">
        <v>696696</v>
      </c>
      <c r="H87" s="65" t="n">
        <v>7.86</v>
      </c>
      <c r="I87" s="65" t="s">
        <v>2105</v>
      </c>
      <c r="J87" s="65" t="n">
        <v>5476030.56</v>
      </c>
      <c r="K87" s="66" t="n">
        <f aca="false">G87*H87</f>
        <v>5476030.56</v>
      </c>
      <c r="L87" s="66" t="n">
        <f aca="false">K87-J87</f>
        <v>9.31322574615479E-010</v>
      </c>
      <c r="M87" s="18" t="s">
        <v>2037</v>
      </c>
      <c r="N87" s="20" t="s">
        <v>2038</v>
      </c>
    </row>
    <row r="88" customFormat="false" ht="15" hidden="false" customHeight="false" outlineLevel="0" collapsed="false">
      <c r="A88" s="18" t="s">
        <v>206</v>
      </c>
      <c r="B88" s="18" t="s">
        <v>207</v>
      </c>
      <c r="C88" s="18" t="s">
        <v>208</v>
      </c>
      <c r="D88" s="49" t="n">
        <v>46357</v>
      </c>
      <c r="E88" s="18" t="s">
        <v>119</v>
      </c>
      <c r="F88" s="18" t="s">
        <v>199</v>
      </c>
      <c r="G88" s="65" t="n">
        <v>869440</v>
      </c>
      <c r="H88" s="65" t="n">
        <v>9</v>
      </c>
      <c r="I88" s="65" t="s">
        <v>2106</v>
      </c>
      <c r="J88" s="65" t="n">
        <v>7824960</v>
      </c>
      <c r="K88" s="66" t="n">
        <f aca="false">G88*H88</f>
        <v>7824960</v>
      </c>
      <c r="L88" s="66" t="n">
        <f aca="false">K88-J88</f>
        <v>0</v>
      </c>
      <c r="M88" s="18" t="s">
        <v>2037</v>
      </c>
      <c r="N88" s="20" t="s">
        <v>2038</v>
      </c>
    </row>
    <row r="89" customFormat="false" ht="15" hidden="false" customHeight="false" outlineLevel="0" collapsed="false">
      <c r="A89" s="18" t="s">
        <v>210</v>
      </c>
      <c r="B89" s="18" t="s">
        <v>207</v>
      </c>
      <c r="C89" s="18" t="s">
        <v>211</v>
      </c>
      <c r="D89" s="49" t="n">
        <v>46266</v>
      </c>
      <c r="E89" s="18" t="s">
        <v>99</v>
      </c>
      <c r="F89" s="18" t="s">
        <v>195</v>
      </c>
      <c r="G89" s="65" t="n">
        <v>513936</v>
      </c>
      <c r="H89" s="65" t="n">
        <v>7.92</v>
      </c>
      <c r="I89" s="65" t="s">
        <v>2095</v>
      </c>
      <c r="J89" s="65" t="n">
        <v>4070373.12</v>
      </c>
      <c r="K89" s="66" t="n">
        <f aca="false">G89*H89</f>
        <v>4070373.12</v>
      </c>
      <c r="L89" s="66" t="n">
        <f aca="false">K89-J89</f>
        <v>0</v>
      </c>
      <c r="M89" s="18" t="s">
        <v>2037</v>
      </c>
      <c r="N89" s="20" t="s">
        <v>2038</v>
      </c>
    </row>
    <row r="90" customFormat="false" ht="15" hidden="false" customHeight="false" outlineLevel="0" collapsed="false">
      <c r="A90" s="18" t="s">
        <v>210</v>
      </c>
      <c r="B90" s="18" t="s">
        <v>207</v>
      </c>
      <c r="C90" s="18" t="s">
        <v>211</v>
      </c>
      <c r="D90" s="49" t="n">
        <v>46266</v>
      </c>
      <c r="E90" s="18" t="s">
        <v>113</v>
      </c>
      <c r="F90" s="18" t="s">
        <v>195</v>
      </c>
      <c r="G90" s="65" t="n">
        <v>448920</v>
      </c>
      <c r="H90" s="65" t="n">
        <v>7.92</v>
      </c>
      <c r="I90" s="65" t="s">
        <v>2096</v>
      </c>
      <c r="J90" s="65" t="n">
        <v>3555446.4</v>
      </c>
      <c r="K90" s="66" t="n">
        <f aca="false">G90*H90</f>
        <v>3555446.4</v>
      </c>
      <c r="L90" s="66" t="n">
        <f aca="false">K90-J90</f>
        <v>0</v>
      </c>
      <c r="M90" s="18" t="s">
        <v>2037</v>
      </c>
      <c r="N90" s="20" t="s">
        <v>2038</v>
      </c>
    </row>
    <row r="91" customFormat="false" ht="15" hidden="false" customHeight="false" outlineLevel="0" collapsed="false">
      <c r="A91" s="18" t="s">
        <v>210</v>
      </c>
      <c r="B91" s="18" t="s">
        <v>207</v>
      </c>
      <c r="C91" s="18" t="s">
        <v>211</v>
      </c>
      <c r="D91" s="49" t="n">
        <v>46266</v>
      </c>
      <c r="E91" s="18" t="s">
        <v>119</v>
      </c>
      <c r="F91" s="18" t="s">
        <v>199</v>
      </c>
      <c r="G91" s="65" t="n">
        <v>488892.8</v>
      </c>
      <c r="H91" s="65" t="n">
        <v>9.15</v>
      </c>
      <c r="I91" s="65" t="s">
        <v>2107</v>
      </c>
      <c r="J91" s="65" t="n">
        <v>4473369.12</v>
      </c>
      <c r="K91" s="66" t="n">
        <f aca="false">G91*H91</f>
        <v>4473369.12</v>
      </c>
      <c r="L91" s="66" t="n">
        <f aca="false">K91-J91</f>
        <v>0</v>
      </c>
      <c r="M91" s="18" t="s">
        <v>2037</v>
      </c>
      <c r="N91" s="20" t="s">
        <v>2038</v>
      </c>
    </row>
    <row r="92" customFormat="false" ht="15" hidden="false" customHeight="false" outlineLevel="0" collapsed="false">
      <c r="A92" s="18" t="s">
        <v>210</v>
      </c>
      <c r="B92" s="18" t="s">
        <v>207</v>
      </c>
      <c r="C92" s="18" t="s">
        <v>211</v>
      </c>
      <c r="D92" s="49" t="n">
        <v>46296</v>
      </c>
      <c r="E92" s="18" t="s">
        <v>99</v>
      </c>
      <c r="F92" s="18" t="s">
        <v>195</v>
      </c>
      <c r="G92" s="65" t="n">
        <v>550290</v>
      </c>
      <c r="H92" s="65" t="n">
        <v>7.9</v>
      </c>
      <c r="I92" s="65" t="s">
        <v>2098</v>
      </c>
      <c r="J92" s="65" t="n">
        <v>4347291</v>
      </c>
      <c r="K92" s="66" t="n">
        <f aca="false">G92*H92</f>
        <v>4347291</v>
      </c>
      <c r="L92" s="66" t="n">
        <f aca="false">K92-J92</f>
        <v>0</v>
      </c>
      <c r="M92" s="18" t="s">
        <v>2037</v>
      </c>
      <c r="N92" s="20" t="s">
        <v>2038</v>
      </c>
    </row>
    <row r="93" customFormat="false" ht="15" hidden="false" customHeight="false" outlineLevel="0" collapsed="false">
      <c r="A93" s="18" t="s">
        <v>210</v>
      </c>
      <c r="B93" s="18" t="s">
        <v>207</v>
      </c>
      <c r="C93" s="18" t="s">
        <v>211</v>
      </c>
      <c r="D93" s="49" t="n">
        <v>46296</v>
      </c>
      <c r="E93" s="18" t="s">
        <v>113</v>
      </c>
      <c r="F93" s="18" t="s">
        <v>195</v>
      </c>
      <c r="G93" s="65" t="n">
        <v>508950</v>
      </c>
      <c r="H93" s="65" t="n">
        <v>7.9</v>
      </c>
      <c r="I93" s="65" t="s">
        <v>2099</v>
      </c>
      <c r="J93" s="65" t="n">
        <v>4020705</v>
      </c>
      <c r="K93" s="66" t="n">
        <f aca="false">G93*H93</f>
        <v>4020705</v>
      </c>
      <c r="L93" s="66" t="n">
        <f aca="false">K93-J93</f>
        <v>0</v>
      </c>
      <c r="M93" s="18" t="s">
        <v>2037</v>
      </c>
      <c r="N93" s="20" t="s">
        <v>2038</v>
      </c>
    </row>
    <row r="94" customFormat="false" ht="15" hidden="false" customHeight="false" outlineLevel="0" collapsed="false">
      <c r="A94" s="18" t="s">
        <v>210</v>
      </c>
      <c r="B94" s="18" t="s">
        <v>207</v>
      </c>
      <c r="C94" s="18" t="s">
        <v>211</v>
      </c>
      <c r="D94" s="49" t="n">
        <v>46296</v>
      </c>
      <c r="E94" s="18" t="s">
        <v>119</v>
      </c>
      <c r="F94" s="18" t="s">
        <v>199</v>
      </c>
      <c r="G94" s="65" t="n">
        <v>586872</v>
      </c>
      <c r="H94" s="65" t="n">
        <v>9.1</v>
      </c>
      <c r="I94" s="65" t="s">
        <v>2108</v>
      </c>
      <c r="J94" s="65" t="n">
        <v>5340535.2</v>
      </c>
      <c r="K94" s="66" t="n">
        <f aca="false">G94*H94</f>
        <v>5340535.2</v>
      </c>
      <c r="L94" s="66" t="n">
        <f aca="false">K94-J94</f>
        <v>0</v>
      </c>
      <c r="M94" s="18" t="s">
        <v>2037</v>
      </c>
      <c r="N94" s="20" t="s">
        <v>2038</v>
      </c>
    </row>
    <row r="95" customFormat="false" ht="15" hidden="false" customHeight="false" outlineLevel="0" collapsed="false">
      <c r="A95" s="18" t="s">
        <v>210</v>
      </c>
      <c r="B95" s="18" t="s">
        <v>207</v>
      </c>
      <c r="C95" s="18" t="s">
        <v>211</v>
      </c>
      <c r="D95" s="49" t="n">
        <v>46327</v>
      </c>
      <c r="E95" s="18" t="s">
        <v>99</v>
      </c>
      <c r="F95" s="18" t="s">
        <v>195</v>
      </c>
      <c r="G95" s="65" t="n">
        <v>658688</v>
      </c>
      <c r="H95" s="65" t="n">
        <v>7.88</v>
      </c>
      <c r="I95" s="65" t="s">
        <v>2101</v>
      </c>
      <c r="J95" s="65" t="n">
        <v>5190461.44</v>
      </c>
      <c r="K95" s="66" t="n">
        <f aca="false">G95*H95</f>
        <v>5190461.44</v>
      </c>
      <c r="L95" s="66" t="n">
        <f aca="false">K95-J95</f>
        <v>-9.31322574615479E-010</v>
      </c>
      <c r="M95" s="18" t="s">
        <v>2037</v>
      </c>
      <c r="N95" s="20" t="s">
        <v>2038</v>
      </c>
    </row>
    <row r="96" customFormat="false" ht="15" hidden="false" customHeight="false" outlineLevel="0" collapsed="false">
      <c r="A96" s="18" t="s">
        <v>210</v>
      </c>
      <c r="B96" s="18" t="s">
        <v>207</v>
      </c>
      <c r="C96" s="18" t="s">
        <v>211</v>
      </c>
      <c r="D96" s="49" t="n">
        <v>46327</v>
      </c>
      <c r="E96" s="18" t="s">
        <v>113</v>
      </c>
      <c r="F96" s="18" t="s">
        <v>195</v>
      </c>
      <c r="G96" s="65" t="n">
        <v>625704</v>
      </c>
      <c r="H96" s="65" t="n">
        <v>7.88</v>
      </c>
      <c r="I96" s="65" t="s">
        <v>2102</v>
      </c>
      <c r="J96" s="65" t="n">
        <v>4930547.52</v>
      </c>
      <c r="K96" s="66" t="n">
        <f aca="false">G96*H96</f>
        <v>4930547.52</v>
      </c>
      <c r="L96" s="66" t="n">
        <f aca="false">K96-J96</f>
        <v>0</v>
      </c>
      <c r="M96" s="18" t="s">
        <v>2037</v>
      </c>
      <c r="N96" s="20" t="s">
        <v>2038</v>
      </c>
    </row>
    <row r="97" customFormat="false" ht="15" hidden="false" customHeight="false" outlineLevel="0" collapsed="false">
      <c r="A97" s="18" t="s">
        <v>210</v>
      </c>
      <c r="B97" s="18" t="s">
        <v>207</v>
      </c>
      <c r="C97" s="18" t="s">
        <v>211</v>
      </c>
      <c r="D97" s="49" t="n">
        <v>46327</v>
      </c>
      <c r="E97" s="18" t="s">
        <v>119</v>
      </c>
      <c r="F97" s="18" t="s">
        <v>199</v>
      </c>
      <c r="G97" s="65" t="n">
        <v>808579.2</v>
      </c>
      <c r="H97" s="65" t="n">
        <v>9.05</v>
      </c>
      <c r="I97" s="65" t="s">
        <v>2109</v>
      </c>
      <c r="J97" s="65" t="n">
        <v>7317641.76</v>
      </c>
      <c r="K97" s="66" t="n">
        <f aca="false">G97*H97</f>
        <v>7317641.76</v>
      </c>
      <c r="L97" s="66" t="n">
        <f aca="false">K97-J97</f>
        <v>0</v>
      </c>
      <c r="M97" s="18" t="s">
        <v>2037</v>
      </c>
      <c r="N97" s="20" t="s">
        <v>2038</v>
      </c>
    </row>
    <row r="98" customFormat="false" ht="15" hidden="false" customHeight="false" outlineLevel="0" collapsed="false">
      <c r="A98" s="18" t="s">
        <v>210</v>
      </c>
      <c r="B98" s="18" t="s">
        <v>207</v>
      </c>
      <c r="C98" s="18" t="s">
        <v>211</v>
      </c>
      <c r="D98" s="49" t="n">
        <v>46357</v>
      </c>
      <c r="E98" s="18" t="s">
        <v>99</v>
      </c>
      <c r="F98" s="18" t="s">
        <v>195</v>
      </c>
      <c r="G98" s="65" t="n">
        <v>759616</v>
      </c>
      <c r="H98" s="65" t="n">
        <v>7.86</v>
      </c>
      <c r="I98" s="65" t="s">
        <v>2104</v>
      </c>
      <c r="J98" s="65" t="n">
        <v>5970581.76</v>
      </c>
      <c r="K98" s="66" t="n">
        <f aca="false">G98*H98</f>
        <v>5970581.76</v>
      </c>
      <c r="L98" s="66" t="n">
        <f aca="false">K98-J98</f>
        <v>9.31322574615479E-010</v>
      </c>
      <c r="M98" s="18" t="s">
        <v>2037</v>
      </c>
      <c r="N98" s="20" t="s">
        <v>2038</v>
      </c>
    </row>
    <row r="99" customFormat="false" ht="15" hidden="false" customHeight="false" outlineLevel="0" collapsed="false">
      <c r="A99" s="18" t="s">
        <v>210</v>
      </c>
      <c r="B99" s="18" t="s">
        <v>207</v>
      </c>
      <c r="C99" s="18" t="s">
        <v>211</v>
      </c>
      <c r="D99" s="49" t="n">
        <v>46357</v>
      </c>
      <c r="E99" s="18" t="s">
        <v>113</v>
      </c>
      <c r="F99" s="18" t="s">
        <v>195</v>
      </c>
      <c r="G99" s="65" t="n">
        <v>696696</v>
      </c>
      <c r="H99" s="65" t="n">
        <v>7.86</v>
      </c>
      <c r="I99" s="65" t="s">
        <v>2105</v>
      </c>
      <c r="J99" s="65" t="n">
        <v>5476030.56</v>
      </c>
      <c r="K99" s="66" t="n">
        <f aca="false">G99*H99</f>
        <v>5476030.56</v>
      </c>
      <c r="L99" s="66" t="n">
        <f aca="false">K99-J99</f>
        <v>9.31322574615479E-010</v>
      </c>
      <c r="M99" s="18" t="s">
        <v>2037</v>
      </c>
      <c r="N99" s="20" t="s">
        <v>2038</v>
      </c>
    </row>
    <row r="100" customFormat="false" ht="15" hidden="false" customHeight="false" outlineLevel="0" collapsed="false">
      <c r="A100" s="18" t="s">
        <v>210</v>
      </c>
      <c r="B100" s="18" t="s">
        <v>207</v>
      </c>
      <c r="C100" s="18" t="s">
        <v>211</v>
      </c>
      <c r="D100" s="49" t="n">
        <v>46357</v>
      </c>
      <c r="E100" s="18" t="s">
        <v>119</v>
      </c>
      <c r="F100" s="18" t="s">
        <v>199</v>
      </c>
      <c r="G100" s="65" t="n">
        <v>956384</v>
      </c>
      <c r="H100" s="65" t="n">
        <v>9</v>
      </c>
      <c r="I100" s="65" t="s">
        <v>2110</v>
      </c>
      <c r="J100" s="65" t="n">
        <v>8607456</v>
      </c>
      <c r="K100" s="66" t="n">
        <f aca="false">G100*H100</f>
        <v>8607456</v>
      </c>
      <c r="L100" s="66" t="n">
        <f aca="false">K100-J100</f>
        <v>0</v>
      </c>
      <c r="M100" s="18" t="s">
        <v>2037</v>
      </c>
      <c r="N100" s="20" t="s">
        <v>2038</v>
      </c>
    </row>
    <row r="101" customFormat="false" ht="15" hidden="false" customHeight="false" outlineLevel="0" collapsed="false">
      <c r="A101" s="18" t="s">
        <v>213</v>
      </c>
      <c r="B101" s="18" t="s">
        <v>207</v>
      </c>
      <c r="C101" s="18" t="s">
        <v>214</v>
      </c>
      <c r="D101" s="49" t="n">
        <v>46266</v>
      </c>
      <c r="E101" s="18" t="s">
        <v>99</v>
      </c>
      <c r="F101" s="18" t="s">
        <v>195</v>
      </c>
      <c r="G101" s="65" t="n">
        <v>513936</v>
      </c>
      <c r="H101" s="65" t="n">
        <v>7.92</v>
      </c>
      <c r="I101" s="65" t="s">
        <v>2095</v>
      </c>
      <c r="J101" s="65" t="n">
        <v>4070373.12</v>
      </c>
      <c r="K101" s="66" t="n">
        <f aca="false">G101*H101</f>
        <v>4070373.12</v>
      </c>
      <c r="L101" s="66" t="n">
        <f aca="false">K101-J101</f>
        <v>0</v>
      </c>
      <c r="M101" s="18" t="s">
        <v>2037</v>
      </c>
      <c r="N101" s="20" t="s">
        <v>2038</v>
      </c>
    </row>
    <row r="102" customFormat="false" ht="15" hidden="false" customHeight="false" outlineLevel="0" collapsed="false">
      <c r="A102" s="18" t="s">
        <v>213</v>
      </c>
      <c r="B102" s="18" t="s">
        <v>207</v>
      </c>
      <c r="C102" s="18" t="s">
        <v>214</v>
      </c>
      <c r="D102" s="49" t="n">
        <v>46266</v>
      </c>
      <c r="E102" s="18" t="s">
        <v>113</v>
      </c>
      <c r="F102" s="18" t="s">
        <v>195</v>
      </c>
      <c r="G102" s="65" t="n">
        <v>448920</v>
      </c>
      <c r="H102" s="65" t="n">
        <v>7.92</v>
      </c>
      <c r="I102" s="65" t="s">
        <v>2096</v>
      </c>
      <c r="J102" s="65" t="n">
        <v>3555446.4</v>
      </c>
      <c r="K102" s="66" t="n">
        <f aca="false">G102*H102</f>
        <v>3555446.4</v>
      </c>
      <c r="L102" s="66" t="n">
        <f aca="false">K102-J102</f>
        <v>0</v>
      </c>
      <c r="M102" s="18" t="s">
        <v>2037</v>
      </c>
      <c r="N102" s="20" t="s">
        <v>2038</v>
      </c>
    </row>
    <row r="103" customFormat="false" ht="15" hidden="false" customHeight="false" outlineLevel="0" collapsed="false">
      <c r="A103" s="18" t="s">
        <v>213</v>
      </c>
      <c r="B103" s="18" t="s">
        <v>207</v>
      </c>
      <c r="C103" s="18" t="s">
        <v>214</v>
      </c>
      <c r="D103" s="49" t="n">
        <v>46266</v>
      </c>
      <c r="E103" s="18" t="s">
        <v>119</v>
      </c>
      <c r="F103" s="18" t="s">
        <v>199</v>
      </c>
      <c r="G103" s="65" t="n">
        <v>444448</v>
      </c>
      <c r="H103" s="65" t="n">
        <v>9.15</v>
      </c>
      <c r="I103" s="65" t="s">
        <v>2097</v>
      </c>
      <c r="J103" s="65" t="n">
        <v>4066699.2</v>
      </c>
      <c r="K103" s="66" t="n">
        <f aca="false">G103*H103</f>
        <v>4066699.2</v>
      </c>
      <c r="L103" s="66" t="n">
        <f aca="false">K103-J103</f>
        <v>0</v>
      </c>
      <c r="M103" s="18" t="s">
        <v>2037</v>
      </c>
      <c r="N103" s="20" t="s">
        <v>2038</v>
      </c>
    </row>
    <row r="104" customFormat="false" ht="15" hidden="false" customHeight="false" outlineLevel="0" collapsed="false">
      <c r="A104" s="18" t="s">
        <v>213</v>
      </c>
      <c r="B104" s="18" t="s">
        <v>207</v>
      </c>
      <c r="C104" s="18" t="s">
        <v>214</v>
      </c>
      <c r="D104" s="49" t="n">
        <v>46296</v>
      </c>
      <c r="E104" s="18" t="s">
        <v>99</v>
      </c>
      <c r="F104" s="18" t="s">
        <v>195</v>
      </c>
      <c r="G104" s="65" t="n">
        <v>550290</v>
      </c>
      <c r="H104" s="65" t="n">
        <v>7.9</v>
      </c>
      <c r="I104" s="65" t="s">
        <v>2098</v>
      </c>
      <c r="J104" s="65" t="n">
        <v>4347291</v>
      </c>
      <c r="K104" s="66" t="n">
        <f aca="false">G104*H104</f>
        <v>4347291</v>
      </c>
      <c r="L104" s="66" t="n">
        <f aca="false">K104-J104</f>
        <v>0</v>
      </c>
      <c r="M104" s="18" t="s">
        <v>2037</v>
      </c>
      <c r="N104" s="20" t="s">
        <v>2038</v>
      </c>
    </row>
    <row r="105" customFormat="false" ht="15" hidden="false" customHeight="false" outlineLevel="0" collapsed="false">
      <c r="A105" s="18" t="s">
        <v>213</v>
      </c>
      <c r="B105" s="18" t="s">
        <v>207</v>
      </c>
      <c r="C105" s="18" t="s">
        <v>214</v>
      </c>
      <c r="D105" s="49" t="n">
        <v>46296</v>
      </c>
      <c r="E105" s="18" t="s">
        <v>113</v>
      </c>
      <c r="F105" s="18" t="s">
        <v>195</v>
      </c>
      <c r="G105" s="65" t="n">
        <v>508950</v>
      </c>
      <c r="H105" s="65" t="n">
        <v>7.9</v>
      </c>
      <c r="I105" s="65" t="s">
        <v>2099</v>
      </c>
      <c r="J105" s="65" t="n">
        <v>4020705</v>
      </c>
      <c r="K105" s="66" t="n">
        <f aca="false">G105*H105</f>
        <v>4020705</v>
      </c>
      <c r="L105" s="66" t="n">
        <f aca="false">K105-J105</f>
        <v>0</v>
      </c>
      <c r="M105" s="18" t="s">
        <v>2037</v>
      </c>
      <c r="N105" s="20" t="s">
        <v>2038</v>
      </c>
    </row>
    <row r="106" customFormat="false" ht="15" hidden="false" customHeight="false" outlineLevel="0" collapsed="false">
      <c r="A106" s="18" t="s">
        <v>213</v>
      </c>
      <c r="B106" s="18" t="s">
        <v>207</v>
      </c>
      <c r="C106" s="18" t="s">
        <v>214</v>
      </c>
      <c r="D106" s="49" t="n">
        <v>46296</v>
      </c>
      <c r="E106" s="18" t="s">
        <v>119</v>
      </c>
      <c r="F106" s="18" t="s">
        <v>199</v>
      </c>
      <c r="G106" s="65" t="n">
        <v>533520</v>
      </c>
      <c r="H106" s="65" t="n">
        <v>9.1</v>
      </c>
      <c r="I106" s="65" t="s">
        <v>2100</v>
      </c>
      <c r="J106" s="65" t="n">
        <v>4855032</v>
      </c>
      <c r="K106" s="66" t="n">
        <f aca="false">G106*H106</f>
        <v>4855032</v>
      </c>
      <c r="L106" s="66" t="n">
        <f aca="false">K106-J106</f>
        <v>0</v>
      </c>
      <c r="M106" s="18" t="s">
        <v>2037</v>
      </c>
      <c r="N106" s="20" t="s">
        <v>2038</v>
      </c>
    </row>
    <row r="107" customFormat="false" ht="15" hidden="false" customHeight="false" outlineLevel="0" collapsed="false">
      <c r="A107" s="18" t="s">
        <v>213</v>
      </c>
      <c r="B107" s="18" t="s">
        <v>207</v>
      </c>
      <c r="C107" s="18" t="s">
        <v>214</v>
      </c>
      <c r="D107" s="49" t="n">
        <v>46327</v>
      </c>
      <c r="E107" s="18" t="s">
        <v>99</v>
      </c>
      <c r="F107" s="18" t="s">
        <v>195</v>
      </c>
      <c r="G107" s="65" t="n">
        <v>658688</v>
      </c>
      <c r="H107" s="65" t="n">
        <v>7.88</v>
      </c>
      <c r="I107" s="65" t="s">
        <v>2101</v>
      </c>
      <c r="J107" s="65" t="n">
        <v>5190461.44</v>
      </c>
      <c r="K107" s="66" t="n">
        <f aca="false">G107*H107</f>
        <v>5190461.44</v>
      </c>
      <c r="L107" s="66" t="n">
        <f aca="false">K107-J107</f>
        <v>-9.31322574615479E-010</v>
      </c>
      <c r="M107" s="18" t="s">
        <v>2037</v>
      </c>
      <c r="N107" s="20" t="s">
        <v>2038</v>
      </c>
    </row>
    <row r="108" customFormat="false" ht="15" hidden="false" customHeight="false" outlineLevel="0" collapsed="false">
      <c r="A108" s="18" t="s">
        <v>213</v>
      </c>
      <c r="B108" s="18" t="s">
        <v>207</v>
      </c>
      <c r="C108" s="18" t="s">
        <v>214</v>
      </c>
      <c r="D108" s="49" t="n">
        <v>46327</v>
      </c>
      <c r="E108" s="18" t="s">
        <v>113</v>
      </c>
      <c r="F108" s="18" t="s">
        <v>195</v>
      </c>
      <c r="G108" s="65" t="n">
        <v>625704</v>
      </c>
      <c r="H108" s="65" t="n">
        <v>7.88</v>
      </c>
      <c r="I108" s="65" t="s">
        <v>2102</v>
      </c>
      <c r="J108" s="65" t="n">
        <v>4930547.52</v>
      </c>
      <c r="K108" s="66" t="n">
        <f aca="false">G108*H108</f>
        <v>4930547.52</v>
      </c>
      <c r="L108" s="66" t="n">
        <f aca="false">K108-J108</f>
        <v>0</v>
      </c>
      <c r="M108" s="18" t="s">
        <v>2037</v>
      </c>
      <c r="N108" s="20" t="s">
        <v>2038</v>
      </c>
    </row>
    <row r="109" customFormat="false" ht="15" hidden="false" customHeight="false" outlineLevel="0" collapsed="false">
      <c r="A109" s="18" t="s">
        <v>213</v>
      </c>
      <c r="B109" s="18" t="s">
        <v>207</v>
      </c>
      <c r="C109" s="18" t="s">
        <v>214</v>
      </c>
      <c r="D109" s="49" t="n">
        <v>46327</v>
      </c>
      <c r="E109" s="18" t="s">
        <v>119</v>
      </c>
      <c r="F109" s="18" t="s">
        <v>199</v>
      </c>
      <c r="G109" s="65" t="n">
        <v>735072</v>
      </c>
      <c r="H109" s="65" t="n">
        <v>9.05</v>
      </c>
      <c r="I109" s="65" t="s">
        <v>2103</v>
      </c>
      <c r="J109" s="65" t="n">
        <v>6652401.6</v>
      </c>
      <c r="K109" s="66" t="n">
        <f aca="false">G109*H109</f>
        <v>6652401.6</v>
      </c>
      <c r="L109" s="66" t="n">
        <f aca="false">K109-J109</f>
        <v>9.31322574615479E-010</v>
      </c>
      <c r="M109" s="18" t="s">
        <v>2037</v>
      </c>
      <c r="N109" s="20" t="s">
        <v>2038</v>
      </c>
    </row>
    <row r="110" customFormat="false" ht="15" hidden="false" customHeight="false" outlineLevel="0" collapsed="false">
      <c r="A110" s="18" t="s">
        <v>213</v>
      </c>
      <c r="B110" s="18" t="s">
        <v>207</v>
      </c>
      <c r="C110" s="18" t="s">
        <v>214</v>
      </c>
      <c r="D110" s="49" t="n">
        <v>46357</v>
      </c>
      <c r="E110" s="18" t="s">
        <v>99</v>
      </c>
      <c r="F110" s="18" t="s">
        <v>195</v>
      </c>
      <c r="G110" s="65" t="n">
        <v>759616</v>
      </c>
      <c r="H110" s="65" t="n">
        <v>7.86</v>
      </c>
      <c r="I110" s="65" t="s">
        <v>2104</v>
      </c>
      <c r="J110" s="65" t="n">
        <v>5970581.76</v>
      </c>
      <c r="K110" s="66" t="n">
        <f aca="false">G110*H110</f>
        <v>5970581.76</v>
      </c>
      <c r="L110" s="66" t="n">
        <f aca="false">K110-J110</f>
        <v>9.31322574615479E-010</v>
      </c>
      <c r="M110" s="18" t="s">
        <v>2037</v>
      </c>
      <c r="N110" s="20" t="s">
        <v>2038</v>
      </c>
    </row>
    <row r="111" customFormat="false" ht="15" hidden="false" customHeight="false" outlineLevel="0" collapsed="false">
      <c r="A111" s="18" t="s">
        <v>213</v>
      </c>
      <c r="B111" s="18" t="s">
        <v>207</v>
      </c>
      <c r="C111" s="18" t="s">
        <v>214</v>
      </c>
      <c r="D111" s="49" t="n">
        <v>46357</v>
      </c>
      <c r="E111" s="18" t="s">
        <v>113</v>
      </c>
      <c r="F111" s="18" t="s">
        <v>195</v>
      </c>
      <c r="G111" s="65" t="n">
        <v>696696</v>
      </c>
      <c r="H111" s="65" t="n">
        <v>7.86</v>
      </c>
      <c r="I111" s="65" t="s">
        <v>2105</v>
      </c>
      <c r="J111" s="65" t="n">
        <v>5476030.56</v>
      </c>
      <c r="K111" s="66" t="n">
        <f aca="false">G111*H111</f>
        <v>5476030.56</v>
      </c>
      <c r="L111" s="66" t="n">
        <f aca="false">K111-J111</f>
        <v>9.31322574615479E-010</v>
      </c>
      <c r="M111" s="18" t="s">
        <v>2037</v>
      </c>
      <c r="N111" s="20" t="s">
        <v>2038</v>
      </c>
    </row>
    <row r="112" customFormat="false" ht="15" hidden="false" customHeight="false" outlineLevel="0" collapsed="false">
      <c r="A112" s="21" t="s">
        <v>213</v>
      </c>
      <c r="B112" s="21" t="s">
        <v>207</v>
      </c>
      <c r="C112" s="21" t="s">
        <v>214</v>
      </c>
      <c r="D112" s="55" t="n">
        <v>46357</v>
      </c>
      <c r="E112" s="21" t="s">
        <v>119</v>
      </c>
      <c r="F112" s="21" t="s">
        <v>199</v>
      </c>
      <c r="G112" s="68" t="n">
        <v>869440</v>
      </c>
      <c r="H112" s="68" t="n">
        <v>9</v>
      </c>
      <c r="I112" s="68" t="s">
        <v>2106</v>
      </c>
      <c r="J112" s="68" t="n">
        <v>7824960</v>
      </c>
      <c r="K112" s="69" t="n">
        <f aca="false">G112*H112</f>
        <v>7824960</v>
      </c>
      <c r="L112" s="69" t="n">
        <f aca="false">K112-J112</f>
        <v>0</v>
      </c>
      <c r="M112" s="21" t="s">
        <v>2037</v>
      </c>
      <c r="N112" s="23" t="s">
        <v>2038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4" min="1" style="0" width="15"/>
    <col collapsed="false" customWidth="true" hidden="false" outlineLevel="0" max="5" min="5" style="0" width="24"/>
    <col collapsed="false" customWidth="true" hidden="false" outlineLevel="0" max="16" min="6" style="0" width="15"/>
  </cols>
  <sheetData>
    <row r="1" customFormat="false" ht="32" hidden="false" customHeight="true" outlineLevel="0" collapsed="false">
      <c r="A1" s="24" t="s">
        <v>2111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8" hidden="false" customHeight="true" outlineLevel="0" collapsed="false">
      <c r="A2" s="70" t="s">
        <v>2112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4" customFormat="false" ht="30" hidden="false" customHeight="true" outlineLevel="0" collapsed="false">
      <c r="A4" s="37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  <c r="H4" s="12" t="s">
        <v>141</v>
      </c>
      <c r="I4" s="12" t="s">
        <v>142</v>
      </c>
      <c r="J4" s="12" t="s">
        <v>2113</v>
      </c>
      <c r="K4" s="12" t="s">
        <v>2114</v>
      </c>
      <c r="L4" s="12" t="s">
        <v>2115</v>
      </c>
      <c r="M4" s="12" t="s">
        <v>2116</v>
      </c>
      <c r="N4" s="12" t="s">
        <v>2117</v>
      </c>
      <c r="O4" s="12" t="s">
        <v>2118</v>
      </c>
      <c r="P4" s="13" t="s">
        <v>1938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/>
      <c r="D5" s="43" t="n">
        <v>46023</v>
      </c>
      <c r="E5" s="15" t="s">
        <v>98</v>
      </c>
      <c r="F5" s="15" t="s">
        <v>99</v>
      </c>
      <c r="G5" s="15" t="s">
        <v>100</v>
      </c>
      <c r="H5" s="15" t="s">
        <v>101</v>
      </c>
      <c r="I5" s="15" t="s">
        <v>102</v>
      </c>
      <c r="J5" s="61" t="n">
        <v>3593.268</v>
      </c>
      <c r="K5" s="61" t="n">
        <v>3593.268</v>
      </c>
      <c r="L5" s="61" t="n">
        <v>3467.50362</v>
      </c>
      <c r="M5" s="71" t="n">
        <v>0.965</v>
      </c>
      <c r="N5" s="71" t="n">
        <v>1</v>
      </c>
      <c r="O5" s="72" t="n">
        <f aca="false">IF(K5="",M5,L5/K5)</f>
        <v>0.965</v>
      </c>
      <c r="P5" s="72" t="n">
        <f aca="false">O5-M5</f>
        <v>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/>
      <c r="D6" s="49" t="n">
        <v>46023</v>
      </c>
      <c r="E6" s="18" t="s">
        <v>106</v>
      </c>
      <c r="F6" s="18" t="s">
        <v>99</v>
      </c>
      <c r="G6" s="18" t="s">
        <v>100</v>
      </c>
      <c r="H6" s="18" t="s">
        <v>107</v>
      </c>
      <c r="I6" s="18" t="s">
        <v>102</v>
      </c>
      <c r="J6" s="64" t="n">
        <v>2395.512</v>
      </c>
      <c r="K6" s="64" t="n">
        <v>2395.512</v>
      </c>
      <c r="L6" s="64" t="n">
        <v>2338.019712</v>
      </c>
      <c r="M6" s="73" t="n">
        <v>0.976</v>
      </c>
      <c r="N6" s="73" t="n">
        <v>1</v>
      </c>
      <c r="O6" s="74" t="n">
        <f aca="false">IF(K6="",M6,L6/K6)</f>
        <v>0.976</v>
      </c>
      <c r="P6" s="74" t="n">
        <f aca="false">O6-M6</f>
        <v>-1.11022302462516E-016</v>
      </c>
    </row>
    <row r="7" customFormat="false" ht="15" hidden="false" customHeight="false" outlineLevel="0" collapsed="false">
      <c r="A7" s="18" t="s">
        <v>193</v>
      </c>
      <c r="B7" s="18" t="s">
        <v>194</v>
      </c>
      <c r="C7" s="18"/>
      <c r="D7" s="49" t="n">
        <v>46023</v>
      </c>
      <c r="E7" s="18" t="s">
        <v>109</v>
      </c>
      <c r="F7" s="18" t="s">
        <v>99</v>
      </c>
      <c r="G7" s="18" t="s">
        <v>110</v>
      </c>
      <c r="H7" s="18" t="s">
        <v>107</v>
      </c>
      <c r="I7" s="18" t="s">
        <v>102</v>
      </c>
      <c r="J7" s="64" t="n">
        <v>190.512</v>
      </c>
      <c r="K7" s="64" t="n">
        <v>190.512</v>
      </c>
      <c r="L7" s="64" t="n">
        <v>184.415616</v>
      </c>
      <c r="M7" s="73" t="n">
        <v>0.968</v>
      </c>
      <c r="N7" s="73" t="n">
        <v>1</v>
      </c>
      <c r="O7" s="74" t="n">
        <f aca="false">IF(K7="",M7,L7/K7)</f>
        <v>0.968</v>
      </c>
      <c r="P7" s="74" t="n">
        <f aca="false">O7-M7</f>
        <v>0</v>
      </c>
    </row>
    <row r="8" customFormat="false" ht="15" hidden="false" customHeight="false" outlineLevel="0" collapsed="false">
      <c r="A8" s="18" t="s">
        <v>193</v>
      </c>
      <c r="B8" s="18" t="s">
        <v>194</v>
      </c>
      <c r="C8" s="18"/>
      <c r="D8" s="49" t="n">
        <v>46023</v>
      </c>
      <c r="E8" s="18" t="s">
        <v>112</v>
      </c>
      <c r="F8" s="18" t="s">
        <v>113</v>
      </c>
      <c r="G8" s="18" t="s">
        <v>110</v>
      </c>
      <c r="H8" s="18" t="s">
        <v>101</v>
      </c>
      <c r="I8" s="18" t="s">
        <v>102</v>
      </c>
      <c r="J8" s="64" t="n">
        <v>1662.08</v>
      </c>
      <c r="K8" s="64" t="n">
        <v>1662.08</v>
      </c>
      <c r="L8" s="64" t="n">
        <v>1597.25888</v>
      </c>
      <c r="M8" s="73" t="n">
        <v>0.961</v>
      </c>
      <c r="N8" s="73" t="n">
        <v>1</v>
      </c>
      <c r="O8" s="74" t="n">
        <f aca="false">IF(K8="",M8,L8/K8)</f>
        <v>0.961</v>
      </c>
      <c r="P8" s="74" t="n">
        <f aca="false">O8-M8</f>
        <v>1.11022302462516E-016</v>
      </c>
    </row>
    <row r="9" customFormat="false" ht="15" hidden="false" customHeight="false" outlineLevel="0" collapsed="false">
      <c r="A9" s="18" t="s">
        <v>193</v>
      </c>
      <c r="B9" s="18" t="s">
        <v>194</v>
      </c>
      <c r="C9" s="18"/>
      <c r="D9" s="49" t="n">
        <v>46023</v>
      </c>
      <c r="E9" s="18" t="s">
        <v>116</v>
      </c>
      <c r="F9" s="18" t="s">
        <v>113</v>
      </c>
      <c r="G9" s="18" t="s">
        <v>110</v>
      </c>
      <c r="H9" s="18" t="s">
        <v>107</v>
      </c>
      <c r="I9" s="18" t="s">
        <v>102</v>
      </c>
      <c r="J9" s="64" t="n">
        <v>3086.72</v>
      </c>
      <c r="K9" s="64" t="n">
        <v>3086.72</v>
      </c>
      <c r="L9" s="64" t="n">
        <v>3003.37856</v>
      </c>
      <c r="M9" s="73" t="n">
        <v>0.973</v>
      </c>
      <c r="N9" s="73" t="n">
        <v>1</v>
      </c>
      <c r="O9" s="74" t="n">
        <f aca="false">IF(K9="",M9,L9/K9)</f>
        <v>0.973</v>
      </c>
      <c r="P9" s="74" t="n">
        <f aca="false">O9-M9</f>
        <v>1.11022302462516E-016</v>
      </c>
    </row>
    <row r="10" customFormat="false" ht="15" hidden="false" customHeight="false" outlineLevel="0" collapsed="false">
      <c r="A10" s="18" t="s">
        <v>193</v>
      </c>
      <c r="B10" s="18" t="s">
        <v>194</v>
      </c>
      <c r="C10" s="18"/>
      <c r="D10" s="49" t="n">
        <v>46023</v>
      </c>
      <c r="E10" s="18" t="s">
        <v>118</v>
      </c>
      <c r="F10" s="18" t="s">
        <v>119</v>
      </c>
      <c r="G10" s="18" t="s">
        <v>100</v>
      </c>
      <c r="H10" s="18" t="s">
        <v>101</v>
      </c>
      <c r="I10" s="18" t="s">
        <v>102</v>
      </c>
      <c r="J10" s="64" t="n">
        <v>2543.9232</v>
      </c>
      <c r="K10" s="64" t="n">
        <v>2543.9232</v>
      </c>
      <c r="L10" s="64" t="n">
        <v>2365.848576</v>
      </c>
      <c r="M10" s="73" t="n">
        <v>0.93</v>
      </c>
      <c r="N10" s="73" t="n">
        <v>1</v>
      </c>
      <c r="O10" s="74" t="n">
        <f aca="false">IF(K10="",M10,L10/K10)</f>
        <v>0.93</v>
      </c>
      <c r="P10" s="74" t="n">
        <f aca="false">O10-M10</f>
        <v>-2.22044604925031E-016</v>
      </c>
    </row>
    <row r="11" customFormat="false" ht="15" hidden="false" customHeight="false" outlineLevel="0" collapsed="false">
      <c r="A11" s="18" t="s">
        <v>193</v>
      </c>
      <c r="B11" s="18" t="s">
        <v>194</v>
      </c>
      <c r="C11" s="18"/>
      <c r="D11" s="49" t="n">
        <v>46023</v>
      </c>
      <c r="E11" s="18" t="s">
        <v>122</v>
      </c>
      <c r="F11" s="18" t="s">
        <v>119</v>
      </c>
      <c r="G11" s="18" t="s">
        <v>100</v>
      </c>
      <c r="H11" s="18" t="s">
        <v>107</v>
      </c>
      <c r="I11" s="18" t="s">
        <v>102</v>
      </c>
      <c r="J11" s="64" t="n">
        <v>978.432</v>
      </c>
      <c r="K11" s="64" t="n">
        <v>978.432</v>
      </c>
      <c r="L11" s="64" t="n">
        <v>929.5104</v>
      </c>
      <c r="M11" s="73" t="n">
        <v>0.95</v>
      </c>
      <c r="N11" s="73" t="n">
        <v>1</v>
      </c>
      <c r="O11" s="74" t="n">
        <f aca="false">IF(K11="",M11,L11/K11)</f>
        <v>0.95</v>
      </c>
      <c r="P11" s="74" t="n">
        <f aca="false">O11-M11</f>
        <v>0</v>
      </c>
    </row>
    <row r="12" customFormat="false" ht="15" hidden="false" customHeight="false" outlineLevel="0" collapsed="false">
      <c r="A12" s="18" t="s">
        <v>193</v>
      </c>
      <c r="B12" s="18" t="s">
        <v>194</v>
      </c>
      <c r="C12" s="18"/>
      <c r="D12" s="49" t="n">
        <v>46023</v>
      </c>
      <c r="E12" s="18" t="s">
        <v>124</v>
      </c>
      <c r="F12" s="18" t="s">
        <v>119</v>
      </c>
      <c r="G12" s="18" t="s">
        <v>100</v>
      </c>
      <c r="H12" s="18" t="s">
        <v>107</v>
      </c>
      <c r="I12" s="18" t="s">
        <v>125</v>
      </c>
      <c r="J12" s="64" t="n">
        <v>273.96096</v>
      </c>
      <c r="K12" s="64" t="n">
        <v>273.96096</v>
      </c>
      <c r="L12" s="64" t="n">
        <v>266.83797504</v>
      </c>
      <c r="M12" s="73" t="n">
        <v>0.974</v>
      </c>
      <c r="N12" s="73" t="n">
        <v>1</v>
      </c>
      <c r="O12" s="74" t="n">
        <f aca="false">IF(K12="",M12,L12/K12)</f>
        <v>0.974</v>
      </c>
      <c r="P12" s="74" t="n">
        <f aca="false">O12-M12</f>
        <v>0</v>
      </c>
    </row>
    <row r="13" customFormat="false" ht="15" hidden="false" customHeight="false" outlineLevel="0" collapsed="false">
      <c r="A13" s="18" t="s">
        <v>193</v>
      </c>
      <c r="B13" s="18" t="s">
        <v>194</v>
      </c>
      <c r="C13" s="18"/>
      <c r="D13" s="49" t="n">
        <v>46023</v>
      </c>
      <c r="E13" s="18" t="s">
        <v>127</v>
      </c>
      <c r="F13" s="18" t="s">
        <v>119</v>
      </c>
      <c r="G13" s="18" t="s">
        <v>100</v>
      </c>
      <c r="H13" s="18" t="s">
        <v>128</v>
      </c>
      <c r="I13" s="18" t="s">
        <v>125</v>
      </c>
      <c r="J13" s="64" t="n">
        <v>117.41184</v>
      </c>
      <c r="K13" s="64" t="n">
        <v>117.41184</v>
      </c>
      <c r="L13" s="64" t="n">
        <v>116.00289792</v>
      </c>
      <c r="M13" s="73" t="n">
        <v>0.988</v>
      </c>
      <c r="N13" s="73" t="n">
        <v>1</v>
      </c>
      <c r="O13" s="74" t="n">
        <f aca="false">IF(K13="",M13,L13/K13)</f>
        <v>0.988</v>
      </c>
      <c r="P13" s="74" t="n">
        <f aca="false">O13-M13</f>
        <v>0</v>
      </c>
    </row>
    <row r="14" customFormat="false" ht="15" hidden="false" customHeight="false" outlineLevel="0" collapsed="false">
      <c r="A14" s="18" t="s">
        <v>193</v>
      </c>
      <c r="B14" s="18" t="s">
        <v>194</v>
      </c>
      <c r="C14" s="18"/>
      <c r="D14" s="49" t="n">
        <v>46023</v>
      </c>
      <c r="E14" s="18" t="s">
        <v>130</v>
      </c>
      <c r="F14" s="18" t="s">
        <v>119</v>
      </c>
      <c r="G14" s="18" t="s">
        <v>110</v>
      </c>
      <c r="H14" s="18" t="s">
        <v>107</v>
      </c>
      <c r="I14" s="18" t="s">
        <v>125</v>
      </c>
      <c r="J14" s="64" t="n">
        <v>167.44</v>
      </c>
      <c r="K14" s="64" t="n">
        <v>167.44</v>
      </c>
      <c r="L14" s="64" t="n">
        <v>162.58424</v>
      </c>
      <c r="M14" s="73" t="n">
        <v>0.971</v>
      </c>
      <c r="N14" s="73" t="n">
        <v>1</v>
      </c>
      <c r="O14" s="74" t="n">
        <f aca="false">IF(K14="",M14,L14/K14)</f>
        <v>0.971</v>
      </c>
      <c r="P14" s="74" t="n">
        <f aca="false">O14-M14</f>
        <v>0</v>
      </c>
    </row>
    <row r="15" customFormat="false" ht="15" hidden="false" customHeight="false" outlineLevel="0" collapsed="false">
      <c r="A15" s="18" t="s">
        <v>193</v>
      </c>
      <c r="B15" s="18" t="s">
        <v>194</v>
      </c>
      <c r="C15" s="18"/>
      <c r="D15" s="49" t="n">
        <v>46054</v>
      </c>
      <c r="E15" s="18" t="s">
        <v>98</v>
      </c>
      <c r="F15" s="18" t="s">
        <v>99</v>
      </c>
      <c r="G15" s="18" t="s">
        <v>100</v>
      </c>
      <c r="H15" s="18" t="s">
        <v>101</v>
      </c>
      <c r="I15" s="18" t="s">
        <v>102</v>
      </c>
      <c r="J15" s="64" t="n">
        <v>3464.937</v>
      </c>
      <c r="K15" s="64" t="n">
        <v>3464.937</v>
      </c>
      <c r="L15" s="64" t="n">
        <v>3343.664205</v>
      </c>
      <c r="M15" s="73" t="n">
        <v>0.965</v>
      </c>
      <c r="N15" s="73" t="n">
        <v>1</v>
      </c>
      <c r="O15" s="74" t="n">
        <f aca="false">IF(K15="",M15,L15/K15)</f>
        <v>0.965</v>
      </c>
      <c r="P15" s="74" t="n">
        <f aca="false">O15-M15</f>
        <v>1.11022302462516E-016</v>
      </c>
    </row>
    <row r="16" customFormat="false" ht="15" hidden="false" customHeight="false" outlineLevel="0" collapsed="false">
      <c r="A16" s="18" t="s">
        <v>193</v>
      </c>
      <c r="B16" s="18" t="s">
        <v>194</v>
      </c>
      <c r="C16" s="18"/>
      <c r="D16" s="49" t="n">
        <v>46054</v>
      </c>
      <c r="E16" s="18" t="s">
        <v>106</v>
      </c>
      <c r="F16" s="18" t="s">
        <v>99</v>
      </c>
      <c r="G16" s="18" t="s">
        <v>100</v>
      </c>
      <c r="H16" s="18" t="s">
        <v>107</v>
      </c>
      <c r="I16" s="18" t="s">
        <v>102</v>
      </c>
      <c r="J16" s="64" t="n">
        <v>2309.958</v>
      </c>
      <c r="K16" s="64" t="n">
        <v>2309.958</v>
      </c>
      <c r="L16" s="64" t="n">
        <v>2254.519008</v>
      </c>
      <c r="M16" s="73" t="n">
        <v>0.976</v>
      </c>
      <c r="N16" s="73" t="n">
        <v>1</v>
      </c>
      <c r="O16" s="74" t="n">
        <f aca="false">IF(K16="",M16,L16/K16)</f>
        <v>0.976</v>
      </c>
      <c r="P16" s="74" t="n">
        <f aca="false">O16-M16</f>
        <v>1.11022302462516E-016</v>
      </c>
    </row>
    <row r="17" customFormat="false" ht="15" hidden="false" customHeight="false" outlineLevel="0" collapsed="false">
      <c r="A17" s="18" t="s">
        <v>193</v>
      </c>
      <c r="B17" s="18" t="s">
        <v>194</v>
      </c>
      <c r="C17" s="18"/>
      <c r="D17" s="49" t="n">
        <v>46054</v>
      </c>
      <c r="E17" s="18" t="s">
        <v>109</v>
      </c>
      <c r="F17" s="18" t="s">
        <v>99</v>
      </c>
      <c r="G17" s="18" t="s">
        <v>110</v>
      </c>
      <c r="H17" s="18" t="s">
        <v>107</v>
      </c>
      <c r="I17" s="18" t="s">
        <v>102</v>
      </c>
      <c r="J17" s="64" t="n">
        <v>183.708</v>
      </c>
      <c r="K17" s="64" t="n">
        <v>183.708</v>
      </c>
      <c r="L17" s="64" t="n">
        <v>177.829344</v>
      </c>
      <c r="M17" s="73" t="n">
        <v>0.968</v>
      </c>
      <c r="N17" s="73" t="n">
        <v>1</v>
      </c>
      <c r="O17" s="74" t="n">
        <f aca="false">IF(K17="",M17,L17/K17)</f>
        <v>0.968</v>
      </c>
      <c r="P17" s="74" t="n">
        <f aca="false">O17-M17</f>
        <v>0</v>
      </c>
    </row>
    <row r="18" customFormat="false" ht="15" hidden="false" customHeight="false" outlineLevel="0" collapsed="false">
      <c r="A18" s="18" t="s">
        <v>193</v>
      </c>
      <c r="B18" s="18" t="s">
        <v>194</v>
      </c>
      <c r="C18" s="18"/>
      <c r="D18" s="49" t="n">
        <v>46054</v>
      </c>
      <c r="E18" s="18" t="s">
        <v>112</v>
      </c>
      <c r="F18" s="18" t="s">
        <v>113</v>
      </c>
      <c r="G18" s="18" t="s">
        <v>110</v>
      </c>
      <c r="H18" s="18" t="s">
        <v>101</v>
      </c>
      <c r="I18" s="18" t="s">
        <v>102</v>
      </c>
      <c r="J18" s="64" t="n">
        <v>1602.72</v>
      </c>
      <c r="K18" s="64" t="n">
        <v>1602.72</v>
      </c>
      <c r="L18" s="64" t="n">
        <v>1540.21392</v>
      </c>
      <c r="M18" s="73" t="n">
        <v>0.961</v>
      </c>
      <c r="N18" s="73" t="n">
        <v>1</v>
      </c>
      <c r="O18" s="74" t="n">
        <f aca="false">IF(K18="",M18,L18/K18)</f>
        <v>0.961</v>
      </c>
      <c r="P18" s="74" t="n">
        <f aca="false">O18-M18</f>
        <v>0</v>
      </c>
    </row>
    <row r="19" customFormat="false" ht="15" hidden="false" customHeight="false" outlineLevel="0" collapsed="false">
      <c r="A19" s="18" t="s">
        <v>193</v>
      </c>
      <c r="B19" s="18" t="s">
        <v>194</v>
      </c>
      <c r="C19" s="18"/>
      <c r="D19" s="49" t="n">
        <v>46054</v>
      </c>
      <c r="E19" s="18" t="s">
        <v>116</v>
      </c>
      <c r="F19" s="18" t="s">
        <v>113</v>
      </c>
      <c r="G19" s="18" t="s">
        <v>110</v>
      </c>
      <c r="H19" s="18" t="s">
        <v>107</v>
      </c>
      <c r="I19" s="18" t="s">
        <v>102</v>
      </c>
      <c r="J19" s="64" t="n">
        <v>2976.48</v>
      </c>
      <c r="K19" s="64" t="n">
        <v>2976.48</v>
      </c>
      <c r="L19" s="64" t="n">
        <v>2896.11504</v>
      </c>
      <c r="M19" s="73" t="n">
        <v>0.973</v>
      </c>
      <c r="N19" s="73" t="n">
        <v>1</v>
      </c>
      <c r="O19" s="74" t="n">
        <f aca="false">IF(K19="",M19,L19/K19)</f>
        <v>0.973</v>
      </c>
      <c r="P19" s="74" t="n">
        <f aca="false">O19-M19</f>
        <v>1.11022302462516E-016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/>
      <c r="D20" s="49" t="n">
        <v>46054</v>
      </c>
      <c r="E20" s="18" t="s">
        <v>118</v>
      </c>
      <c r="F20" s="18" t="s">
        <v>119</v>
      </c>
      <c r="G20" s="18" t="s">
        <v>100</v>
      </c>
      <c r="H20" s="18" t="s">
        <v>101</v>
      </c>
      <c r="I20" s="18" t="s">
        <v>102</v>
      </c>
      <c r="J20" s="64" t="n">
        <v>2453.0688</v>
      </c>
      <c r="K20" s="64" t="n">
        <v>2453.0688</v>
      </c>
      <c r="L20" s="64" t="n">
        <v>2281.353984</v>
      </c>
      <c r="M20" s="73" t="n">
        <v>0.93</v>
      </c>
      <c r="N20" s="73" t="n">
        <v>1</v>
      </c>
      <c r="O20" s="74" t="n">
        <f aca="false">IF(K20="",M20,L20/K20)</f>
        <v>0.93</v>
      </c>
      <c r="P20" s="74" t="n">
        <f aca="false">O20-M20</f>
        <v>-1.11022302462516E-016</v>
      </c>
    </row>
    <row r="21" customFormat="false" ht="15" hidden="false" customHeight="false" outlineLevel="0" collapsed="false">
      <c r="A21" s="18" t="s">
        <v>193</v>
      </c>
      <c r="B21" s="18" t="s">
        <v>194</v>
      </c>
      <c r="C21" s="18"/>
      <c r="D21" s="49" t="n">
        <v>46054</v>
      </c>
      <c r="E21" s="18" t="s">
        <v>122</v>
      </c>
      <c r="F21" s="18" t="s">
        <v>119</v>
      </c>
      <c r="G21" s="18" t="s">
        <v>100</v>
      </c>
      <c r="H21" s="18" t="s">
        <v>107</v>
      </c>
      <c r="I21" s="18" t="s">
        <v>102</v>
      </c>
      <c r="J21" s="64" t="n">
        <v>943.488</v>
      </c>
      <c r="K21" s="64" t="n">
        <v>943.488</v>
      </c>
      <c r="L21" s="64" t="n">
        <v>896.3136</v>
      </c>
      <c r="M21" s="73" t="n">
        <v>0.95</v>
      </c>
      <c r="N21" s="73" t="n">
        <v>1</v>
      </c>
      <c r="O21" s="74" t="n">
        <f aca="false">IF(K21="",M21,L21/K21)</f>
        <v>0.95</v>
      </c>
      <c r="P21" s="74" t="n">
        <f aca="false">O21-M21</f>
        <v>-1.11022302462516E-016</v>
      </c>
    </row>
    <row r="22" customFormat="false" ht="15" hidden="false" customHeight="false" outlineLevel="0" collapsed="false">
      <c r="A22" s="18" t="s">
        <v>193</v>
      </c>
      <c r="B22" s="18" t="s">
        <v>194</v>
      </c>
      <c r="C22" s="18"/>
      <c r="D22" s="49" t="n">
        <v>46054</v>
      </c>
      <c r="E22" s="18" t="s">
        <v>124</v>
      </c>
      <c r="F22" s="18" t="s">
        <v>119</v>
      </c>
      <c r="G22" s="18" t="s">
        <v>100</v>
      </c>
      <c r="H22" s="18" t="s">
        <v>107</v>
      </c>
      <c r="I22" s="18" t="s">
        <v>125</v>
      </c>
      <c r="J22" s="64" t="n">
        <v>264.17664</v>
      </c>
      <c r="K22" s="64" t="n">
        <v>264.17664</v>
      </c>
      <c r="L22" s="64" t="n">
        <v>257.30804736</v>
      </c>
      <c r="M22" s="73" t="n">
        <v>0.974</v>
      </c>
      <c r="N22" s="73" t="n">
        <v>1</v>
      </c>
      <c r="O22" s="74" t="n">
        <f aca="false">IF(K22="",M22,L22/K22)</f>
        <v>0.974</v>
      </c>
      <c r="P22" s="74" t="n">
        <f aca="false">O22-M22</f>
        <v>-1.11022302462516E-016</v>
      </c>
    </row>
    <row r="23" customFormat="false" ht="15" hidden="false" customHeight="false" outlineLevel="0" collapsed="false">
      <c r="A23" s="18" t="s">
        <v>193</v>
      </c>
      <c r="B23" s="18" t="s">
        <v>194</v>
      </c>
      <c r="C23" s="18"/>
      <c r="D23" s="49" t="n">
        <v>46054</v>
      </c>
      <c r="E23" s="18" t="s">
        <v>127</v>
      </c>
      <c r="F23" s="18" t="s">
        <v>119</v>
      </c>
      <c r="G23" s="18" t="s">
        <v>100</v>
      </c>
      <c r="H23" s="18" t="s">
        <v>128</v>
      </c>
      <c r="I23" s="18" t="s">
        <v>125</v>
      </c>
      <c r="J23" s="64" t="n">
        <v>113.21856</v>
      </c>
      <c r="K23" s="64" t="n">
        <v>113.21856</v>
      </c>
      <c r="L23" s="64" t="n">
        <v>111.85993728</v>
      </c>
      <c r="M23" s="73" t="n">
        <v>0.988</v>
      </c>
      <c r="N23" s="73" t="n">
        <v>1</v>
      </c>
      <c r="O23" s="74" t="n">
        <f aca="false">IF(K23="",M23,L23/K23)</f>
        <v>0.988</v>
      </c>
      <c r="P23" s="74" t="n">
        <f aca="false">O23-M23</f>
        <v>0</v>
      </c>
    </row>
    <row r="24" customFormat="false" ht="15" hidden="false" customHeight="false" outlineLevel="0" collapsed="false">
      <c r="A24" s="18" t="s">
        <v>193</v>
      </c>
      <c r="B24" s="18" t="s">
        <v>194</v>
      </c>
      <c r="C24" s="18"/>
      <c r="D24" s="49" t="n">
        <v>46054</v>
      </c>
      <c r="E24" s="18" t="s">
        <v>130</v>
      </c>
      <c r="F24" s="18" t="s">
        <v>119</v>
      </c>
      <c r="G24" s="18" t="s">
        <v>110</v>
      </c>
      <c r="H24" s="18" t="s">
        <v>107</v>
      </c>
      <c r="I24" s="18" t="s">
        <v>125</v>
      </c>
      <c r="J24" s="64" t="n">
        <v>161.46</v>
      </c>
      <c r="K24" s="64" t="n">
        <v>161.46</v>
      </c>
      <c r="L24" s="64" t="n">
        <v>156.77766</v>
      </c>
      <c r="M24" s="73" t="n">
        <v>0.971</v>
      </c>
      <c r="N24" s="73" t="n">
        <v>1</v>
      </c>
      <c r="O24" s="74" t="n">
        <f aca="false">IF(K24="",M24,L24/K24)</f>
        <v>0.971</v>
      </c>
      <c r="P24" s="74" t="n">
        <f aca="false">O24-M24</f>
        <v>0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/>
      <c r="D25" s="49" t="n">
        <v>46082</v>
      </c>
      <c r="E25" s="18" t="s">
        <v>98</v>
      </c>
      <c r="F25" s="18" t="s">
        <v>99</v>
      </c>
      <c r="G25" s="18" t="s">
        <v>100</v>
      </c>
      <c r="H25" s="18" t="s">
        <v>101</v>
      </c>
      <c r="I25" s="18" t="s">
        <v>102</v>
      </c>
      <c r="J25" s="64" t="n">
        <v>3666.6</v>
      </c>
      <c r="K25" s="64" t="n">
        <v>3666.6</v>
      </c>
      <c r="L25" s="64" t="n">
        <v>3538.269</v>
      </c>
      <c r="M25" s="73" t="n">
        <v>0.965</v>
      </c>
      <c r="N25" s="73" t="n">
        <v>1</v>
      </c>
      <c r="O25" s="74" t="n">
        <f aca="false">IF(K25="",M25,L25/K25)</f>
        <v>0.965</v>
      </c>
      <c r="P25" s="74" t="n">
        <f aca="false">O25-M25</f>
        <v>0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/>
      <c r="D26" s="49" t="n">
        <v>46082</v>
      </c>
      <c r="E26" s="18" t="s">
        <v>106</v>
      </c>
      <c r="F26" s="18" t="s">
        <v>99</v>
      </c>
      <c r="G26" s="18" t="s">
        <v>100</v>
      </c>
      <c r="H26" s="18" t="s">
        <v>107</v>
      </c>
      <c r="I26" s="18" t="s">
        <v>102</v>
      </c>
      <c r="J26" s="64" t="n">
        <v>2444.4</v>
      </c>
      <c r="K26" s="64" t="n">
        <v>2444.4</v>
      </c>
      <c r="L26" s="64" t="n">
        <v>2385.7344</v>
      </c>
      <c r="M26" s="73" t="n">
        <v>0.976</v>
      </c>
      <c r="N26" s="73" t="n">
        <v>1</v>
      </c>
      <c r="O26" s="74" t="n">
        <f aca="false">IF(K26="",M26,L26/K26)</f>
        <v>0.976</v>
      </c>
      <c r="P26" s="74" t="n">
        <f aca="false">O26-M26</f>
        <v>-1.11022302462516E-016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/>
      <c r="D27" s="49" t="n">
        <v>46082</v>
      </c>
      <c r="E27" s="18" t="s">
        <v>109</v>
      </c>
      <c r="F27" s="18" t="s">
        <v>99</v>
      </c>
      <c r="G27" s="18" t="s">
        <v>110</v>
      </c>
      <c r="H27" s="18" t="s">
        <v>107</v>
      </c>
      <c r="I27" s="18" t="s">
        <v>102</v>
      </c>
      <c r="J27" s="64" t="n">
        <v>194.4</v>
      </c>
      <c r="K27" s="64" t="n">
        <v>194.4</v>
      </c>
      <c r="L27" s="64" t="n">
        <v>188.1792</v>
      </c>
      <c r="M27" s="73" t="n">
        <v>0.968</v>
      </c>
      <c r="N27" s="73" t="n">
        <v>1</v>
      </c>
      <c r="O27" s="74" t="n">
        <f aca="false">IF(K27="",M27,L27/K27)</f>
        <v>0.968</v>
      </c>
      <c r="P27" s="74" t="n">
        <f aca="false">O27-M27</f>
        <v>0</v>
      </c>
    </row>
    <row r="28" customFormat="false" ht="15" hidden="false" customHeight="false" outlineLevel="0" collapsed="false">
      <c r="A28" s="18" t="s">
        <v>193</v>
      </c>
      <c r="B28" s="18" t="s">
        <v>194</v>
      </c>
      <c r="C28" s="18"/>
      <c r="D28" s="49" t="n">
        <v>46082</v>
      </c>
      <c r="E28" s="18" t="s">
        <v>112</v>
      </c>
      <c r="F28" s="18" t="s">
        <v>113</v>
      </c>
      <c r="G28" s="18" t="s">
        <v>110</v>
      </c>
      <c r="H28" s="18" t="s">
        <v>101</v>
      </c>
      <c r="I28" s="18" t="s">
        <v>102</v>
      </c>
      <c r="J28" s="64" t="n">
        <v>1780.8</v>
      </c>
      <c r="K28" s="64" t="n">
        <v>1780.8</v>
      </c>
      <c r="L28" s="64" t="n">
        <v>1711.3488</v>
      </c>
      <c r="M28" s="73" t="n">
        <v>0.961</v>
      </c>
      <c r="N28" s="73" t="n">
        <v>1</v>
      </c>
      <c r="O28" s="74" t="n">
        <f aca="false">IF(K28="",M28,L28/K28)</f>
        <v>0.961</v>
      </c>
      <c r="P28" s="74" t="n">
        <f aca="false">O28-M28</f>
        <v>0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/>
      <c r="D29" s="49" t="n">
        <v>46082</v>
      </c>
      <c r="E29" s="18" t="s">
        <v>116</v>
      </c>
      <c r="F29" s="18" t="s">
        <v>113</v>
      </c>
      <c r="G29" s="18" t="s">
        <v>110</v>
      </c>
      <c r="H29" s="18" t="s">
        <v>107</v>
      </c>
      <c r="I29" s="18" t="s">
        <v>102</v>
      </c>
      <c r="J29" s="64" t="n">
        <v>3307.2</v>
      </c>
      <c r="K29" s="64" t="n">
        <v>3307.2</v>
      </c>
      <c r="L29" s="64" t="n">
        <v>3217.9056</v>
      </c>
      <c r="M29" s="73" t="n">
        <v>0.973</v>
      </c>
      <c r="N29" s="73" t="n">
        <v>1</v>
      </c>
      <c r="O29" s="74" t="n">
        <f aca="false">IF(K29="",M29,L29/K29)</f>
        <v>0.973</v>
      </c>
      <c r="P29" s="74" t="n">
        <f aca="false">O29-M29</f>
        <v>1.11022302462516E-016</v>
      </c>
    </row>
    <row r="30" customFormat="false" ht="15" hidden="false" customHeight="false" outlineLevel="0" collapsed="false">
      <c r="A30" s="18" t="s">
        <v>193</v>
      </c>
      <c r="B30" s="18" t="s">
        <v>194</v>
      </c>
      <c r="C30" s="18"/>
      <c r="D30" s="49" t="n">
        <v>46082</v>
      </c>
      <c r="E30" s="18" t="s">
        <v>118</v>
      </c>
      <c r="F30" s="18" t="s">
        <v>119</v>
      </c>
      <c r="G30" s="18" t="s">
        <v>100</v>
      </c>
      <c r="H30" s="18" t="s">
        <v>101</v>
      </c>
      <c r="I30" s="18" t="s">
        <v>102</v>
      </c>
      <c r="J30" s="64" t="n">
        <v>2935.296</v>
      </c>
      <c r="K30" s="64" t="n">
        <v>2935.296</v>
      </c>
      <c r="L30" s="64" t="n">
        <v>2729.82528</v>
      </c>
      <c r="M30" s="73" t="n">
        <v>0.93</v>
      </c>
      <c r="N30" s="73" t="n">
        <v>1</v>
      </c>
      <c r="O30" s="74" t="n">
        <f aca="false">IF(K30="",M30,L30/K30)</f>
        <v>0.93</v>
      </c>
      <c r="P30" s="74" t="n">
        <f aca="false">O30-M30</f>
        <v>0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/>
      <c r="D31" s="49" t="n">
        <v>46082</v>
      </c>
      <c r="E31" s="18" t="s">
        <v>122</v>
      </c>
      <c r="F31" s="18" t="s">
        <v>119</v>
      </c>
      <c r="G31" s="18" t="s">
        <v>100</v>
      </c>
      <c r="H31" s="18" t="s">
        <v>107</v>
      </c>
      <c r="I31" s="18" t="s">
        <v>102</v>
      </c>
      <c r="J31" s="64" t="n">
        <v>1128.96</v>
      </c>
      <c r="K31" s="64" t="n">
        <v>1128.96</v>
      </c>
      <c r="L31" s="64" t="n">
        <v>1072.512</v>
      </c>
      <c r="M31" s="73" t="n">
        <v>0.95</v>
      </c>
      <c r="N31" s="73" t="n">
        <v>1</v>
      </c>
      <c r="O31" s="74" t="n">
        <f aca="false">IF(K31="",M31,L31/K31)</f>
        <v>0.95</v>
      </c>
      <c r="P31" s="74" t="n">
        <f aca="false">O31-M31</f>
        <v>0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/>
      <c r="D32" s="49" t="n">
        <v>46082</v>
      </c>
      <c r="E32" s="18" t="s">
        <v>124</v>
      </c>
      <c r="F32" s="18" t="s">
        <v>119</v>
      </c>
      <c r="G32" s="18" t="s">
        <v>100</v>
      </c>
      <c r="H32" s="18" t="s">
        <v>107</v>
      </c>
      <c r="I32" s="18" t="s">
        <v>125</v>
      </c>
      <c r="J32" s="64" t="n">
        <v>316.1088</v>
      </c>
      <c r="K32" s="64" t="n">
        <v>316.1088</v>
      </c>
      <c r="L32" s="64" t="n">
        <v>307.8899712</v>
      </c>
      <c r="M32" s="73" t="n">
        <v>0.974</v>
      </c>
      <c r="N32" s="73" t="n">
        <v>1</v>
      </c>
      <c r="O32" s="74" t="n">
        <f aca="false">IF(K32="",M32,L32/K32)</f>
        <v>0.974</v>
      </c>
      <c r="P32" s="74" t="n">
        <f aca="false">O32-M32</f>
        <v>1.11022302462516E-016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/>
      <c r="D33" s="49" t="n">
        <v>46082</v>
      </c>
      <c r="E33" s="18" t="s">
        <v>127</v>
      </c>
      <c r="F33" s="18" t="s">
        <v>119</v>
      </c>
      <c r="G33" s="18" t="s">
        <v>100</v>
      </c>
      <c r="H33" s="18" t="s">
        <v>128</v>
      </c>
      <c r="I33" s="18" t="s">
        <v>125</v>
      </c>
      <c r="J33" s="64" t="n">
        <v>135.4752</v>
      </c>
      <c r="K33" s="64" t="n">
        <v>135.4752</v>
      </c>
      <c r="L33" s="64" t="n">
        <v>133.8494976</v>
      </c>
      <c r="M33" s="73" t="n">
        <v>0.988</v>
      </c>
      <c r="N33" s="73" t="n">
        <v>1</v>
      </c>
      <c r="O33" s="74" t="n">
        <f aca="false">IF(K33="",M33,L33/K33)</f>
        <v>0.988</v>
      </c>
      <c r="P33" s="74" t="n">
        <f aca="false">O33-M33</f>
        <v>0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/>
      <c r="D34" s="49" t="n">
        <v>46082</v>
      </c>
      <c r="E34" s="18" t="s">
        <v>130</v>
      </c>
      <c r="F34" s="18" t="s">
        <v>119</v>
      </c>
      <c r="G34" s="18" t="s">
        <v>110</v>
      </c>
      <c r="H34" s="18" t="s">
        <v>107</v>
      </c>
      <c r="I34" s="18" t="s">
        <v>125</v>
      </c>
      <c r="J34" s="64" t="n">
        <v>193.2</v>
      </c>
      <c r="K34" s="64" t="n">
        <v>193.2</v>
      </c>
      <c r="L34" s="64" t="n">
        <v>187.5972</v>
      </c>
      <c r="M34" s="73" t="n">
        <v>0.971</v>
      </c>
      <c r="N34" s="73" t="n">
        <v>1</v>
      </c>
      <c r="O34" s="74" t="n">
        <f aca="false">IF(K34="",M34,L34/K34)</f>
        <v>0.971</v>
      </c>
      <c r="P34" s="74" t="n">
        <f aca="false">O34-M34</f>
        <v>0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/>
      <c r="D35" s="49" t="n">
        <v>46113</v>
      </c>
      <c r="E35" s="18" t="s">
        <v>98</v>
      </c>
      <c r="F35" s="18" t="s">
        <v>99</v>
      </c>
      <c r="G35" s="18" t="s">
        <v>100</v>
      </c>
      <c r="H35" s="18" t="s">
        <v>101</v>
      </c>
      <c r="I35" s="18" t="s">
        <v>102</v>
      </c>
      <c r="J35" s="64" t="n">
        <v>3788.82</v>
      </c>
      <c r="K35" s="64" t="n">
        <v>3788.82</v>
      </c>
      <c r="L35" s="64" t="n">
        <v>3656.2113</v>
      </c>
      <c r="M35" s="73" t="n">
        <v>0.965</v>
      </c>
      <c r="N35" s="73" t="n">
        <v>1</v>
      </c>
      <c r="O35" s="74" t="n">
        <f aca="false">IF(K35="",M35,L35/K35)</f>
        <v>0.965</v>
      </c>
      <c r="P35" s="74" t="n">
        <f aca="false">O35-M35</f>
        <v>0</v>
      </c>
    </row>
    <row r="36" customFormat="false" ht="15" hidden="false" customHeight="false" outlineLevel="0" collapsed="false">
      <c r="A36" s="18" t="s">
        <v>193</v>
      </c>
      <c r="B36" s="18" t="s">
        <v>194</v>
      </c>
      <c r="C36" s="18"/>
      <c r="D36" s="49" t="n">
        <v>46113</v>
      </c>
      <c r="E36" s="18" t="s">
        <v>106</v>
      </c>
      <c r="F36" s="18" t="s">
        <v>99</v>
      </c>
      <c r="G36" s="18" t="s">
        <v>100</v>
      </c>
      <c r="H36" s="18" t="s">
        <v>107</v>
      </c>
      <c r="I36" s="18" t="s">
        <v>102</v>
      </c>
      <c r="J36" s="64" t="n">
        <v>2525.88</v>
      </c>
      <c r="K36" s="64" t="n">
        <v>2525.88</v>
      </c>
      <c r="L36" s="64" t="n">
        <v>2465.25888</v>
      </c>
      <c r="M36" s="73" t="n">
        <v>0.976</v>
      </c>
      <c r="N36" s="73" t="n">
        <v>1</v>
      </c>
      <c r="O36" s="74" t="n">
        <f aca="false">IF(K36="",M36,L36/K36)</f>
        <v>0.976</v>
      </c>
      <c r="P36" s="74" t="n">
        <f aca="false">O36-M36</f>
        <v>-1.11022302462516E-016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/>
      <c r="D37" s="49" t="n">
        <v>46113</v>
      </c>
      <c r="E37" s="18" t="s">
        <v>109</v>
      </c>
      <c r="F37" s="18" t="s">
        <v>99</v>
      </c>
      <c r="G37" s="18" t="s">
        <v>110</v>
      </c>
      <c r="H37" s="18" t="s">
        <v>107</v>
      </c>
      <c r="I37" s="18" t="s">
        <v>102</v>
      </c>
      <c r="J37" s="64" t="n">
        <v>200.88</v>
      </c>
      <c r="K37" s="64" t="n">
        <v>200.88</v>
      </c>
      <c r="L37" s="64" t="n">
        <v>194.45184</v>
      </c>
      <c r="M37" s="73" t="n">
        <v>0.968</v>
      </c>
      <c r="N37" s="73" t="n">
        <v>1</v>
      </c>
      <c r="O37" s="74" t="n">
        <f aca="false">IF(K37="",M37,L37/K37)</f>
        <v>0.968</v>
      </c>
      <c r="P37" s="74" t="n">
        <f aca="false">O37-M37</f>
        <v>1.11022302462516E-016</v>
      </c>
    </row>
    <row r="38" customFormat="false" ht="15" hidden="false" customHeight="false" outlineLevel="0" collapsed="false">
      <c r="A38" s="18" t="s">
        <v>193</v>
      </c>
      <c r="B38" s="18" t="s">
        <v>194</v>
      </c>
      <c r="C38" s="18"/>
      <c r="D38" s="49" t="n">
        <v>46113</v>
      </c>
      <c r="E38" s="18" t="s">
        <v>112</v>
      </c>
      <c r="F38" s="18" t="s">
        <v>113</v>
      </c>
      <c r="G38" s="18" t="s">
        <v>110</v>
      </c>
      <c r="H38" s="18" t="s">
        <v>101</v>
      </c>
      <c r="I38" s="18" t="s">
        <v>102</v>
      </c>
      <c r="J38" s="64" t="n">
        <v>1840.16</v>
      </c>
      <c r="K38" s="64" t="n">
        <v>1840.16</v>
      </c>
      <c r="L38" s="64" t="n">
        <v>1768.39376</v>
      </c>
      <c r="M38" s="73" t="n">
        <v>0.961</v>
      </c>
      <c r="N38" s="73" t="n">
        <v>1</v>
      </c>
      <c r="O38" s="74" t="n">
        <f aca="false">IF(K38="",M38,L38/K38)</f>
        <v>0.961</v>
      </c>
      <c r="P38" s="74" t="n">
        <f aca="false">O38-M38</f>
        <v>0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/>
      <c r="D39" s="49" t="n">
        <v>46113</v>
      </c>
      <c r="E39" s="18" t="s">
        <v>116</v>
      </c>
      <c r="F39" s="18" t="s">
        <v>113</v>
      </c>
      <c r="G39" s="18" t="s">
        <v>110</v>
      </c>
      <c r="H39" s="18" t="s">
        <v>107</v>
      </c>
      <c r="I39" s="18" t="s">
        <v>102</v>
      </c>
      <c r="J39" s="64" t="n">
        <v>3417.44</v>
      </c>
      <c r="K39" s="64" t="n">
        <v>3417.44</v>
      </c>
      <c r="L39" s="64" t="n">
        <v>3325.16912</v>
      </c>
      <c r="M39" s="73" t="n">
        <v>0.973</v>
      </c>
      <c r="N39" s="73" t="n">
        <v>1</v>
      </c>
      <c r="O39" s="74" t="n">
        <f aca="false">IF(K39="",M39,L39/K39)</f>
        <v>0.973</v>
      </c>
      <c r="P39" s="74" t="n">
        <f aca="false">O39-M39</f>
        <v>0</v>
      </c>
    </row>
    <row r="40" customFormat="false" ht="15" hidden="false" customHeight="false" outlineLevel="0" collapsed="false">
      <c r="A40" s="18" t="s">
        <v>193</v>
      </c>
      <c r="B40" s="18" t="s">
        <v>194</v>
      </c>
      <c r="C40" s="18"/>
      <c r="D40" s="49" t="n">
        <v>46113</v>
      </c>
      <c r="E40" s="18" t="s">
        <v>118</v>
      </c>
      <c r="F40" s="18" t="s">
        <v>119</v>
      </c>
      <c r="G40" s="18" t="s">
        <v>100</v>
      </c>
      <c r="H40" s="18" t="s">
        <v>101</v>
      </c>
      <c r="I40" s="18" t="s">
        <v>102</v>
      </c>
      <c r="J40" s="64" t="n">
        <v>3033.1392</v>
      </c>
      <c r="K40" s="64" t="n">
        <v>3033.1392</v>
      </c>
      <c r="L40" s="64" t="n">
        <v>2820.819456</v>
      </c>
      <c r="M40" s="73" t="n">
        <v>0.93</v>
      </c>
      <c r="N40" s="73" t="n">
        <v>1</v>
      </c>
      <c r="O40" s="74" t="n">
        <f aca="false">IF(K40="",M40,L40/K40)</f>
        <v>0.93</v>
      </c>
      <c r="P40" s="74" t="n">
        <f aca="false">O40-M40</f>
        <v>0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/>
      <c r="D41" s="49" t="n">
        <v>46113</v>
      </c>
      <c r="E41" s="18" t="s">
        <v>122</v>
      </c>
      <c r="F41" s="18" t="s">
        <v>119</v>
      </c>
      <c r="G41" s="18" t="s">
        <v>100</v>
      </c>
      <c r="H41" s="18" t="s">
        <v>107</v>
      </c>
      <c r="I41" s="18" t="s">
        <v>102</v>
      </c>
      <c r="J41" s="64" t="n">
        <v>1166.592</v>
      </c>
      <c r="K41" s="64" t="n">
        <v>1166.592</v>
      </c>
      <c r="L41" s="64" t="n">
        <v>1108.2624</v>
      </c>
      <c r="M41" s="73" t="n">
        <v>0.95</v>
      </c>
      <c r="N41" s="73" t="n">
        <v>1</v>
      </c>
      <c r="O41" s="74" t="n">
        <f aca="false">IF(K41="",M41,L41/K41)</f>
        <v>0.95</v>
      </c>
      <c r="P41" s="74" t="n">
        <f aca="false">O41-M41</f>
        <v>0</v>
      </c>
    </row>
    <row r="42" customFormat="false" ht="15" hidden="false" customHeight="false" outlineLevel="0" collapsed="false">
      <c r="A42" s="18" t="s">
        <v>193</v>
      </c>
      <c r="B42" s="18" t="s">
        <v>194</v>
      </c>
      <c r="C42" s="18"/>
      <c r="D42" s="49" t="n">
        <v>46113</v>
      </c>
      <c r="E42" s="18" t="s">
        <v>124</v>
      </c>
      <c r="F42" s="18" t="s">
        <v>119</v>
      </c>
      <c r="G42" s="18" t="s">
        <v>100</v>
      </c>
      <c r="H42" s="18" t="s">
        <v>107</v>
      </c>
      <c r="I42" s="18" t="s">
        <v>125</v>
      </c>
      <c r="J42" s="64" t="n">
        <v>326.64576</v>
      </c>
      <c r="K42" s="64" t="n">
        <v>326.64576</v>
      </c>
      <c r="L42" s="64" t="n">
        <v>318.15297024</v>
      </c>
      <c r="M42" s="73" t="n">
        <v>0.974</v>
      </c>
      <c r="N42" s="73" t="n">
        <v>1</v>
      </c>
      <c r="O42" s="74" t="n">
        <f aca="false">IF(K42="",M42,L42/K42)</f>
        <v>0.974</v>
      </c>
      <c r="P42" s="74" t="n">
        <f aca="false">O42-M42</f>
        <v>0</v>
      </c>
    </row>
    <row r="43" customFormat="false" ht="15" hidden="false" customHeight="false" outlineLevel="0" collapsed="false">
      <c r="A43" s="18" t="s">
        <v>193</v>
      </c>
      <c r="B43" s="18" t="s">
        <v>194</v>
      </c>
      <c r="C43" s="18"/>
      <c r="D43" s="49" t="n">
        <v>46113</v>
      </c>
      <c r="E43" s="18" t="s">
        <v>127</v>
      </c>
      <c r="F43" s="18" t="s">
        <v>119</v>
      </c>
      <c r="G43" s="18" t="s">
        <v>100</v>
      </c>
      <c r="H43" s="18" t="s">
        <v>128</v>
      </c>
      <c r="I43" s="18" t="s">
        <v>125</v>
      </c>
      <c r="J43" s="64" t="n">
        <v>139.99104</v>
      </c>
      <c r="K43" s="64" t="n">
        <v>139.99104</v>
      </c>
      <c r="L43" s="64" t="n">
        <v>138.31114752</v>
      </c>
      <c r="M43" s="73" t="n">
        <v>0.988</v>
      </c>
      <c r="N43" s="73" t="n">
        <v>1</v>
      </c>
      <c r="O43" s="74" t="n">
        <f aca="false">IF(K43="",M43,L43/K43)</f>
        <v>0.988</v>
      </c>
      <c r="P43" s="74" t="n">
        <f aca="false">O43-M43</f>
        <v>0</v>
      </c>
    </row>
    <row r="44" customFormat="false" ht="15" hidden="false" customHeight="false" outlineLevel="0" collapsed="false">
      <c r="A44" s="18" t="s">
        <v>193</v>
      </c>
      <c r="B44" s="18" t="s">
        <v>194</v>
      </c>
      <c r="C44" s="18"/>
      <c r="D44" s="49" t="n">
        <v>46113</v>
      </c>
      <c r="E44" s="18" t="s">
        <v>130</v>
      </c>
      <c r="F44" s="18" t="s">
        <v>119</v>
      </c>
      <c r="G44" s="18" t="s">
        <v>110</v>
      </c>
      <c r="H44" s="18" t="s">
        <v>107</v>
      </c>
      <c r="I44" s="18" t="s">
        <v>125</v>
      </c>
      <c r="J44" s="64" t="n">
        <v>199.64</v>
      </c>
      <c r="K44" s="64" t="n">
        <v>199.64</v>
      </c>
      <c r="L44" s="64" t="n">
        <v>193.85044</v>
      </c>
      <c r="M44" s="73" t="n">
        <v>0.971</v>
      </c>
      <c r="N44" s="73" t="n">
        <v>1</v>
      </c>
      <c r="O44" s="74" t="n">
        <f aca="false">IF(K44="",M44,L44/K44)</f>
        <v>0.971</v>
      </c>
      <c r="P44" s="74" t="n">
        <f aca="false">O44-M44</f>
        <v>0</v>
      </c>
    </row>
    <row r="45" customFormat="false" ht="15" hidden="false" customHeight="false" outlineLevel="0" collapsed="false">
      <c r="A45" s="18" t="s">
        <v>193</v>
      </c>
      <c r="B45" s="18" t="s">
        <v>194</v>
      </c>
      <c r="C45" s="18"/>
      <c r="D45" s="49" t="n">
        <v>46143</v>
      </c>
      <c r="E45" s="18" t="s">
        <v>98</v>
      </c>
      <c r="F45" s="18" t="s">
        <v>99</v>
      </c>
      <c r="G45" s="18" t="s">
        <v>100</v>
      </c>
      <c r="H45" s="18" t="s">
        <v>101</v>
      </c>
      <c r="I45" s="18" t="s">
        <v>102</v>
      </c>
      <c r="J45" s="64" t="n">
        <v>3813.264</v>
      </c>
      <c r="K45" s="64" t="n">
        <v>3813.264</v>
      </c>
      <c r="L45" s="64" t="n">
        <v>3679.79976</v>
      </c>
      <c r="M45" s="73" t="n">
        <v>0.965</v>
      </c>
      <c r="N45" s="73" t="n">
        <v>1</v>
      </c>
      <c r="O45" s="74" t="n">
        <f aca="false">IF(K45="",M45,L45/K45)</f>
        <v>0.965</v>
      </c>
      <c r="P45" s="74" t="n">
        <f aca="false">O45-M45</f>
        <v>0</v>
      </c>
    </row>
    <row r="46" customFormat="false" ht="15" hidden="false" customHeight="false" outlineLevel="0" collapsed="false">
      <c r="A46" s="18" t="s">
        <v>193</v>
      </c>
      <c r="B46" s="18" t="s">
        <v>194</v>
      </c>
      <c r="C46" s="18"/>
      <c r="D46" s="49" t="n">
        <v>46143</v>
      </c>
      <c r="E46" s="18" t="s">
        <v>106</v>
      </c>
      <c r="F46" s="18" t="s">
        <v>99</v>
      </c>
      <c r="G46" s="18" t="s">
        <v>100</v>
      </c>
      <c r="H46" s="18" t="s">
        <v>107</v>
      </c>
      <c r="I46" s="18" t="s">
        <v>102</v>
      </c>
      <c r="J46" s="64" t="n">
        <v>2542.176</v>
      </c>
      <c r="K46" s="64" t="n">
        <v>2542.176</v>
      </c>
      <c r="L46" s="64" t="n">
        <v>2481.163776</v>
      </c>
      <c r="M46" s="73" t="n">
        <v>0.976</v>
      </c>
      <c r="N46" s="73" t="n">
        <v>1</v>
      </c>
      <c r="O46" s="74" t="n">
        <f aca="false">IF(K46="",M46,L46/K46)</f>
        <v>0.976</v>
      </c>
      <c r="P46" s="74" t="n">
        <f aca="false">O46-M46</f>
        <v>0</v>
      </c>
    </row>
    <row r="47" customFormat="false" ht="15" hidden="false" customHeight="false" outlineLevel="0" collapsed="false">
      <c r="A47" s="18" t="s">
        <v>193</v>
      </c>
      <c r="B47" s="18" t="s">
        <v>194</v>
      </c>
      <c r="C47" s="18"/>
      <c r="D47" s="49" t="n">
        <v>46143</v>
      </c>
      <c r="E47" s="18" t="s">
        <v>109</v>
      </c>
      <c r="F47" s="18" t="s">
        <v>99</v>
      </c>
      <c r="G47" s="18" t="s">
        <v>110</v>
      </c>
      <c r="H47" s="18" t="s">
        <v>107</v>
      </c>
      <c r="I47" s="18" t="s">
        <v>102</v>
      </c>
      <c r="J47" s="64" t="n">
        <v>202.176</v>
      </c>
      <c r="K47" s="64" t="n">
        <v>202.176</v>
      </c>
      <c r="L47" s="64" t="n">
        <v>195.706368</v>
      </c>
      <c r="M47" s="73" t="n">
        <v>0.968</v>
      </c>
      <c r="N47" s="73" t="n">
        <v>1</v>
      </c>
      <c r="O47" s="74" t="n">
        <f aca="false">IF(K47="",M47,L47/K47)</f>
        <v>0.968</v>
      </c>
      <c r="P47" s="74" t="n">
        <f aca="false">O47-M47</f>
        <v>1.11022302462516E-016</v>
      </c>
    </row>
    <row r="48" customFormat="false" ht="15" hidden="false" customHeight="false" outlineLevel="0" collapsed="false">
      <c r="A48" s="18" t="s">
        <v>193</v>
      </c>
      <c r="B48" s="18" t="s">
        <v>194</v>
      </c>
      <c r="C48" s="18"/>
      <c r="D48" s="49" t="n">
        <v>46143</v>
      </c>
      <c r="E48" s="18" t="s">
        <v>112</v>
      </c>
      <c r="F48" s="18" t="s">
        <v>113</v>
      </c>
      <c r="G48" s="18" t="s">
        <v>110</v>
      </c>
      <c r="H48" s="18" t="s">
        <v>101</v>
      </c>
      <c r="I48" s="18" t="s">
        <v>102</v>
      </c>
      <c r="J48" s="64" t="n">
        <v>1899.52</v>
      </c>
      <c r="K48" s="64" t="n">
        <v>1899.52</v>
      </c>
      <c r="L48" s="64" t="n">
        <v>1825.43872</v>
      </c>
      <c r="M48" s="73" t="n">
        <v>0.961</v>
      </c>
      <c r="N48" s="73" t="n">
        <v>1</v>
      </c>
      <c r="O48" s="74" t="n">
        <f aca="false">IF(K48="",M48,L48/K48)</f>
        <v>0.961</v>
      </c>
      <c r="P48" s="74" t="n">
        <f aca="false">O48-M48</f>
        <v>1.11022302462516E-016</v>
      </c>
    </row>
    <row r="49" customFormat="false" ht="15" hidden="false" customHeight="false" outlineLevel="0" collapsed="false">
      <c r="A49" s="18" t="s">
        <v>193</v>
      </c>
      <c r="B49" s="18" t="s">
        <v>194</v>
      </c>
      <c r="C49" s="18"/>
      <c r="D49" s="49" t="n">
        <v>46143</v>
      </c>
      <c r="E49" s="18" t="s">
        <v>116</v>
      </c>
      <c r="F49" s="18" t="s">
        <v>113</v>
      </c>
      <c r="G49" s="18" t="s">
        <v>110</v>
      </c>
      <c r="H49" s="18" t="s">
        <v>107</v>
      </c>
      <c r="I49" s="18" t="s">
        <v>102</v>
      </c>
      <c r="J49" s="64" t="n">
        <v>3527.68</v>
      </c>
      <c r="K49" s="64" t="n">
        <v>3527.68</v>
      </c>
      <c r="L49" s="64" t="n">
        <v>3432.43264</v>
      </c>
      <c r="M49" s="73" t="n">
        <v>0.973</v>
      </c>
      <c r="N49" s="73" t="n">
        <v>1</v>
      </c>
      <c r="O49" s="74" t="n">
        <f aca="false">IF(K49="",M49,L49/K49)</f>
        <v>0.973</v>
      </c>
      <c r="P49" s="74" t="n">
        <f aca="false">O49-M49</f>
        <v>1.11022302462516E-016</v>
      </c>
    </row>
    <row r="50" customFormat="false" ht="15" hidden="false" customHeight="false" outlineLevel="0" collapsed="false">
      <c r="A50" s="18" t="s">
        <v>193</v>
      </c>
      <c r="B50" s="18" t="s">
        <v>194</v>
      </c>
      <c r="C50" s="18"/>
      <c r="D50" s="49" t="n">
        <v>46143</v>
      </c>
      <c r="E50" s="18" t="s">
        <v>118</v>
      </c>
      <c r="F50" s="18" t="s">
        <v>119</v>
      </c>
      <c r="G50" s="18" t="s">
        <v>100</v>
      </c>
      <c r="H50" s="18" t="s">
        <v>101</v>
      </c>
      <c r="I50" s="18" t="s">
        <v>102</v>
      </c>
      <c r="J50" s="64" t="n">
        <v>3242.8032</v>
      </c>
      <c r="K50" s="64" t="n">
        <v>3242.8032</v>
      </c>
      <c r="L50" s="64" t="n">
        <v>3015.806976</v>
      </c>
      <c r="M50" s="73" t="n">
        <v>0.93</v>
      </c>
      <c r="N50" s="73" t="n">
        <v>1</v>
      </c>
      <c r="O50" s="74" t="n">
        <f aca="false">IF(K50="",M50,L50/K50)</f>
        <v>0.93</v>
      </c>
      <c r="P50" s="74" t="n">
        <f aca="false">O50-M50</f>
        <v>0</v>
      </c>
    </row>
    <row r="51" customFormat="false" ht="15" hidden="false" customHeight="false" outlineLevel="0" collapsed="false">
      <c r="A51" s="18" t="s">
        <v>193</v>
      </c>
      <c r="B51" s="18" t="s">
        <v>194</v>
      </c>
      <c r="C51" s="18"/>
      <c r="D51" s="49" t="n">
        <v>46143</v>
      </c>
      <c r="E51" s="18" t="s">
        <v>122</v>
      </c>
      <c r="F51" s="18" t="s">
        <v>119</v>
      </c>
      <c r="G51" s="18" t="s">
        <v>100</v>
      </c>
      <c r="H51" s="18" t="s">
        <v>107</v>
      </c>
      <c r="I51" s="18" t="s">
        <v>102</v>
      </c>
      <c r="J51" s="64" t="n">
        <v>1247.232</v>
      </c>
      <c r="K51" s="64" t="n">
        <v>1247.232</v>
      </c>
      <c r="L51" s="64" t="n">
        <v>1184.8704</v>
      </c>
      <c r="M51" s="73" t="n">
        <v>0.95</v>
      </c>
      <c r="N51" s="73" t="n">
        <v>1</v>
      </c>
      <c r="O51" s="74" t="n">
        <f aca="false">IF(K51="",M51,L51/K51)</f>
        <v>0.95</v>
      </c>
      <c r="P51" s="74" t="n">
        <f aca="false">O51-M51</f>
        <v>1.11022302462516E-016</v>
      </c>
    </row>
    <row r="52" customFormat="false" ht="15" hidden="false" customHeight="false" outlineLevel="0" collapsed="false">
      <c r="A52" s="18" t="s">
        <v>193</v>
      </c>
      <c r="B52" s="18" t="s">
        <v>194</v>
      </c>
      <c r="C52" s="18"/>
      <c r="D52" s="49" t="n">
        <v>46143</v>
      </c>
      <c r="E52" s="18" t="s">
        <v>124</v>
      </c>
      <c r="F52" s="18" t="s">
        <v>119</v>
      </c>
      <c r="G52" s="18" t="s">
        <v>100</v>
      </c>
      <c r="H52" s="18" t="s">
        <v>107</v>
      </c>
      <c r="I52" s="18" t="s">
        <v>125</v>
      </c>
      <c r="J52" s="64" t="n">
        <v>349.22496</v>
      </c>
      <c r="K52" s="64" t="n">
        <v>349.22496</v>
      </c>
      <c r="L52" s="64" t="n">
        <v>340.14511104</v>
      </c>
      <c r="M52" s="73" t="n">
        <v>0.974</v>
      </c>
      <c r="N52" s="73" t="n">
        <v>1</v>
      </c>
      <c r="O52" s="74" t="n">
        <f aca="false">IF(K52="",M52,L52/K52)</f>
        <v>0.974</v>
      </c>
      <c r="P52" s="74" t="n">
        <f aca="false">O52-M52</f>
        <v>0</v>
      </c>
    </row>
    <row r="53" customFormat="false" ht="15" hidden="false" customHeight="false" outlineLevel="0" collapsed="false">
      <c r="A53" s="18" t="s">
        <v>193</v>
      </c>
      <c r="B53" s="18" t="s">
        <v>194</v>
      </c>
      <c r="C53" s="18"/>
      <c r="D53" s="49" t="n">
        <v>46143</v>
      </c>
      <c r="E53" s="18" t="s">
        <v>127</v>
      </c>
      <c r="F53" s="18" t="s">
        <v>119</v>
      </c>
      <c r="G53" s="18" t="s">
        <v>100</v>
      </c>
      <c r="H53" s="18" t="s">
        <v>128</v>
      </c>
      <c r="I53" s="18" t="s">
        <v>125</v>
      </c>
      <c r="J53" s="64" t="n">
        <v>149.66784</v>
      </c>
      <c r="K53" s="64" t="n">
        <v>149.66784</v>
      </c>
      <c r="L53" s="64" t="n">
        <v>147.87182592</v>
      </c>
      <c r="M53" s="73" t="n">
        <v>0.988</v>
      </c>
      <c r="N53" s="73" t="n">
        <v>1</v>
      </c>
      <c r="O53" s="74" t="n">
        <f aca="false">IF(K53="",M53,L53/K53)</f>
        <v>0.988</v>
      </c>
      <c r="P53" s="74" t="n">
        <f aca="false">O53-M53</f>
        <v>-1.11022302462516E-016</v>
      </c>
    </row>
    <row r="54" customFormat="false" ht="15" hidden="false" customHeight="false" outlineLevel="0" collapsed="false">
      <c r="A54" s="18" t="s">
        <v>193</v>
      </c>
      <c r="B54" s="18" t="s">
        <v>194</v>
      </c>
      <c r="C54" s="18"/>
      <c r="D54" s="49" t="n">
        <v>46143</v>
      </c>
      <c r="E54" s="18" t="s">
        <v>130</v>
      </c>
      <c r="F54" s="18" t="s">
        <v>119</v>
      </c>
      <c r="G54" s="18" t="s">
        <v>110</v>
      </c>
      <c r="H54" s="18" t="s">
        <v>107</v>
      </c>
      <c r="I54" s="18" t="s">
        <v>125</v>
      </c>
      <c r="J54" s="64" t="n">
        <v>213.44</v>
      </c>
      <c r="K54" s="64" t="n">
        <v>213.44</v>
      </c>
      <c r="L54" s="64" t="n">
        <v>207.25024</v>
      </c>
      <c r="M54" s="73" t="n">
        <v>0.971</v>
      </c>
      <c r="N54" s="73" t="n">
        <v>1</v>
      </c>
      <c r="O54" s="74" t="n">
        <f aca="false">IF(K54="",M54,L54/K54)</f>
        <v>0.971</v>
      </c>
      <c r="P54" s="74" t="n">
        <f aca="false">O54-M54</f>
        <v>0</v>
      </c>
    </row>
    <row r="55" customFormat="false" ht="15" hidden="false" customHeight="false" outlineLevel="0" collapsed="false">
      <c r="A55" s="18" t="s">
        <v>193</v>
      </c>
      <c r="B55" s="18" t="s">
        <v>194</v>
      </c>
      <c r="C55" s="18"/>
      <c r="D55" s="49" t="n">
        <v>46174</v>
      </c>
      <c r="E55" s="18" t="s">
        <v>98</v>
      </c>
      <c r="F55" s="18" t="s">
        <v>99</v>
      </c>
      <c r="G55" s="18" t="s">
        <v>100</v>
      </c>
      <c r="H55" s="18" t="s">
        <v>101</v>
      </c>
      <c r="I55" s="18" t="s">
        <v>102</v>
      </c>
      <c r="J55" s="64" t="n">
        <v>3932.4285</v>
      </c>
      <c r="K55" s="64" t="n">
        <v>3932.4285</v>
      </c>
      <c r="L55" s="64" t="n">
        <v>3794.7935025</v>
      </c>
      <c r="M55" s="73" t="n">
        <v>0.965</v>
      </c>
      <c r="N55" s="73" t="n">
        <v>1</v>
      </c>
      <c r="O55" s="74" t="n">
        <f aca="false">IF(K55="",M55,L55/K55)</f>
        <v>0.965</v>
      </c>
      <c r="P55" s="74" t="n">
        <f aca="false">O55-M55</f>
        <v>1.11022302462516E-016</v>
      </c>
    </row>
    <row r="56" customFormat="false" ht="15" hidden="false" customHeight="false" outlineLevel="0" collapsed="false">
      <c r="A56" s="18" t="s">
        <v>193</v>
      </c>
      <c r="B56" s="18" t="s">
        <v>194</v>
      </c>
      <c r="C56" s="18"/>
      <c r="D56" s="49" t="n">
        <v>46174</v>
      </c>
      <c r="E56" s="18" t="s">
        <v>106</v>
      </c>
      <c r="F56" s="18" t="s">
        <v>99</v>
      </c>
      <c r="G56" s="18" t="s">
        <v>100</v>
      </c>
      <c r="H56" s="18" t="s">
        <v>107</v>
      </c>
      <c r="I56" s="18" t="s">
        <v>102</v>
      </c>
      <c r="J56" s="64" t="n">
        <v>2621.619</v>
      </c>
      <c r="K56" s="64" t="n">
        <v>2621.619</v>
      </c>
      <c r="L56" s="64" t="n">
        <v>2558.700144</v>
      </c>
      <c r="M56" s="73" t="n">
        <v>0.976</v>
      </c>
      <c r="N56" s="73" t="n">
        <v>1</v>
      </c>
      <c r="O56" s="74" t="n">
        <f aca="false">IF(K56="",M56,L56/K56)</f>
        <v>0.976</v>
      </c>
      <c r="P56" s="74" t="n">
        <f aca="false">O56-M56</f>
        <v>-1.11022302462516E-016</v>
      </c>
    </row>
    <row r="57" customFormat="false" ht="15" hidden="false" customHeight="false" outlineLevel="0" collapsed="false">
      <c r="A57" s="18" t="s">
        <v>193</v>
      </c>
      <c r="B57" s="18" t="s">
        <v>194</v>
      </c>
      <c r="C57" s="18"/>
      <c r="D57" s="49" t="n">
        <v>46174</v>
      </c>
      <c r="E57" s="18" t="s">
        <v>109</v>
      </c>
      <c r="F57" s="18" t="s">
        <v>99</v>
      </c>
      <c r="G57" s="18" t="s">
        <v>110</v>
      </c>
      <c r="H57" s="18" t="s">
        <v>107</v>
      </c>
      <c r="I57" s="18" t="s">
        <v>102</v>
      </c>
      <c r="J57" s="64" t="n">
        <v>208.494</v>
      </c>
      <c r="K57" s="64" t="n">
        <v>208.494</v>
      </c>
      <c r="L57" s="64" t="n">
        <v>201.822192</v>
      </c>
      <c r="M57" s="73" t="n">
        <v>0.968</v>
      </c>
      <c r="N57" s="73" t="n">
        <v>1</v>
      </c>
      <c r="O57" s="74" t="n">
        <f aca="false">IF(K57="",M57,L57/K57)</f>
        <v>0.968</v>
      </c>
      <c r="P57" s="74" t="n">
        <f aca="false">O57-M57</f>
        <v>0</v>
      </c>
    </row>
    <row r="58" customFormat="false" ht="15" hidden="false" customHeight="false" outlineLevel="0" collapsed="false">
      <c r="A58" s="18" t="s">
        <v>193</v>
      </c>
      <c r="B58" s="18" t="s">
        <v>194</v>
      </c>
      <c r="C58" s="18"/>
      <c r="D58" s="49" t="n">
        <v>46174</v>
      </c>
      <c r="E58" s="18" t="s">
        <v>112</v>
      </c>
      <c r="F58" s="18" t="s">
        <v>113</v>
      </c>
      <c r="G58" s="18" t="s">
        <v>110</v>
      </c>
      <c r="H58" s="18" t="s">
        <v>101</v>
      </c>
      <c r="I58" s="18" t="s">
        <v>102</v>
      </c>
      <c r="J58" s="64" t="n">
        <v>1958.88</v>
      </c>
      <c r="K58" s="64" t="n">
        <v>1958.88</v>
      </c>
      <c r="L58" s="64" t="n">
        <v>1882.48368</v>
      </c>
      <c r="M58" s="73" t="n">
        <v>0.961</v>
      </c>
      <c r="N58" s="73" t="n">
        <v>1</v>
      </c>
      <c r="O58" s="74" t="n">
        <f aca="false">IF(K58="",M58,L58/K58)</f>
        <v>0.961</v>
      </c>
      <c r="P58" s="74" t="n">
        <f aca="false">O58-M58</f>
        <v>0</v>
      </c>
    </row>
    <row r="59" customFormat="false" ht="15" hidden="false" customHeight="false" outlineLevel="0" collapsed="false">
      <c r="A59" s="18" t="s">
        <v>193</v>
      </c>
      <c r="B59" s="18" t="s">
        <v>194</v>
      </c>
      <c r="C59" s="18"/>
      <c r="D59" s="49" t="n">
        <v>46174</v>
      </c>
      <c r="E59" s="18" t="s">
        <v>116</v>
      </c>
      <c r="F59" s="18" t="s">
        <v>113</v>
      </c>
      <c r="G59" s="18" t="s">
        <v>110</v>
      </c>
      <c r="H59" s="18" t="s">
        <v>107</v>
      </c>
      <c r="I59" s="18" t="s">
        <v>102</v>
      </c>
      <c r="J59" s="64" t="n">
        <v>3637.92</v>
      </c>
      <c r="K59" s="64" t="n">
        <v>3637.92</v>
      </c>
      <c r="L59" s="64" t="n">
        <v>3539.69616</v>
      </c>
      <c r="M59" s="73" t="n">
        <v>0.973</v>
      </c>
      <c r="N59" s="73" t="n">
        <v>1</v>
      </c>
      <c r="O59" s="74" t="n">
        <f aca="false">IF(K59="",M59,L59/K59)</f>
        <v>0.973</v>
      </c>
      <c r="P59" s="74" t="n">
        <f aca="false">O59-M59</f>
        <v>0</v>
      </c>
    </row>
    <row r="60" customFormat="false" ht="15" hidden="false" customHeight="false" outlineLevel="0" collapsed="false">
      <c r="A60" s="18" t="s">
        <v>193</v>
      </c>
      <c r="B60" s="18" t="s">
        <v>194</v>
      </c>
      <c r="C60" s="18"/>
      <c r="D60" s="49" t="n">
        <v>46174</v>
      </c>
      <c r="E60" s="18" t="s">
        <v>118</v>
      </c>
      <c r="F60" s="18" t="s">
        <v>119</v>
      </c>
      <c r="G60" s="18" t="s">
        <v>100</v>
      </c>
      <c r="H60" s="18" t="s">
        <v>101</v>
      </c>
      <c r="I60" s="18" t="s">
        <v>102</v>
      </c>
      <c r="J60" s="64" t="n">
        <v>3344.1408</v>
      </c>
      <c r="K60" s="64" t="n">
        <v>3344.1408</v>
      </c>
      <c r="L60" s="64" t="n">
        <v>3110.050944</v>
      </c>
      <c r="M60" s="73" t="n">
        <v>0.93</v>
      </c>
      <c r="N60" s="73" t="n">
        <v>1</v>
      </c>
      <c r="O60" s="74" t="n">
        <f aca="false">IF(K60="",M60,L60/K60)</f>
        <v>0.93</v>
      </c>
      <c r="P60" s="74" t="n">
        <f aca="false">O60-M60</f>
        <v>-1.11022302462516E-016</v>
      </c>
    </row>
    <row r="61" customFormat="false" ht="15" hidden="false" customHeight="false" outlineLevel="0" collapsed="false">
      <c r="A61" s="18" t="s">
        <v>193</v>
      </c>
      <c r="B61" s="18" t="s">
        <v>194</v>
      </c>
      <c r="C61" s="18"/>
      <c r="D61" s="49" t="n">
        <v>46174</v>
      </c>
      <c r="E61" s="18" t="s">
        <v>122</v>
      </c>
      <c r="F61" s="18" t="s">
        <v>119</v>
      </c>
      <c r="G61" s="18" t="s">
        <v>100</v>
      </c>
      <c r="H61" s="18" t="s">
        <v>107</v>
      </c>
      <c r="I61" s="18" t="s">
        <v>102</v>
      </c>
      <c r="J61" s="64" t="n">
        <v>1286.208</v>
      </c>
      <c r="K61" s="64" t="n">
        <v>1286.208</v>
      </c>
      <c r="L61" s="64" t="n">
        <v>1221.8976</v>
      </c>
      <c r="M61" s="73" t="n">
        <v>0.95</v>
      </c>
      <c r="N61" s="73" t="n">
        <v>1</v>
      </c>
      <c r="O61" s="74" t="n">
        <f aca="false">IF(K61="",M61,L61/K61)</f>
        <v>0.95</v>
      </c>
      <c r="P61" s="74" t="n">
        <f aca="false">O61-M61</f>
        <v>0</v>
      </c>
    </row>
    <row r="62" customFormat="false" ht="15" hidden="false" customHeight="false" outlineLevel="0" collapsed="false">
      <c r="A62" s="18" t="s">
        <v>193</v>
      </c>
      <c r="B62" s="18" t="s">
        <v>194</v>
      </c>
      <c r="C62" s="18"/>
      <c r="D62" s="49" t="n">
        <v>46174</v>
      </c>
      <c r="E62" s="18" t="s">
        <v>124</v>
      </c>
      <c r="F62" s="18" t="s">
        <v>119</v>
      </c>
      <c r="G62" s="18" t="s">
        <v>100</v>
      </c>
      <c r="H62" s="18" t="s">
        <v>107</v>
      </c>
      <c r="I62" s="18" t="s">
        <v>125</v>
      </c>
      <c r="J62" s="64" t="n">
        <v>360.13824</v>
      </c>
      <c r="K62" s="64" t="n">
        <v>360.13824</v>
      </c>
      <c r="L62" s="64" t="n">
        <v>350.77464576</v>
      </c>
      <c r="M62" s="73" t="n">
        <v>0.974</v>
      </c>
      <c r="N62" s="73" t="n">
        <v>1</v>
      </c>
      <c r="O62" s="74" t="n">
        <f aca="false">IF(K62="",M62,L62/K62)</f>
        <v>0.974</v>
      </c>
      <c r="P62" s="74" t="n">
        <f aca="false">O62-M62</f>
        <v>0</v>
      </c>
    </row>
    <row r="63" customFormat="false" ht="15" hidden="false" customHeight="false" outlineLevel="0" collapsed="false">
      <c r="A63" s="18" t="s">
        <v>193</v>
      </c>
      <c r="B63" s="18" t="s">
        <v>194</v>
      </c>
      <c r="C63" s="18"/>
      <c r="D63" s="49" t="n">
        <v>46174</v>
      </c>
      <c r="E63" s="18" t="s">
        <v>127</v>
      </c>
      <c r="F63" s="18" t="s">
        <v>119</v>
      </c>
      <c r="G63" s="18" t="s">
        <v>100</v>
      </c>
      <c r="H63" s="18" t="s">
        <v>128</v>
      </c>
      <c r="I63" s="18" t="s">
        <v>125</v>
      </c>
      <c r="J63" s="64" t="n">
        <v>154.34496</v>
      </c>
      <c r="K63" s="64" t="n">
        <v>154.34496</v>
      </c>
      <c r="L63" s="64" t="n">
        <v>152.49282048</v>
      </c>
      <c r="M63" s="73" t="n">
        <v>0.988</v>
      </c>
      <c r="N63" s="73" t="n">
        <v>1</v>
      </c>
      <c r="O63" s="74" t="n">
        <f aca="false">IF(K63="",M63,L63/K63)</f>
        <v>0.988</v>
      </c>
      <c r="P63" s="74" t="n">
        <f aca="false">O63-M63</f>
        <v>1.11022302462516E-016</v>
      </c>
    </row>
    <row r="64" customFormat="false" ht="15" hidden="false" customHeight="false" outlineLevel="0" collapsed="false">
      <c r="A64" s="18" t="s">
        <v>193</v>
      </c>
      <c r="B64" s="18" t="s">
        <v>194</v>
      </c>
      <c r="C64" s="18"/>
      <c r="D64" s="49" t="n">
        <v>46174</v>
      </c>
      <c r="E64" s="18" t="s">
        <v>130</v>
      </c>
      <c r="F64" s="18" t="s">
        <v>119</v>
      </c>
      <c r="G64" s="18" t="s">
        <v>110</v>
      </c>
      <c r="H64" s="18" t="s">
        <v>107</v>
      </c>
      <c r="I64" s="18" t="s">
        <v>125</v>
      </c>
      <c r="J64" s="64" t="n">
        <v>220.11</v>
      </c>
      <c r="K64" s="64" t="n">
        <v>220.11</v>
      </c>
      <c r="L64" s="64" t="n">
        <v>213.72681</v>
      </c>
      <c r="M64" s="73" t="n">
        <v>0.971</v>
      </c>
      <c r="N64" s="73" t="n">
        <v>1</v>
      </c>
      <c r="O64" s="74" t="n">
        <f aca="false">IF(K64="",M64,L64/K64)</f>
        <v>0.971</v>
      </c>
      <c r="P64" s="74" t="n">
        <f aca="false">O64-M64</f>
        <v>0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/>
      <c r="D65" s="49" t="n">
        <v>46204</v>
      </c>
      <c r="E65" s="18" t="s">
        <v>98</v>
      </c>
      <c r="F65" s="18" t="s">
        <v>99</v>
      </c>
      <c r="G65" s="18" t="s">
        <v>100</v>
      </c>
      <c r="H65" s="18" t="s">
        <v>101</v>
      </c>
      <c r="I65" s="18" t="s">
        <v>102</v>
      </c>
      <c r="J65" s="64" t="n">
        <v>3947.706</v>
      </c>
      <c r="K65" s="64" t="n">
        <v>3947.706</v>
      </c>
      <c r="L65" s="64" t="n">
        <v>3809.53629</v>
      </c>
      <c r="M65" s="73" t="n">
        <v>0.965</v>
      </c>
      <c r="N65" s="73" t="n">
        <v>1</v>
      </c>
      <c r="O65" s="74" t="n">
        <f aca="false">IF(K65="",M65,L65/K65)</f>
        <v>0.965</v>
      </c>
      <c r="P65" s="74" t="n">
        <f aca="false">O65-M65</f>
        <v>0</v>
      </c>
    </row>
    <row r="66" customFormat="false" ht="15" hidden="false" customHeight="false" outlineLevel="0" collapsed="false">
      <c r="A66" s="18" t="s">
        <v>193</v>
      </c>
      <c r="B66" s="18" t="s">
        <v>194</v>
      </c>
      <c r="C66" s="18"/>
      <c r="D66" s="49" t="n">
        <v>46204</v>
      </c>
      <c r="E66" s="18" t="s">
        <v>106</v>
      </c>
      <c r="F66" s="18" t="s">
        <v>99</v>
      </c>
      <c r="G66" s="18" t="s">
        <v>100</v>
      </c>
      <c r="H66" s="18" t="s">
        <v>107</v>
      </c>
      <c r="I66" s="18" t="s">
        <v>102</v>
      </c>
      <c r="J66" s="64" t="n">
        <v>2631.804</v>
      </c>
      <c r="K66" s="64" t="n">
        <v>2631.804</v>
      </c>
      <c r="L66" s="64" t="n">
        <v>2568.640704</v>
      </c>
      <c r="M66" s="73" t="n">
        <v>0.976</v>
      </c>
      <c r="N66" s="73" t="n">
        <v>1</v>
      </c>
      <c r="O66" s="74" t="n">
        <f aca="false">IF(K66="",M66,L66/K66)</f>
        <v>0.976</v>
      </c>
      <c r="P66" s="74" t="n">
        <f aca="false">O66-M66</f>
        <v>0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/>
      <c r="D67" s="49" t="n">
        <v>46204</v>
      </c>
      <c r="E67" s="18" t="s">
        <v>109</v>
      </c>
      <c r="F67" s="18" t="s">
        <v>99</v>
      </c>
      <c r="G67" s="18" t="s">
        <v>110</v>
      </c>
      <c r="H67" s="18" t="s">
        <v>107</v>
      </c>
      <c r="I67" s="18" t="s">
        <v>102</v>
      </c>
      <c r="J67" s="64" t="n">
        <v>209.304</v>
      </c>
      <c r="K67" s="64" t="n">
        <v>209.304</v>
      </c>
      <c r="L67" s="64" t="n">
        <v>202.606272</v>
      </c>
      <c r="M67" s="73" t="n">
        <v>0.968</v>
      </c>
      <c r="N67" s="73" t="n">
        <v>1</v>
      </c>
      <c r="O67" s="74" t="n">
        <f aca="false">IF(K67="",M67,L67/K67)</f>
        <v>0.968</v>
      </c>
      <c r="P67" s="74" t="n">
        <f aca="false">O67-M67</f>
        <v>0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/>
      <c r="D68" s="49" t="n">
        <v>46204</v>
      </c>
      <c r="E68" s="18" t="s">
        <v>112</v>
      </c>
      <c r="F68" s="18" t="s">
        <v>113</v>
      </c>
      <c r="G68" s="18" t="s">
        <v>110</v>
      </c>
      <c r="H68" s="18" t="s">
        <v>101</v>
      </c>
      <c r="I68" s="18" t="s">
        <v>102</v>
      </c>
      <c r="J68" s="64" t="n">
        <v>2018.24</v>
      </c>
      <c r="K68" s="64" t="n">
        <v>2018.24</v>
      </c>
      <c r="L68" s="64" t="n">
        <v>1939.52864</v>
      </c>
      <c r="M68" s="73" t="n">
        <v>0.961</v>
      </c>
      <c r="N68" s="73" t="n">
        <v>1</v>
      </c>
      <c r="O68" s="74" t="n">
        <f aca="false">IF(K68="",M68,L68/K68)</f>
        <v>0.961</v>
      </c>
      <c r="P68" s="74" t="n">
        <f aca="false">O68-M68</f>
        <v>0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/>
      <c r="D69" s="49" t="n">
        <v>46204</v>
      </c>
      <c r="E69" s="18" t="s">
        <v>116</v>
      </c>
      <c r="F69" s="18" t="s">
        <v>113</v>
      </c>
      <c r="G69" s="18" t="s">
        <v>110</v>
      </c>
      <c r="H69" s="18" t="s">
        <v>107</v>
      </c>
      <c r="I69" s="18" t="s">
        <v>102</v>
      </c>
      <c r="J69" s="64" t="n">
        <v>3748.16</v>
      </c>
      <c r="K69" s="64" t="n">
        <v>3748.16</v>
      </c>
      <c r="L69" s="64" t="n">
        <v>3646.95968</v>
      </c>
      <c r="M69" s="73" t="n">
        <v>0.973</v>
      </c>
      <c r="N69" s="73" t="n">
        <v>1</v>
      </c>
      <c r="O69" s="74" t="n">
        <f aca="false">IF(K69="",M69,L69/K69)</f>
        <v>0.973</v>
      </c>
      <c r="P69" s="74" t="n">
        <f aca="false">O69-M69</f>
        <v>0</v>
      </c>
    </row>
    <row r="70" customFormat="false" ht="15" hidden="false" customHeight="false" outlineLevel="0" collapsed="false">
      <c r="A70" s="18" t="s">
        <v>193</v>
      </c>
      <c r="B70" s="18" t="s">
        <v>194</v>
      </c>
      <c r="C70" s="18"/>
      <c r="D70" s="49" t="n">
        <v>46204</v>
      </c>
      <c r="E70" s="18" t="s">
        <v>118</v>
      </c>
      <c r="F70" s="18" t="s">
        <v>119</v>
      </c>
      <c r="G70" s="18" t="s">
        <v>100</v>
      </c>
      <c r="H70" s="18" t="s">
        <v>101</v>
      </c>
      <c r="I70" s="18" t="s">
        <v>102</v>
      </c>
      <c r="J70" s="64" t="n">
        <v>3564.288</v>
      </c>
      <c r="K70" s="64" t="n">
        <v>3564.288</v>
      </c>
      <c r="L70" s="64" t="n">
        <v>3314.78784</v>
      </c>
      <c r="M70" s="73" t="n">
        <v>0.93</v>
      </c>
      <c r="N70" s="73" t="n">
        <v>1</v>
      </c>
      <c r="O70" s="74" t="n">
        <f aca="false">IF(K70="",M70,L70/K70)</f>
        <v>0.93</v>
      </c>
      <c r="P70" s="74" t="n">
        <f aca="false">O70-M70</f>
        <v>-1.11022302462516E-016</v>
      </c>
    </row>
    <row r="71" customFormat="false" ht="15" hidden="false" customHeight="false" outlineLevel="0" collapsed="false">
      <c r="A71" s="18" t="s">
        <v>193</v>
      </c>
      <c r="B71" s="18" t="s">
        <v>194</v>
      </c>
      <c r="C71" s="18"/>
      <c r="D71" s="49" t="n">
        <v>46204</v>
      </c>
      <c r="E71" s="18" t="s">
        <v>122</v>
      </c>
      <c r="F71" s="18" t="s">
        <v>119</v>
      </c>
      <c r="G71" s="18" t="s">
        <v>100</v>
      </c>
      <c r="H71" s="18" t="s">
        <v>107</v>
      </c>
      <c r="I71" s="18" t="s">
        <v>102</v>
      </c>
      <c r="J71" s="64" t="n">
        <v>1370.88</v>
      </c>
      <c r="K71" s="64" t="n">
        <v>1370.88</v>
      </c>
      <c r="L71" s="64" t="n">
        <v>1302.336</v>
      </c>
      <c r="M71" s="73" t="n">
        <v>0.95</v>
      </c>
      <c r="N71" s="73" t="n">
        <v>1</v>
      </c>
      <c r="O71" s="74" t="n">
        <f aca="false">IF(K71="",M71,L71/K71)</f>
        <v>0.95</v>
      </c>
      <c r="P71" s="74" t="n">
        <f aca="false">O71-M71</f>
        <v>0</v>
      </c>
    </row>
    <row r="72" customFormat="false" ht="15" hidden="false" customHeight="false" outlineLevel="0" collapsed="false">
      <c r="A72" s="18" t="s">
        <v>193</v>
      </c>
      <c r="B72" s="18" t="s">
        <v>194</v>
      </c>
      <c r="C72" s="18"/>
      <c r="D72" s="49" t="n">
        <v>46204</v>
      </c>
      <c r="E72" s="18" t="s">
        <v>124</v>
      </c>
      <c r="F72" s="18" t="s">
        <v>119</v>
      </c>
      <c r="G72" s="18" t="s">
        <v>100</v>
      </c>
      <c r="H72" s="18" t="s">
        <v>107</v>
      </c>
      <c r="I72" s="18" t="s">
        <v>125</v>
      </c>
      <c r="J72" s="64" t="n">
        <v>383.8464</v>
      </c>
      <c r="K72" s="64" t="n">
        <v>383.8464</v>
      </c>
      <c r="L72" s="64" t="n">
        <v>373.8663936</v>
      </c>
      <c r="M72" s="73" t="n">
        <v>0.974</v>
      </c>
      <c r="N72" s="73" t="n">
        <v>1</v>
      </c>
      <c r="O72" s="74" t="n">
        <f aca="false">IF(K72="",M72,L72/K72)</f>
        <v>0.974</v>
      </c>
      <c r="P72" s="74" t="n">
        <f aca="false">O72-M72</f>
        <v>-1.11022302462516E-016</v>
      </c>
    </row>
    <row r="73" customFormat="false" ht="15" hidden="false" customHeight="false" outlineLevel="0" collapsed="false">
      <c r="A73" s="18" t="s">
        <v>193</v>
      </c>
      <c r="B73" s="18" t="s">
        <v>194</v>
      </c>
      <c r="C73" s="18"/>
      <c r="D73" s="49" t="n">
        <v>46204</v>
      </c>
      <c r="E73" s="18" t="s">
        <v>127</v>
      </c>
      <c r="F73" s="18" t="s">
        <v>119</v>
      </c>
      <c r="G73" s="18" t="s">
        <v>100</v>
      </c>
      <c r="H73" s="18" t="s">
        <v>128</v>
      </c>
      <c r="I73" s="18" t="s">
        <v>125</v>
      </c>
      <c r="J73" s="64" t="n">
        <v>164.5056</v>
      </c>
      <c r="K73" s="64" t="n">
        <v>164.5056</v>
      </c>
      <c r="L73" s="64" t="n">
        <v>162.5315328</v>
      </c>
      <c r="M73" s="73" t="n">
        <v>0.988</v>
      </c>
      <c r="N73" s="73" t="n">
        <v>1</v>
      </c>
      <c r="O73" s="74" t="n">
        <f aca="false">IF(K73="",M73,L73/K73)</f>
        <v>0.988</v>
      </c>
      <c r="P73" s="74" t="n">
        <f aca="false">O73-M73</f>
        <v>1.11022302462516E-016</v>
      </c>
    </row>
    <row r="74" customFormat="false" ht="15" hidden="false" customHeight="false" outlineLevel="0" collapsed="false">
      <c r="A74" s="18" t="s">
        <v>193</v>
      </c>
      <c r="B74" s="18" t="s">
        <v>194</v>
      </c>
      <c r="C74" s="18"/>
      <c r="D74" s="49" t="n">
        <v>46204</v>
      </c>
      <c r="E74" s="18" t="s">
        <v>130</v>
      </c>
      <c r="F74" s="18" t="s">
        <v>119</v>
      </c>
      <c r="G74" s="18" t="s">
        <v>110</v>
      </c>
      <c r="H74" s="18" t="s">
        <v>107</v>
      </c>
      <c r="I74" s="18" t="s">
        <v>125</v>
      </c>
      <c r="J74" s="64" t="n">
        <v>234.6</v>
      </c>
      <c r="K74" s="64" t="n">
        <v>234.6</v>
      </c>
      <c r="L74" s="64" t="n">
        <v>227.7966</v>
      </c>
      <c r="M74" s="73" t="n">
        <v>0.971</v>
      </c>
      <c r="N74" s="73" t="n">
        <v>1</v>
      </c>
      <c r="O74" s="74" t="n">
        <f aca="false">IF(K74="",M74,L74/K74)</f>
        <v>0.971</v>
      </c>
      <c r="P74" s="74" t="n">
        <f aca="false">O74-M74</f>
        <v>1.11022302462516E-016</v>
      </c>
    </row>
    <row r="75" customFormat="false" ht="15" hidden="false" customHeight="false" outlineLevel="0" collapsed="false">
      <c r="A75" s="18" t="s">
        <v>193</v>
      </c>
      <c r="B75" s="18" t="s">
        <v>194</v>
      </c>
      <c r="C75" s="18"/>
      <c r="D75" s="49" t="n">
        <v>46235</v>
      </c>
      <c r="E75" s="18" t="s">
        <v>98</v>
      </c>
      <c r="F75" s="18" t="s">
        <v>99</v>
      </c>
      <c r="G75" s="18" t="s">
        <v>100</v>
      </c>
      <c r="H75" s="18" t="s">
        <v>101</v>
      </c>
      <c r="I75" s="18" t="s">
        <v>102</v>
      </c>
      <c r="J75" s="64" t="n">
        <v>3715.488</v>
      </c>
      <c r="K75" s="64" t="n">
        <v>3715.488</v>
      </c>
      <c r="L75" s="64" t="n">
        <v>3585.44592</v>
      </c>
      <c r="M75" s="73" t="n">
        <v>0.965</v>
      </c>
      <c r="N75" s="73" t="n">
        <v>1</v>
      </c>
      <c r="O75" s="74" t="n">
        <f aca="false">IF(K75="",M75,L75/K75)</f>
        <v>0.965</v>
      </c>
      <c r="P75" s="74" t="n">
        <f aca="false">O75-M75</f>
        <v>1.11022302462516E-016</v>
      </c>
    </row>
    <row r="76" customFormat="false" ht="15" hidden="false" customHeight="false" outlineLevel="0" collapsed="false">
      <c r="A76" s="18" t="s">
        <v>193</v>
      </c>
      <c r="B76" s="18" t="s">
        <v>194</v>
      </c>
      <c r="C76" s="18"/>
      <c r="D76" s="49" t="n">
        <v>46235</v>
      </c>
      <c r="E76" s="18" t="s">
        <v>106</v>
      </c>
      <c r="F76" s="18" t="s">
        <v>99</v>
      </c>
      <c r="G76" s="18" t="s">
        <v>100</v>
      </c>
      <c r="H76" s="18" t="s">
        <v>107</v>
      </c>
      <c r="I76" s="18" t="s">
        <v>102</v>
      </c>
      <c r="J76" s="64" t="n">
        <v>2476.992</v>
      </c>
      <c r="K76" s="64" t="n">
        <v>2476.992</v>
      </c>
      <c r="L76" s="64" t="n">
        <v>2417.544192</v>
      </c>
      <c r="M76" s="73" t="n">
        <v>0.976</v>
      </c>
      <c r="N76" s="73" t="n">
        <v>1</v>
      </c>
      <c r="O76" s="74" t="n">
        <f aca="false">IF(K76="",M76,L76/K76)</f>
        <v>0.976</v>
      </c>
      <c r="P76" s="74" t="n">
        <f aca="false">O76-M76</f>
        <v>-1.11022302462516E-016</v>
      </c>
    </row>
    <row r="77" customFormat="false" ht="15" hidden="false" customHeight="false" outlineLevel="0" collapsed="false">
      <c r="A77" s="18" t="s">
        <v>193</v>
      </c>
      <c r="B77" s="18" t="s">
        <v>194</v>
      </c>
      <c r="C77" s="18"/>
      <c r="D77" s="49" t="n">
        <v>46235</v>
      </c>
      <c r="E77" s="18" t="s">
        <v>109</v>
      </c>
      <c r="F77" s="18" t="s">
        <v>99</v>
      </c>
      <c r="G77" s="18" t="s">
        <v>110</v>
      </c>
      <c r="H77" s="18" t="s">
        <v>107</v>
      </c>
      <c r="I77" s="18" t="s">
        <v>102</v>
      </c>
      <c r="J77" s="64" t="n">
        <v>196.992</v>
      </c>
      <c r="K77" s="64" t="n">
        <v>196.992</v>
      </c>
      <c r="L77" s="64" t="n">
        <v>190.688256</v>
      </c>
      <c r="M77" s="73" t="n">
        <v>0.968</v>
      </c>
      <c r="N77" s="73" t="n">
        <v>1</v>
      </c>
      <c r="O77" s="74" t="n">
        <f aca="false">IF(K77="",M77,L77/K77)</f>
        <v>0.968</v>
      </c>
      <c r="P77" s="74" t="n">
        <f aca="false">O77-M77</f>
        <v>0</v>
      </c>
    </row>
    <row r="78" customFormat="false" ht="15" hidden="false" customHeight="false" outlineLevel="0" collapsed="false">
      <c r="A78" s="18" t="s">
        <v>193</v>
      </c>
      <c r="B78" s="18" t="s">
        <v>194</v>
      </c>
      <c r="C78" s="18"/>
      <c r="D78" s="49" t="n">
        <v>46235</v>
      </c>
      <c r="E78" s="18" t="s">
        <v>112</v>
      </c>
      <c r="F78" s="18" t="s">
        <v>113</v>
      </c>
      <c r="G78" s="18" t="s">
        <v>110</v>
      </c>
      <c r="H78" s="18" t="s">
        <v>101</v>
      </c>
      <c r="I78" s="18" t="s">
        <v>102</v>
      </c>
      <c r="J78" s="64" t="n">
        <v>1899.52</v>
      </c>
      <c r="K78" s="64" t="n">
        <v>1899.52</v>
      </c>
      <c r="L78" s="64" t="n">
        <v>1825.43872</v>
      </c>
      <c r="M78" s="73" t="n">
        <v>0.961</v>
      </c>
      <c r="N78" s="73" t="n">
        <v>1</v>
      </c>
      <c r="O78" s="74" t="n">
        <f aca="false">IF(K78="",M78,L78/K78)</f>
        <v>0.961</v>
      </c>
      <c r="P78" s="74" t="n">
        <f aca="false">O78-M78</f>
        <v>1.11022302462516E-016</v>
      </c>
    </row>
    <row r="79" customFormat="false" ht="15" hidden="false" customHeight="false" outlineLevel="0" collapsed="false">
      <c r="A79" s="18" t="s">
        <v>193</v>
      </c>
      <c r="B79" s="18" t="s">
        <v>194</v>
      </c>
      <c r="C79" s="18"/>
      <c r="D79" s="49" t="n">
        <v>46235</v>
      </c>
      <c r="E79" s="18" t="s">
        <v>116</v>
      </c>
      <c r="F79" s="18" t="s">
        <v>113</v>
      </c>
      <c r="G79" s="18" t="s">
        <v>110</v>
      </c>
      <c r="H79" s="18" t="s">
        <v>107</v>
      </c>
      <c r="I79" s="18" t="s">
        <v>102</v>
      </c>
      <c r="J79" s="64" t="n">
        <v>3527.68</v>
      </c>
      <c r="K79" s="64" t="n">
        <v>3527.68</v>
      </c>
      <c r="L79" s="64" t="n">
        <v>3432.43264</v>
      </c>
      <c r="M79" s="73" t="n">
        <v>0.973</v>
      </c>
      <c r="N79" s="73" t="n">
        <v>1</v>
      </c>
      <c r="O79" s="74" t="n">
        <f aca="false">IF(K79="",M79,L79/K79)</f>
        <v>0.973</v>
      </c>
      <c r="P79" s="74" t="n">
        <f aca="false">O79-M79</f>
        <v>1.11022302462516E-016</v>
      </c>
    </row>
    <row r="80" customFormat="false" ht="15" hidden="false" customHeight="false" outlineLevel="0" collapsed="false">
      <c r="A80" s="18" t="s">
        <v>193</v>
      </c>
      <c r="B80" s="18" t="s">
        <v>194</v>
      </c>
      <c r="C80" s="18"/>
      <c r="D80" s="49" t="n">
        <v>46235</v>
      </c>
      <c r="E80" s="18" t="s">
        <v>118</v>
      </c>
      <c r="F80" s="18" t="s">
        <v>119</v>
      </c>
      <c r="G80" s="18" t="s">
        <v>100</v>
      </c>
      <c r="H80" s="18" t="s">
        <v>101</v>
      </c>
      <c r="I80" s="18" t="s">
        <v>102</v>
      </c>
      <c r="J80" s="64" t="n">
        <v>3354.624</v>
      </c>
      <c r="K80" s="64" t="n">
        <v>3354.624</v>
      </c>
      <c r="L80" s="64" t="n">
        <v>3119.80032</v>
      </c>
      <c r="M80" s="73" t="n">
        <v>0.93</v>
      </c>
      <c r="N80" s="73" t="n">
        <v>1</v>
      </c>
      <c r="O80" s="74" t="n">
        <f aca="false">IF(K80="",M80,L80/K80)</f>
        <v>0.93</v>
      </c>
      <c r="P80" s="74" t="n">
        <f aca="false">O80-M80</f>
        <v>0</v>
      </c>
    </row>
    <row r="81" customFormat="false" ht="15" hidden="false" customHeight="false" outlineLevel="0" collapsed="false">
      <c r="A81" s="18" t="s">
        <v>193</v>
      </c>
      <c r="B81" s="18" t="s">
        <v>194</v>
      </c>
      <c r="C81" s="18"/>
      <c r="D81" s="49" t="n">
        <v>46235</v>
      </c>
      <c r="E81" s="18" t="s">
        <v>122</v>
      </c>
      <c r="F81" s="18" t="s">
        <v>119</v>
      </c>
      <c r="G81" s="18" t="s">
        <v>100</v>
      </c>
      <c r="H81" s="18" t="s">
        <v>107</v>
      </c>
      <c r="I81" s="18" t="s">
        <v>102</v>
      </c>
      <c r="J81" s="64" t="n">
        <v>1290.24</v>
      </c>
      <c r="K81" s="64" t="n">
        <v>1290.24</v>
      </c>
      <c r="L81" s="64" t="n">
        <v>1225.728</v>
      </c>
      <c r="M81" s="73" t="n">
        <v>0.95</v>
      </c>
      <c r="N81" s="73" t="n">
        <v>1</v>
      </c>
      <c r="O81" s="74" t="n">
        <f aca="false">IF(K81="",M81,L81/K81)</f>
        <v>0.95</v>
      </c>
      <c r="P81" s="74" t="n">
        <f aca="false">O81-M81</f>
        <v>1.11022302462516E-016</v>
      </c>
    </row>
    <row r="82" customFormat="false" ht="15" hidden="false" customHeight="false" outlineLevel="0" collapsed="false">
      <c r="A82" s="18" t="s">
        <v>193</v>
      </c>
      <c r="B82" s="18" t="s">
        <v>194</v>
      </c>
      <c r="C82" s="18"/>
      <c r="D82" s="49" t="n">
        <v>46235</v>
      </c>
      <c r="E82" s="18" t="s">
        <v>124</v>
      </c>
      <c r="F82" s="18" t="s">
        <v>119</v>
      </c>
      <c r="G82" s="18" t="s">
        <v>100</v>
      </c>
      <c r="H82" s="18" t="s">
        <v>107</v>
      </c>
      <c r="I82" s="18" t="s">
        <v>125</v>
      </c>
      <c r="J82" s="64" t="n">
        <v>361.2672</v>
      </c>
      <c r="K82" s="64" t="n">
        <v>361.2672</v>
      </c>
      <c r="L82" s="64" t="n">
        <v>351.8742528</v>
      </c>
      <c r="M82" s="73" t="n">
        <v>0.974</v>
      </c>
      <c r="N82" s="73" t="n">
        <v>1</v>
      </c>
      <c r="O82" s="74" t="n">
        <f aca="false">IF(K82="",M82,L82/K82)</f>
        <v>0.974</v>
      </c>
      <c r="P82" s="74" t="n">
        <f aca="false">O82-M82</f>
        <v>1.11022302462516E-016</v>
      </c>
    </row>
    <row r="83" customFormat="false" ht="15" hidden="false" customHeight="false" outlineLevel="0" collapsed="false">
      <c r="A83" s="18" t="s">
        <v>193</v>
      </c>
      <c r="B83" s="18" t="s">
        <v>194</v>
      </c>
      <c r="C83" s="18"/>
      <c r="D83" s="49" t="n">
        <v>46235</v>
      </c>
      <c r="E83" s="18" t="s">
        <v>127</v>
      </c>
      <c r="F83" s="18" t="s">
        <v>119</v>
      </c>
      <c r="G83" s="18" t="s">
        <v>100</v>
      </c>
      <c r="H83" s="18" t="s">
        <v>128</v>
      </c>
      <c r="I83" s="18" t="s">
        <v>125</v>
      </c>
      <c r="J83" s="64" t="n">
        <v>154.8288</v>
      </c>
      <c r="K83" s="64" t="n">
        <v>154.8288</v>
      </c>
      <c r="L83" s="64" t="n">
        <v>152.9708544</v>
      </c>
      <c r="M83" s="73" t="n">
        <v>0.988</v>
      </c>
      <c r="N83" s="73" t="n">
        <v>1</v>
      </c>
      <c r="O83" s="74" t="n">
        <f aca="false">IF(K83="",M83,L83/K83)</f>
        <v>0.988</v>
      </c>
      <c r="P83" s="74" t="n">
        <f aca="false">O83-M83</f>
        <v>0</v>
      </c>
    </row>
    <row r="84" customFormat="false" ht="15" hidden="false" customHeight="false" outlineLevel="0" collapsed="false">
      <c r="A84" s="18" t="s">
        <v>193</v>
      </c>
      <c r="B84" s="18" t="s">
        <v>194</v>
      </c>
      <c r="C84" s="18"/>
      <c r="D84" s="49" t="n">
        <v>46235</v>
      </c>
      <c r="E84" s="18" t="s">
        <v>130</v>
      </c>
      <c r="F84" s="18" t="s">
        <v>119</v>
      </c>
      <c r="G84" s="18" t="s">
        <v>110</v>
      </c>
      <c r="H84" s="18" t="s">
        <v>107</v>
      </c>
      <c r="I84" s="18" t="s">
        <v>125</v>
      </c>
      <c r="J84" s="64" t="n">
        <v>220.8</v>
      </c>
      <c r="K84" s="64" t="n">
        <v>220.8</v>
      </c>
      <c r="L84" s="64" t="n">
        <v>214.3968</v>
      </c>
      <c r="M84" s="73" t="n">
        <v>0.971</v>
      </c>
      <c r="N84" s="73" t="n">
        <v>1</v>
      </c>
      <c r="O84" s="74" t="n">
        <f aca="false">IF(K84="",M84,L84/K84)</f>
        <v>0.971</v>
      </c>
      <c r="P84" s="74" t="n">
        <f aca="false">O84-M84</f>
        <v>0</v>
      </c>
    </row>
    <row r="85" customFormat="false" ht="15" hidden="false" customHeight="false" outlineLevel="0" collapsed="false">
      <c r="A85" s="18" t="s">
        <v>193</v>
      </c>
      <c r="B85" s="18" t="s">
        <v>194</v>
      </c>
      <c r="C85" s="18"/>
      <c r="D85" s="49" t="n">
        <v>46266</v>
      </c>
      <c r="E85" s="18" t="s">
        <v>98</v>
      </c>
      <c r="F85" s="18" t="s">
        <v>99</v>
      </c>
      <c r="G85" s="18" t="s">
        <v>100</v>
      </c>
      <c r="H85" s="18" t="s">
        <v>101</v>
      </c>
      <c r="I85" s="18" t="s">
        <v>102</v>
      </c>
      <c r="J85" s="64" t="n">
        <v>3715.488</v>
      </c>
      <c r="K85" s="64" t="n">
        <v>3715.488</v>
      </c>
      <c r="L85" s="64" t="n">
        <v>3585.44592</v>
      </c>
      <c r="M85" s="73" t="n">
        <v>0.965</v>
      </c>
      <c r="N85" s="73" t="n">
        <v>1</v>
      </c>
      <c r="O85" s="74" t="n">
        <f aca="false">IF(K85="",M85,L85/K85)</f>
        <v>0.965</v>
      </c>
      <c r="P85" s="74" t="n">
        <f aca="false">O85-M85</f>
        <v>1.11022302462516E-016</v>
      </c>
    </row>
    <row r="86" customFormat="false" ht="15" hidden="false" customHeight="false" outlineLevel="0" collapsed="false">
      <c r="A86" s="18" t="s">
        <v>193</v>
      </c>
      <c r="B86" s="18" t="s">
        <v>194</v>
      </c>
      <c r="C86" s="18"/>
      <c r="D86" s="49" t="n">
        <v>46266</v>
      </c>
      <c r="E86" s="18" t="s">
        <v>106</v>
      </c>
      <c r="F86" s="18" t="s">
        <v>99</v>
      </c>
      <c r="G86" s="18" t="s">
        <v>100</v>
      </c>
      <c r="H86" s="18" t="s">
        <v>107</v>
      </c>
      <c r="I86" s="18" t="s">
        <v>102</v>
      </c>
      <c r="J86" s="64" t="n">
        <v>2476.992</v>
      </c>
      <c r="K86" s="64" t="n">
        <v>2476.992</v>
      </c>
      <c r="L86" s="64" t="n">
        <v>2417.544192</v>
      </c>
      <c r="M86" s="73" t="n">
        <v>0.976</v>
      </c>
      <c r="N86" s="73" t="n">
        <v>1</v>
      </c>
      <c r="O86" s="74" t="n">
        <f aca="false">IF(K86="",M86,L86/K86)</f>
        <v>0.976</v>
      </c>
      <c r="P86" s="74" t="n">
        <f aca="false">O86-M86</f>
        <v>-1.11022302462516E-016</v>
      </c>
    </row>
    <row r="87" customFormat="false" ht="15" hidden="false" customHeight="false" outlineLevel="0" collapsed="false">
      <c r="A87" s="18" t="s">
        <v>193</v>
      </c>
      <c r="B87" s="18" t="s">
        <v>194</v>
      </c>
      <c r="C87" s="18"/>
      <c r="D87" s="49" t="n">
        <v>46266</v>
      </c>
      <c r="E87" s="18" t="s">
        <v>109</v>
      </c>
      <c r="F87" s="18" t="s">
        <v>99</v>
      </c>
      <c r="G87" s="18" t="s">
        <v>110</v>
      </c>
      <c r="H87" s="18" t="s">
        <v>107</v>
      </c>
      <c r="I87" s="18" t="s">
        <v>102</v>
      </c>
      <c r="J87" s="64" t="n">
        <v>196.992</v>
      </c>
      <c r="K87" s="64" t="n">
        <v>196.992</v>
      </c>
      <c r="L87" s="64" t="n">
        <v>190.688256</v>
      </c>
      <c r="M87" s="73" t="n">
        <v>0.968</v>
      </c>
      <c r="N87" s="73" t="n">
        <v>1</v>
      </c>
      <c r="O87" s="74" t="n">
        <f aca="false">IF(K87="",M87,L87/K87)</f>
        <v>0.968</v>
      </c>
      <c r="P87" s="74" t="n">
        <f aca="false">O87-M87</f>
        <v>0</v>
      </c>
    </row>
    <row r="88" customFormat="false" ht="15" hidden="false" customHeight="false" outlineLevel="0" collapsed="false">
      <c r="A88" s="18" t="s">
        <v>193</v>
      </c>
      <c r="B88" s="18" t="s">
        <v>194</v>
      </c>
      <c r="C88" s="18"/>
      <c r="D88" s="49" t="n">
        <v>46266</v>
      </c>
      <c r="E88" s="18" t="s">
        <v>112</v>
      </c>
      <c r="F88" s="18" t="s">
        <v>113</v>
      </c>
      <c r="G88" s="18" t="s">
        <v>110</v>
      </c>
      <c r="H88" s="18" t="s">
        <v>101</v>
      </c>
      <c r="I88" s="18" t="s">
        <v>102</v>
      </c>
      <c r="J88" s="64" t="n">
        <v>1840.16</v>
      </c>
      <c r="K88" s="64" t="n">
        <v>1840.16</v>
      </c>
      <c r="L88" s="64" t="n">
        <v>1768.39376</v>
      </c>
      <c r="M88" s="73" t="n">
        <v>0.961</v>
      </c>
      <c r="N88" s="73" t="n">
        <v>1</v>
      </c>
      <c r="O88" s="74" t="n">
        <f aca="false">IF(K88="",M88,L88/K88)</f>
        <v>0.961</v>
      </c>
      <c r="P88" s="74" t="n">
        <f aca="false">O88-M88</f>
        <v>0</v>
      </c>
    </row>
    <row r="89" customFormat="false" ht="15" hidden="false" customHeight="false" outlineLevel="0" collapsed="false">
      <c r="A89" s="18" t="s">
        <v>193</v>
      </c>
      <c r="B89" s="18" t="s">
        <v>194</v>
      </c>
      <c r="C89" s="18"/>
      <c r="D89" s="49" t="n">
        <v>46266</v>
      </c>
      <c r="E89" s="18" t="s">
        <v>116</v>
      </c>
      <c r="F89" s="18" t="s">
        <v>113</v>
      </c>
      <c r="G89" s="18" t="s">
        <v>110</v>
      </c>
      <c r="H89" s="18" t="s">
        <v>107</v>
      </c>
      <c r="I89" s="18" t="s">
        <v>102</v>
      </c>
      <c r="J89" s="64" t="n">
        <v>3417.44</v>
      </c>
      <c r="K89" s="64" t="n">
        <v>3417.44</v>
      </c>
      <c r="L89" s="64" t="n">
        <v>3325.16912</v>
      </c>
      <c r="M89" s="73" t="n">
        <v>0.973</v>
      </c>
      <c r="N89" s="73" t="n">
        <v>1</v>
      </c>
      <c r="O89" s="74" t="n">
        <f aca="false">IF(K89="",M89,L89/K89)</f>
        <v>0.973</v>
      </c>
      <c r="P89" s="74" t="n">
        <f aca="false">O89-M89</f>
        <v>0</v>
      </c>
    </row>
    <row r="90" customFormat="false" ht="15" hidden="false" customHeight="false" outlineLevel="0" collapsed="false">
      <c r="A90" s="18" t="s">
        <v>193</v>
      </c>
      <c r="B90" s="18" t="s">
        <v>194</v>
      </c>
      <c r="C90" s="18"/>
      <c r="D90" s="49" t="n">
        <v>46266</v>
      </c>
      <c r="E90" s="18" t="s">
        <v>118</v>
      </c>
      <c r="F90" s="18" t="s">
        <v>119</v>
      </c>
      <c r="G90" s="18" t="s">
        <v>100</v>
      </c>
      <c r="H90" s="18" t="s">
        <v>101</v>
      </c>
      <c r="I90" s="18" t="s">
        <v>102</v>
      </c>
      <c r="J90" s="64" t="n">
        <v>3466.4448</v>
      </c>
      <c r="K90" s="64" t="n">
        <v>3466.4448</v>
      </c>
      <c r="L90" s="64" t="n">
        <v>3223.793664</v>
      </c>
      <c r="M90" s="73" t="n">
        <v>0.93</v>
      </c>
      <c r="N90" s="73" t="n">
        <v>1</v>
      </c>
      <c r="O90" s="74" t="n">
        <f aca="false">IF(K90="",M90,L90/K90)</f>
        <v>0.93</v>
      </c>
      <c r="P90" s="74" t="n">
        <f aca="false">O90-M90</f>
        <v>-1.11022302462516E-016</v>
      </c>
    </row>
    <row r="91" customFormat="false" ht="15" hidden="false" customHeight="false" outlineLevel="0" collapsed="false">
      <c r="A91" s="18" t="s">
        <v>193</v>
      </c>
      <c r="B91" s="18" t="s">
        <v>194</v>
      </c>
      <c r="C91" s="18"/>
      <c r="D91" s="49" t="n">
        <v>46266</v>
      </c>
      <c r="E91" s="18" t="s">
        <v>122</v>
      </c>
      <c r="F91" s="18" t="s">
        <v>119</v>
      </c>
      <c r="G91" s="18" t="s">
        <v>100</v>
      </c>
      <c r="H91" s="18" t="s">
        <v>107</v>
      </c>
      <c r="I91" s="18" t="s">
        <v>102</v>
      </c>
      <c r="J91" s="64" t="n">
        <v>1333.248</v>
      </c>
      <c r="K91" s="64" t="n">
        <v>1333.248</v>
      </c>
      <c r="L91" s="64" t="n">
        <v>1266.5856</v>
      </c>
      <c r="M91" s="73" t="n">
        <v>0.95</v>
      </c>
      <c r="N91" s="73" t="n">
        <v>1</v>
      </c>
      <c r="O91" s="74" t="n">
        <f aca="false">IF(K91="",M91,L91/K91)</f>
        <v>0.95</v>
      </c>
      <c r="P91" s="74" t="n">
        <f aca="false">O91-M91</f>
        <v>1.11022302462516E-016</v>
      </c>
    </row>
    <row r="92" customFormat="false" ht="15" hidden="false" customHeight="false" outlineLevel="0" collapsed="false">
      <c r="A92" s="18" t="s">
        <v>193</v>
      </c>
      <c r="B92" s="18" t="s">
        <v>194</v>
      </c>
      <c r="C92" s="18"/>
      <c r="D92" s="49" t="n">
        <v>46266</v>
      </c>
      <c r="E92" s="18" t="s">
        <v>124</v>
      </c>
      <c r="F92" s="18" t="s">
        <v>119</v>
      </c>
      <c r="G92" s="18" t="s">
        <v>100</v>
      </c>
      <c r="H92" s="18" t="s">
        <v>107</v>
      </c>
      <c r="I92" s="18" t="s">
        <v>125</v>
      </c>
      <c r="J92" s="64" t="n">
        <v>373.30944</v>
      </c>
      <c r="K92" s="64" t="n">
        <v>373.30944</v>
      </c>
      <c r="L92" s="64" t="n">
        <v>363.60339456</v>
      </c>
      <c r="M92" s="73" t="n">
        <v>0.974</v>
      </c>
      <c r="N92" s="73" t="n">
        <v>1</v>
      </c>
      <c r="O92" s="74" t="n">
        <f aca="false">IF(K92="",M92,L92/K92)</f>
        <v>0.974</v>
      </c>
      <c r="P92" s="74" t="n">
        <f aca="false">O92-M92</f>
        <v>1.11022302462516E-016</v>
      </c>
    </row>
    <row r="93" customFormat="false" ht="15" hidden="false" customHeight="false" outlineLevel="0" collapsed="false">
      <c r="A93" s="18" t="s">
        <v>193</v>
      </c>
      <c r="B93" s="18" t="s">
        <v>194</v>
      </c>
      <c r="C93" s="18"/>
      <c r="D93" s="49" t="n">
        <v>46266</v>
      </c>
      <c r="E93" s="18" t="s">
        <v>127</v>
      </c>
      <c r="F93" s="18" t="s">
        <v>119</v>
      </c>
      <c r="G93" s="18" t="s">
        <v>100</v>
      </c>
      <c r="H93" s="18" t="s">
        <v>128</v>
      </c>
      <c r="I93" s="18" t="s">
        <v>125</v>
      </c>
      <c r="J93" s="64" t="n">
        <v>159.98976</v>
      </c>
      <c r="K93" s="64" t="n">
        <v>159.98976</v>
      </c>
      <c r="L93" s="64" t="n">
        <v>158.06988288</v>
      </c>
      <c r="M93" s="73" t="n">
        <v>0.988</v>
      </c>
      <c r="N93" s="73" t="n">
        <v>1</v>
      </c>
      <c r="O93" s="74" t="n">
        <f aca="false">IF(K93="",M93,L93/K93)</f>
        <v>0.988</v>
      </c>
      <c r="P93" s="74" t="n">
        <f aca="false">O93-M93</f>
        <v>0</v>
      </c>
    </row>
    <row r="94" customFormat="false" ht="15" hidden="false" customHeight="false" outlineLevel="0" collapsed="false">
      <c r="A94" s="18" t="s">
        <v>193</v>
      </c>
      <c r="B94" s="18" t="s">
        <v>194</v>
      </c>
      <c r="C94" s="18"/>
      <c r="D94" s="49" t="n">
        <v>46266</v>
      </c>
      <c r="E94" s="18" t="s">
        <v>130</v>
      </c>
      <c r="F94" s="18" t="s">
        <v>119</v>
      </c>
      <c r="G94" s="18" t="s">
        <v>110</v>
      </c>
      <c r="H94" s="18" t="s">
        <v>107</v>
      </c>
      <c r="I94" s="18" t="s">
        <v>125</v>
      </c>
      <c r="J94" s="64" t="n">
        <v>228.16</v>
      </c>
      <c r="K94" s="64" t="n">
        <v>228.16</v>
      </c>
      <c r="L94" s="64" t="n">
        <v>221.54336</v>
      </c>
      <c r="M94" s="73" t="n">
        <v>0.971</v>
      </c>
      <c r="N94" s="73" t="n">
        <v>1</v>
      </c>
      <c r="O94" s="74" t="n">
        <f aca="false">IF(K94="",M94,L94/K94)</f>
        <v>0.971</v>
      </c>
      <c r="P94" s="74" t="n">
        <f aca="false">O94-M94</f>
        <v>1.11022302462516E-016</v>
      </c>
    </row>
    <row r="95" customFormat="false" ht="15" hidden="false" customHeight="false" outlineLevel="0" collapsed="false">
      <c r="A95" s="18" t="s">
        <v>193</v>
      </c>
      <c r="B95" s="18" t="s">
        <v>194</v>
      </c>
      <c r="C95" s="18"/>
      <c r="D95" s="49" t="n">
        <v>46296</v>
      </c>
      <c r="E95" s="18" t="s">
        <v>98</v>
      </c>
      <c r="F95" s="18" t="s">
        <v>99</v>
      </c>
      <c r="G95" s="18" t="s">
        <v>100</v>
      </c>
      <c r="H95" s="18" t="s">
        <v>101</v>
      </c>
      <c r="I95" s="18" t="s">
        <v>102</v>
      </c>
      <c r="J95" s="64" t="n">
        <v>3959.928</v>
      </c>
      <c r="K95" s="64" t="n">
        <v>3959.928</v>
      </c>
      <c r="L95" s="64" t="n">
        <v>3821.33052</v>
      </c>
      <c r="M95" s="73" t="n">
        <v>0.965</v>
      </c>
      <c r="N95" s="73" t="n">
        <v>1</v>
      </c>
      <c r="O95" s="74" t="n">
        <f aca="false">IF(K95="",M95,L95/K95)</f>
        <v>0.965</v>
      </c>
      <c r="P95" s="74" t="n">
        <f aca="false">O95-M95</f>
        <v>0</v>
      </c>
    </row>
    <row r="96" customFormat="false" ht="15" hidden="false" customHeight="false" outlineLevel="0" collapsed="false">
      <c r="A96" s="18" t="s">
        <v>193</v>
      </c>
      <c r="B96" s="18" t="s">
        <v>194</v>
      </c>
      <c r="C96" s="18"/>
      <c r="D96" s="49" t="n">
        <v>46296</v>
      </c>
      <c r="E96" s="18" t="s">
        <v>106</v>
      </c>
      <c r="F96" s="18" t="s">
        <v>99</v>
      </c>
      <c r="G96" s="18" t="s">
        <v>100</v>
      </c>
      <c r="H96" s="18" t="s">
        <v>107</v>
      </c>
      <c r="I96" s="18" t="s">
        <v>102</v>
      </c>
      <c r="J96" s="64" t="n">
        <v>2639.952</v>
      </c>
      <c r="K96" s="64" t="n">
        <v>2639.952</v>
      </c>
      <c r="L96" s="64" t="n">
        <v>2576.593152</v>
      </c>
      <c r="M96" s="73" t="n">
        <v>0.976</v>
      </c>
      <c r="N96" s="73" t="n">
        <v>1</v>
      </c>
      <c r="O96" s="74" t="n">
        <f aca="false">IF(K96="",M96,L96/K96)</f>
        <v>0.976</v>
      </c>
      <c r="P96" s="74" t="n">
        <f aca="false">O96-M96</f>
        <v>-1.11022302462516E-016</v>
      </c>
    </row>
    <row r="97" customFormat="false" ht="15" hidden="false" customHeight="false" outlineLevel="0" collapsed="false">
      <c r="A97" s="18" t="s">
        <v>193</v>
      </c>
      <c r="B97" s="18" t="s">
        <v>194</v>
      </c>
      <c r="C97" s="18"/>
      <c r="D97" s="49" t="n">
        <v>46296</v>
      </c>
      <c r="E97" s="18" t="s">
        <v>109</v>
      </c>
      <c r="F97" s="18" t="s">
        <v>99</v>
      </c>
      <c r="G97" s="18" t="s">
        <v>110</v>
      </c>
      <c r="H97" s="18" t="s">
        <v>107</v>
      </c>
      <c r="I97" s="18" t="s">
        <v>102</v>
      </c>
      <c r="J97" s="64" t="n">
        <v>209.952</v>
      </c>
      <c r="K97" s="64" t="n">
        <v>209.952</v>
      </c>
      <c r="L97" s="64" t="n">
        <v>203.233536</v>
      </c>
      <c r="M97" s="73" t="n">
        <v>0.968</v>
      </c>
      <c r="N97" s="73" t="n">
        <v>1</v>
      </c>
      <c r="O97" s="74" t="n">
        <f aca="false">IF(K97="",M97,L97/K97)</f>
        <v>0.968</v>
      </c>
      <c r="P97" s="74" t="n">
        <f aca="false">O97-M97</f>
        <v>0</v>
      </c>
    </row>
    <row r="98" customFormat="false" ht="15" hidden="false" customHeight="false" outlineLevel="0" collapsed="false">
      <c r="A98" s="18" t="s">
        <v>193</v>
      </c>
      <c r="B98" s="18" t="s">
        <v>194</v>
      </c>
      <c r="C98" s="18"/>
      <c r="D98" s="49" t="n">
        <v>46296</v>
      </c>
      <c r="E98" s="18" t="s">
        <v>112</v>
      </c>
      <c r="F98" s="18" t="s">
        <v>113</v>
      </c>
      <c r="G98" s="18" t="s">
        <v>110</v>
      </c>
      <c r="H98" s="18" t="s">
        <v>101</v>
      </c>
      <c r="I98" s="18" t="s">
        <v>102</v>
      </c>
      <c r="J98" s="64" t="n">
        <v>2070.18</v>
      </c>
      <c r="K98" s="64" t="n">
        <v>2070.18</v>
      </c>
      <c r="L98" s="64" t="n">
        <v>1989.44298</v>
      </c>
      <c r="M98" s="73" t="n">
        <v>0.961</v>
      </c>
      <c r="N98" s="73" t="n">
        <v>1</v>
      </c>
      <c r="O98" s="74" t="n">
        <f aca="false">IF(K98="",M98,L98/K98)</f>
        <v>0.961</v>
      </c>
      <c r="P98" s="74" t="n">
        <f aca="false">O98-M98</f>
        <v>1.11022302462516E-016</v>
      </c>
    </row>
    <row r="99" customFormat="false" ht="15" hidden="false" customHeight="false" outlineLevel="0" collapsed="false">
      <c r="A99" s="18" t="s">
        <v>193</v>
      </c>
      <c r="B99" s="18" t="s">
        <v>194</v>
      </c>
      <c r="C99" s="18"/>
      <c r="D99" s="49" t="n">
        <v>46296</v>
      </c>
      <c r="E99" s="18" t="s">
        <v>116</v>
      </c>
      <c r="F99" s="18" t="s">
        <v>113</v>
      </c>
      <c r="G99" s="18" t="s">
        <v>110</v>
      </c>
      <c r="H99" s="18" t="s">
        <v>107</v>
      </c>
      <c r="I99" s="18" t="s">
        <v>102</v>
      </c>
      <c r="J99" s="64" t="n">
        <v>3844.62</v>
      </c>
      <c r="K99" s="64" t="n">
        <v>3844.62</v>
      </c>
      <c r="L99" s="64" t="n">
        <v>3740.81526</v>
      </c>
      <c r="M99" s="73" t="n">
        <v>0.973</v>
      </c>
      <c r="N99" s="73" t="n">
        <v>1</v>
      </c>
      <c r="O99" s="74" t="n">
        <f aca="false">IF(K99="",M99,L99/K99)</f>
        <v>0.973</v>
      </c>
      <c r="P99" s="74" t="n">
        <f aca="false">O99-M99</f>
        <v>0</v>
      </c>
    </row>
    <row r="100" customFormat="false" ht="15" hidden="false" customHeight="false" outlineLevel="0" collapsed="false">
      <c r="A100" s="18" t="s">
        <v>193</v>
      </c>
      <c r="B100" s="18" t="s">
        <v>194</v>
      </c>
      <c r="C100" s="18"/>
      <c r="D100" s="49" t="n">
        <v>46296</v>
      </c>
      <c r="E100" s="18" t="s">
        <v>118</v>
      </c>
      <c r="F100" s="18" t="s">
        <v>119</v>
      </c>
      <c r="G100" s="18" t="s">
        <v>100</v>
      </c>
      <c r="H100" s="18" t="s">
        <v>101</v>
      </c>
      <c r="I100" s="18" t="s">
        <v>102</v>
      </c>
      <c r="J100" s="64" t="n">
        <v>4151.3472</v>
      </c>
      <c r="K100" s="64" t="n">
        <v>4151.3472</v>
      </c>
      <c r="L100" s="64" t="n">
        <v>3860.752896</v>
      </c>
      <c r="M100" s="73" t="n">
        <v>0.93</v>
      </c>
      <c r="N100" s="73" t="n">
        <v>1</v>
      </c>
      <c r="O100" s="74" t="n">
        <f aca="false">IF(K100="",M100,L100/K100)</f>
        <v>0.93</v>
      </c>
      <c r="P100" s="74" t="n">
        <f aca="false">O100-M100</f>
        <v>-1.11022302462516E-016</v>
      </c>
    </row>
    <row r="101" customFormat="false" ht="15" hidden="false" customHeight="false" outlineLevel="0" collapsed="false">
      <c r="A101" s="18" t="s">
        <v>193</v>
      </c>
      <c r="B101" s="18" t="s">
        <v>194</v>
      </c>
      <c r="C101" s="18"/>
      <c r="D101" s="49" t="n">
        <v>46296</v>
      </c>
      <c r="E101" s="18" t="s">
        <v>122</v>
      </c>
      <c r="F101" s="18" t="s">
        <v>119</v>
      </c>
      <c r="G101" s="18" t="s">
        <v>100</v>
      </c>
      <c r="H101" s="18" t="s">
        <v>107</v>
      </c>
      <c r="I101" s="18" t="s">
        <v>102</v>
      </c>
      <c r="J101" s="64" t="n">
        <v>1596.672</v>
      </c>
      <c r="K101" s="64" t="n">
        <v>1596.672</v>
      </c>
      <c r="L101" s="64" t="n">
        <v>1516.8384</v>
      </c>
      <c r="M101" s="73" t="n">
        <v>0.95</v>
      </c>
      <c r="N101" s="73" t="n">
        <v>1</v>
      </c>
      <c r="O101" s="74" t="n">
        <f aca="false">IF(K101="",M101,L101/K101)</f>
        <v>0.95</v>
      </c>
      <c r="P101" s="74" t="n">
        <f aca="false">O101-M101</f>
        <v>1.11022302462516E-016</v>
      </c>
    </row>
    <row r="102" customFormat="false" ht="15" hidden="false" customHeight="false" outlineLevel="0" collapsed="false">
      <c r="A102" s="18" t="s">
        <v>193</v>
      </c>
      <c r="B102" s="18" t="s">
        <v>194</v>
      </c>
      <c r="C102" s="18"/>
      <c r="D102" s="49" t="n">
        <v>46296</v>
      </c>
      <c r="E102" s="18" t="s">
        <v>124</v>
      </c>
      <c r="F102" s="18" t="s">
        <v>119</v>
      </c>
      <c r="G102" s="18" t="s">
        <v>100</v>
      </c>
      <c r="H102" s="18" t="s">
        <v>107</v>
      </c>
      <c r="I102" s="18" t="s">
        <v>125</v>
      </c>
      <c r="J102" s="64" t="n">
        <v>447.06816</v>
      </c>
      <c r="K102" s="64" t="n">
        <v>447.06816</v>
      </c>
      <c r="L102" s="64" t="n">
        <v>435.44438784</v>
      </c>
      <c r="M102" s="73" t="n">
        <v>0.974</v>
      </c>
      <c r="N102" s="73" t="n">
        <v>1</v>
      </c>
      <c r="O102" s="74" t="n">
        <f aca="false">IF(K102="",M102,L102/K102)</f>
        <v>0.974</v>
      </c>
      <c r="P102" s="74" t="n">
        <f aca="false">O102-M102</f>
        <v>0</v>
      </c>
    </row>
    <row r="103" customFormat="false" ht="15" hidden="false" customHeight="false" outlineLevel="0" collapsed="false">
      <c r="A103" s="18" t="s">
        <v>193</v>
      </c>
      <c r="B103" s="18" t="s">
        <v>194</v>
      </c>
      <c r="C103" s="18"/>
      <c r="D103" s="49" t="n">
        <v>46296</v>
      </c>
      <c r="E103" s="18" t="s">
        <v>127</v>
      </c>
      <c r="F103" s="18" t="s">
        <v>119</v>
      </c>
      <c r="G103" s="18" t="s">
        <v>100</v>
      </c>
      <c r="H103" s="18" t="s">
        <v>128</v>
      </c>
      <c r="I103" s="18" t="s">
        <v>125</v>
      </c>
      <c r="J103" s="64" t="n">
        <v>191.60064</v>
      </c>
      <c r="K103" s="64" t="n">
        <v>191.60064</v>
      </c>
      <c r="L103" s="64" t="n">
        <v>189.30143232</v>
      </c>
      <c r="M103" s="73" t="n">
        <v>0.988</v>
      </c>
      <c r="N103" s="73" t="n">
        <v>1</v>
      </c>
      <c r="O103" s="74" t="n">
        <f aca="false">IF(K103="",M103,L103/K103)</f>
        <v>0.988</v>
      </c>
      <c r="P103" s="74" t="n">
        <f aca="false">O103-M103</f>
        <v>0</v>
      </c>
    </row>
    <row r="104" customFormat="false" ht="15" hidden="false" customHeight="false" outlineLevel="0" collapsed="false">
      <c r="A104" s="18" t="s">
        <v>193</v>
      </c>
      <c r="B104" s="18" t="s">
        <v>194</v>
      </c>
      <c r="C104" s="18"/>
      <c r="D104" s="49" t="n">
        <v>46296</v>
      </c>
      <c r="E104" s="18" t="s">
        <v>130</v>
      </c>
      <c r="F104" s="18" t="s">
        <v>119</v>
      </c>
      <c r="G104" s="18" t="s">
        <v>110</v>
      </c>
      <c r="H104" s="18" t="s">
        <v>107</v>
      </c>
      <c r="I104" s="18" t="s">
        <v>125</v>
      </c>
      <c r="J104" s="64" t="n">
        <v>273.24</v>
      </c>
      <c r="K104" s="64" t="n">
        <v>273.24</v>
      </c>
      <c r="L104" s="64" t="n">
        <v>265.31604</v>
      </c>
      <c r="M104" s="73" t="n">
        <v>0.971</v>
      </c>
      <c r="N104" s="73" t="n">
        <v>1</v>
      </c>
      <c r="O104" s="74" t="n">
        <f aca="false">IF(K104="",M104,L104/K104)</f>
        <v>0.971</v>
      </c>
      <c r="P104" s="74" t="n">
        <f aca="false">O104-M104</f>
        <v>0</v>
      </c>
    </row>
    <row r="105" customFormat="false" ht="15" hidden="false" customHeight="false" outlineLevel="0" collapsed="false">
      <c r="A105" s="18" t="s">
        <v>193</v>
      </c>
      <c r="B105" s="18" t="s">
        <v>194</v>
      </c>
      <c r="C105" s="18"/>
      <c r="D105" s="49" t="n">
        <v>46327</v>
      </c>
      <c r="E105" s="18" t="s">
        <v>98</v>
      </c>
      <c r="F105" s="18" t="s">
        <v>99</v>
      </c>
      <c r="G105" s="18" t="s">
        <v>100</v>
      </c>
      <c r="H105" s="18" t="s">
        <v>101</v>
      </c>
      <c r="I105" s="18" t="s">
        <v>102</v>
      </c>
      <c r="J105" s="64" t="n">
        <v>4571.028</v>
      </c>
      <c r="K105" s="64" t="n">
        <v>4571.028</v>
      </c>
      <c r="L105" s="64" t="n">
        <v>4411.04202</v>
      </c>
      <c r="M105" s="73" t="n">
        <v>0.965</v>
      </c>
      <c r="N105" s="73" t="n">
        <v>1</v>
      </c>
      <c r="O105" s="74" t="n">
        <f aca="false">IF(K105="",M105,L105/K105)</f>
        <v>0.965</v>
      </c>
      <c r="P105" s="74" t="n">
        <f aca="false">O105-M105</f>
        <v>0</v>
      </c>
    </row>
    <row r="106" customFormat="false" ht="15" hidden="false" customHeight="false" outlineLevel="0" collapsed="false">
      <c r="A106" s="18" t="s">
        <v>193</v>
      </c>
      <c r="B106" s="18" t="s">
        <v>194</v>
      </c>
      <c r="C106" s="18"/>
      <c r="D106" s="49" t="n">
        <v>46327</v>
      </c>
      <c r="E106" s="18" t="s">
        <v>106</v>
      </c>
      <c r="F106" s="18" t="s">
        <v>99</v>
      </c>
      <c r="G106" s="18" t="s">
        <v>100</v>
      </c>
      <c r="H106" s="18" t="s">
        <v>107</v>
      </c>
      <c r="I106" s="18" t="s">
        <v>102</v>
      </c>
      <c r="J106" s="64" t="n">
        <v>3047.352</v>
      </c>
      <c r="K106" s="64" t="n">
        <v>3047.352</v>
      </c>
      <c r="L106" s="64" t="n">
        <v>2974.215552</v>
      </c>
      <c r="M106" s="73" t="n">
        <v>0.976</v>
      </c>
      <c r="N106" s="73" t="n">
        <v>1</v>
      </c>
      <c r="O106" s="74" t="n">
        <f aca="false">IF(K106="",M106,L106/K106)</f>
        <v>0.976</v>
      </c>
      <c r="P106" s="74" t="n">
        <f aca="false">O106-M106</f>
        <v>1.11022302462516E-016</v>
      </c>
    </row>
    <row r="107" customFormat="false" ht="15" hidden="false" customHeight="false" outlineLevel="0" collapsed="false">
      <c r="A107" s="18" t="s">
        <v>193</v>
      </c>
      <c r="B107" s="18" t="s">
        <v>194</v>
      </c>
      <c r="C107" s="18"/>
      <c r="D107" s="49" t="n">
        <v>46327</v>
      </c>
      <c r="E107" s="18" t="s">
        <v>109</v>
      </c>
      <c r="F107" s="18" t="s">
        <v>99</v>
      </c>
      <c r="G107" s="18" t="s">
        <v>110</v>
      </c>
      <c r="H107" s="18" t="s">
        <v>107</v>
      </c>
      <c r="I107" s="18" t="s">
        <v>102</v>
      </c>
      <c r="J107" s="64" t="n">
        <v>242.352</v>
      </c>
      <c r="K107" s="64" t="n">
        <v>242.352</v>
      </c>
      <c r="L107" s="64" t="n">
        <v>234.596736</v>
      </c>
      <c r="M107" s="73" t="n">
        <v>0.968</v>
      </c>
      <c r="N107" s="73" t="n">
        <v>1</v>
      </c>
      <c r="O107" s="74" t="n">
        <f aca="false">IF(K107="",M107,L107/K107)</f>
        <v>0.968</v>
      </c>
      <c r="P107" s="74" t="n">
        <f aca="false">O107-M107</f>
        <v>0</v>
      </c>
    </row>
    <row r="108" customFormat="false" ht="15" hidden="false" customHeight="false" outlineLevel="0" collapsed="false">
      <c r="A108" s="18" t="s">
        <v>193</v>
      </c>
      <c r="B108" s="18" t="s">
        <v>194</v>
      </c>
      <c r="C108" s="18"/>
      <c r="D108" s="49" t="n">
        <v>46327</v>
      </c>
      <c r="E108" s="18" t="s">
        <v>112</v>
      </c>
      <c r="F108" s="18" t="s">
        <v>113</v>
      </c>
      <c r="G108" s="18" t="s">
        <v>110</v>
      </c>
      <c r="H108" s="18" t="s">
        <v>101</v>
      </c>
      <c r="I108" s="18" t="s">
        <v>102</v>
      </c>
      <c r="J108" s="64" t="n">
        <v>2448.6</v>
      </c>
      <c r="K108" s="64" t="n">
        <v>2448.6</v>
      </c>
      <c r="L108" s="64" t="n">
        <v>2353.1046</v>
      </c>
      <c r="M108" s="73" t="n">
        <v>0.961</v>
      </c>
      <c r="N108" s="73" t="n">
        <v>1</v>
      </c>
      <c r="O108" s="74" t="n">
        <f aca="false">IF(K108="",M108,L108/K108)</f>
        <v>0.961</v>
      </c>
      <c r="P108" s="74" t="n">
        <f aca="false">O108-M108</f>
        <v>1.11022302462516E-016</v>
      </c>
    </row>
    <row r="109" customFormat="false" ht="15" hidden="false" customHeight="false" outlineLevel="0" collapsed="false">
      <c r="A109" s="18" t="s">
        <v>193</v>
      </c>
      <c r="B109" s="18" t="s">
        <v>194</v>
      </c>
      <c r="C109" s="18"/>
      <c r="D109" s="49" t="n">
        <v>46327</v>
      </c>
      <c r="E109" s="18" t="s">
        <v>116</v>
      </c>
      <c r="F109" s="18" t="s">
        <v>113</v>
      </c>
      <c r="G109" s="18" t="s">
        <v>110</v>
      </c>
      <c r="H109" s="18" t="s">
        <v>107</v>
      </c>
      <c r="I109" s="18" t="s">
        <v>102</v>
      </c>
      <c r="J109" s="64" t="n">
        <v>4547.4</v>
      </c>
      <c r="K109" s="64" t="n">
        <v>4547.4</v>
      </c>
      <c r="L109" s="64" t="n">
        <v>4424.6202</v>
      </c>
      <c r="M109" s="73" t="n">
        <v>0.973</v>
      </c>
      <c r="N109" s="73" t="n">
        <v>1</v>
      </c>
      <c r="O109" s="74" t="n">
        <f aca="false">IF(K109="",M109,L109/K109)</f>
        <v>0.973</v>
      </c>
      <c r="P109" s="74" t="n">
        <f aca="false">O109-M109</f>
        <v>2.22044604925031E-016</v>
      </c>
    </row>
    <row r="110" customFormat="false" ht="15" hidden="false" customHeight="false" outlineLevel="0" collapsed="false">
      <c r="A110" s="18" t="s">
        <v>193</v>
      </c>
      <c r="B110" s="18" t="s">
        <v>194</v>
      </c>
      <c r="C110" s="18"/>
      <c r="D110" s="49" t="n">
        <v>46327</v>
      </c>
      <c r="E110" s="18" t="s">
        <v>118</v>
      </c>
      <c r="F110" s="18" t="s">
        <v>119</v>
      </c>
      <c r="G110" s="18" t="s">
        <v>100</v>
      </c>
      <c r="H110" s="18" t="s">
        <v>101</v>
      </c>
      <c r="I110" s="18" t="s">
        <v>102</v>
      </c>
      <c r="J110" s="64" t="n">
        <v>5535.1296</v>
      </c>
      <c r="K110" s="64" t="n">
        <v>5535.1296</v>
      </c>
      <c r="L110" s="64" t="n">
        <v>5147.670528</v>
      </c>
      <c r="M110" s="73" t="n">
        <v>0.93</v>
      </c>
      <c r="N110" s="73" t="n">
        <v>1</v>
      </c>
      <c r="O110" s="74" t="n">
        <f aca="false">IF(K110="",M110,L110/K110)</f>
        <v>0.93</v>
      </c>
      <c r="P110" s="74" t="n">
        <f aca="false">O110-M110</f>
        <v>-1.11022302462516E-016</v>
      </c>
    </row>
    <row r="111" customFormat="false" ht="15" hidden="false" customHeight="false" outlineLevel="0" collapsed="false">
      <c r="A111" s="18" t="s">
        <v>193</v>
      </c>
      <c r="B111" s="18" t="s">
        <v>194</v>
      </c>
      <c r="C111" s="18"/>
      <c r="D111" s="49" t="n">
        <v>46327</v>
      </c>
      <c r="E111" s="18" t="s">
        <v>122</v>
      </c>
      <c r="F111" s="18" t="s">
        <v>119</v>
      </c>
      <c r="G111" s="18" t="s">
        <v>100</v>
      </c>
      <c r="H111" s="18" t="s">
        <v>107</v>
      </c>
      <c r="I111" s="18" t="s">
        <v>102</v>
      </c>
      <c r="J111" s="64" t="n">
        <v>2128.896</v>
      </c>
      <c r="K111" s="64" t="n">
        <v>2128.896</v>
      </c>
      <c r="L111" s="64" t="n">
        <v>2022.4512</v>
      </c>
      <c r="M111" s="73" t="n">
        <v>0.95</v>
      </c>
      <c r="N111" s="73" t="n">
        <v>1</v>
      </c>
      <c r="O111" s="74" t="n">
        <f aca="false">IF(K111="",M111,L111/K111)</f>
        <v>0.95</v>
      </c>
      <c r="P111" s="74" t="n">
        <f aca="false">O111-M111</f>
        <v>0</v>
      </c>
    </row>
    <row r="112" customFormat="false" ht="15" hidden="false" customHeight="false" outlineLevel="0" collapsed="false">
      <c r="A112" s="18" t="s">
        <v>193</v>
      </c>
      <c r="B112" s="18" t="s">
        <v>194</v>
      </c>
      <c r="C112" s="18"/>
      <c r="D112" s="49" t="n">
        <v>46327</v>
      </c>
      <c r="E112" s="18" t="s">
        <v>124</v>
      </c>
      <c r="F112" s="18" t="s">
        <v>119</v>
      </c>
      <c r="G112" s="18" t="s">
        <v>100</v>
      </c>
      <c r="H112" s="18" t="s">
        <v>107</v>
      </c>
      <c r="I112" s="18" t="s">
        <v>125</v>
      </c>
      <c r="J112" s="64" t="n">
        <v>596.09088</v>
      </c>
      <c r="K112" s="64" t="n">
        <v>596.09088</v>
      </c>
      <c r="L112" s="64" t="n">
        <v>580.59251712</v>
      </c>
      <c r="M112" s="73" t="n">
        <v>0.974</v>
      </c>
      <c r="N112" s="73" t="n">
        <v>1</v>
      </c>
      <c r="O112" s="74" t="n">
        <f aca="false">IF(K112="",M112,L112/K112)</f>
        <v>0.974</v>
      </c>
      <c r="P112" s="74" t="n">
        <f aca="false">O112-M112</f>
        <v>1.11022302462516E-016</v>
      </c>
    </row>
    <row r="113" customFormat="false" ht="15" hidden="false" customHeight="false" outlineLevel="0" collapsed="false">
      <c r="A113" s="18" t="s">
        <v>193</v>
      </c>
      <c r="B113" s="18" t="s">
        <v>194</v>
      </c>
      <c r="C113" s="18"/>
      <c r="D113" s="49" t="n">
        <v>46327</v>
      </c>
      <c r="E113" s="18" t="s">
        <v>127</v>
      </c>
      <c r="F113" s="18" t="s">
        <v>119</v>
      </c>
      <c r="G113" s="18" t="s">
        <v>100</v>
      </c>
      <c r="H113" s="18" t="s">
        <v>128</v>
      </c>
      <c r="I113" s="18" t="s">
        <v>125</v>
      </c>
      <c r="J113" s="64" t="n">
        <v>255.46752</v>
      </c>
      <c r="K113" s="64" t="n">
        <v>255.46752</v>
      </c>
      <c r="L113" s="64" t="n">
        <v>252.40190976</v>
      </c>
      <c r="M113" s="73" t="n">
        <v>0.988</v>
      </c>
      <c r="N113" s="73" t="n">
        <v>1</v>
      </c>
      <c r="O113" s="74" t="n">
        <f aca="false">IF(K113="",M113,L113/K113)</f>
        <v>0.988</v>
      </c>
      <c r="P113" s="74" t="n">
        <f aca="false">O113-M113</f>
        <v>0</v>
      </c>
    </row>
    <row r="114" customFormat="false" ht="15" hidden="false" customHeight="false" outlineLevel="0" collapsed="false">
      <c r="A114" s="18" t="s">
        <v>193</v>
      </c>
      <c r="B114" s="18" t="s">
        <v>194</v>
      </c>
      <c r="C114" s="18"/>
      <c r="D114" s="49" t="n">
        <v>46327</v>
      </c>
      <c r="E114" s="18" t="s">
        <v>130</v>
      </c>
      <c r="F114" s="18" t="s">
        <v>119</v>
      </c>
      <c r="G114" s="18" t="s">
        <v>110</v>
      </c>
      <c r="H114" s="18" t="s">
        <v>107</v>
      </c>
      <c r="I114" s="18" t="s">
        <v>125</v>
      </c>
      <c r="J114" s="64" t="n">
        <v>364.32</v>
      </c>
      <c r="K114" s="64" t="n">
        <v>364.32</v>
      </c>
      <c r="L114" s="64" t="n">
        <v>353.75472</v>
      </c>
      <c r="M114" s="73" t="n">
        <v>0.971</v>
      </c>
      <c r="N114" s="73" t="n">
        <v>1</v>
      </c>
      <c r="O114" s="74" t="n">
        <f aca="false">IF(K114="",M114,L114/K114)</f>
        <v>0.971</v>
      </c>
      <c r="P114" s="74" t="n">
        <f aca="false">O114-M114</f>
        <v>1.11022302462516E-016</v>
      </c>
    </row>
    <row r="115" customFormat="false" ht="15" hidden="false" customHeight="false" outlineLevel="0" collapsed="false">
      <c r="A115" s="18" t="s">
        <v>193</v>
      </c>
      <c r="B115" s="18" t="s">
        <v>194</v>
      </c>
      <c r="C115" s="18"/>
      <c r="D115" s="49" t="n">
        <v>46357</v>
      </c>
      <c r="E115" s="18" t="s">
        <v>98</v>
      </c>
      <c r="F115" s="18" t="s">
        <v>99</v>
      </c>
      <c r="G115" s="18" t="s">
        <v>100</v>
      </c>
      <c r="H115" s="18" t="s">
        <v>101</v>
      </c>
      <c r="I115" s="18" t="s">
        <v>102</v>
      </c>
      <c r="J115" s="64" t="n">
        <v>5402.124</v>
      </c>
      <c r="K115" s="64" t="n">
        <v>5402.124</v>
      </c>
      <c r="L115" s="64" t="n">
        <v>5213.04966</v>
      </c>
      <c r="M115" s="73" t="n">
        <v>0.965</v>
      </c>
      <c r="N115" s="73" t="n">
        <v>1</v>
      </c>
      <c r="O115" s="74" t="n">
        <f aca="false">IF(K115="",M115,L115/K115)</f>
        <v>0.965</v>
      </c>
      <c r="P115" s="74" t="n">
        <f aca="false">O115-M115</f>
        <v>0</v>
      </c>
    </row>
    <row r="116" customFormat="false" ht="15" hidden="false" customHeight="false" outlineLevel="0" collapsed="false">
      <c r="A116" s="18" t="s">
        <v>193</v>
      </c>
      <c r="B116" s="18" t="s">
        <v>194</v>
      </c>
      <c r="C116" s="18"/>
      <c r="D116" s="49" t="n">
        <v>46357</v>
      </c>
      <c r="E116" s="18" t="s">
        <v>106</v>
      </c>
      <c r="F116" s="18" t="s">
        <v>99</v>
      </c>
      <c r="G116" s="18" t="s">
        <v>100</v>
      </c>
      <c r="H116" s="18" t="s">
        <v>107</v>
      </c>
      <c r="I116" s="18" t="s">
        <v>102</v>
      </c>
      <c r="J116" s="64" t="n">
        <v>3601.416</v>
      </c>
      <c r="K116" s="64" t="n">
        <v>3601.416</v>
      </c>
      <c r="L116" s="64" t="n">
        <v>3514.982016</v>
      </c>
      <c r="M116" s="73" t="n">
        <v>0.976</v>
      </c>
      <c r="N116" s="73" t="n">
        <v>1</v>
      </c>
      <c r="O116" s="74" t="n">
        <f aca="false">IF(K116="",M116,L116/K116)</f>
        <v>0.976</v>
      </c>
      <c r="P116" s="74" t="n">
        <f aca="false">O116-M116</f>
        <v>0</v>
      </c>
    </row>
    <row r="117" customFormat="false" ht="15" hidden="false" customHeight="false" outlineLevel="0" collapsed="false">
      <c r="A117" s="18" t="s">
        <v>193</v>
      </c>
      <c r="B117" s="18" t="s">
        <v>194</v>
      </c>
      <c r="C117" s="18"/>
      <c r="D117" s="49" t="n">
        <v>46357</v>
      </c>
      <c r="E117" s="18" t="s">
        <v>109</v>
      </c>
      <c r="F117" s="18" t="s">
        <v>99</v>
      </c>
      <c r="G117" s="18" t="s">
        <v>110</v>
      </c>
      <c r="H117" s="18" t="s">
        <v>107</v>
      </c>
      <c r="I117" s="18" t="s">
        <v>102</v>
      </c>
      <c r="J117" s="64" t="n">
        <v>286.416</v>
      </c>
      <c r="K117" s="64" t="n">
        <v>286.416</v>
      </c>
      <c r="L117" s="64" t="n">
        <v>277.250688</v>
      </c>
      <c r="M117" s="73" t="n">
        <v>0.968</v>
      </c>
      <c r="N117" s="73" t="n">
        <v>1</v>
      </c>
      <c r="O117" s="74" t="n">
        <f aca="false">IF(K117="",M117,L117/K117)</f>
        <v>0.968</v>
      </c>
      <c r="P117" s="74" t="n">
        <f aca="false">O117-M117</f>
        <v>1.11022302462516E-016</v>
      </c>
    </row>
    <row r="118" customFormat="false" ht="15" hidden="false" customHeight="false" outlineLevel="0" collapsed="false">
      <c r="A118" s="18" t="s">
        <v>193</v>
      </c>
      <c r="B118" s="18" t="s">
        <v>194</v>
      </c>
      <c r="C118" s="18"/>
      <c r="D118" s="49" t="n">
        <v>46357</v>
      </c>
      <c r="E118" s="18" t="s">
        <v>112</v>
      </c>
      <c r="F118" s="18" t="s">
        <v>113</v>
      </c>
      <c r="G118" s="18" t="s">
        <v>110</v>
      </c>
      <c r="H118" s="18" t="s">
        <v>101</v>
      </c>
      <c r="I118" s="18" t="s">
        <v>102</v>
      </c>
      <c r="J118" s="64" t="n">
        <v>2797.34</v>
      </c>
      <c r="K118" s="64" t="n">
        <v>2797.34</v>
      </c>
      <c r="L118" s="64" t="n">
        <v>2688.24374</v>
      </c>
      <c r="M118" s="73" t="n">
        <v>0.961</v>
      </c>
      <c r="N118" s="73" t="n">
        <v>1</v>
      </c>
      <c r="O118" s="74" t="n">
        <f aca="false">IF(K118="",M118,L118/K118)</f>
        <v>0.961</v>
      </c>
      <c r="P118" s="74" t="n">
        <f aca="false">O118-M118</f>
        <v>0</v>
      </c>
    </row>
    <row r="119" customFormat="false" ht="15" hidden="false" customHeight="false" outlineLevel="0" collapsed="false">
      <c r="A119" s="18" t="s">
        <v>193</v>
      </c>
      <c r="B119" s="18" t="s">
        <v>194</v>
      </c>
      <c r="C119" s="18"/>
      <c r="D119" s="49" t="n">
        <v>46357</v>
      </c>
      <c r="E119" s="18" t="s">
        <v>116</v>
      </c>
      <c r="F119" s="18" t="s">
        <v>113</v>
      </c>
      <c r="G119" s="18" t="s">
        <v>110</v>
      </c>
      <c r="H119" s="18" t="s">
        <v>107</v>
      </c>
      <c r="I119" s="18" t="s">
        <v>102</v>
      </c>
      <c r="J119" s="64" t="n">
        <v>5195.06</v>
      </c>
      <c r="K119" s="64" t="n">
        <v>5195.06</v>
      </c>
      <c r="L119" s="64" t="n">
        <v>5054.79338</v>
      </c>
      <c r="M119" s="73" t="n">
        <v>0.973</v>
      </c>
      <c r="N119" s="73" t="n">
        <v>1</v>
      </c>
      <c r="O119" s="74" t="n">
        <f aca="false">IF(K119="",M119,L119/K119)</f>
        <v>0.973</v>
      </c>
      <c r="P119" s="74" t="n">
        <f aca="false">O119-M119</f>
        <v>0</v>
      </c>
    </row>
    <row r="120" customFormat="false" ht="15" hidden="false" customHeight="false" outlineLevel="0" collapsed="false">
      <c r="A120" s="18" t="s">
        <v>193</v>
      </c>
      <c r="B120" s="18" t="s">
        <v>194</v>
      </c>
      <c r="C120" s="18"/>
      <c r="D120" s="49" t="n">
        <v>46357</v>
      </c>
      <c r="E120" s="18" t="s">
        <v>118</v>
      </c>
      <c r="F120" s="18" t="s">
        <v>119</v>
      </c>
      <c r="G120" s="18" t="s">
        <v>100</v>
      </c>
      <c r="H120" s="18" t="s">
        <v>101</v>
      </c>
      <c r="I120" s="18" t="s">
        <v>102</v>
      </c>
      <c r="J120" s="64" t="n">
        <v>6723.2256</v>
      </c>
      <c r="K120" s="64" t="n">
        <v>6723.2256</v>
      </c>
      <c r="L120" s="64" t="n">
        <v>6252.599808</v>
      </c>
      <c r="M120" s="73" t="n">
        <v>0.93</v>
      </c>
      <c r="N120" s="73" t="n">
        <v>1</v>
      </c>
      <c r="O120" s="74" t="n">
        <f aca="false">IF(K120="",M120,L120/K120)</f>
        <v>0.93</v>
      </c>
      <c r="P120" s="74" t="n">
        <f aca="false">O120-M120</f>
        <v>0</v>
      </c>
    </row>
    <row r="121" customFormat="false" ht="15" hidden="false" customHeight="false" outlineLevel="0" collapsed="false">
      <c r="A121" s="18" t="s">
        <v>193</v>
      </c>
      <c r="B121" s="18" t="s">
        <v>194</v>
      </c>
      <c r="C121" s="18"/>
      <c r="D121" s="49" t="n">
        <v>46357</v>
      </c>
      <c r="E121" s="18" t="s">
        <v>122</v>
      </c>
      <c r="F121" s="18" t="s">
        <v>119</v>
      </c>
      <c r="G121" s="18" t="s">
        <v>100</v>
      </c>
      <c r="H121" s="18" t="s">
        <v>107</v>
      </c>
      <c r="I121" s="18" t="s">
        <v>102</v>
      </c>
      <c r="J121" s="64" t="n">
        <v>2585.856</v>
      </c>
      <c r="K121" s="64" t="n">
        <v>2585.856</v>
      </c>
      <c r="L121" s="64" t="n">
        <v>2456.5632</v>
      </c>
      <c r="M121" s="73" t="n">
        <v>0.95</v>
      </c>
      <c r="N121" s="73" t="n">
        <v>1</v>
      </c>
      <c r="O121" s="74" t="n">
        <f aca="false">IF(K121="",M121,L121/K121)</f>
        <v>0.95</v>
      </c>
      <c r="P121" s="74" t="n">
        <f aca="false">O121-M121</f>
        <v>0</v>
      </c>
    </row>
    <row r="122" customFormat="false" ht="15" hidden="false" customHeight="false" outlineLevel="0" collapsed="false">
      <c r="A122" s="18" t="s">
        <v>193</v>
      </c>
      <c r="B122" s="18" t="s">
        <v>194</v>
      </c>
      <c r="C122" s="18"/>
      <c r="D122" s="49" t="n">
        <v>46357</v>
      </c>
      <c r="E122" s="18" t="s">
        <v>124</v>
      </c>
      <c r="F122" s="18" t="s">
        <v>119</v>
      </c>
      <c r="G122" s="18" t="s">
        <v>100</v>
      </c>
      <c r="H122" s="18" t="s">
        <v>107</v>
      </c>
      <c r="I122" s="18" t="s">
        <v>125</v>
      </c>
      <c r="J122" s="64" t="n">
        <v>724.03968</v>
      </c>
      <c r="K122" s="64" t="n">
        <v>724.03968</v>
      </c>
      <c r="L122" s="64" t="n">
        <v>705.21464832</v>
      </c>
      <c r="M122" s="73" t="n">
        <v>0.974</v>
      </c>
      <c r="N122" s="73" t="n">
        <v>1</v>
      </c>
      <c r="O122" s="74" t="n">
        <f aca="false">IF(K122="",M122,L122/K122)</f>
        <v>0.974</v>
      </c>
      <c r="P122" s="74" t="n">
        <f aca="false">O122-M122</f>
        <v>1.11022302462516E-016</v>
      </c>
    </row>
    <row r="123" customFormat="false" ht="15" hidden="false" customHeight="false" outlineLevel="0" collapsed="false">
      <c r="A123" s="18" t="s">
        <v>193</v>
      </c>
      <c r="B123" s="18" t="s">
        <v>194</v>
      </c>
      <c r="C123" s="18"/>
      <c r="D123" s="49" t="n">
        <v>46357</v>
      </c>
      <c r="E123" s="18" t="s">
        <v>127</v>
      </c>
      <c r="F123" s="18" t="s">
        <v>119</v>
      </c>
      <c r="G123" s="18" t="s">
        <v>100</v>
      </c>
      <c r="H123" s="18" t="s">
        <v>128</v>
      </c>
      <c r="I123" s="18" t="s">
        <v>125</v>
      </c>
      <c r="J123" s="64" t="n">
        <v>310.30272</v>
      </c>
      <c r="K123" s="64" t="n">
        <v>310.30272</v>
      </c>
      <c r="L123" s="64" t="n">
        <v>306.57908736</v>
      </c>
      <c r="M123" s="73" t="n">
        <v>0.988</v>
      </c>
      <c r="N123" s="73" t="n">
        <v>1</v>
      </c>
      <c r="O123" s="74" t="n">
        <f aca="false">IF(K123="",M123,L123/K123)</f>
        <v>0.988</v>
      </c>
      <c r="P123" s="74" t="n">
        <f aca="false">O123-M123</f>
        <v>0</v>
      </c>
    </row>
    <row r="124" customFormat="false" ht="15" hidden="false" customHeight="false" outlineLevel="0" collapsed="false">
      <c r="A124" s="18" t="s">
        <v>193</v>
      </c>
      <c r="B124" s="18" t="s">
        <v>194</v>
      </c>
      <c r="C124" s="18"/>
      <c r="D124" s="49" t="n">
        <v>46357</v>
      </c>
      <c r="E124" s="18" t="s">
        <v>130</v>
      </c>
      <c r="F124" s="18" t="s">
        <v>119</v>
      </c>
      <c r="G124" s="18" t="s">
        <v>110</v>
      </c>
      <c r="H124" s="18" t="s">
        <v>107</v>
      </c>
      <c r="I124" s="18" t="s">
        <v>125</v>
      </c>
      <c r="J124" s="64" t="n">
        <v>442.52</v>
      </c>
      <c r="K124" s="64" t="n">
        <v>442.52</v>
      </c>
      <c r="L124" s="64" t="n">
        <v>429.68692</v>
      </c>
      <c r="M124" s="73" t="n">
        <v>0.971</v>
      </c>
      <c r="N124" s="73" t="n">
        <v>1</v>
      </c>
      <c r="O124" s="74" t="n">
        <f aca="false">IF(K124="",M124,L124/K124)</f>
        <v>0.971</v>
      </c>
      <c r="P124" s="74" t="n">
        <f aca="false">O124-M124</f>
        <v>0</v>
      </c>
    </row>
    <row r="125" customFormat="false" ht="15" hidden="false" customHeight="false" outlineLevel="0" collapsed="false">
      <c r="A125" s="18" t="s">
        <v>200</v>
      </c>
      <c r="B125" s="18" t="s">
        <v>201</v>
      </c>
      <c r="C125" s="18"/>
      <c r="D125" s="49" t="n">
        <v>46023</v>
      </c>
      <c r="E125" s="18" t="s">
        <v>98</v>
      </c>
      <c r="F125" s="18" t="s">
        <v>99</v>
      </c>
      <c r="G125" s="18" t="s">
        <v>100</v>
      </c>
      <c r="H125" s="18" t="s">
        <v>101</v>
      </c>
      <c r="I125" s="18" t="s">
        <v>102</v>
      </c>
      <c r="J125" s="64" t="n">
        <v>3563.232435</v>
      </c>
      <c r="K125" s="64" t="n">
        <v>3563.232435</v>
      </c>
      <c r="L125" s="64" t="n">
        <v>3442.08253221</v>
      </c>
      <c r="M125" s="73" t="n">
        <v>0.966</v>
      </c>
      <c r="N125" s="73" t="n">
        <v>1</v>
      </c>
      <c r="O125" s="74" t="n">
        <f aca="false">IF(K125="",M125,L125/K125)</f>
        <v>0.966</v>
      </c>
      <c r="P125" s="74" t="n">
        <f aca="false">O125-M125</f>
        <v>0</v>
      </c>
    </row>
    <row r="126" customFormat="false" ht="15" hidden="false" customHeight="false" outlineLevel="0" collapsed="false">
      <c r="A126" s="18" t="s">
        <v>200</v>
      </c>
      <c r="B126" s="18" t="s">
        <v>201</v>
      </c>
      <c r="C126" s="18"/>
      <c r="D126" s="49" t="n">
        <v>46023</v>
      </c>
      <c r="E126" s="18" t="s">
        <v>106</v>
      </c>
      <c r="F126" s="18" t="s">
        <v>99</v>
      </c>
      <c r="G126" s="18" t="s">
        <v>100</v>
      </c>
      <c r="H126" s="18" t="s">
        <v>107</v>
      </c>
      <c r="I126" s="18" t="s">
        <v>102</v>
      </c>
      <c r="J126" s="64" t="n">
        <v>2375.48829</v>
      </c>
      <c r="K126" s="64" t="n">
        <v>2375.48829</v>
      </c>
      <c r="L126" s="64" t="n">
        <v>2320.85205933</v>
      </c>
      <c r="M126" s="73" t="n">
        <v>0.977</v>
      </c>
      <c r="N126" s="73" t="n">
        <v>1</v>
      </c>
      <c r="O126" s="74" t="n">
        <f aca="false">IF(K126="",M126,L126/K126)</f>
        <v>0.977</v>
      </c>
      <c r="P126" s="74" t="n">
        <f aca="false">O126-M126</f>
        <v>1.11022302462516E-016</v>
      </c>
    </row>
    <row r="127" customFormat="false" ht="15" hidden="false" customHeight="false" outlineLevel="0" collapsed="false">
      <c r="A127" s="18" t="s">
        <v>200</v>
      </c>
      <c r="B127" s="18" t="s">
        <v>201</v>
      </c>
      <c r="C127" s="18"/>
      <c r="D127" s="49" t="n">
        <v>46023</v>
      </c>
      <c r="E127" s="18" t="s">
        <v>109</v>
      </c>
      <c r="F127" s="18" t="s">
        <v>99</v>
      </c>
      <c r="G127" s="18" t="s">
        <v>110</v>
      </c>
      <c r="H127" s="18" t="s">
        <v>107</v>
      </c>
      <c r="I127" s="18" t="s">
        <v>102</v>
      </c>
      <c r="J127" s="64" t="n">
        <v>188.91954</v>
      </c>
      <c r="K127" s="64" t="n">
        <v>188.91954</v>
      </c>
      <c r="L127" s="64" t="n">
        <v>183.06303426</v>
      </c>
      <c r="M127" s="73" t="n">
        <v>0.969</v>
      </c>
      <c r="N127" s="73" t="n">
        <v>1</v>
      </c>
      <c r="O127" s="74" t="n">
        <f aca="false">IF(K127="",M127,L127/K127)</f>
        <v>0.969</v>
      </c>
      <c r="P127" s="74" t="n">
        <f aca="false">O127-M127</f>
        <v>-1.11022302462516E-016</v>
      </c>
    </row>
    <row r="128" customFormat="false" ht="15" hidden="false" customHeight="false" outlineLevel="0" collapsed="false">
      <c r="A128" s="18" t="s">
        <v>200</v>
      </c>
      <c r="B128" s="18" t="s">
        <v>201</v>
      </c>
      <c r="C128" s="18"/>
      <c r="D128" s="49" t="n">
        <v>46023</v>
      </c>
      <c r="E128" s="18" t="s">
        <v>112</v>
      </c>
      <c r="F128" s="18" t="s">
        <v>113</v>
      </c>
      <c r="G128" s="18" t="s">
        <v>110</v>
      </c>
      <c r="H128" s="18" t="s">
        <v>101</v>
      </c>
      <c r="I128" s="18" t="s">
        <v>102</v>
      </c>
      <c r="J128" s="64" t="n">
        <v>1639.13365</v>
      </c>
      <c r="K128" s="64" t="n">
        <v>1639.13365</v>
      </c>
      <c r="L128" s="64" t="n">
        <v>1576.8465713</v>
      </c>
      <c r="M128" s="73" t="n">
        <v>0.962</v>
      </c>
      <c r="N128" s="73" t="n">
        <v>1</v>
      </c>
      <c r="O128" s="74" t="n">
        <f aca="false">IF(K128="",M128,L128/K128)</f>
        <v>0.962</v>
      </c>
      <c r="P128" s="74" t="n">
        <f aca="false">O128-M128</f>
        <v>1.11022302462516E-016</v>
      </c>
    </row>
    <row r="129" customFormat="false" ht="15" hidden="false" customHeight="false" outlineLevel="0" collapsed="false">
      <c r="A129" s="18" t="s">
        <v>200</v>
      </c>
      <c r="B129" s="18" t="s">
        <v>201</v>
      </c>
      <c r="C129" s="18"/>
      <c r="D129" s="49" t="n">
        <v>46023</v>
      </c>
      <c r="E129" s="18" t="s">
        <v>116</v>
      </c>
      <c r="F129" s="18" t="s">
        <v>113</v>
      </c>
      <c r="G129" s="18" t="s">
        <v>110</v>
      </c>
      <c r="H129" s="18" t="s">
        <v>107</v>
      </c>
      <c r="I129" s="18" t="s">
        <v>102</v>
      </c>
      <c r="J129" s="64" t="n">
        <v>3044.10535</v>
      </c>
      <c r="K129" s="64" t="n">
        <v>3044.10535</v>
      </c>
      <c r="L129" s="64" t="n">
        <v>2964.9586109</v>
      </c>
      <c r="M129" s="73" t="n">
        <v>0.974</v>
      </c>
      <c r="N129" s="73" t="n">
        <v>1</v>
      </c>
      <c r="O129" s="74" t="n">
        <f aca="false">IF(K129="",M129,L129/K129)</f>
        <v>0.974</v>
      </c>
      <c r="P129" s="74" t="n">
        <f aca="false">O129-M129</f>
        <v>1.11022302462516E-016</v>
      </c>
    </row>
    <row r="130" customFormat="false" ht="15" hidden="false" customHeight="false" outlineLevel="0" collapsed="false">
      <c r="A130" s="18" t="s">
        <v>200</v>
      </c>
      <c r="B130" s="18" t="s">
        <v>201</v>
      </c>
      <c r="C130" s="18"/>
      <c r="D130" s="49" t="n">
        <v>46023</v>
      </c>
      <c r="E130" s="18" t="s">
        <v>118</v>
      </c>
      <c r="F130" s="18" t="s">
        <v>119</v>
      </c>
      <c r="G130" s="18" t="s">
        <v>100</v>
      </c>
      <c r="H130" s="18" t="s">
        <v>101</v>
      </c>
      <c r="I130" s="18" t="s">
        <v>102</v>
      </c>
      <c r="J130" s="64" t="n">
        <v>2400.513024</v>
      </c>
      <c r="K130" s="64" t="n">
        <v>2400.513024</v>
      </c>
      <c r="L130" s="64" t="n">
        <v>2234.877625344</v>
      </c>
      <c r="M130" s="73" t="n">
        <v>0.931</v>
      </c>
      <c r="N130" s="73" t="n">
        <v>1</v>
      </c>
      <c r="O130" s="74" t="n">
        <f aca="false">IF(K130="",M130,L130/K130)</f>
        <v>0.931</v>
      </c>
      <c r="P130" s="74" t="n">
        <f aca="false">O130-M130</f>
        <v>0</v>
      </c>
    </row>
    <row r="131" customFormat="false" ht="15" hidden="false" customHeight="false" outlineLevel="0" collapsed="false">
      <c r="A131" s="18" t="s">
        <v>200</v>
      </c>
      <c r="B131" s="18" t="s">
        <v>201</v>
      </c>
      <c r="C131" s="18"/>
      <c r="D131" s="49" t="n">
        <v>46023</v>
      </c>
      <c r="E131" s="18" t="s">
        <v>122</v>
      </c>
      <c r="F131" s="18" t="s">
        <v>119</v>
      </c>
      <c r="G131" s="18" t="s">
        <v>100</v>
      </c>
      <c r="H131" s="18" t="s">
        <v>107</v>
      </c>
      <c r="I131" s="18" t="s">
        <v>102</v>
      </c>
      <c r="J131" s="64" t="n">
        <v>967.9488</v>
      </c>
      <c r="K131" s="64" t="n">
        <v>967.9488</v>
      </c>
      <c r="L131" s="64" t="n">
        <v>920.5193088</v>
      </c>
      <c r="M131" s="73" t="n">
        <v>0.951</v>
      </c>
      <c r="N131" s="73" t="n">
        <v>1</v>
      </c>
      <c r="O131" s="74" t="n">
        <f aca="false">IF(K131="",M131,L131/K131)</f>
        <v>0.951</v>
      </c>
      <c r="P131" s="74" t="n">
        <f aca="false">O131-M131</f>
        <v>0</v>
      </c>
    </row>
    <row r="132" customFormat="false" ht="15" hidden="false" customHeight="false" outlineLevel="0" collapsed="false">
      <c r="A132" s="18" t="s">
        <v>200</v>
      </c>
      <c r="B132" s="18" t="s">
        <v>201</v>
      </c>
      <c r="C132" s="18"/>
      <c r="D132" s="49" t="n">
        <v>46023</v>
      </c>
      <c r="E132" s="18" t="s">
        <v>124</v>
      </c>
      <c r="F132" s="18" t="s">
        <v>119</v>
      </c>
      <c r="G132" s="18" t="s">
        <v>100</v>
      </c>
      <c r="H132" s="18" t="s">
        <v>107</v>
      </c>
      <c r="I132" s="18" t="s">
        <v>125</v>
      </c>
      <c r="J132" s="64" t="n">
        <v>348.461568</v>
      </c>
      <c r="K132" s="64" t="n">
        <v>348.461568</v>
      </c>
      <c r="L132" s="64" t="n">
        <v>339.7500288</v>
      </c>
      <c r="M132" s="73" t="n">
        <v>0.975</v>
      </c>
      <c r="N132" s="73" t="n">
        <v>1</v>
      </c>
      <c r="O132" s="74" t="n">
        <f aca="false">IF(K132="",M132,L132/K132)</f>
        <v>0.975</v>
      </c>
      <c r="P132" s="74" t="n">
        <f aca="false">O132-M132</f>
        <v>0</v>
      </c>
    </row>
    <row r="133" customFormat="false" ht="15" hidden="false" customHeight="false" outlineLevel="0" collapsed="false">
      <c r="A133" s="18" t="s">
        <v>200</v>
      </c>
      <c r="B133" s="18" t="s">
        <v>201</v>
      </c>
      <c r="C133" s="18"/>
      <c r="D133" s="49" t="n">
        <v>46023</v>
      </c>
      <c r="E133" s="18" t="s">
        <v>127</v>
      </c>
      <c r="F133" s="18" t="s">
        <v>119</v>
      </c>
      <c r="G133" s="18" t="s">
        <v>100</v>
      </c>
      <c r="H133" s="18" t="s">
        <v>128</v>
      </c>
      <c r="I133" s="18" t="s">
        <v>125</v>
      </c>
      <c r="J133" s="64" t="n">
        <v>154.871808</v>
      </c>
      <c r="K133" s="64" t="n">
        <v>154.871808</v>
      </c>
      <c r="L133" s="64" t="n">
        <v>153.168218112</v>
      </c>
      <c r="M133" s="73" t="n">
        <v>0.989</v>
      </c>
      <c r="N133" s="73" t="n">
        <v>1</v>
      </c>
      <c r="O133" s="74" t="n">
        <f aca="false">IF(K133="",M133,L133/K133)</f>
        <v>0.989</v>
      </c>
      <c r="P133" s="74" t="n">
        <f aca="false">O133-M133</f>
        <v>1.11022302462516E-016</v>
      </c>
    </row>
    <row r="134" customFormat="false" ht="15" hidden="false" customHeight="false" outlineLevel="0" collapsed="false">
      <c r="A134" s="18" t="s">
        <v>200</v>
      </c>
      <c r="B134" s="18" t="s">
        <v>201</v>
      </c>
      <c r="C134" s="18"/>
      <c r="D134" s="49" t="n">
        <v>46023</v>
      </c>
      <c r="E134" s="18" t="s">
        <v>130</v>
      </c>
      <c r="F134" s="18" t="s">
        <v>119</v>
      </c>
      <c r="G134" s="18" t="s">
        <v>110</v>
      </c>
      <c r="H134" s="18" t="s">
        <v>107</v>
      </c>
      <c r="I134" s="18" t="s">
        <v>125</v>
      </c>
      <c r="J134" s="64" t="n">
        <v>165.646</v>
      </c>
      <c r="K134" s="64" t="n">
        <v>165.646</v>
      </c>
      <c r="L134" s="64" t="n">
        <v>161.007912</v>
      </c>
      <c r="M134" s="73" t="n">
        <v>0.972</v>
      </c>
      <c r="N134" s="73" t="n">
        <v>1</v>
      </c>
      <c r="O134" s="74" t="n">
        <f aca="false">IF(K134="",M134,L134/K134)</f>
        <v>0.972</v>
      </c>
      <c r="P134" s="74" t="n">
        <f aca="false">O134-M134</f>
        <v>1.11022302462516E-016</v>
      </c>
    </row>
    <row r="135" customFormat="false" ht="15" hidden="false" customHeight="false" outlineLevel="0" collapsed="false">
      <c r="A135" s="18" t="s">
        <v>200</v>
      </c>
      <c r="B135" s="18" t="s">
        <v>201</v>
      </c>
      <c r="C135" s="18"/>
      <c r="D135" s="49" t="n">
        <v>46054</v>
      </c>
      <c r="E135" s="18" t="s">
        <v>98</v>
      </c>
      <c r="F135" s="18" t="s">
        <v>99</v>
      </c>
      <c r="G135" s="18" t="s">
        <v>100</v>
      </c>
      <c r="H135" s="18" t="s">
        <v>101</v>
      </c>
      <c r="I135" s="18" t="s">
        <v>102</v>
      </c>
      <c r="J135" s="64" t="n">
        <v>3464.438049072</v>
      </c>
      <c r="K135" s="64" t="n">
        <v>3464.438049072</v>
      </c>
      <c r="L135" s="64" t="n">
        <v>3346.64715540355</v>
      </c>
      <c r="M135" s="73" t="n">
        <v>0.966</v>
      </c>
      <c r="N135" s="73" t="n">
        <v>1</v>
      </c>
      <c r="O135" s="74" t="n">
        <f aca="false">IF(K135="",M135,L135/K135)</f>
        <v>0.966</v>
      </c>
      <c r="P135" s="74" t="n">
        <f aca="false">O135-M135</f>
        <v>0</v>
      </c>
    </row>
    <row r="136" customFormat="false" ht="15" hidden="false" customHeight="false" outlineLevel="0" collapsed="false">
      <c r="A136" s="18" t="s">
        <v>200</v>
      </c>
      <c r="B136" s="18" t="s">
        <v>201</v>
      </c>
      <c r="C136" s="18"/>
      <c r="D136" s="49" t="n">
        <v>46054</v>
      </c>
      <c r="E136" s="18" t="s">
        <v>106</v>
      </c>
      <c r="F136" s="18" t="s">
        <v>99</v>
      </c>
      <c r="G136" s="18" t="s">
        <v>100</v>
      </c>
      <c r="H136" s="18" t="s">
        <v>107</v>
      </c>
      <c r="I136" s="18" t="s">
        <v>102</v>
      </c>
      <c r="J136" s="64" t="n">
        <v>2309.625366048</v>
      </c>
      <c r="K136" s="64" t="n">
        <v>2309.625366048</v>
      </c>
      <c r="L136" s="64" t="n">
        <v>2256.5039826289</v>
      </c>
      <c r="M136" s="73" t="n">
        <v>0.977</v>
      </c>
      <c r="N136" s="73" t="n">
        <v>1</v>
      </c>
      <c r="O136" s="74" t="n">
        <f aca="false">IF(K136="",M136,L136/K136)</f>
        <v>0.977</v>
      </c>
      <c r="P136" s="74" t="n">
        <f aca="false">O136-M136</f>
        <v>0</v>
      </c>
    </row>
    <row r="137" customFormat="false" ht="15" hidden="false" customHeight="false" outlineLevel="0" collapsed="false">
      <c r="A137" s="18" t="s">
        <v>200</v>
      </c>
      <c r="B137" s="18" t="s">
        <v>201</v>
      </c>
      <c r="C137" s="18"/>
      <c r="D137" s="49" t="n">
        <v>46054</v>
      </c>
      <c r="E137" s="18" t="s">
        <v>109</v>
      </c>
      <c r="F137" s="18" t="s">
        <v>99</v>
      </c>
      <c r="G137" s="18" t="s">
        <v>110</v>
      </c>
      <c r="H137" s="18" t="s">
        <v>107</v>
      </c>
      <c r="I137" s="18" t="s">
        <v>102</v>
      </c>
      <c r="J137" s="64" t="n">
        <v>183.681546048</v>
      </c>
      <c r="K137" s="64" t="n">
        <v>183.681546048</v>
      </c>
      <c r="L137" s="64" t="n">
        <v>177.987418120512</v>
      </c>
      <c r="M137" s="73" t="n">
        <v>0.969</v>
      </c>
      <c r="N137" s="73" t="n">
        <v>1</v>
      </c>
      <c r="O137" s="74" t="n">
        <f aca="false">IF(K137="",M137,L137/K137)</f>
        <v>0.969</v>
      </c>
      <c r="P137" s="74" t="n">
        <f aca="false">O137-M137</f>
        <v>0</v>
      </c>
    </row>
    <row r="138" customFormat="false" ht="15" hidden="false" customHeight="false" outlineLevel="0" collapsed="false">
      <c r="A138" s="18" t="s">
        <v>200</v>
      </c>
      <c r="B138" s="18" t="s">
        <v>201</v>
      </c>
      <c r="C138" s="18"/>
      <c r="D138" s="49" t="n">
        <v>46054</v>
      </c>
      <c r="E138" s="18" t="s">
        <v>112</v>
      </c>
      <c r="F138" s="18" t="s">
        <v>113</v>
      </c>
      <c r="G138" s="18" t="s">
        <v>110</v>
      </c>
      <c r="H138" s="18" t="s">
        <v>101</v>
      </c>
      <c r="I138" s="18" t="s">
        <v>102</v>
      </c>
      <c r="J138" s="64" t="n">
        <v>1640.95475544</v>
      </c>
      <c r="K138" s="64" t="n">
        <v>1640.95475544</v>
      </c>
      <c r="L138" s="64" t="n">
        <v>1578.59847473328</v>
      </c>
      <c r="M138" s="73" t="n">
        <v>0.962</v>
      </c>
      <c r="N138" s="73" t="n">
        <v>1</v>
      </c>
      <c r="O138" s="74" t="n">
        <f aca="false">IF(K138="",M138,L138/K138)</f>
        <v>0.962</v>
      </c>
      <c r="P138" s="74" t="n">
        <f aca="false">O138-M138</f>
        <v>0</v>
      </c>
    </row>
    <row r="139" customFormat="false" ht="15" hidden="false" customHeight="false" outlineLevel="0" collapsed="false">
      <c r="A139" s="18" t="s">
        <v>200</v>
      </c>
      <c r="B139" s="18" t="s">
        <v>201</v>
      </c>
      <c r="C139" s="18"/>
      <c r="D139" s="49" t="n">
        <v>46054</v>
      </c>
      <c r="E139" s="18" t="s">
        <v>116</v>
      </c>
      <c r="F139" s="18" t="s">
        <v>113</v>
      </c>
      <c r="G139" s="18" t="s">
        <v>110</v>
      </c>
      <c r="H139" s="18" t="s">
        <v>107</v>
      </c>
      <c r="I139" s="18" t="s">
        <v>102</v>
      </c>
      <c r="J139" s="64" t="n">
        <v>3047.48740296</v>
      </c>
      <c r="K139" s="64" t="n">
        <v>3047.48740296</v>
      </c>
      <c r="L139" s="64" t="n">
        <v>2968.25273048304</v>
      </c>
      <c r="M139" s="73" t="n">
        <v>0.974</v>
      </c>
      <c r="N139" s="73" t="n">
        <v>1</v>
      </c>
      <c r="O139" s="74" t="n">
        <f aca="false">IF(K139="",M139,L139/K139)</f>
        <v>0.974</v>
      </c>
      <c r="P139" s="74" t="n">
        <f aca="false">O139-M139</f>
        <v>0</v>
      </c>
    </row>
    <row r="140" customFormat="false" ht="15" hidden="false" customHeight="false" outlineLevel="0" collapsed="false">
      <c r="A140" s="18" t="s">
        <v>200</v>
      </c>
      <c r="B140" s="18" t="s">
        <v>201</v>
      </c>
      <c r="C140" s="18"/>
      <c r="D140" s="49" t="n">
        <v>46054</v>
      </c>
      <c r="E140" s="18" t="s">
        <v>118</v>
      </c>
      <c r="F140" s="18" t="s">
        <v>119</v>
      </c>
      <c r="G140" s="18" t="s">
        <v>100</v>
      </c>
      <c r="H140" s="18" t="s">
        <v>101</v>
      </c>
      <c r="I140" s="18" t="s">
        <v>102</v>
      </c>
      <c r="J140" s="64" t="n">
        <v>2400.80489865216</v>
      </c>
      <c r="K140" s="64" t="n">
        <v>2400.80489865216</v>
      </c>
      <c r="L140" s="64" t="n">
        <v>2235.14936064516</v>
      </c>
      <c r="M140" s="73" t="n">
        <v>0.931</v>
      </c>
      <c r="N140" s="73" t="n">
        <v>1</v>
      </c>
      <c r="O140" s="74" t="n">
        <f aca="false">IF(K140="",M140,L140/K140)</f>
        <v>0.931</v>
      </c>
      <c r="P140" s="74" t="n">
        <f aca="false">O140-M140</f>
        <v>0</v>
      </c>
    </row>
    <row r="141" customFormat="false" ht="15" hidden="false" customHeight="false" outlineLevel="0" collapsed="false">
      <c r="A141" s="18" t="s">
        <v>200</v>
      </c>
      <c r="B141" s="18" t="s">
        <v>201</v>
      </c>
      <c r="C141" s="18"/>
      <c r="D141" s="49" t="n">
        <v>46054</v>
      </c>
      <c r="E141" s="18" t="s">
        <v>122</v>
      </c>
      <c r="F141" s="18" t="s">
        <v>119</v>
      </c>
      <c r="G141" s="18" t="s">
        <v>100</v>
      </c>
      <c r="H141" s="18" t="s">
        <v>107</v>
      </c>
      <c r="I141" s="18" t="s">
        <v>102</v>
      </c>
      <c r="J141" s="64" t="n">
        <v>968.066491392</v>
      </c>
      <c r="K141" s="64" t="n">
        <v>968.066491392</v>
      </c>
      <c r="L141" s="64" t="n">
        <v>920.631233313792</v>
      </c>
      <c r="M141" s="73" t="n">
        <v>0.951</v>
      </c>
      <c r="N141" s="73" t="n">
        <v>1</v>
      </c>
      <c r="O141" s="74" t="n">
        <f aca="false">IF(K141="",M141,L141/K141)</f>
        <v>0.951</v>
      </c>
      <c r="P141" s="74" t="n">
        <f aca="false">O141-M141</f>
        <v>0</v>
      </c>
    </row>
    <row r="142" customFormat="false" ht="15" hidden="false" customHeight="false" outlineLevel="0" collapsed="false">
      <c r="A142" s="18" t="s">
        <v>200</v>
      </c>
      <c r="B142" s="18" t="s">
        <v>201</v>
      </c>
      <c r="C142" s="18"/>
      <c r="D142" s="49" t="n">
        <v>46054</v>
      </c>
      <c r="E142" s="18" t="s">
        <v>124</v>
      </c>
      <c r="F142" s="18" t="s">
        <v>119</v>
      </c>
      <c r="G142" s="18" t="s">
        <v>100</v>
      </c>
      <c r="H142" s="18" t="s">
        <v>107</v>
      </c>
      <c r="I142" s="18" t="s">
        <v>125</v>
      </c>
      <c r="J142" s="64" t="n">
        <v>348.50393690112</v>
      </c>
      <c r="K142" s="64" t="n">
        <v>348.50393690112</v>
      </c>
      <c r="L142" s="64" t="n">
        <v>339.791338478592</v>
      </c>
      <c r="M142" s="73" t="n">
        <v>0.975</v>
      </c>
      <c r="N142" s="73" t="n">
        <v>1</v>
      </c>
      <c r="O142" s="74" t="n">
        <f aca="false">IF(K142="",M142,L142/K142)</f>
        <v>0.975</v>
      </c>
      <c r="P142" s="74" t="n">
        <f aca="false">O142-M142</f>
        <v>0</v>
      </c>
    </row>
    <row r="143" customFormat="false" ht="15" hidden="false" customHeight="false" outlineLevel="0" collapsed="false">
      <c r="A143" s="18" t="s">
        <v>200</v>
      </c>
      <c r="B143" s="18" t="s">
        <v>201</v>
      </c>
      <c r="C143" s="18"/>
      <c r="D143" s="49" t="n">
        <v>46054</v>
      </c>
      <c r="E143" s="18" t="s">
        <v>127</v>
      </c>
      <c r="F143" s="18" t="s">
        <v>119</v>
      </c>
      <c r="G143" s="18" t="s">
        <v>100</v>
      </c>
      <c r="H143" s="18" t="s">
        <v>128</v>
      </c>
      <c r="I143" s="18" t="s">
        <v>125</v>
      </c>
      <c r="J143" s="64" t="n">
        <v>154.89063862272</v>
      </c>
      <c r="K143" s="64" t="n">
        <v>154.89063862272</v>
      </c>
      <c r="L143" s="64" t="n">
        <v>153.18684159787</v>
      </c>
      <c r="M143" s="73" t="n">
        <v>0.989</v>
      </c>
      <c r="N143" s="73" t="n">
        <v>1</v>
      </c>
      <c r="O143" s="74" t="n">
        <f aca="false">IF(K143="",M143,L143/K143)</f>
        <v>0.989</v>
      </c>
      <c r="P143" s="74" t="n">
        <f aca="false">O143-M143</f>
        <v>1.11022302462516E-016</v>
      </c>
    </row>
    <row r="144" customFormat="false" ht="15" hidden="false" customHeight="false" outlineLevel="0" collapsed="false">
      <c r="A144" s="18" t="s">
        <v>200</v>
      </c>
      <c r="B144" s="18" t="s">
        <v>201</v>
      </c>
      <c r="C144" s="18"/>
      <c r="D144" s="49" t="n">
        <v>46054</v>
      </c>
      <c r="E144" s="18" t="s">
        <v>130</v>
      </c>
      <c r="F144" s="18" t="s">
        <v>119</v>
      </c>
      <c r="G144" s="18" t="s">
        <v>110</v>
      </c>
      <c r="H144" s="18" t="s">
        <v>107</v>
      </c>
      <c r="I144" s="18" t="s">
        <v>125</v>
      </c>
      <c r="J144" s="64" t="n">
        <v>165.66614064</v>
      </c>
      <c r="K144" s="64" t="n">
        <v>165.66614064</v>
      </c>
      <c r="L144" s="64" t="n">
        <v>161.02748870208</v>
      </c>
      <c r="M144" s="73" t="n">
        <v>0.972</v>
      </c>
      <c r="N144" s="73" t="n">
        <v>1</v>
      </c>
      <c r="O144" s="74" t="n">
        <f aca="false">IF(K144="",M144,L144/K144)</f>
        <v>0.972</v>
      </c>
      <c r="P144" s="74" t="n">
        <f aca="false">O144-M144</f>
        <v>0</v>
      </c>
    </row>
    <row r="145" customFormat="false" ht="15" hidden="false" customHeight="false" outlineLevel="0" collapsed="false">
      <c r="A145" s="18" t="s">
        <v>200</v>
      </c>
      <c r="B145" s="18" t="s">
        <v>201</v>
      </c>
      <c r="C145" s="18"/>
      <c r="D145" s="49" t="n">
        <v>46082</v>
      </c>
      <c r="E145" s="18" t="s">
        <v>98</v>
      </c>
      <c r="F145" s="18" t="s">
        <v>99</v>
      </c>
      <c r="G145" s="18" t="s">
        <v>100</v>
      </c>
      <c r="H145" s="18" t="s">
        <v>101</v>
      </c>
      <c r="I145" s="18" t="s">
        <v>102</v>
      </c>
      <c r="J145" s="64" t="n">
        <v>3719.30627502</v>
      </c>
      <c r="K145" s="64" t="n">
        <v>3719.30627502</v>
      </c>
      <c r="L145" s="64" t="n">
        <v>3592.84986166932</v>
      </c>
      <c r="M145" s="73" t="n">
        <v>0.966</v>
      </c>
      <c r="N145" s="73" t="n">
        <v>1</v>
      </c>
      <c r="O145" s="74" t="n">
        <f aca="false">IF(K145="",M145,L145/K145)</f>
        <v>0.966</v>
      </c>
      <c r="P145" s="74" t="n">
        <f aca="false">O145-M145</f>
        <v>0</v>
      </c>
    </row>
    <row r="146" customFormat="false" ht="15" hidden="false" customHeight="false" outlineLevel="0" collapsed="false">
      <c r="A146" s="18" t="s">
        <v>200</v>
      </c>
      <c r="B146" s="18" t="s">
        <v>201</v>
      </c>
      <c r="C146" s="18"/>
      <c r="D146" s="49" t="n">
        <v>46082</v>
      </c>
      <c r="E146" s="18" t="s">
        <v>106</v>
      </c>
      <c r="F146" s="18" t="s">
        <v>99</v>
      </c>
      <c r="G146" s="18" t="s">
        <v>100</v>
      </c>
      <c r="H146" s="18" t="s">
        <v>107</v>
      </c>
      <c r="I146" s="18" t="s">
        <v>102</v>
      </c>
      <c r="J146" s="64" t="n">
        <v>2479.53751668</v>
      </c>
      <c r="K146" s="64" t="n">
        <v>2479.53751668</v>
      </c>
      <c r="L146" s="64" t="n">
        <v>2422.50815379636</v>
      </c>
      <c r="M146" s="73" t="n">
        <v>0.977</v>
      </c>
      <c r="N146" s="73" t="n">
        <v>1</v>
      </c>
      <c r="O146" s="74" t="n">
        <f aca="false">IF(K146="",M146,L146/K146)</f>
        <v>0.977</v>
      </c>
      <c r="P146" s="74" t="n">
        <f aca="false">O146-M146</f>
        <v>1.11022302462516E-016</v>
      </c>
    </row>
    <row r="147" customFormat="false" ht="15" hidden="false" customHeight="false" outlineLevel="0" collapsed="false">
      <c r="A147" s="18" t="s">
        <v>200</v>
      </c>
      <c r="B147" s="18" t="s">
        <v>201</v>
      </c>
      <c r="C147" s="18"/>
      <c r="D147" s="49" t="n">
        <v>46082</v>
      </c>
      <c r="E147" s="18" t="s">
        <v>109</v>
      </c>
      <c r="F147" s="18" t="s">
        <v>99</v>
      </c>
      <c r="G147" s="18" t="s">
        <v>110</v>
      </c>
      <c r="H147" s="18" t="s">
        <v>107</v>
      </c>
      <c r="I147" s="18" t="s">
        <v>102</v>
      </c>
      <c r="J147" s="64" t="n">
        <v>197.19444168</v>
      </c>
      <c r="K147" s="64" t="n">
        <v>197.19444168</v>
      </c>
      <c r="L147" s="64" t="n">
        <v>191.08141398792</v>
      </c>
      <c r="M147" s="73" t="n">
        <v>0.969</v>
      </c>
      <c r="N147" s="73" t="n">
        <v>1</v>
      </c>
      <c r="O147" s="74" t="n">
        <f aca="false">IF(K147="",M147,L147/K147)</f>
        <v>0.969</v>
      </c>
      <c r="P147" s="74" t="n">
        <f aca="false">O147-M147</f>
        <v>0</v>
      </c>
    </row>
    <row r="148" customFormat="false" ht="15" hidden="false" customHeight="false" outlineLevel="0" collapsed="false">
      <c r="A148" s="18" t="s">
        <v>200</v>
      </c>
      <c r="B148" s="18" t="s">
        <v>201</v>
      </c>
      <c r="C148" s="18"/>
      <c r="D148" s="49" t="n">
        <v>46082</v>
      </c>
      <c r="E148" s="18" t="s">
        <v>112</v>
      </c>
      <c r="F148" s="18" t="s">
        <v>113</v>
      </c>
      <c r="G148" s="18" t="s">
        <v>110</v>
      </c>
      <c r="H148" s="18" t="s">
        <v>101</v>
      </c>
      <c r="I148" s="18" t="s">
        <v>102</v>
      </c>
      <c r="J148" s="64" t="n">
        <v>1814.3611794</v>
      </c>
      <c r="K148" s="64" t="n">
        <v>1814.3611794</v>
      </c>
      <c r="L148" s="64" t="n">
        <v>1745.4154545828</v>
      </c>
      <c r="M148" s="73" t="n">
        <v>0.962</v>
      </c>
      <c r="N148" s="73" t="n">
        <v>1</v>
      </c>
      <c r="O148" s="74" t="n">
        <f aca="false">IF(K148="",M148,L148/K148)</f>
        <v>0.962</v>
      </c>
      <c r="P148" s="74" t="n">
        <f aca="false">O148-M148</f>
        <v>0</v>
      </c>
    </row>
    <row r="149" customFormat="false" ht="15" hidden="false" customHeight="false" outlineLevel="0" collapsed="false">
      <c r="A149" s="18" t="s">
        <v>200</v>
      </c>
      <c r="B149" s="18" t="s">
        <v>201</v>
      </c>
      <c r="C149" s="18"/>
      <c r="D149" s="49" t="n">
        <v>46082</v>
      </c>
      <c r="E149" s="18" t="s">
        <v>116</v>
      </c>
      <c r="F149" s="18" t="s">
        <v>113</v>
      </c>
      <c r="G149" s="18" t="s">
        <v>110</v>
      </c>
      <c r="H149" s="18" t="s">
        <v>107</v>
      </c>
      <c r="I149" s="18" t="s">
        <v>102</v>
      </c>
      <c r="J149" s="64" t="n">
        <v>3369.5279046</v>
      </c>
      <c r="K149" s="64" t="n">
        <v>3369.5279046</v>
      </c>
      <c r="L149" s="64" t="n">
        <v>3281.9201790804</v>
      </c>
      <c r="M149" s="73" t="n">
        <v>0.974</v>
      </c>
      <c r="N149" s="73" t="n">
        <v>1</v>
      </c>
      <c r="O149" s="74" t="n">
        <f aca="false">IF(K149="",M149,L149/K149)</f>
        <v>0.974</v>
      </c>
      <c r="P149" s="74" t="n">
        <f aca="false">O149-M149</f>
        <v>0</v>
      </c>
    </row>
    <row r="150" customFormat="false" ht="15" hidden="false" customHeight="false" outlineLevel="0" collapsed="false">
      <c r="A150" s="18" t="s">
        <v>200</v>
      </c>
      <c r="B150" s="18" t="s">
        <v>201</v>
      </c>
      <c r="C150" s="18"/>
      <c r="D150" s="49" t="n">
        <v>46082</v>
      </c>
      <c r="E150" s="18" t="s">
        <v>118</v>
      </c>
      <c r="F150" s="18" t="s">
        <v>119</v>
      </c>
      <c r="G150" s="18" t="s">
        <v>100</v>
      </c>
      <c r="H150" s="18" t="s">
        <v>101</v>
      </c>
      <c r="I150" s="18" t="s">
        <v>102</v>
      </c>
      <c r="J150" s="64" t="n">
        <v>2902.4078340096</v>
      </c>
      <c r="K150" s="64" t="n">
        <v>2902.4078340096</v>
      </c>
      <c r="L150" s="64" t="n">
        <v>2702.14169346294</v>
      </c>
      <c r="M150" s="73" t="n">
        <v>0.931</v>
      </c>
      <c r="N150" s="73" t="n">
        <v>1</v>
      </c>
      <c r="O150" s="74" t="n">
        <f aca="false">IF(K150="",M150,L150/K150)</f>
        <v>0.931</v>
      </c>
      <c r="P150" s="74" t="n">
        <f aca="false">O150-M150</f>
        <v>-1.11022302462516E-016</v>
      </c>
    </row>
    <row r="151" customFormat="false" ht="15" hidden="false" customHeight="false" outlineLevel="0" collapsed="false">
      <c r="A151" s="18" t="s">
        <v>200</v>
      </c>
      <c r="B151" s="18" t="s">
        <v>201</v>
      </c>
      <c r="C151" s="18"/>
      <c r="D151" s="49" t="n">
        <v>46082</v>
      </c>
      <c r="E151" s="18" t="s">
        <v>122</v>
      </c>
      <c r="F151" s="18" t="s">
        <v>119</v>
      </c>
      <c r="G151" s="18" t="s">
        <v>100</v>
      </c>
      <c r="H151" s="18" t="s">
        <v>107</v>
      </c>
      <c r="I151" s="18" t="s">
        <v>102</v>
      </c>
      <c r="J151" s="64" t="n">
        <v>1170.32573952</v>
      </c>
      <c r="K151" s="64" t="n">
        <v>1170.32573952</v>
      </c>
      <c r="L151" s="64" t="n">
        <v>1112.97977828352</v>
      </c>
      <c r="M151" s="73" t="n">
        <v>0.951</v>
      </c>
      <c r="N151" s="73" t="n">
        <v>1</v>
      </c>
      <c r="O151" s="74" t="n">
        <f aca="false">IF(K151="",M151,L151/K151)</f>
        <v>0.951</v>
      </c>
      <c r="P151" s="74" t="n">
        <f aca="false">O151-M151</f>
        <v>1.11022302462516E-016</v>
      </c>
    </row>
    <row r="152" customFormat="false" ht="15" hidden="false" customHeight="false" outlineLevel="0" collapsed="false">
      <c r="A152" s="18" t="s">
        <v>200</v>
      </c>
      <c r="B152" s="18" t="s">
        <v>201</v>
      </c>
      <c r="C152" s="18"/>
      <c r="D152" s="49" t="n">
        <v>46082</v>
      </c>
      <c r="E152" s="18" t="s">
        <v>124</v>
      </c>
      <c r="F152" s="18" t="s">
        <v>119</v>
      </c>
      <c r="G152" s="18" t="s">
        <v>100</v>
      </c>
      <c r="H152" s="18" t="s">
        <v>107</v>
      </c>
      <c r="I152" s="18" t="s">
        <v>125</v>
      </c>
      <c r="J152" s="64" t="n">
        <v>421.3172662272</v>
      </c>
      <c r="K152" s="64" t="n">
        <v>421.3172662272</v>
      </c>
      <c r="L152" s="64" t="n">
        <v>410.78433457152</v>
      </c>
      <c r="M152" s="73" t="n">
        <v>0.975</v>
      </c>
      <c r="N152" s="73" t="n">
        <v>1</v>
      </c>
      <c r="O152" s="74" t="n">
        <f aca="false">IF(K152="",M152,L152/K152)</f>
        <v>0.975</v>
      </c>
      <c r="P152" s="74" t="n">
        <f aca="false">O152-M152</f>
        <v>0</v>
      </c>
    </row>
    <row r="153" customFormat="false" ht="15" hidden="false" customHeight="false" outlineLevel="0" collapsed="false">
      <c r="A153" s="18" t="s">
        <v>200</v>
      </c>
      <c r="B153" s="18" t="s">
        <v>201</v>
      </c>
      <c r="C153" s="18"/>
      <c r="D153" s="49" t="n">
        <v>46082</v>
      </c>
      <c r="E153" s="18" t="s">
        <v>127</v>
      </c>
      <c r="F153" s="18" t="s">
        <v>119</v>
      </c>
      <c r="G153" s="18" t="s">
        <v>100</v>
      </c>
      <c r="H153" s="18" t="s">
        <v>128</v>
      </c>
      <c r="I153" s="18" t="s">
        <v>125</v>
      </c>
      <c r="J153" s="64" t="n">
        <v>187.2521183232</v>
      </c>
      <c r="K153" s="64" t="n">
        <v>187.2521183232</v>
      </c>
      <c r="L153" s="64" t="n">
        <v>185.192345021645</v>
      </c>
      <c r="M153" s="73" t="n">
        <v>0.989</v>
      </c>
      <c r="N153" s="73" t="n">
        <v>1</v>
      </c>
      <c r="O153" s="74" t="n">
        <f aca="false">IF(K153="",M153,L153/K153)</f>
        <v>0.989</v>
      </c>
      <c r="P153" s="74" t="n">
        <f aca="false">O153-M153</f>
        <v>0</v>
      </c>
    </row>
    <row r="154" customFormat="false" ht="15" hidden="false" customHeight="false" outlineLevel="0" collapsed="false">
      <c r="A154" s="18" t="s">
        <v>200</v>
      </c>
      <c r="B154" s="18" t="s">
        <v>201</v>
      </c>
      <c r="C154" s="18"/>
      <c r="D154" s="49" t="n">
        <v>46082</v>
      </c>
      <c r="E154" s="18" t="s">
        <v>130</v>
      </c>
      <c r="F154" s="18" t="s">
        <v>119</v>
      </c>
      <c r="G154" s="18" t="s">
        <v>110</v>
      </c>
      <c r="H154" s="18" t="s">
        <v>107</v>
      </c>
      <c r="I154" s="18" t="s">
        <v>125</v>
      </c>
      <c r="J154" s="64" t="n">
        <v>200.2789584</v>
      </c>
      <c r="K154" s="64" t="n">
        <v>200.2789584</v>
      </c>
      <c r="L154" s="64" t="n">
        <v>194.6711475648</v>
      </c>
      <c r="M154" s="73" t="n">
        <v>0.972</v>
      </c>
      <c r="N154" s="73" t="n">
        <v>1</v>
      </c>
      <c r="O154" s="74" t="n">
        <f aca="false">IF(K154="",M154,L154/K154)</f>
        <v>0.972</v>
      </c>
      <c r="P154" s="74" t="n">
        <f aca="false">O154-M154</f>
        <v>1.11022302462516E-016</v>
      </c>
    </row>
    <row r="155" customFormat="false" ht="15" hidden="false" customHeight="false" outlineLevel="0" collapsed="false">
      <c r="A155" s="18" t="s">
        <v>200</v>
      </c>
      <c r="B155" s="18" t="s">
        <v>201</v>
      </c>
      <c r="C155" s="18"/>
      <c r="D155" s="49" t="n">
        <v>46113</v>
      </c>
      <c r="E155" s="18" t="s">
        <v>98</v>
      </c>
      <c r="F155" s="18" t="s">
        <v>99</v>
      </c>
      <c r="G155" s="18" t="s">
        <v>100</v>
      </c>
      <c r="H155" s="18" t="s">
        <v>101</v>
      </c>
      <c r="I155" s="18" t="s">
        <v>102</v>
      </c>
      <c r="J155" s="64" t="n">
        <v>3854.36976372</v>
      </c>
      <c r="K155" s="64" t="n">
        <v>3854.36976372</v>
      </c>
      <c r="L155" s="64" t="n">
        <v>3723.32119175352</v>
      </c>
      <c r="M155" s="73" t="n">
        <v>0.966</v>
      </c>
      <c r="N155" s="73" t="n">
        <v>1</v>
      </c>
      <c r="O155" s="74" t="n">
        <f aca="false">IF(K155="",M155,L155/K155)</f>
        <v>0.966</v>
      </c>
      <c r="P155" s="74" t="n">
        <f aca="false">O155-M155</f>
        <v>1.11022302462516E-016</v>
      </c>
    </row>
    <row r="156" customFormat="false" ht="15" hidden="false" customHeight="false" outlineLevel="0" collapsed="false">
      <c r="A156" s="18" t="s">
        <v>200</v>
      </c>
      <c r="B156" s="18" t="s">
        <v>201</v>
      </c>
      <c r="C156" s="18"/>
      <c r="D156" s="49" t="n">
        <v>46113</v>
      </c>
      <c r="E156" s="18" t="s">
        <v>106</v>
      </c>
      <c r="F156" s="18" t="s">
        <v>99</v>
      </c>
      <c r="G156" s="18" t="s">
        <v>100</v>
      </c>
      <c r="H156" s="18" t="s">
        <v>107</v>
      </c>
      <c r="I156" s="18" t="s">
        <v>102</v>
      </c>
      <c r="J156" s="64" t="n">
        <v>2569.57984248</v>
      </c>
      <c r="K156" s="64" t="n">
        <v>2569.57984248</v>
      </c>
      <c r="L156" s="64" t="n">
        <v>2510.47950610296</v>
      </c>
      <c r="M156" s="73" t="n">
        <v>0.977</v>
      </c>
      <c r="N156" s="73" t="n">
        <v>1</v>
      </c>
      <c r="O156" s="74" t="n">
        <f aca="false">IF(K156="",M156,L156/K156)</f>
        <v>0.977</v>
      </c>
      <c r="P156" s="74" t="n">
        <f aca="false">O156-M156</f>
        <v>0</v>
      </c>
    </row>
    <row r="157" customFormat="false" ht="15" hidden="false" customHeight="false" outlineLevel="0" collapsed="false">
      <c r="A157" s="18" t="s">
        <v>200</v>
      </c>
      <c r="B157" s="18" t="s">
        <v>201</v>
      </c>
      <c r="C157" s="18"/>
      <c r="D157" s="49" t="n">
        <v>46113</v>
      </c>
      <c r="E157" s="18" t="s">
        <v>109</v>
      </c>
      <c r="F157" s="18" t="s">
        <v>99</v>
      </c>
      <c r="G157" s="18" t="s">
        <v>110</v>
      </c>
      <c r="H157" s="18" t="s">
        <v>107</v>
      </c>
      <c r="I157" s="18" t="s">
        <v>102</v>
      </c>
      <c r="J157" s="64" t="n">
        <v>204.35539248</v>
      </c>
      <c r="K157" s="64" t="n">
        <v>204.35539248</v>
      </c>
      <c r="L157" s="64" t="n">
        <v>198.02037531312</v>
      </c>
      <c r="M157" s="73" t="n">
        <v>0.969</v>
      </c>
      <c r="N157" s="73" t="n">
        <v>1</v>
      </c>
      <c r="O157" s="74" t="n">
        <f aca="false">IF(K157="",M157,L157/K157)</f>
        <v>0.969</v>
      </c>
      <c r="P157" s="74" t="n">
        <f aca="false">O157-M157</f>
        <v>1.11022302462516E-016</v>
      </c>
    </row>
    <row r="158" customFormat="false" ht="15" hidden="false" customHeight="false" outlineLevel="0" collapsed="false">
      <c r="A158" s="18" t="s">
        <v>200</v>
      </c>
      <c r="B158" s="18" t="s">
        <v>201</v>
      </c>
      <c r="C158" s="18"/>
      <c r="D158" s="49" t="n">
        <v>46113</v>
      </c>
      <c r="E158" s="18" t="s">
        <v>112</v>
      </c>
      <c r="F158" s="18" t="s">
        <v>113</v>
      </c>
      <c r="G158" s="18" t="s">
        <v>110</v>
      </c>
      <c r="H158" s="18" t="s">
        <v>101</v>
      </c>
      <c r="I158" s="18" t="s">
        <v>102</v>
      </c>
      <c r="J158" s="64" t="n">
        <v>1887.2827134</v>
      </c>
      <c r="K158" s="64" t="n">
        <v>1887.2827134</v>
      </c>
      <c r="L158" s="64" t="n">
        <v>1815.5659702908</v>
      </c>
      <c r="M158" s="73" t="n">
        <v>0.962</v>
      </c>
      <c r="N158" s="73" t="n">
        <v>1</v>
      </c>
      <c r="O158" s="74" t="n">
        <f aca="false">IF(K158="",M158,L158/K158)</f>
        <v>0.962</v>
      </c>
      <c r="P158" s="74" t="n">
        <f aca="false">O158-M158</f>
        <v>0</v>
      </c>
    </row>
    <row r="159" customFormat="false" ht="15" hidden="false" customHeight="false" outlineLevel="0" collapsed="false">
      <c r="A159" s="18" t="s">
        <v>200</v>
      </c>
      <c r="B159" s="18" t="s">
        <v>201</v>
      </c>
      <c r="C159" s="18"/>
      <c r="D159" s="49" t="n">
        <v>46113</v>
      </c>
      <c r="E159" s="18" t="s">
        <v>116</v>
      </c>
      <c r="F159" s="18" t="s">
        <v>113</v>
      </c>
      <c r="G159" s="18" t="s">
        <v>110</v>
      </c>
      <c r="H159" s="18" t="s">
        <v>107</v>
      </c>
      <c r="I159" s="18" t="s">
        <v>102</v>
      </c>
      <c r="J159" s="64" t="n">
        <v>3504.9536106</v>
      </c>
      <c r="K159" s="64" t="n">
        <v>3504.9536106</v>
      </c>
      <c r="L159" s="64" t="n">
        <v>3413.8248167244</v>
      </c>
      <c r="M159" s="73" t="n">
        <v>0.974</v>
      </c>
      <c r="N159" s="73" t="n">
        <v>1</v>
      </c>
      <c r="O159" s="74" t="n">
        <f aca="false">IF(K159="",M159,L159/K159)</f>
        <v>0.974</v>
      </c>
      <c r="P159" s="74" t="n">
        <f aca="false">O159-M159</f>
        <v>0</v>
      </c>
    </row>
    <row r="160" customFormat="false" ht="15" hidden="false" customHeight="false" outlineLevel="0" collapsed="false">
      <c r="A160" s="18" t="s">
        <v>200</v>
      </c>
      <c r="B160" s="18" t="s">
        <v>201</v>
      </c>
      <c r="C160" s="18"/>
      <c r="D160" s="49" t="n">
        <v>46113</v>
      </c>
      <c r="E160" s="18" t="s">
        <v>118</v>
      </c>
      <c r="F160" s="18" t="s">
        <v>119</v>
      </c>
      <c r="G160" s="18" t="s">
        <v>100</v>
      </c>
      <c r="H160" s="18" t="s">
        <v>101</v>
      </c>
      <c r="I160" s="18" t="s">
        <v>102</v>
      </c>
      <c r="J160" s="64" t="n">
        <v>2968.5562669056</v>
      </c>
      <c r="K160" s="64" t="n">
        <v>2968.5562669056</v>
      </c>
      <c r="L160" s="64" t="n">
        <v>2763.72588448911</v>
      </c>
      <c r="M160" s="73" t="n">
        <v>0.931</v>
      </c>
      <c r="N160" s="73" t="n">
        <v>1</v>
      </c>
      <c r="O160" s="74" t="n">
        <f aca="false">IF(K160="",M160,L160/K160)</f>
        <v>0.931</v>
      </c>
      <c r="P160" s="74" t="n">
        <f aca="false">O160-M160</f>
        <v>0</v>
      </c>
    </row>
    <row r="161" customFormat="false" ht="15" hidden="false" customHeight="false" outlineLevel="0" collapsed="false">
      <c r="A161" s="18" t="s">
        <v>200</v>
      </c>
      <c r="B161" s="18" t="s">
        <v>201</v>
      </c>
      <c r="C161" s="18"/>
      <c r="D161" s="49" t="n">
        <v>46113</v>
      </c>
      <c r="E161" s="18" t="s">
        <v>122</v>
      </c>
      <c r="F161" s="18" t="s">
        <v>119</v>
      </c>
      <c r="G161" s="18" t="s">
        <v>100</v>
      </c>
      <c r="H161" s="18" t="s">
        <v>107</v>
      </c>
      <c r="I161" s="18" t="s">
        <v>102</v>
      </c>
      <c r="J161" s="64" t="n">
        <v>1196.99849472</v>
      </c>
      <c r="K161" s="64" t="n">
        <v>1196.99849472</v>
      </c>
      <c r="L161" s="64" t="n">
        <v>1138.34556847872</v>
      </c>
      <c r="M161" s="73" t="n">
        <v>0.951</v>
      </c>
      <c r="N161" s="73" t="n">
        <v>1</v>
      </c>
      <c r="O161" s="74" t="n">
        <f aca="false">IF(K161="",M161,L161/K161)</f>
        <v>0.951</v>
      </c>
      <c r="P161" s="74" t="n">
        <f aca="false">O161-M161</f>
        <v>0</v>
      </c>
    </row>
    <row r="162" customFormat="false" ht="15" hidden="false" customHeight="false" outlineLevel="0" collapsed="false">
      <c r="A162" s="18" t="s">
        <v>200</v>
      </c>
      <c r="B162" s="18" t="s">
        <v>201</v>
      </c>
      <c r="C162" s="18"/>
      <c r="D162" s="49" t="n">
        <v>46113</v>
      </c>
      <c r="E162" s="18" t="s">
        <v>124</v>
      </c>
      <c r="F162" s="18" t="s">
        <v>119</v>
      </c>
      <c r="G162" s="18" t="s">
        <v>100</v>
      </c>
      <c r="H162" s="18" t="s">
        <v>107</v>
      </c>
      <c r="I162" s="18" t="s">
        <v>125</v>
      </c>
      <c r="J162" s="64" t="n">
        <v>430.9194580992</v>
      </c>
      <c r="K162" s="64" t="n">
        <v>430.9194580992</v>
      </c>
      <c r="L162" s="64" t="n">
        <v>420.14647164672</v>
      </c>
      <c r="M162" s="73" t="n">
        <v>0.975</v>
      </c>
      <c r="N162" s="73" t="n">
        <v>1</v>
      </c>
      <c r="O162" s="74" t="n">
        <f aca="false">IF(K162="",M162,L162/K162)</f>
        <v>0.975</v>
      </c>
      <c r="P162" s="74" t="n">
        <f aca="false">O162-M162</f>
        <v>-1.11022302462516E-016</v>
      </c>
    </row>
    <row r="163" customFormat="false" ht="15" hidden="false" customHeight="false" outlineLevel="0" collapsed="false">
      <c r="A163" s="18" t="s">
        <v>200</v>
      </c>
      <c r="B163" s="18" t="s">
        <v>201</v>
      </c>
      <c r="C163" s="18"/>
      <c r="D163" s="49" t="n">
        <v>46113</v>
      </c>
      <c r="E163" s="18" t="s">
        <v>127</v>
      </c>
      <c r="F163" s="18" t="s">
        <v>119</v>
      </c>
      <c r="G163" s="18" t="s">
        <v>100</v>
      </c>
      <c r="H163" s="18" t="s">
        <v>128</v>
      </c>
      <c r="I163" s="18" t="s">
        <v>125</v>
      </c>
      <c r="J163" s="64" t="n">
        <v>191.5197591552</v>
      </c>
      <c r="K163" s="64" t="n">
        <v>191.5197591552</v>
      </c>
      <c r="L163" s="64" t="n">
        <v>189.413041804493</v>
      </c>
      <c r="M163" s="73" t="n">
        <v>0.989</v>
      </c>
      <c r="N163" s="73" t="n">
        <v>1</v>
      </c>
      <c r="O163" s="74" t="n">
        <f aca="false">IF(K163="",M163,L163/K163)</f>
        <v>0.989</v>
      </c>
      <c r="P163" s="74" t="n">
        <f aca="false">O163-M163</f>
        <v>-1.11022302462516E-016</v>
      </c>
    </row>
    <row r="164" customFormat="false" ht="15" hidden="false" customHeight="false" outlineLevel="0" collapsed="false">
      <c r="A164" s="18" t="s">
        <v>200</v>
      </c>
      <c r="B164" s="18" t="s">
        <v>201</v>
      </c>
      <c r="C164" s="18"/>
      <c r="D164" s="49" t="n">
        <v>46113</v>
      </c>
      <c r="E164" s="18" t="s">
        <v>130</v>
      </c>
      <c r="F164" s="18" t="s">
        <v>119</v>
      </c>
      <c r="G164" s="18" t="s">
        <v>110</v>
      </c>
      <c r="H164" s="18" t="s">
        <v>107</v>
      </c>
      <c r="I164" s="18" t="s">
        <v>125</v>
      </c>
      <c r="J164" s="64" t="n">
        <v>204.8434924</v>
      </c>
      <c r="K164" s="64" t="n">
        <v>204.8434924</v>
      </c>
      <c r="L164" s="64" t="n">
        <v>199.1078746128</v>
      </c>
      <c r="M164" s="73" t="n">
        <v>0.972</v>
      </c>
      <c r="N164" s="73" t="n">
        <v>1</v>
      </c>
      <c r="O164" s="74" t="n">
        <f aca="false">IF(K164="",M164,L164/K164)</f>
        <v>0.972</v>
      </c>
      <c r="P164" s="74" t="n">
        <f aca="false">O164-M164</f>
        <v>0</v>
      </c>
    </row>
    <row r="165" customFormat="false" ht="15" hidden="false" customHeight="false" outlineLevel="0" collapsed="false">
      <c r="A165" s="18" t="s">
        <v>200</v>
      </c>
      <c r="B165" s="18" t="s">
        <v>201</v>
      </c>
      <c r="C165" s="18"/>
      <c r="D165" s="49" t="n">
        <v>46143</v>
      </c>
      <c r="E165" s="18" t="s">
        <v>98</v>
      </c>
      <c r="F165" s="18" t="s">
        <v>99</v>
      </c>
      <c r="G165" s="18" t="s">
        <v>100</v>
      </c>
      <c r="H165" s="18" t="s">
        <v>101</v>
      </c>
      <c r="I165" s="18" t="s">
        <v>102</v>
      </c>
      <c r="J165" s="64" t="n">
        <v>3931.34709744</v>
      </c>
      <c r="K165" s="64" t="n">
        <v>3931.34709744</v>
      </c>
      <c r="L165" s="64" t="n">
        <v>3797.68129612704</v>
      </c>
      <c r="M165" s="73" t="n">
        <v>0.966</v>
      </c>
      <c r="N165" s="73" t="n">
        <v>1</v>
      </c>
      <c r="O165" s="74" t="n">
        <f aca="false">IF(K165="",M165,L165/K165)</f>
        <v>0.966</v>
      </c>
      <c r="P165" s="74" t="n">
        <f aca="false">O165-M165</f>
        <v>-1.11022302462516E-016</v>
      </c>
    </row>
    <row r="166" customFormat="false" ht="15" hidden="false" customHeight="false" outlineLevel="0" collapsed="false">
      <c r="A166" s="18" t="s">
        <v>200</v>
      </c>
      <c r="B166" s="18" t="s">
        <v>201</v>
      </c>
      <c r="C166" s="18"/>
      <c r="D166" s="49" t="n">
        <v>46143</v>
      </c>
      <c r="E166" s="18" t="s">
        <v>106</v>
      </c>
      <c r="F166" s="18" t="s">
        <v>99</v>
      </c>
      <c r="G166" s="18" t="s">
        <v>100</v>
      </c>
      <c r="H166" s="18" t="s">
        <v>107</v>
      </c>
      <c r="I166" s="18" t="s">
        <v>102</v>
      </c>
      <c r="J166" s="64" t="n">
        <v>2620.89806496</v>
      </c>
      <c r="K166" s="64" t="n">
        <v>2620.89806496</v>
      </c>
      <c r="L166" s="64" t="n">
        <v>2560.61740946592</v>
      </c>
      <c r="M166" s="73" t="n">
        <v>0.977</v>
      </c>
      <c r="N166" s="73" t="n">
        <v>1</v>
      </c>
      <c r="O166" s="74" t="n">
        <f aca="false">IF(K166="",M166,L166/K166)</f>
        <v>0.977</v>
      </c>
      <c r="P166" s="74" t="n">
        <f aca="false">O166-M166</f>
        <v>1.11022302462516E-016</v>
      </c>
    </row>
    <row r="167" customFormat="false" ht="15" hidden="false" customHeight="false" outlineLevel="0" collapsed="false">
      <c r="A167" s="18" t="s">
        <v>200</v>
      </c>
      <c r="B167" s="18" t="s">
        <v>201</v>
      </c>
      <c r="C167" s="18"/>
      <c r="D167" s="49" t="n">
        <v>46143</v>
      </c>
      <c r="E167" s="18" t="s">
        <v>109</v>
      </c>
      <c r="F167" s="18" t="s">
        <v>99</v>
      </c>
      <c r="G167" s="18" t="s">
        <v>110</v>
      </c>
      <c r="H167" s="18" t="s">
        <v>107</v>
      </c>
      <c r="I167" s="18" t="s">
        <v>102</v>
      </c>
      <c r="J167" s="64" t="n">
        <v>208.43666496</v>
      </c>
      <c r="K167" s="64" t="n">
        <v>208.43666496</v>
      </c>
      <c r="L167" s="64" t="n">
        <v>201.97512834624</v>
      </c>
      <c r="M167" s="73" t="n">
        <v>0.969</v>
      </c>
      <c r="N167" s="73" t="n">
        <v>1</v>
      </c>
      <c r="O167" s="74" t="n">
        <f aca="false">IF(K167="",M167,L167/K167)</f>
        <v>0.969</v>
      </c>
      <c r="P167" s="74" t="n">
        <f aca="false">O167-M167</f>
        <v>1.11022302462516E-016</v>
      </c>
    </row>
    <row r="168" customFormat="false" ht="15" hidden="false" customHeight="false" outlineLevel="0" collapsed="false">
      <c r="A168" s="18" t="s">
        <v>200</v>
      </c>
      <c r="B168" s="18" t="s">
        <v>201</v>
      </c>
      <c r="C168" s="18"/>
      <c r="D168" s="49" t="n">
        <v>46143</v>
      </c>
      <c r="E168" s="18" t="s">
        <v>112</v>
      </c>
      <c r="F168" s="18" t="s">
        <v>113</v>
      </c>
      <c r="G168" s="18" t="s">
        <v>110</v>
      </c>
      <c r="H168" s="18" t="s">
        <v>101</v>
      </c>
      <c r="I168" s="18" t="s">
        <v>102</v>
      </c>
      <c r="J168" s="64" t="n">
        <v>1972.4517736</v>
      </c>
      <c r="K168" s="64" t="n">
        <v>1972.4517736</v>
      </c>
      <c r="L168" s="64" t="n">
        <v>1897.4986062032</v>
      </c>
      <c r="M168" s="73" t="n">
        <v>0.962</v>
      </c>
      <c r="N168" s="73" t="n">
        <v>1</v>
      </c>
      <c r="O168" s="74" t="n">
        <f aca="false">IF(K168="",M168,L168/K168)</f>
        <v>0.962</v>
      </c>
      <c r="P168" s="74" t="n">
        <f aca="false">O168-M168</f>
        <v>1.11022302462516E-016</v>
      </c>
    </row>
    <row r="169" customFormat="false" ht="15" hidden="false" customHeight="false" outlineLevel="0" collapsed="false">
      <c r="A169" s="18" t="s">
        <v>200</v>
      </c>
      <c r="B169" s="18" t="s">
        <v>201</v>
      </c>
      <c r="C169" s="18"/>
      <c r="D169" s="49" t="n">
        <v>46143</v>
      </c>
      <c r="E169" s="18" t="s">
        <v>116</v>
      </c>
      <c r="F169" s="18" t="s">
        <v>113</v>
      </c>
      <c r="G169" s="18" t="s">
        <v>110</v>
      </c>
      <c r="H169" s="18" t="s">
        <v>107</v>
      </c>
      <c r="I169" s="18" t="s">
        <v>102</v>
      </c>
      <c r="J169" s="64" t="n">
        <v>3663.1247224</v>
      </c>
      <c r="K169" s="64" t="n">
        <v>3663.1247224</v>
      </c>
      <c r="L169" s="64" t="n">
        <v>3567.8834796176</v>
      </c>
      <c r="M169" s="73" t="n">
        <v>0.974</v>
      </c>
      <c r="N169" s="73" t="n">
        <v>1</v>
      </c>
      <c r="O169" s="74" t="n">
        <f aca="false">IF(K169="",M169,L169/K169)</f>
        <v>0.974</v>
      </c>
      <c r="P169" s="74" t="n">
        <f aca="false">O169-M169</f>
        <v>1.11022302462516E-016</v>
      </c>
    </row>
    <row r="170" customFormat="false" ht="15" hidden="false" customHeight="false" outlineLevel="0" collapsed="false">
      <c r="A170" s="18" t="s">
        <v>200</v>
      </c>
      <c r="B170" s="18" t="s">
        <v>201</v>
      </c>
      <c r="C170" s="18"/>
      <c r="D170" s="49" t="n">
        <v>46143</v>
      </c>
      <c r="E170" s="18" t="s">
        <v>118</v>
      </c>
      <c r="F170" s="18" t="s">
        <v>119</v>
      </c>
      <c r="G170" s="18" t="s">
        <v>100</v>
      </c>
      <c r="H170" s="18" t="s">
        <v>101</v>
      </c>
      <c r="I170" s="18" t="s">
        <v>102</v>
      </c>
      <c r="J170" s="64" t="n">
        <v>3277.515558912</v>
      </c>
      <c r="K170" s="64" t="n">
        <v>3277.515558912</v>
      </c>
      <c r="L170" s="64" t="n">
        <v>3051.36698534707</v>
      </c>
      <c r="M170" s="73" t="n">
        <v>0.931</v>
      </c>
      <c r="N170" s="73" t="n">
        <v>1</v>
      </c>
      <c r="O170" s="74" t="n">
        <f aca="false">IF(K170="",M170,L170/K170)</f>
        <v>0.931</v>
      </c>
      <c r="P170" s="74" t="n">
        <f aca="false">O170-M170</f>
        <v>-1.11022302462516E-016</v>
      </c>
    </row>
    <row r="171" customFormat="false" ht="15" hidden="false" customHeight="false" outlineLevel="0" collapsed="false">
      <c r="A171" s="18" t="s">
        <v>200</v>
      </c>
      <c r="B171" s="18" t="s">
        <v>201</v>
      </c>
      <c r="C171" s="18"/>
      <c r="D171" s="49" t="n">
        <v>46143</v>
      </c>
      <c r="E171" s="18" t="s">
        <v>122</v>
      </c>
      <c r="F171" s="18" t="s">
        <v>119</v>
      </c>
      <c r="G171" s="18" t="s">
        <v>100</v>
      </c>
      <c r="H171" s="18" t="s">
        <v>107</v>
      </c>
      <c r="I171" s="18" t="s">
        <v>102</v>
      </c>
      <c r="J171" s="64" t="n">
        <v>1321.5788544</v>
      </c>
      <c r="K171" s="64" t="n">
        <v>1321.5788544</v>
      </c>
      <c r="L171" s="64" t="n">
        <v>1256.8214905344</v>
      </c>
      <c r="M171" s="73" t="n">
        <v>0.951</v>
      </c>
      <c r="N171" s="73" t="n">
        <v>1</v>
      </c>
      <c r="O171" s="74" t="n">
        <f aca="false">IF(K171="",M171,L171/K171)</f>
        <v>0.951</v>
      </c>
      <c r="P171" s="74" t="n">
        <f aca="false">O171-M171</f>
        <v>1.11022302462516E-016</v>
      </c>
    </row>
    <row r="172" customFormat="false" ht="15" hidden="false" customHeight="false" outlineLevel="0" collapsed="false">
      <c r="A172" s="18" t="s">
        <v>200</v>
      </c>
      <c r="B172" s="18" t="s">
        <v>201</v>
      </c>
      <c r="C172" s="18"/>
      <c r="D172" s="49" t="n">
        <v>46143</v>
      </c>
      <c r="E172" s="18" t="s">
        <v>124</v>
      </c>
      <c r="F172" s="18" t="s">
        <v>119</v>
      </c>
      <c r="G172" s="18" t="s">
        <v>100</v>
      </c>
      <c r="H172" s="18" t="s">
        <v>107</v>
      </c>
      <c r="I172" s="18" t="s">
        <v>125</v>
      </c>
      <c r="J172" s="64" t="n">
        <v>475.768387584</v>
      </c>
      <c r="K172" s="64" t="n">
        <v>475.768387584</v>
      </c>
      <c r="L172" s="64" t="n">
        <v>463.8741778944</v>
      </c>
      <c r="M172" s="73" t="n">
        <v>0.975</v>
      </c>
      <c r="N172" s="73" t="n">
        <v>1</v>
      </c>
      <c r="O172" s="74" t="n">
        <f aca="false">IF(K172="",M172,L172/K172)</f>
        <v>0.975</v>
      </c>
      <c r="P172" s="74" t="n">
        <f aca="false">O172-M172</f>
        <v>1.11022302462516E-016</v>
      </c>
    </row>
    <row r="173" customFormat="false" ht="15" hidden="false" customHeight="false" outlineLevel="0" collapsed="false">
      <c r="A173" s="18" t="s">
        <v>200</v>
      </c>
      <c r="B173" s="18" t="s">
        <v>201</v>
      </c>
      <c r="C173" s="18"/>
      <c r="D173" s="49" t="n">
        <v>46143</v>
      </c>
      <c r="E173" s="18" t="s">
        <v>127</v>
      </c>
      <c r="F173" s="18" t="s">
        <v>119</v>
      </c>
      <c r="G173" s="18" t="s">
        <v>100</v>
      </c>
      <c r="H173" s="18" t="s">
        <v>128</v>
      </c>
      <c r="I173" s="18" t="s">
        <v>125</v>
      </c>
      <c r="J173" s="64" t="n">
        <v>211.452616704</v>
      </c>
      <c r="K173" s="64" t="n">
        <v>211.452616704</v>
      </c>
      <c r="L173" s="64" t="n">
        <v>209.126637920256</v>
      </c>
      <c r="M173" s="73" t="n">
        <v>0.989</v>
      </c>
      <c r="N173" s="73" t="n">
        <v>1</v>
      </c>
      <c r="O173" s="74" t="n">
        <f aca="false">IF(K173="",M173,L173/K173)</f>
        <v>0.989</v>
      </c>
      <c r="P173" s="74" t="n">
        <f aca="false">O173-M173</f>
        <v>0</v>
      </c>
    </row>
    <row r="174" customFormat="false" ht="15" hidden="false" customHeight="false" outlineLevel="0" collapsed="false">
      <c r="A174" s="18" t="s">
        <v>200</v>
      </c>
      <c r="B174" s="18" t="s">
        <v>201</v>
      </c>
      <c r="C174" s="18"/>
      <c r="D174" s="49" t="n">
        <v>46143</v>
      </c>
      <c r="E174" s="18" t="s">
        <v>130</v>
      </c>
      <c r="F174" s="18" t="s">
        <v>119</v>
      </c>
      <c r="G174" s="18" t="s">
        <v>110</v>
      </c>
      <c r="H174" s="18" t="s">
        <v>107</v>
      </c>
      <c r="I174" s="18" t="s">
        <v>125</v>
      </c>
      <c r="J174" s="64" t="n">
        <v>226.163048</v>
      </c>
      <c r="K174" s="64" t="n">
        <v>226.163048</v>
      </c>
      <c r="L174" s="64" t="n">
        <v>219.830482656</v>
      </c>
      <c r="M174" s="73" t="n">
        <v>0.972</v>
      </c>
      <c r="N174" s="73" t="n">
        <v>1</v>
      </c>
      <c r="O174" s="74" t="n">
        <f aca="false">IF(K174="",M174,L174/K174)</f>
        <v>0.972</v>
      </c>
      <c r="P174" s="74" t="n">
        <f aca="false">O174-M174</f>
        <v>0</v>
      </c>
    </row>
    <row r="175" customFormat="false" ht="15" hidden="false" customHeight="false" outlineLevel="0" collapsed="false">
      <c r="A175" s="18" t="s">
        <v>200</v>
      </c>
      <c r="B175" s="18" t="s">
        <v>201</v>
      </c>
      <c r="C175" s="18"/>
      <c r="D175" s="49" t="n">
        <v>46174</v>
      </c>
      <c r="E175" s="18" t="s">
        <v>98</v>
      </c>
      <c r="F175" s="18" t="s">
        <v>99</v>
      </c>
      <c r="G175" s="18" t="s">
        <v>100</v>
      </c>
      <c r="H175" s="18" t="s">
        <v>101</v>
      </c>
      <c r="I175" s="18" t="s">
        <v>102</v>
      </c>
      <c r="J175" s="64" t="n">
        <v>4035.2472972</v>
      </c>
      <c r="K175" s="64" t="n">
        <v>4035.2472972</v>
      </c>
      <c r="L175" s="64" t="n">
        <v>3898.0488890952</v>
      </c>
      <c r="M175" s="73" t="n">
        <v>0.966</v>
      </c>
      <c r="N175" s="73" t="n">
        <v>1</v>
      </c>
      <c r="O175" s="74" t="n">
        <f aca="false">IF(K175="",M175,L175/K175)</f>
        <v>0.966</v>
      </c>
      <c r="P175" s="74" t="n">
        <f aca="false">O175-M175</f>
        <v>0</v>
      </c>
    </row>
    <row r="176" customFormat="false" ht="15" hidden="false" customHeight="false" outlineLevel="0" collapsed="false">
      <c r="A176" s="18" t="s">
        <v>200</v>
      </c>
      <c r="B176" s="18" t="s">
        <v>201</v>
      </c>
      <c r="C176" s="18"/>
      <c r="D176" s="49" t="n">
        <v>46174</v>
      </c>
      <c r="E176" s="18" t="s">
        <v>106</v>
      </c>
      <c r="F176" s="18" t="s">
        <v>99</v>
      </c>
      <c r="G176" s="18" t="s">
        <v>100</v>
      </c>
      <c r="H176" s="18" t="s">
        <v>107</v>
      </c>
      <c r="I176" s="18" t="s">
        <v>102</v>
      </c>
      <c r="J176" s="64" t="n">
        <v>2690.1648648</v>
      </c>
      <c r="K176" s="64" t="n">
        <v>2690.1648648</v>
      </c>
      <c r="L176" s="64" t="n">
        <v>2628.2910729096</v>
      </c>
      <c r="M176" s="73" t="n">
        <v>0.977</v>
      </c>
      <c r="N176" s="73" t="n">
        <v>1</v>
      </c>
      <c r="O176" s="74" t="n">
        <f aca="false">IF(K176="",M176,L176/K176)</f>
        <v>0.977</v>
      </c>
      <c r="P176" s="74" t="n">
        <f aca="false">O176-M176</f>
        <v>1.11022302462516E-016</v>
      </c>
    </row>
    <row r="177" customFormat="false" ht="15" hidden="false" customHeight="false" outlineLevel="0" collapsed="false">
      <c r="A177" s="18" t="s">
        <v>200</v>
      </c>
      <c r="B177" s="18" t="s">
        <v>201</v>
      </c>
      <c r="C177" s="18"/>
      <c r="D177" s="49" t="n">
        <v>46174</v>
      </c>
      <c r="E177" s="18" t="s">
        <v>109</v>
      </c>
      <c r="F177" s="18" t="s">
        <v>99</v>
      </c>
      <c r="G177" s="18" t="s">
        <v>110</v>
      </c>
      <c r="H177" s="18" t="s">
        <v>107</v>
      </c>
      <c r="I177" s="18" t="s">
        <v>102</v>
      </c>
      <c r="J177" s="64" t="n">
        <v>213.9453648</v>
      </c>
      <c r="K177" s="64" t="n">
        <v>213.9453648</v>
      </c>
      <c r="L177" s="64" t="n">
        <v>207.3130584912</v>
      </c>
      <c r="M177" s="73" t="n">
        <v>0.969</v>
      </c>
      <c r="N177" s="73" t="n">
        <v>1</v>
      </c>
      <c r="O177" s="74" t="n">
        <f aca="false">IF(K177="",M177,L177/K177)</f>
        <v>0.969</v>
      </c>
      <c r="P177" s="74" t="n">
        <f aca="false">O177-M177</f>
        <v>0</v>
      </c>
    </row>
    <row r="178" customFormat="false" ht="15" hidden="false" customHeight="false" outlineLevel="0" collapsed="false">
      <c r="A178" s="18" t="s">
        <v>200</v>
      </c>
      <c r="B178" s="18" t="s">
        <v>201</v>
      </c>
      <c r="C178" s="18"/>
      <c r="D178" s="49" t="n">
        <v>46174</v>
      </c>
      <c r="E178" s="18" t="s">
        <v>112</v>
      </c>
      <c r="F178" s="18" t="s">
        <v>113</v>
      </c>
      <c r="G178" s="18" t="s">
        <v>110</v>
      </c>
      <c r="H178" s="18" t="s">
        <v>101</v>
      </c>
      <c r="I178" s="18" t="s">
        <v>102</v>
      </c>
      <c r="J178" s="64" t="n">
        <v>2020.12839</v>
      </c>
      <c r="K178" s="64" t="n">
        <v>2020.12839</v>
      </c>
      <c r="L178" s="64" t="n">
        <v>1943.36351118</v>
      </c>
      <c r="M178" s="73" t="n">
        <v>0.962</v>
      </c>
      <c r="N178" s="73" t="n">
        <v>1</v>
      </c>
      <c r="O178" s="74" t="n">
        <f aca="false">IF(K178="",M178,L178/K178)</f>
        <v>0.962</v>
      </c>
      <c r="P178" s="74" t="n">
        <f aca="false">O178-M178</f>
        <v>0</v>
      </c>
    </row>
    <row r="179" customFormat="false" ht="15" hidden="false" customHeight="false" outlineLevel="0" collapsed="false">
      <c r="A179" s="18" t="s">
        <v>200</v>
      </c>
      <c r="B179" s="18" t="s">
        <v>201</v>
      </c>
      <c r="C179" s="18"/>
      <c r="D179" s="49" t="n">
        <v>46174</v>
      </c>
      <c r="E179" s="18" t="s">
        <v>116</v>
      </c>
      <c r="F179" s="18" t="s">
        <v>113</v>
      </c>
      <c r="G179" s="18" t="s">
        <v>110</v>
      </c>
      <c r="H179" s="18" t="s">
        <v>107</v>
      </c>
      <c r="I179" s="18" t="s">
        <v>102</v>
      </c>
      <c r="J179" s="64" t="n">
        <v>3751.66701</v>
      </c>
      <c r="K179" s="64" t="n">
        <v>3751.66701</v>
      </c>
      <c r="L179" s="64" t="n">
        <v>3654.12366774</v>
      </c>
      <c r="M179" s="73" t="n">
        <v>0.974</v>
      </c>
      <c r="N179" s="73" t="n">
        <v>1</v>
      </c>
      <c r="O179" s="74" t="n">
        <f aca="false">IF(K179="",M179,L179/K179)</f>
        <v>0.974</v>
      </c>
      <c r="P179" s="74" t="n">
        <f aca="false">O179-M179</f>
        <v>0</v>
      </c>
    </row>
    <row r="180" customFormat="false" ht="15" hidden="false" customHeight="false" outlineLevel="0" collapsed="false">
      <c r="A180" s="18" t="s">
        <v>200</v>
      </c>
      <c r="B180" s="18" t="s">
        <v>201</v>
      </c>
      <c r="C180" s="18"/>
      <c r="D180" s="49" t="n">
        <v>46174</v>
      </c>
      <c r="E180" s="18" t="s">
        <v>118</v>
      </c>
      <c r="F180" s="18" t="s">
        <v>119</v>
      </c>
      <c r="G180" s="18" t="s">
        <v>100</v>
      </c>
      <c r="H180" s="18" t="s">
        <v>101</v>
      </c>
      <c r="I180" s="18" t="s">
        <v>102</v>
      </c>
      <c r="J180" s="64" t="n">
        <v>3491.548526592</v>
      </c>
      <c r="K180" s="64" t="n">
        <v>3491.548526592</v>
      </c>
      <c r="L180" s="64" t="n">
        <v>3250.63167825715</v>
      </c>
      <c r="M180" s="73" t="n">
        <v>0.931</v>
      </c>
      <c r="N180" s="73" t="n">
        <v>1</v>
      </c>
      <c r="O180" s="74" t="n">
        <f aca="false">IF(K180="",M180,L180/K180)</f>
        <v>0.931</v>
      </c>
      <c r="P180" s="74" t="n">
        <f aca="false">O180-M180</f>
        <v>-1.11022302462516E-016</v>
      </c>
    </row>
    <row r="181" customFormat="false" ht="15" hidden="false" customHeight="false" outlineLevel="0" collapsed="false">
      <c r="A181" s="18" t="s">
        <v>200</v>
      </c>
      <c r="B181" s="18" t="s">
        <v>201</v>
      </c>
      <c r="C181" s="18"/>
      <c r="D181" s="49" t="n">
        <v>46174</v>
      </c>
      <c r="E181" s="18" t="s">
        <v>122</v>
      </c>
      <c r="F181" s="18" t="s">
        <v>119</v>
      </c>
      <c r="G181" s="18" t="s">
        <v>100</v>
      </c>
      <c r="H181" s="18" t="s">
        <v>107</v>
      </c>
      <c r="I181" s="18" t="s">
        <v>102</v>
      </c>
      <c r="J181" s="64" t="n">
        <v>1407.8824704</v>
      </c>
      <c r="K181" s="64" t="n">
        <v>1407.8824704</v>
      </c>
      <c r="L181" s="64" t="n">
        <v>1338.8962293504</v>
      </c>
      <c r="M181" s="73" t="n">
        <v>0.951</v>
      </c>
      <c r="N181" s="73" t="n">
        <v>1</v>
      </c>
      <c r="O181" s="74" t="n">
        <f aca="false">IF(K181="",M181,L181/K181)</f>
        <v>0.951</v>
      </c>
      <c r="P181" s="74" t="n">
        <f aca="false">O181-M181</f>
        <v>0</v>
      </c>
    </row>
    <row r="182" customFormat="false" ht="15" hidden="false" customHeight="false" outlineLevel="0" collapsed="false">
      <c r="A182" s="18" t="s">
        <v>200</v>
      </c>
      <c r="B182" s="18" t="s">
        <v>201</v>
      </c>
      <c r="C182" s="18"/>
      <c r="D182" s="49" t="n">
        <v>46174</v>
      </c>
      <c r="E182" s="18" t="s">
        <v>124</v>
      </c>
      <c r="F182" s="18" t="s">
        <v>119</v>
      </c>
      <c r="G182" s="18" t="s">
        <v>100</v>
      </c>
      <c r="H182" s="18" t="s">
        <v>107</v>
      </c>
      <c r="I182" s="18" t="s">
        <v>125</v>
      </c>
      <c r="J182" s="64" t="n">
        <v>506.837689344</v>
      </c>
      <c r="K182" s="64" t="n">
        <v>506.837689344</v>
      </c>
      <c r="L182" s="64" t="n">
        <v>494.1667471104</v>
      </c>
      <c r="M182" s="73" t="n">
        <v>0.975</v>
      </c>
      <c r="N182" s="73" t="n">
        <v>1</v>
      </c>
      <c r="O182" s="74" t="n">
        <f aca="false">IF(K182="",M182,L182/K182)</f>
        <v>0.975</v>
      </c>
      <c r="P182" s="74" t="n">
        <f aca="false">O182-M182</f>
        <v>0</v>
      </c>
    </row>
    <row r="183" customFormat="false" ht="15" hidden="false" customHeight="false" outlineLevel="0" collapsed="false">
      <c r="A183" s="18" t="s">
        <v>200</v>
      </c>
      <c r="B183" s="18" t="s">
        <v>201</v>
      </c>
      <c r="C183" s="18"/>
      <c r="D183" s="49" t="n">
        <v>46174</v>
      </c>
      <c r="E183" s="18" t="s">
        <v>127</v>
      </c>
      <c r="F183" s="18" t="s">
        <v>119</v>
      </c>
      <c r="G183" s="18" t="s">
        <v>100</v>
      </c>
      <c r="H183" s="18" t="s">
        <v>128</v>
      </c>
      <c r="I183" s="18" t="s">
        <v>125</v>
      </c>
      <c r="J183" s="64" t="n">
        <v>225.261195264</v>
      </c>
      <c r="K183" s="64" t="n">
        <v>225.261195264</v>
      </c>
      <c r="L183" s="64" t="n">
        <v>222.783322116096</v>
      </c>
      <c r="M183" s="73" t="n">
        <v>0.989</v>
      </c>
      <c r="N183" s="73" t="n">
        <v>1</v>
      </c>
      <c r="O183" s="74" t="n">
        <f aca="false">IF(K183="",M183,L183/K183)</f>
        <v>0.989</v>
      </c>
      <c r="P183" s="74" t="n">
        <f aca="false">O183-M183</f>
        <v>0</v>
      </c>
    </row>
    <row r="184" customFormat="false" ht="15" hidden="false" customHeight="false" outlineLevel="0" collapsed="false">
      <c r="A184" s="18" t="s">
        <v>200</v>
      </c>
      <c r="B184" s="18" t="s">
        <v>201</v>
      </c>
      <c r="C184" s="18"/>
      <c r="D184" s="49" t="n">
        <v>46174</v>
      </c>
      <c r="E184" s="18" t="s">
        <v>130</v>
      </c>
      <c r="F184" s="18" t="s">
        <v>119</v>
      </c>
      <c r="G184" s="18" t="s">
        <v>110</v>
      </c>
      <c r="H184" s="18" t="s">
        <v>107</v>
      </c>
      <c r="I184" s="18" t="s">
        <v>125</v>
      </c>
      <c r="J184" s="64" t="n">
        <v>240.932268</v>
      </c>
      <c r="K184" s="64" t="n">
        <v>240.932268</v>
      </c>
      <c r="L184" s="64" t="n">
        <v>234.186164496</v>
      </c>
      <c r="M184" s="73" t="n">
        <v>0.972</v>
      </c>
      <c r="N184" s="73" t="n">
        <v>1</v>
      </c>
      <c r="O184" s="74" t="n">
        <f aca="false">IF(K184="",M184,L184/K184)</f>
        <v>0.972</v>
      </c>
      <c r="P184" s="74" t="n">
        <f aca="false">O184-M184</f>
        <v>1.11022302462516E-016</v>
      </c>
    </row>
    <row r="185" customFormat="false" ht="15" hidden="false" customHeight="false" outlineLevel="0" collapsed="false">
      <c r="A185" s="18" t="s">
        <v>200</v>
      </c>
      <c r="B185" s="18" t="s">
        <v>201</v>
      </c>
      <c r="C185" s="18"/>
      <c r="D185" s="49" t="n">
        <v>46204</v>
      </c>
      <c r="E185" s="18" t="s">
        <v>98</v>
      </c>
      <c r="F185" s="18" t="s">
        <v>99</v>
      </c>
      <c r="G185" s="18" t="s">
        <v>100</v>
      </c>
      <c r="H185" s="18" t="s">
        <v>101</v>
      </c>
      <c r="I185" s="18" t="s">
        <v>102</v>
      </c>
      <c r="J185" s="64" t="n">
        <v>4039.016562</v>
      </c>
      <c r="K185" s="64" t="n">
        <v>4018.82147919</v>
      </c>
      <c r="L185" s="64" t="n">
        <v>3866.10626298078</v>
      </c>
      <c r="M185" s="73" t="n">
        <v>0.962</v>
      </c>
      <c r="N185" s="73" t="n">
        <v>0.995</v>
      </c>
      <c r="O185" s="74" t="n">
        <f aca="false">IF(K185="",M185,L185/K185)</f>
        <v>0.962</v>
      </c>
      <c r="P185" s="74" t="n">
        <f aca="false">O185-M185</f>
        <v>0</v>
      </c>
    </row>
    <row r="186" customFormat="false" ht="15" hidden="false" customHeight="false" outlineLevel="0" collapsed="false">
      <c r="A186" s="18" t="s">
        <v>200</v>
      </c>
      <c r="B186" s="18" t="s">
        <v>201</v>
      </c>
      <c r="C186" s="18"/>
      <c r="D186" s="49" t="n">
        <v>46204</v>
      </c>
      <c r="E186" s="18" t="s">
        <v>106</v>
      </c>
      <c r="F186" s="18" t="s">
        <v>99</v>
      </c>
      <c r="G186" s="18" t="s">
        <v>100</v>
      </c>
      <c r="H186" s="18" t="s">
        <v>107</v>
      </c>
      <c r="I186" s="18" t="s">
        <v>102</v>
      </c>
      <c r="J186" s="64" t="n">
        <v>2692.677708</v>
      </c>
      <c r="K186" s="64" t="n">
        <v>2679.21431946</v>
      </c>
      <c r="L186" s="64" t="n">
        <v>2606.87553283458</v>
      </c>
      <c r="M186" s="73" t="n">
        <v>0.973</v>
      </c>
      <c r="N186" s="73" t="n">
        <v>0.995</v>
      </c>
      <c r="O186" s="74" t="n">
        <f aca="false">IF(K186="",M186,L186/K186)</f>
        <v>0.973</v>
      </c>
      <c r="P186" s="74" t="n">
        <f aca="false">O186-M186</f>
        <v>1.11022302462516E-016</v>
      </c>
    </row>
    <row r="187" customFormat="false" ht="15" hidden="false" customHeight="false" outlineLevel="0" collapsed="false">
      <c r="A187" s="18" t="s">
        <v>200</v>
      </c>
      <c r="B187" s="18" t="s">
        <v>201</v>
      </c>
      <c r="C187" s="18"/>
      <c r="D187" s="49" t="n">
        <v>46204</v>
      </c>
      <c r="E187" s="18" t="s">
        <v>109</v>
      </c>
      <c r="F187" s="18" t="s">
        <v>99</v>
      </c>
      <c r="G187" s="18" t="s">
        <v>110</v>
      </c>
      <c r="H187" s="18" t="s">
        <v>107</v>
      </c>
      <c r="I187" s="18" t="s">
        <v>102</v>
      </c>
      <c r="J187" s="64" t="n">
        <v>214.145208</v>
      </c>
      <c r="K187" s="64" t="n">
        <v>213.07448196</v>
      </c>
      <c r="L187" s="64" t="n">
        <v>205.6168750914</v>
      </c>
      <c r="M187" s="73" t="n">
        <v>0.965</v>
      </c>
      <c r="N187" s="73" t="n">
        <v>0.995</v>
      </c>
      <c r="O187" s="74" t="n">
        <f aca="false">IF(K187="",M187,L187/K187)</f>
        <v>0.965</v>
      </c>
      <c r="P187" s="74" t="n">
        <f aca="false">O187-M187</f>
        <v>0</v>
      </c>
    </row>
    <row r="188" customFormat="false" ht="15" hidden="false" customHeight="false" outlineLevel="0" collapsed="false">
      <c r="A188" s="18" t="s">
        <v>200</v>
      </c>
      <c r="B188" s="18" t="s">
        <v>201</v>
      </c>
      <c r="C188" s="18"/>
      <c r="D188" s="49" t="n">
        <v>46204</v>
      </c>
      <c r="E188" s="18" t="s">
        <v>112</v>
      </c>
      <c r="F188" s="18" t="s">
        <v>113</v>
      </c>
      <c r="G188" s="18" t="s">
        <v>110</v>
      </c>
      <c r="H188" s="18" t="s">
        <v>101</v>
      </c>
      <c r="I188" s="18" t="s">
        <v>102</v>
      </c>
      <c r="J188" s="64" t="n">
        <v>2049.01074</v>
      </c>
      <c r="K188" s="64" t="n">
        <v>2038.7656863</v>
      </c>
      <c r="L188" s="64" t="n">
        <v>1953.1375274754</v>
      </c>
      <c r="M188" s="73" t="n">
        <v>0.958</v>
      </c>
      <c r="N188" s="73" t="n">
        <v>0.995</v>
      </c>
      <c r="O188" s="74" t="n">
        <f aca="false">IF(K188="",M188,L188/K188)</f>
        <v>0.958</v>
      </c>
      <c r="P188" s="74" t="n">
        <f aca="false">O188-M188</f>
        <v>1.11022302462516E-016</v>
      </c>
    </row>
    <row r="189" customFormat="false" ht="15" hidden="false" customHeight="false" outlineLevel="0" collapsed="false">
      <c r="A189" s="18" t="s">
        <v>200</v>
      </c>
      <c r="B189" s="18" t="s">
        <v>201</v>
      </c>
      <c r="C189" s="18"/>
      <c r="D189" s="49" t="n">
        <v>46204</v>
      </c>
      <c r="E189" s="18" t="s">
        <v>116</v>
      </c>
      <c r="F189" s="18" t="s">
        <v>113</v>
      </c>
      <c r="G189" s="18" t="s">
        <v>110</v>
      </c>
      <c r="H189" s="18" t="s">
        <v>107</v>
      </c>
      <c r="I189" s="18" t="s">
        <v>102</v>
      </c>
      <c r="J189" s="64" t="n">
        <v>3805.30566</v>
      </c>
      <c r="K189" s="64" t="n">
        <v>3786.2791317</v>
      </c>
      <c r="L189" s="64" t="n">
        <v>3672.690757749</v>
      </c>
      <c r="M189" s="73" t="n">
        <v>0.97</v>
      </c>
      <c r="N189" s="73" t="n">
        <v>0.995</v>
      </c>
      <c r="O189" s="74" t="n">
        <f aca="false">IF(K189="",M189,L189/K189)</f>
        <v>0.97</v>
      </c>
      <c r="P189" s="74" t="n">
        <f aca="false">O189-M189</f>
        <v>0</v>
      </c>
    </row>
    <row r="190" customFormat="false" ht="15" hidden="false" customHeight="false" outlineLevel="0" collapsed="false">
      <c r="A190" s="18" t="s">
        <v>200</v>
      </c>
      <c r="B190" s="18" t="s">
        <v>201</v>
      </c>
      <c r="C190" s="18"/>
      <c r="D190" s="49" t="n">
        <v>46204</v>
      </c>
      <c r="E190" s="18" t="s">
        <v>118</v>
      </c>
      <c r="F190" s="18" t="s">
        <v>119</v>
      </c>
      <c r="G190" s="18" t="s">
        <v>100</v>
      </c>
      <c r="H190" s="18" t="s">
        <v>101</v>
      </c>
      <c r="I190" s="18" t="s">
        <v>102</v>
      </c>
      <c r="J190" s="64" t="n">
        <v>3662.25463296</v>
      </c>
      <c r="K190" s="64" t="n">
        <v>3643.9433597952</v>
      </c>
      <c r="L190" s="64" t="n">
        <v>3377.93549453015</v>
      </c>
      <c r="M190" s="73" t="n">
        <v>0.927</v>
      </c>
      <c r="N190" s="73" t="n">
        <v>0.995</v>
      </c>
      <c r="O190" s="74" t="n">
        <f aca="false">IF(K190="",M190,L190/K190)</f>
        <v>0.927</v>
      </c>
      <c r="P190" s="74" t="n">
        <f aca="false">O190-M190</f>
        <v>-1.11022302462516E-016</v>
      </c>
    </row>
    <row r="191" customFormat="false" ht="15" hidden="false" customHeight="false" outlineLevel="0" collapsed="false">
      <c r="A191" s="18" t="s">
        <v>200</v>
      </c>
      <c r="B191" s="18" t="s">
        <v>201</v>
      </c>
      <c r="C191" s="18"/>
      <c r="D191" s="49" t="n">
        <v>46204</v>
      </c>
      <c r="E191" s="18" t="s">
        <v>122</v>
      </c>
      <c r="F191" s="18" t="s">
        <v>119</v>
      </c>
      <c r="G191" s="18" t="s">
        <v>100</v>
      </c>
      <c r="H191" s="18" t="s">
        <v>107</v>
      </c>
      <c r="I191" s="18" t="s">
        <v>102</v>
      </c>
      <c r="J191" s="64" t="n">
        <v>1670.50211328</v>
      </c>
      <c r="K191" s="64" t="n">
        <v>1662.1496027136</v>
      </c>
      <c r="L191" s="64" t="n">
        <v>1574.05567376978</v>
      </c>
      <c r="M191" s="73" t="n">
        <v>0.947</v>
      </c>
      <c r="N191" s="73" t="n">
        <v>0.995</v>
      </c>
      <c r="O191" s="74" t="n">
        <f aca="false">IF(K191="",M191,L191/K191)</f>
        <v>0.947</v>
      </c>
      <c r="P191" s="74" t="n">
        <f aca="false">O191-M191</f>
        <v>0</v>
      </c>
    </row>
    <row r="192" customFormat="false" ht="15" hidden="false" customHeight="false" outlineLevel="0" collapsed="false">
      <c r="A192" s="18" t="s">
        <v>200</v>
      </c>
      <c r="B192" s="18" t="s">
        <v>201</v>
      </c>
      <c r="C192" s="18"/>
      <c r="D192" s="49" t="n">
        <v>46204</v>
      </c>
      <c r="E192" s="18" t="s">
        <v>124</v>
      </c>
      <c r="F192" s="18" t="s">
        <v>119</v>
      </c>
      <c r="G192" s="18" t="s">
        <v>100</v>
      </c>
      <c r="H192" s="18" t="s">
        <v>107</v>
      </c>
      <c r="I192" s="18" t="s">
        <v>125</v>
      </c>
      <c r="J192" s="64" t="n">
        <v>706.75089408</v>
      </c>
      <c r="K192" s="64" t="n">
        <v>703.2171396096</v>
      </c>
      <c r="L192" s="64" t="n">
        <v>682.823842560922</v>
      </c>
      <c r="M192" s="73" t="n">
        <v>0.971</v>
      </c>
      <c r="N192" s="73" t="n">
        <v>0.995</v>
      </c>
      <c r="O192" s="74" t="n">
        <f aca="false">IF(K192="",M192,L192/K192)</f>
        <v>0.971</v>
      </c>
      <c r="P192" s="74" t="n">
        <f aca="false">O192-M192</f>
        <v>-1.11022302462516E-016</v>
      </c>
    </row>
    <row r="193" customFormat="false" ht="15" hidden="false" customHeight="false" outlineLevel="0" collapsed="false">
      <c r="A193" s="18" t="s">
        <v>200</v>
      </c>
      <c r="B193" s="18" t="s">
        <v>201</v>
      </c>
      <c r="C193" s="18"/>
      <c r="D193" s="49" t="n">
        <v>46204</v>
      </c>
      <c r="E193" s="18" t="s">
        <v>127</v>
      </c>
      <c r="F193" s="18" t="s">
        <v>119</v>
      </c>
      <c r="G193" s="18" t="s">
        <v>100</v>
      </c>
      <c r="H193" s="18" t="s">
        <v>128</v>
      </c>
      <c r="I193" s="18" t="s">
        <v>125</v>
      </c>
      <c r="J193" s="64" t="n">
        <v>385.50048768</v>
      </c>
      <c r="K193" s="64" t="n">
        <v>383.5729852416</v>
      </c>
      <c r="L193" s="64" t="n">
        <v>377.819390462976</v>
      </c>
      <c r="M193" s="73" t="n">
        <v>0.985</v>
      </c>
      <c r="N193" s="73" t="n">
        <v>0.995</v>
      </c>
      <c r="O193" s="74" t="n">
        <f aca="false">IF(K193="",M193,L193/K193)</f>
        <v>0.985</v>
      </c>
      <c r="P193" s="74" t="n">
        <f aca="false">O193-M193</f>
        <v>0</v>
      </c>
    </row>
    <row r="194" customFormat="false" ht="15" hidden="false" customHeight="false" outlineLevel="0" collapsed="false">
      <c r="A194" s="18" t="s">
        <v>200</v>
      </c>
      <c r="B194" s="18" t="s">
        <v>201</v>
      </c>
      <c r="C194" s="18"/>
      <c r="D194" s="49" t="n">
        <v>46204</v>
      </c>
      <c r="E194" s="18" t="s">
        <v>130</v>
      </c>
      <c r="F194" s="18" t="s">
        <v>119</v>
      </c>
      <c r="G194" s="18" t="s">
        <v>110</v>
      </c>
      <c r="H194" s="18" t="s">
        <v>107</v>
      </c>
      <c r="I194" s="18" t="s">
        <v>125</v>
      </c>
      <c r="J194" s="64" t="n">
        <v>274.87944</v>
      </c>
      <c r="K194" s="64" t="n">
        <v>273.5050428</v>
      </c>
      <c r="L194" s="64" t="n">
        <v>264.7528814304</v>
      </c>
      <c r="M194" s="73" t="n">
        <v>0.968</v>
      </c>
      <c r="N194" s="73" t="n">
        <v>0.995</v>
      </c>
      <c r="O194" s="74" t="n">
        <f aca="false">IF(K194="",M194,L194/K194)</f>
        <v>0.968</v>
      </c>
      <c r="P194" s="74" t="n">
        <f aca="false">O194-M194</f>
        <v>0</v>
      </c>
    </row>
    <row r="195" customFormat="false" ht="15" hidden="false" customHeight="false" outlineLevel="0" collapsed="false">
      <c r="A195" s="18" t="s">
        <v>200</v>
      </c>
      <c r="B195" s="18" t="s">
        <v>201</v>
      </c>
      <c r="C195" s="18"/>
      <c r="D195" s="49" t="n">
        <v>46235</v>
      </c>
      <c r="E195" s="18" t="s">
        <v>98</v>
      </c>
      <c r="F195" s="18" t="s">
        <v>99</v>
      </c>
      <c r="G195" s="18" t="s">
        <v>100</v>
      </c>
      <c r="H195" s="18" t="s">
        <v>101</v>
      </c>
      <c r="I195" s="18" t="s">
        <v>102</v>
      </c>
      <c r="J195" s="64" t="n">
        <v>3845.6523</v>
      </c>
      <c r="K195" s="64" t="n">
        <v>3538.000116</v>
      </c>
      <c r="L195" s="64" t="n">
        <v>3403.556111592</v>
      </c>
      <c r="M195" s="73" t="n">
        <v>0.962</v>
      </c>
      <c r="N195" s="73" t="n">
        <v>0.92</v>
      </c>
      <c r="O195" s="74" t="n">
        <f aca="false">IF(K195="",M195,L195/K195)</f>
        <v>0.962</v>
      </c>
      <c r="P195" s="74" t="n">
        <f aca="false">O195-M195</f>
        <v>0</v>
      </c>
    </row>
    <row r="196" customFormat="false" ht="15" hidden="false" customHeight="false" outlineLevel="0" collapsed="false">
      <c r="A196" s="18" t="s">
        <v>200</v>
      </c>
      <c r="B196" s="18" t="s">
        <v>201</v>
      </c>
      <c r="C196" s="18"/>
      <c r="D196" s="49" t="n">
        <v>46235</v>
      </c>
      <c r="E196" s="18" t="s">
        <v>106</v>
      </c>
      <c r="F196" s="18" t="s">
        <v>99</v>
      </c>
      <c r="G196" s="18" t="s">
        <v>100</v>
      </c>
      <c r="H196" s="18" t="s">
        <v>107</v>
      </c>
      <c r="I196" s="18" t="s">
        <v>102</v>
      </c>
      <c r="J196" s="64" t="n">
        <v>2563.7682</v>
      </c>
      <c r="K196" s="64" t="n">
        <v>2358.666744</v>
      </c>
      <c r="L196" s="64" t="n">
        <v>2294.982741912</v>
      </c>
      <c r="M196" s="73" t="n">
        <v>0.973</v>
      </c>
      <c r="N196" s="73" t="n">
        <v>0.92</v>
      </c>
      <c r="O196" s="74" t="n">
        <f aca="false">IF(K196="",M196,L196/K196)</f>
        <v>0.973</v>
      </c>
      <c r="P196" s="74" t="n">
        <f aca="false">O196-M196</f>
        <v>0</v>
      </c>
    </row>
    <row r="197" customFormat="false" ht="15" hidden="false" customHeight="false" outlineLevel="0" collapsed="false">
      <c r="A197" s="18" t="s">
        <v>200</v>
      </c>
      <c r="B197" s="18" t="s">
        <v>201</v>
      </c>
      <c r="C197" s="18"/>
      <c r="D197" s="49" t="n">
        <v>46235</v>
      </c>
      <c r="E197" s="18" t="s">
        <v>109</v>
      </c>
      <c r="F197" s="18" t="s">
        <v>99</v>
      </c>
      <c r="G197" s="18" t="s">
        <v>110</v>
      </c>
      <c r="H197" s="18" t="s">
        <v>107</v>
      </c>
      <c r="I197" s="18" t="s">
        <v>102</v>
      </c>
      <c r="J197" s="64" t="n">
        <v>203.8932</v>
      </c>
      <c r="K197" s="64" t="n">
        <v>187.581744</v>
      </c>
      <c r="L197" s="64" t="n">
        <v>181.01638296</v>
      </c>
      <c r="M197" s="73" t="n">
        <v>0.965</v>
      </c>
      <c r="N197" s="73" t="n">
        <v>0.92</v>
      </c>
      <c r="O197" s="74" t="n">
        <f aca="false">IF(K197="",M197,L197/K197)</f>
        <v>0.965</v>
      </c>
      <c r="P197" s="74" t="n">
        <f aca="false">O197-M197</f>
        <v>0</v>
      </c>
    </row>
    <row r="198" customFormat="false" ht="15" hidden="false" customHeight="false" outlineLevel="0" collapsed="false">
      <c r="A198" s="18" t="s">
        <v>200</v>
      </c>
      <c r="B198" s="18" t="s">
        <v>201</v>
      </c>
      <c r="C198" s="18"/>
      <c r="D198" s="49" t="n">
        <v>46235</v>
      </c>
      <c r="E198" s="18" t="s">
        <v>112</v>
      </c>
      <c r="F198" s="18" t="s">
        <v>113</v>
      </c>
      <c r="G198" s="18" t="s">
        <v>110</v>
      </c>
      <c r="H198" s="18" t="s">
        <v>101</v>
      </c>
      <c r="I198" s="18" t="s">
        <v>102</v>
      </c>
      <c r="J198" s="64" t="n">
        <v>1882.825</v>
      </c>
      <c r="K198" s="64" t="n">
        <v>1732.199</v>
      </c>
      <c r="L198" s="64" t="n">
        <v>1659.446642</v>
      </c>
      <c r="M198" s="73" t="n">
        <v>0.958</v>
      </c>
      <c r="N198" s="73" t="n">
        <v>0.92</v>
      </c>
      <c r="O198" s="74" t="n">
        <f aca="false">IF(K198="",M198,L198/K198)</f>
        <v>0.958</v>
      </c>
      <c r="P198" s="74" t="n">
        <f aca="false">O198-M198</f>
        <v>1.11022302462516E-016</v>
      </c>
    </row>
    <row r="199" customFormat="false" ht="15" hidden="false" customHeight="false" outlineLevel="0" collapsed="false">
      <c r="A199" s="18" t="s">
        <v>200</v>
      </c>
      <c r="B199" s="18" t="s">
        <v>201</v>
      </c>
      <c r="C199" s="18"/>
      <c r="D199" s="49" t="n">
        <v>46235</v>
      </c>
      <c r="E199" s="18" t="s">
        <v>116</v>
      </c>
      <c r="F199" s="18" t="s">
        <v>113</v>
      </c>
      <c r="G199" s="18" t="s">
        <v>110</v>
      </c>
      <c r="H199" s="18" t="s">
        <v>107</v>
      </c>
      <c r="I199" s="18" t="s">
        <v>102</v>
      </c>
      <c r="J199" s="64" t="n">
        <v>3496.675</v>
      </c>
      <c r="K199" s="64" t="n">
        <v>3216.941</v>
      </c>
      <c r="L199" s="64" t="n">
        <v>3120.43277</v>
      </c>
      <c r="M199" s="73" t="n">
        <v>0.97</v>
      </c>
      <c r="N199" s="73" t="n">
        <v>0.92</v>
      </c>
      <c r="O199" s="74" t="n">
        <f aca="false">IF(K199="",M199,L199/K199)</f>
        <v>0.97</v>
      </c>
      <c r="P199" s="74" t="n">
        <f aca="false">O199-M199</f>
        <v>0</v>
      </c>
    </row>
    <row r="200" customFormat="false" ht="15" hidden="false" customHeight="false" outlineLevel="0" collapsed="false">
      <c r="A200" s="18" t="s">
        <v>200</v>
      </c>
      <c r="B200" s="18" t="s">
        <v>201</v>
      </c>
      <c r="C200" s="18"/>
      <c r="D200" s="49" t="n">
        <v>46235</v>
      </c>
      <c r="E200" s="18" t="s">
        <v>118</v>
      </c>
      <c r="F200" s="18" t="s">
        <v>119</v>
      </c>
      <c r="G200" s="18" t="s">
        <v>100</v>
      </c>
      <c r="H200" s="18" t="s">
        <v>101</v>
      </c>
      <c r="I200" s="18" t="s">
        <v>102</v>
      </c>
      <c r="J200" s="64" t="n">
        <v>2325.428336</v>
      </c>
      <c r="K200" s="64" t="n">
        <v>2139.39406912</v>
      </c>
      <c r="L200" s="64" t="n">
        <v>1963.96375545216</v>
      </c>
      <c r="M200" s="73" t="n">
        <v>0.918</v>
      </c>
      <c r="N200" s="73" t="n">
        <v>0.92</v>
      </c>
      <c r="O200" s="74" t="n">
        <f aca="false">IF(K200="",M200,L200/K200)</f>
        <v>0.918</v>
      </c>
      <c r="P200" s="74" t="n">
        <f aca="false">O200-M200</f>
        <v>0</v>
      </c>
    </row>
    <row r="201" customFormat="false" ht="15" hidden="false" customHeight="false" outlineLevel="0" collapsed="false">
      <c r="A201" s="18" t="s">
        <v>200</v>
      </c>
      <c r="B201" s="18" t="s">
        <v>201</v>
      </c>
      <c r="C201" s="18"/>
      <c r="D201" s="49" t="n">
        <v>46235</v>
      </c>
      <c r="E201" s="18" t="s">
        <v>122</v>
      </c>
      <c r="F201" s="18" t="s">
        <v>119</v>
      </c>
      <c r="G201" s="18" t="s">
        <v>100</v>
      </c>
      <c r="H201" s="18" t="s">
        <v>107</v>
      </c>
      <c r="I201" s="18" t="s">
        <v>102</v>
      </c>
      <c r="J201" s="64" t="n">
        <v>1374.116744</v>
      </c>
      <c r="K201" s="64" t="n">
        <v>1264.18740448</v>
      </c>
      <c r="L201" s="64" t="n">
        <v>1193.39290982912</v>
      </c>
      <c r="M201" s="73" t="n">
        <v>0.944</v>
      </c>
      <c r="N201" s="73" t="n">
        <v>0.92</v>
      </c>
      <c r="O201" s="74" t="n">
        <f aca="false">IF(K201="",M201,L201/K201)</f>
        <v>0.944</v>
      </c>
      <c r="P201" s="74" t="n">
        <f aca="false">O201-M201</f>
        <v>1.11022302462516E-016</v>
      </c>
    </row>
    <row r="202" customFormat="false" ht="15" hidden="false" customHeight="false" outlineLevel="0" collapsed="false">
      <c r="A202" s="18" t="s">
        <v>200</v>
      </c>
      <c r="B202" s="18" t="s">
        <v>201</v>
      </c>
      <c r="C202" s="18"/>
      <c r="D202" s="49" t="n">
        <v>46235</v>
      </c>
      <c r="E202" s="18" t="s">
        <v>124</v>
      </c>
      <c r="F202" s="18" t="s">
        <v>119</v>
      </c>
      <c r="G202" s="18" t="s">
        <v>100</v>
      </c>
      <c r="H202" s="18" t="s">
        <v>107</v>
      </c>
      <c r="I202" s="18" t="s">
        <v>125</v>
      </c>
      <c r="J202" s="64" t="n">
        <v>2642.5322</v>
      </c>
      <c r="K202" s="64" t="n">
        <v>2431.129624</v>
      </c>
      <c r="L202" s="64" t="n">
        <v>2360.626864904</v>
      </c>
      <c r="M202" s="73" t="n">
        <v>0.971</v>
      </c>
      <c r="N202" s="73" t="n">
        <v>0.92</v>
      </c>
      <c r="O202" s="74" t="n">
        <f aca="false">IF(K202="",M202,L202/K202)</f>
        <v>0.971</v>
      </c>
      <c r="P202" s="74" t="n">
        <f aca="false">O202-M202</f>
        <v>-1.11022302462516E-016</v>
      </c>
    </row>
    <row r="203" customFormat="false" ht="15" hidden="false" customHeight="false" outlineLevel="0" collapsed="false">
      <c r="A203" s="18" t="s">
        <v>200</v>
      </c>
      <c r="B203" s="18" t="s">
        <v>201</v>
      </c>
      <c r="C203" s="18"/>
      <c r="D203" s="49" t="n">
        <v>46235</v>
      </c>
      <c r="E203" s="18" t="s">
        <v>127</v>
      </c>
      <c r="F203" s="18" t="s">
        <v>119</v>
      </c>
      <c r="G203" s="18" t="s">
        <v>100</v>
      </c>
      <c r="H203" s="18" t="s">
        <v>128</v>
      </c>
      <c r="I203" s="18" t="s">
        <v>125</v>
      </c>
      <c r="J203" s="64" t="n">
        <v>4228.05152</v>
      </c>
      <c r="K203" s="64" t="n">
        <v>3889.8073984</v>
      </c>
      <c r="L203" s="64" t="n">
        <v>3831.460287424</v>
      </c>
      <c r="M203" s="73" t="n">
        <v>0.985</v>
      </c>
      <c r="N203" s="73" t="n">
        <v>0.92</v>
      </c>
      <c r="O203" s="74" t="n">
        <f aca="false">IF(K203="",M203,L203/K203)</f>
        <v>0.985</v>
      </c>
      <c r="P203" s="74" t="n">
        <f aca="false">O203-M203</f>
        <v>0</v>
      </c>
    </row>
    <row r="204" customFormat="false" ht="15" hidden="false" customHeight="false" outlineLevel="0" collapsed="false">
      <c r="A204" s="18" t="s">
        <v>200</v>
      </c>
      <c r="B204" s="18" t="s">
        <v>201</v>
      </c>
      <c r="C204" s="18"/>
      <c r="D204" s="49" t="n">
        <v>46235</v>
      </c>
      <c r="E204" s="18" t="s">
        <v>130</v>
      </c>
      <c r="F204" s="18" t="s">
        <v>119</v>
      </c>
      <c r="G204" s="18" t="s">
        <v>110</v>
      </c>
      <c r="H204" s="18" t="s">
        <v>107</v>
      </c>
      <c r="I204" s="18" t="s">
        <v>125</v>
      </c>
      <c r="J204" s="64" t="n">
        <v>316.1928</v>
      </c>
      <c r="K204" s="64" t="n">
        <v>290.897376</v>
      </c>
      <c r="L204" s="64" t="n">
        <v>281.588659968</v>
      </c>
      <c r="M204" s="73" t="n">
        <v>0.968</v>
      </c>
      <c r="N204" s="73" t="n">
        <v>0.92</v>
      </c>
      <c r="O204" s="74" t="n">
        <f aca="false">IF(K204="",M204,L204/K204)</f>
        <v>0.968</v>
      </c>
      <c r="P204" s="74" t="n">
        <f aca="false">O204-M204</f>
        <v>0</v>
      </c>
    </row>
    <row r="205" customFormat="false" ht="15" hidden="false" customHeight="false" outlineLevel="0" collapsed="false">
      <c r="A205" s="18" t="s">
        <v>203</v>
      </c>
      <c r="B205" s="18" t="s">
        <v>204</v>
      </c>
      <c r="C205" s="18"/>
      <c r="D205" s="49" t="n">
        <v>46266</v>
      </c>
      <c r="E205" s="18" t="s">
        <v>98</v>
      </c>
      <c r="F205" s="18" t="s">
        <v>99</v>
      </c>
      <c r="G205" s="18" t="s">
        <v>100</v>
      </c>
      <c r="H205" s="18" t="s">
        <v>101</v>
      </c>
      <c r="I205" s="18" t="s">
        <v>102</v>
      </c>
      <c r="J205" s="64" t="n">
        <v>3783.9312</v>
      </c>
      <c r="K205" s="64"/>
      <c r="L205" s="64"/>
      <c r="M205" s="73" t="n">
        <v>0.965</v>
      </c>
      <c r="N205" s="73"/>
      <c r="O205" s="74" t="n">
        <f aca="false">IF(K205="",M205,L205/K205)</f>
        <v>0.965</v>
      </c>
      <c r="P205" s="74" t="n">
        <f aca="false">O205-M205</f>
        <v>0</v>
      </c>
    </row>
    <row r="206" customFormat="false" ht="15" hidden="false" customHeight="false" outlineLevel="0" collapsed="false">
      <c r="A206" s="18" t="s">
        <v>203</v>
      </c>
      <c r="B206" s="18" t="s">
        <v>204</v>
      </c>
      <c r="C206" s="18"/>
      <c r="D206" s="49" t="n">
        <v>46266</v>
      </c>
      <c r="E206" s="18" t="s">
        <v>106</v>
      </c>
      <c r="F206" s="18" t="s">
        <v>99</v>
      </c>
      <c r="G206" s="18" t="s">
        <v>100</v>
      </c>
      <c r="H206" s="18" t="s">
        <v>107</v>
      </c>
      <c r="I206" s="18" t="s">
        <v>102</v>
      </c>
      <c r="J206" s="64" t="n">
        <v>2522.6208</v>
      </c>
      <c r="K206" s="64"/>
      <c r="L206" s="64"/>
      <c r="M206" s="73" t="n">
        <v>0.976</v>
      </c>
      <c r="N206" s="73"/>
      <c r="O206" s="74" t="n">
        <f aca="false">IF(K206="",M206,L206/K206)</f>
        <v>0.976</v>
      </c>
      <c r="P206" s="74" t="n">
        <f aca="false">O206-M206</f>
        <v>0</v>
      </c>
    </row>
    <row r="207" customFormat="false" ht="15" hidden="false" customHeight="false" outlineLevel="0" collapsed="false">
      <c r="A207" s="18" t="s">
        <v>203</v>
      </c>
      <c r="B207" s="18" t="s">
        <v>204</v>
      </c>
      <c r="C207" s="18"/>
      <c r="D207" s="49" t="n">
        <v>46266</v>
      </c>
      <c r="E207" s="18" t="s">
        <v>109</v>
      </c>
      <c r="F207" s="18" t="s">
        <v>99</v>
      </c>
      <c r="G207" s="18" t="s">
        <v>110</v>
      </c>
      <c r="H207" s="18" t="s">
        <v>107</v>
      </c>
      <c r="I207" s="18" t="s">
        <v>102</v>
      </c>
      <c r="J207" s="64" t="n">
        <v>200.6208</v>
      </c>
      <c r="K207" s="64"/>
      <c r="L207" s="64"/>
      <c r="M207" s="73" t="n">
        <v>0.968</v>
      </c>
      <c r="N207" s="73"/>
      <c r="O207" s="74" t="n">
        <f aca="false">IF(K207="",M207,L207/K207)</f>
        <v>0.968</v>
      </c>
      <c r="P207" s="74" t="n">
        <f aca="false">O207-M207</f>
        <v>0</v>
      </c>
    </row>
    <row r="208" customFormat="false" ht="15" hidden="false" customHeight="false" outlineLevel="0" collapsed="false">
      <c r="A208" s="18" t="s">
        <v>203</v>
      </c>
      <c r="B208" s="18" t="s">
        <v>204</v>
      </c>
      <c r="C208" s="18"/>
      <c r="D208" s="49" t="n">
        <v>46266</v>
      </c>
      <c r="E208" s="18" t="s">
        <v>112</v>
      </c>
      <c r="F208" s="18" t="s">
        <v>113</v>
      </c>
      <c r="G208" s="18" t="s">
        <v>110</v>
      </c>
      <c r="H208" s="18" t="s">
        <v>101</v>
      </c>
      <c r="I208" s="18" t="s">
        <v>102</v>
      </c>
      <c r="J208" s="64" t="n">
        <v>1914.36</v>
      </c>
      <c r="K208" s="64"/>
      <c r="L208" s="64"/>
      <c r="M208" s="73" t="n">
        <v>0.961</v>
      </c>
      <c r="N208" s="73"/>
      <c r="O208" s="74" t="n">
        <f aca="false">IF(K208="",M208,L208/K208)</f>
        <v>0.961</v>
      </c>
      <c r="P208" s="74" t="n">
        <f aca="false">O208-M208</f>
        <v>0</v>
      </c>
    </row>
    <row r="209" customFormat="false" ht="15" hidden="false" customHeight="false" outlineLevel="0" collapsed="false">
      <c r="A209" s="18" t="s">
        <v>203</v>
      </c>
      <c r="B209" s="18" t="s">
        <v>204</v>
      </c>
      <c r="C209" s="18"/>
      <c r="D209" s="49" t="n">
        <v>46266</v>
      </c>
      <c r="E209" s="18" t="s">
        <v>116</v>
      </c>
      <c r="F209" s="18" t="s">
        <v>113</v>
      </c>
      <c r="G209" s="18" t="s">
        <v>110</v>
      </c>
      <c r="H209" s="18" t="s">
        <v>107</v>
      </c>
      <c r="I209" s="18" t="s">
        <v>102</v>
      </c>
      <c r="J209" s="64" t="n">
        <v>3555.24</v>
      </c>
      <c r="K209" s="64"/>
      <c r="L209" s="64"/>
      <c r="M209" s="73" t="n">
        <v>0.973</v>
      </c>
      <c r="N209" s="73"/>
      <c r="O209" s="74" t="n">
        <f aca="false">IF(K209="",M209,L209/K209)</f>
        <v>0.973</v>
      </c>
      <c r="P209" s="74" t="n">
        <f aca="false">O209-M209</f>
        <v>0</v>
      </c>
    </row>
    <row r="210" customFormat="false" ht="15" hidden="false" customHeight="false" outlineLevel="0" collapsed="false">
      <c r="A210" s="18" t="s">
        <v>203</v>
      </c>
      <c r="B210" s="18" t="s">
        <v>204</v>
      </c>
      <c r="C210" s="18"/>
      <c r="D210" s="49" t="n">
        <v>46266</v>
      </c>
      <c r="E210" s="18" t="s">
        <v>118</v>
      </c>
      <c r="F210" s="18" t="s">
        <v>119</v>
      </c>
      <c r="G210" s="18" t="s">
        <v>100</v>
      </c>
      <c r="H210" s="18" t="s">
        <v>101</v>
      </c>
      <c r="I210" s="18" t="s">
        <v>102</v>
      </c>
      <c r="J210" s="64" t="n">
        <v>2004.22656</v>
      </c>
      <c r="K210" s="64"/>
      <c r="L210" s="64"/>
      <c r="M210" s="73" t="n">
        <v>0.93</v>
      </c>
      <c r="N210" s="73"/>
      <c r="O210" s="74" t="n">
        <f aca="false">IF(K210="",M210,L210/K210)</f>
        <v>0.93</v>
      </c>
      <c r="P210" s="74" t="n">
        <f aca="false">O210-M210</f>
        <v>0</v>
      </c>
    </row>
    <row r="211" customFormat="false" ht="15" hidden="false" customHeight="false" outlineLevel="0" collapsed="false">
      <c r="A211" s="18" t="s">
        <v>203</v>
      </c>
      <c r="B211" s="18" t="s">
        <v>204</v>
      </c>
      <c r="C211" s="18"/>
      <c r="D211" s="49" t="n">
        <v>46266</v>
      </c>
      <c r="E211" s="18" t="s">
        <v>122</v>
      </c>
      <c r="F211" s="18" t="s">
        <v>119</v>
      </c>
      <c r="G211" s="18" t="s">
        <v>100</v>
      </c>
      <c r="H211" s="18" t="s">
        <v>107</v>
      </c>
      <c r="I211" s="18" t="s">
        <v>102</v>
      </c>
      <c r="J211" s="64" t="n">
        <v>1135.728384</v>
      </c>
      <c r="K211" s="64"/>
      <c r="L211" s="64"/>
      <c r="M211" s="73" t="n">
        <v>0.95</v>
      </c>
      <c r="N211" s="73"/>
      <c r="O211" s="74" t="n">
        <f aca="false">IF(K211="",M211,L211/K211)</f>
        <v>0.95</v>
      </c>
      <c r="P211" s="74" t="n">
        <f aca="false">O211-M211</f>
        <v>0</v>
      </c>
    </row>
    <row r="212" customFormat="false" ht="15" hidden="false" customHeight="false" outlineLevel="0" collapsed="false">
      <c r="A212" s="18" t="s">
        <v>203</v>
      </c>
      <c r="B212" s="18" t="s">
        <v>204</v>
      </c>
      <c r="C212" s="18"/>
      <c r="D212" s="49" t="n">
        <v>46266</v>
      </c>
      <c r="E212" s="18" t="s">
        <v>124</v>
      </c>
      <c r="F212" s="18" t="s">
        <v>119</v>
      </c>
      <c r="G212" s="18" t="s">
        <v>100</v>
      </c>
      <c r="H212" s="18" t="s">
        <v>107</v>
      </c>
      <c r="I212" s="18" t="s">
        <v>125</v>
      </c>
      <c r="J212" s="64" t="n">
        <v>1670.1888</v>
      </c>
      <c r="K212" s="64"/>
      <c r="L212" s="64"/>
      <c r="M212" s="73" t="n">
        <v>0.974</v>
      </c>
      <c r="N212" s="73"/>
      <c r="O212" s="74" t="n">
        <f aca="false">IF(K212="",M212,L212/K212)</f>
        <v>0.974</v>
      </c>
      <c r="P212" s="74" t="n">
        <f aca="false">O212-M212</f>
        <v>0</v>
      </c>
    </row>
    <row r="213" customFormat="false" ht="15" hidden="false" customHeight="false" outlineLevel="0" collapsed="false">
      <c r="A213" s="18" t="s">
        <v>203</v>
      </c>
      <c r="B213" s="18" t="s">
        <v>204</v>
      </c>
      <c r="C213" s="18"/>
      <c r="D213" s="49" t="n">
        <v>46266</v>
      </c>
      <c r="E213" s="18" t="s">
        <v>127</v>
      </c>
      <c r="F213" s="18" t="s">
        <v>119</v>
      </c>
      <c r="G213" s="18" t="s">
        <v>100</v>
      </c>
      <c r="H213" s="18" t="s">
        <v>128</v>
      </c>
      <c r="I213" s="18" t="s">
        <v>125</v>
      </c>
      <c r="J213" s="64" t="n">
        <v>1870.611456</v>
      </c>
      <c r="K213" s="64"/>
      <c r="L213" s="64"/>
      <c r="M213" s="73" t="n">
        <v>0.988</v>
      </c>
      <c r="N213" s="73"/>
      <c r="O213" s="74" t="n">
        <f aca="false">IF(K213="",M213,L213/K213)</f>
        <v>0.988</v>
      </c>
      <c r="P213" s="74" t="n">
        <f aca="false">O213-M213</f>
        <v>0</v>
      </c>
    </row>
    <row r="214" customFormat="false" ht="15" hidden="false" customHeight="false" outlineLevel="0" collapsed="false">
      <c r="A214" s="18" t="s">
        <v>203</v>
      </c>
      <c r="B214" s="18" t="s">
        <v>204</v>
      </c>
      <c r="C214" s="18"/>
      <c r="D214" s="49" t="n">
        <v>46266</v>
      </c>
      <c r="E214" s="18" t="s">
        <v>130</v>
      </c>
      <c r="F214" s="18" t="s">
        <v>119</v>
      </c>
      <c r="G214" s="18" t="s">
        <v>110</v>
      </c>
      <c r="H214" s="18" t="s">
        <v>107</v>
      </c>
      <c r="I214" s="18" t="s">
        <v>125</v>
      </c>
      <c r="J214" s="64" t="n">
        <v>273.6864</v>
      </c>
      <c r="K214" s="64"/>
      <c r="L214" s="64"/>
      <c r="M214" s="73" t="n">
        <v>0.971</v>
      </c>
      <c r="N214" s="73"/>
      <c r="O214" s="74" t="n">
        <f aca="false">IF(K214="",M214,L214/K214)</f>
        <v>0.971</v>
      </c>
      <c r="P214" s="74" t="n">
        <f aca="false">O214-M214</f>
        <v>0</v>
      </c>
    </row>
    <row r="215" customFormat="false" ht="15" hidden="false" customHeight="false" outlineLevel="0" collapsed="false">
      <c r="A215" s="18" t="s">
        <v>203</v>
      </c>
      <c r="B215" s="18" t="s">
        <v>204</v>
      </c>
      <c r="C215" s="18"/>
      <c r="D215" s="49" t="n">
        <v>46296</v>
      </c>
      <c r="E215" s="18" t="s">
        <v>98</v>
      </c>
      <c r="F215" s="18" t="s">
        <v>99</v>
      </c>
      <c r="G215" s="18" t="s">
        <v>100</v>
      </c>
      <c r="H215" s="18" t="s">
        <v>101</v>
      </c>
      <c r="I215" s="18" t="s">
        <v>102</v>
      </c>
      <c r="J215" s="64" t="n">
        <v>4051.593</v>
      </c>
      <c r="K215" s="64"/>
      <c r="L215" s="64"/>
      <c r="M215" s="73" t="n">
        <v>0.965</v>
      </c>
      <c r="N215" s="73"/>
      <c r="O215" s="74" t="n">
        <f aca="false">IF(K215="",M215,L215/K215)</f>
        <v>0.965</v>
      </c>
      <c r="P215" s="74" t="n">
        <f aca="false">O215-M215</f>
        <v>0</v>
      </c>
    </row>
    <row r="216" customFormat="false" ht="15" hidden="false" customHeight="false" outlineLevel="0" collapsed="false">
      <c r="A216" s="18" t="s">
        <v>203</v>
      </c>
      <c r="B216" s="18" t="s">
        <v>204</v>
      </c>
      <c r="C216" s="18"/>
      <c r="D216" s="49" t="n">
        <v>46296</v>
      </c>
      <c r="E216" s="18" t="s">
        <v>106</v>
      </c>
      <c r="F216" s="18" t="s">
        <v>99</v>
      </c>
      <c r="G216" s="18" t="s">
        <v>100</v>
      </c>
      <c r="H216" s="18" t="s">
        <v>107</v>
      </c>
      <c r="I216" s="18" t="s">
        <v>102</v>
      </c>
      <c r="J216" s="64" t="n">
        <v>2701.062</v>
      </c>
      <c r="K216" s="64"/>
      <c r="L216" s="64"/>
      <c r="M216" s="73" t="n">
        <v>0.976</v>
      </c>
      <c r="N216" s="73"/>
      <c r="O216" s="74" t="n">
        <f aca="false">IF(K216="",M216,L216/K216)</f>
        <v>0.976</v>
      </c>
      <c r="P216" s="74" t="n">
        <f aca="false">O216-M216</f>
        <v>0</v>
      </c>
    </row>
    <row r="217" customFormat="false" ht="15" hidden="false" customHeight="false" outlineLevel="0" collapsed="false">
      <c r="A217" s="18" t="s">
        <v>203</v>
      </c>
      <c r="B217" s="18" t="s">
        <v>204</v>
      </c>
      <c r="C217" s="18"/>
      <c r="D217" s="49" t="n">
        <v>46296</v>
      </c>
      <c r="E217" s="18" t="s">
        <v>109</v>
      </c>
      <c r="F217" s="18" t="s">
        <v>99</v>
      </c>
      <c r="G217" s="18" t="s">
        <v>110</v>
      </c>
      <c r="H217" s="18" t="s">
        <v>107</v>
      </c>
      <c r="I217" s="18" t="s">
        <v>102</v>
      </c>
      <c r="J217" s="64" t="n">
        <v>214.812</v>
      </c>
      <c r="K217" s="64"/>
      <c r="L217" s="64"/>
      <c r="M217" s="73" t="n">
        <v>0.968</v>
      </c>
      <c r="N217" s="73"/>
      <c r="O217" s="74" t="n">
        <f aca="false">IF(K217="",M217,L217/K217)</f>
        <v>0.968</v>
      </c>
      <c r="P217" s="74" t="n">
        <f aca="false">O217-M217</f>
        <v>0</v>
      </c>
    </row>
    <row r="218" customFormat="false" ht="15" hidden="false" customHeight="false" outlineLevel="0" collapsed="false">
      <c r="A218" s="18" t="s">
        <v>203</v>
      </c>
      <c r="B218" s="18" t="s">
        <v>204</v>
      </c>
      <c r="C218" s="18"/>
      <c r="D218" s="49" t="n">
        <v>46296</v>
      </c>
      <c r="E218" s="18" t="s">
        <v>112</v>
      </c>
      <c r="F218" s="18" t="s">
        <v>113</v>
      </c>
      <c r="G218" s="18" t="s">
        <v>110</v>
      </c>
      <c r="H218" s="18" t="s">
        <v>101</v>
      </c>
      <c r="I218" s="18" t="s">
        <v>102</v>
      </c>
      <c r="J218" s="64" t="n">
        <v>2170.35</v>
      </c>
      <c r="K218" s="64"/>
      <c r="L218" s="64"/>
      <c r="M218" s="73" t="n">
        <v>0.961</v>
      </c>
      <c r="N218" s="73"/>
      <c r="O218" s="74" t="n">
        <f aca="false">IF(K218="",M218,L218/K218)</f>
        <v>0.961</v>
      </c>
      <c r="P218" s="74" t="n">
        <f aca="false">O218-M218</f>
        <v>0</v>
      </c>
    </row>
    <row r="219" customFormat="false" ht="15" hidden="false" customHeight="false" outlineLevel="0" collapsed="false">
      <c r="A219" s="18" t="s">
        <v>203</v>
      </c>
      <c r="B219" s="18" t="s">
        <v>204</v>
      </c>
      <c r="C219" s="18"/>
      <c r="D219" s="49" t="n">
        <v>46296</v>
      </c>
      <c r="E219" s="18" t="s">
        <v>116</v>
      </c>
      <c r="F219" s="18" t="s">
        <v>113</v>
      </c>
      <c r="G219" s="18" t="s">
        <v>110</v>
      </c>
      <c r="H219" s="18" t="s">
        <v>107</v>
      </c>
      <c r="I219" s="18" t="s">
        <v>102</v>
      </c>
      <c r="J219" s="64" t="n">
        <v>4030.65</v>
      </c>
      <c r="K219" s="64"/>
      <c r="L219" s="64"/>
      <c r="M219" s="73" t="n">
        <v>0.973</v>
      </c>
      <c r="N219" s="73"/>
      <c r="O219" s="74" t="n">
        <f aca="false">IF(K219="",M219,L219/K219)</f>
        <v>0.973</v>
      </c>
      <c r="P219" s="74" t="n">
        <f aca="false">O219-M219</f>
        <v>0</v>
      </c>
    </row>
    <row r="220" customFormat="false" ht="15" hidden="false" customHeight="false" outlineLevel="0" collapsed="false">
      <c r="A220" s="18" t="s">
        <v>203</v>
      </c>
      <c r="B220" s="18" t="s">
        <v>204</v>
      </c>
      <c r="C220" s="18"/>
      <c r="D220" s="49" t="n">
        <v>46296</v>
      </c>
      <c r="E220" s="18" t="s">
        <v>118</v>
      </c>
      <c r="F220" s="18" t="s">
        <v>119</v>
      </c>
      <c r="G220" s="18" t="s">
        <v>100</v>
      </c>
      <c r="H220" s="18" t="s">
        <v>101</v>
      </c>
      <c r="I220" s="18" t="s">
        <v>102</v>
      </c>
      <c r="J220" s="64" t="n">
        <v>2838.55104</v>
      </c>
      <c r="K220" s="64"/>
      <c r="L220" s="64"/>
      <c r="M220" s="73" t="n">
        <v>0.93</v>
      </c>
      <c r="N220" s="73"/>
      <c r="O220" s="74" t="n">
        <f aca="false">IF(K220="",M220,L220/K220)</f>
        <v>0.93</v>
      </c>
      <c r="P220" s="74" t="n">
        <f aca="false">O220-M220</f>
        <v>0</v>
      </c>
    </row>
    <row r="221" customFormat="false" ht="15" hidden="false" customHeight="false" outlineLevel="0" collapsed="false">
      <c r="A221" s="18" t="s">
        <v>203</v>
      </c>
      <c r="B221" s="18" t="s">
        <v>204</v>
      </c>
      <c r="C221" s="18"/>
      <c r="D221" s="49" t="n">
        <v>46296</v>
      </c>
      <c r="E221" s="18" t="s">
        <v>122</v>
      </c>
      <c r="F221" s="18" t="s">
        <v>119</v>
      </c>
      <c r="G221" s="18" t="s">
        <v>100</v>
      </c>
      <c r="H221" s="18" t="s">
        <v>107</v>
      </c>
      <c r="I221" s="18" t="s">
        <v>102</v>
      </c>
      <c r="J221" s="64" t="n">
        <v>1576.9728</v>
      </c>
      <c r="K221" s="64"/>
      <c r="L221" s="64"/>
      <c r="M221" s="73" t="n">
        <v>0.95</v>
      </c>
      <c r="N221" s="73"/>
      <c r="O221" s="74" t="n">
        <f aca="false">IF(K221="",M221,L221/K221)</f>
        <v>0.95</v>
      </c>
      <c r="P221" s="74" t="n">
        <f aca="false">O221-M221</f>
        <v>0</v>
      </c>
    </row>
    <row r="222" customFormat="false" ht="15" hidden="false" customHeight="false" outlineLevel="0" collapsed="false">
      <c r="A222" s="18" t="s">
        <v>203</v>
      </c>
      <c r="B222" s="18" t="s">
        <v>204</v>
      </c>
      <c r="C222" s="18"/>
      <c r="D222" s="49" t="n">
        <v>46296</v>
      </c>
      <c r="E222" s="18" t="s">
        <v>124</v>
      </c>
      <c r="F222" s="18" t="s">
        <v>119</v>
      </c>
      <c r="G222" s="18" t="s">
        <v>100</v>
      </c>
      <c r="H222" s="18" t="s">
        <v>107</v>
      </c>
      <c r="I222" s="18" t="s">
        <v>125</v>
      </c>
      <c r="J222" s="64" t="n">
        <v>1892.36736</v>
      </c>
      <c r="K222" s="64"/>
      <c r="L222" s="64"/>
      <c r="M222" s="73" t="n">
        <v>0.974</v>
      </c>
      <c r="N222" s="73"/>
      <c r="O222" s="74" t="n">
        <f aca="false">IF(K222="",M222,L222/K222)</f>
        <v>0.974</v>
      </c>
      <c r="P222" s="74" t="n">
        <f aca="false">O222-M222</f>
        <v>0</v>
      </c>
    </row>
    <row r="223" customFormat="false" ht="15" hidden="false" customHeight="false" outlineLevel="0" collapsed="false">
      <c r="A223" s="18" t="s">
        <v>203</v>
      </c>
      <c r="B223" s="18" t="s">
        <v>204</v>
      </c>
      <c r="C223" s="18"/>
      <c r="D223" s="49" t="n">
        <v>46296</v>
      </c>
      <c r="E223" s="18" t="s">
        <v>127</v>
      </c>
      <c r="F223" s="18" t="s">
        <v>119</v>
      </c>
      <c r="G223" s="18" t="s">
        <v>100</v>
      </c>
      <c r="H223" s="18" t="s">
        <v>128</v>
      </c>
      <c r="I223" s="18" t="s">
        <v>125</v>
      </c>
      <c r="J223" s="64" t="n">
        <v>1576.9728</v>
      </c>
      <c r="K223" s="64"/>
      <c r="L223" s="64"/>
      <c r="M223" s="73" t="n">
        <v>0.988</v>
      </c>
      <c r="N223" s="73"/>
      <c r="O223" s="74" t="n">
        <f aca="false">IF(K223="",M223,L223/K223)</f>
        <v>0.988</v>
      </c>
      <c r="P223" s="74" t="n">
        <f aca="false">O223-M223</f>
        <v>0</v>
      </c>
    </row>
    <row r="224" customFormat="false" ht="15" hidden="false" customHeight="false" outlineLevel="0" collapsed="false">
      <c r="A224" s="18" t="s">
        <v>203</v>
      </c>
      <c r="B224" s="18" t="s">
        <v>204</v>
      </c>
      <c r="C224" s="18"/>
      <c r="D224" s="49" t="n">
        <v>46296</v>
      </c>
      <c r="E224" s="18" t="s">
        <v>130</v>
      </c>
      <c r="F224" s="18" t="s">
        <v>119</v>
      </c>
      <c r="G224" s="18" t="s">
        <v>110</v>
      </c>
      <c r="H224" s="18" t="s">
        <v>107</v>
      </c>
      <c r="I224" s="18" t="s">
        <v>125</v>
      </c>
      <c r="J224" s="64" t="n">
        <v>328.536</v>
      </c>
      <c r="K224" s="64"/>
      <c r="L224" s="64"/>
      <c r="M224" s="73" t="n">
        <v>0.971</v>
      </c>
      <c r="N224" s="73"/>
      <c r="O224" s="74" t="n">
        <f aca="false">IF(K224="",M224,L224/K224)</f>
        <v>0.971</v>
      </c>
      <c r="P224" s="74" t="n">
        <f aca="false">O224-M224</f>
        <v>0</v>
      </c>
    </row>
    <row r="225" customFormat="false" ht="15" hidden="false" customHeight="false" outlineLevel="0" collapsed="false">
      <c r="A225" s="18" t="s">
        <v>203</v>
      </c>
      <c r="B225" s="18" t="s">
        <v>204</v>
      </c>
      <c r="C225" s="18"/>
      <c r="D225" s="49" t="n">
        <v>46327</v>
      </c>
      <c r="E225" s="18" t="s">
        <v>98</v>
      </c>
      <c r="F225" s="18" t="s">
        <v>99</v>
      </c>
      <c r="G225" s="18" t="s">
        <v>100</v>
      </c>
      <c r="H225" s="18" t="s">
        <v>101</v>
      </c>
      <c r="I225" s="18" t="s">
        <v>102</v>
      </c>
      <c r="J225" s="64" t="n">
        <v>4849.6896</v>
      </c>
      <c r="K225" s="64"/>
      <c r="L225" s="64"/>
      <c r="M225" s="73" t="n">
        <v>0.965</v>
      </c>
      <c r="N225" s="73"/>
      <c r="O225" s="74" t="n">
        <f aca="false">IF(K225="",M225,L225/K225)</f>
        <v>0.965</v>
      </c>
      <c r="P225" s="74" t="n">
        <f aca="false">O225-M225</f>
        <v>0</v>
      </c>
    </row>
    <row r="226" customFormat="false" ht="15" hidden="false" customHeight="false" outlineLevel="0" collapsed="false">
      <c r="A226" s="18" t="s">
        <v>203</v>
      </c>
      <c r="B226" s="18" t="s">
        <v>204</v>
      </c>
      <c r="C226" s="18"/>
      <c r="D226" s="49" t="n">
        <v>46327</v>
      </c>
      <c r="E226" s="18" t="s">
        <v>106</v>
      </c>
      <c r="F226" s="18" t="s">
        <v>99</v>
      </c>
      <c r="G226" s="18" t="s">
        <v>100</v>
      </c>
      <c r="H226" s="18" t="s">
        <v>107</v>
      </c>
      <c r="I226" s="18" t="s">
        <v>102</v>
      </c>
      <c r="J226" s="64" t="n">
        <v>3233.1264</v>
      </c>
      <c r="K226" s="64"/>
      <c r="L226" s="64"/>
      <c r="M226" s="73" t="n">
        <v>0.976</v>
      </c>
      <c r="N226" s="73"/>
      <c r="O226" s="74" t="n">
        <f aca="false">IF(K226="",M226,L226/K226)</f>
        <v>0.976</v>
      </c>
      <c r="P226" s="74" t="n">
        <f aca="false">O226-M226</f>
        <v>0</v>
      </c>
    </row>
    <row r="227" customFormat="false" ht="15" hidden="false" customHeight="false" outlineLevel="0" collapsed="false">
      <c r="A227" s="18" t="s">
        <v>203</v>
      </c>
      <c r="B227" s="18" t="s">
        <v>204</v>
      </c>
      <c r="C227" s="18"/>
      <c r="D227" s="49" t="n">
        <v>46327</v>
      </c>
      <c r="E227" s="18" t="s">
        <v>109</v>
      </c>
      <c r="F227" s="18" t="s">
        <v>99</v>
      </c>
      <c r="G227" s="18" t="s">
        <v>110</v>
      </c>
      <c r="H227" s="18" t="s">
        <v>107</v>
      </c>
      <c r="I227" s="18" t="s">
        <v>102</v>
      </c>
      <c r="J227" s="64" t="n">
        <v>257.1264</v>
      </c>
      <c r="K227" s="64"/>
      <c r="L227" s="64"/>
      <c r="M227" s="73" t="n">
        <v>0.968</v>
      </c>
      <c r="N227" s="73"/>
      <c r="O227" s="74" t="n">
        <f aca="false">IF(K227="",M227,L227/K227)</f>
        <v>0.968</v>
      </c>
      <c r="P227" s="74" t="n">
        <f aca="false">O227-M227</f>
        <v>0</v>
      </c>
    </row>
    <row r="228" customFormat="false" ht="15" hidden="false" customHeight="false" outlineLevel="0" collapsed="false">
      <c r="A228" s="18" t="s">
        <v>203</v>
      </c>
      <c r="B228" s="18" t="s">
        <v>204</v>
      </c>
      <c r="C228" s="18"/>
      <c r="D228" s="49" t="n">
        <v>46327</v>
      </c>
      <c r="E228" s="18" t="s">
        <v>112</v>
      </c>
      <c r="F228" s="18" t="s">
        <v>113</v>
      </c>
      <c r="G228" s="18" t="s">
        <v>110</v>
      </c>
      <c r="H228" s="18" t="s">
        <v>101</v>
      </c>
      <c r="I228" s="18" t="s">
        <v>102</v>
      </c>
      <c r="J228" s="64" t="n">
        <v>2668.232</v>
      </c>
      <c r="K228" s="64"/>
      <c r="L228" s="64"/>
      <c r="M228" s="73" t="n">
        <v>0.961</v>
      </c>
      <c r="N228" s="73"/>
      <c r="O228" s="74" t="n">
        <f aca="false">IF(K228="",M228,L228/K228)</f>
        <v>0.961</v>
      </c>
      <c r="P228" s="74" t="n">
        <f aca="false">O228-M228</f>
        <v>0</v>
      </c>
    </row>
    <row r="229" customFormat="false" ht="15" hidden="false" customHeight="false" outlineLevel="0" collapsed="false">
      <c r="A229" s="18" t="s">
        <v>203</v>
      </c>
      <c r="B229" s="18" t="s">
        <v>204</v>
      </c>
      <c r="C229" s="18"/>
      <c r="D229" s="49" t="n">
        <v>46327</v>
      </c>
      <c r="E229" s="18" t="s">
        <v>116</v>
      </c>
      <c r="F229" s="18" t="s">
        <v>113</v>
      </c>
      <c r="G229" s="18" t="s">
        <v>110</v>
      </c>
      <c r="H229" s="18" t="s">
        <v>107</v>
      </c>
      <c r="I229" s="18" t="s">
        <v>102</v>
      </c>
      <c r="J229" s="64" t="n">
        <v>4955.288</v>
      </c>
      <c r="K229" s="64"/>
      <c r="L229" s="64"/>
      <c r="M229" s="73" t="n">
        <v>0.973</v>
      </c>
      <c r="N229" s="73"/>
      <c r="O229" s="74" t="n">
        <f aca="false">IF(K229="",M229,L229/K229)</f>
        <v>0.973</v>
      </c>
      <c r="P229" s="74" t="n">
        <f aca="false">O229-M229</f>
        <v>0</v>
      </c>
    </row>
    <row r="230" customFormat="false" ht="15" hidden="false" customHeight="false" outlineLevel="0" collapsed="false">
      <c r="A230" s="18" t="s">
        <v>203</v>
      </c>
      <c r="B230" s="18" t="s">
        <v>204</v>
      </c>
      <c r="C230" s="18"/>
      <c r="D230" s="49" t="n">
        <v>46327</v>
      </c>
      <c r="E230" s="18" t="s">
        <v>118</v>
      </c>
      <c r="F230" s="18" t="s">
        <v>119</v>
      </c>
      <c r="G230" s="18" t="s">
        <v>100</v>
      </c>
      <c r="H230" s="18" t="s">
        <v>101</v>
      </c>
      <c r="I230" s="18" t="s">
        <v>102</v>
      </c>
      <c r="J230" s="64" t="n">
        <v>4562.707968</v>
      </c>
      <c r="K230" s="64"/>
      <c r="L230" s="64"/>
      <c r="M230" s="73" t="n">
        <v>0.93</v>
      </c>
      <c r="N230" s="73"/>
      <c r="O230" s="74" t="n">
        <f aca="false">IF(K230="",M230,L230/K230)</f>
        <v>0.93</v>
      </c>
      <c r="P230" s="74" t="n">
        <f aca="false">O230-M230</f>
        <v>0</v>
      </c>
    </row>
    <row r="231" customFormat="false" ht="15" hidden="false" customHeight="false" outlineLevel="0" collapsed="false">
      <c r="A231" s="18" t="s">
        <v>203</v>
      </c>
      <c r="B231" s="18" t="s">
        <v>204</v>
      </c>
      <c r="C231" s="18"/>
      <c r="D231" s="49" t="n">
        <v>46327</v>
      </c>
      <c r="E231" s="18" t="s">
        <v>122</v>
      </c>
      <c r="F231" s="18" t="s">
        <v>119</v>
      </c>
      <c r="G231" s="18" t="s">
        <v>100</v>
      </c>
      <c r="H231" s="18" t="s">
        <v>107</v>
      </c>
      <c r="I231" s="18" t="s">
        <v>102</v>
      </c>
      <c r="J231" s="64" t="n">
        <v>2498.625792</v>
      </c>
      <c r="K231" s="64"/>
      <c r="L231" s="64"/>
      <c r="M231" s="73" t="n">
        <v>0.95</v>
      </c>
      <c r="N231" s="73"/>
      <c r="O231" s="74" t="n">
        <f aca="false">IF(K231="",M231,L231/K231)</f>
        <v>0.95</v>
      </c>
      <c r="P231" s="74" t="n">
        <f aca="false">O231-M231</f>
        <v>0</v>
      </c>
    </row>
    <row r="232" customFormat="false" ht="15" hidden="false" customHeight="false" outlineLevel="0" collapsed="false">
      <c r="A232" s="18" t="s">
        <v>203</v>
      </c>
      <c r="B232" s="18" t="s">
        <v>204</v>
      </c>
      <c r="C232" s="18"/>
      <c r="D232" s="49" t="n">
        <v>46327</v>
      </c>
      <c r="E232" s="18" t="s">
        <v>124</v>
      </c>
      <c r="F232" s="18" t="s">
        <v>119</v>
      </c>
      <c r="G232" s="18" t="s">
        <v>100</v>
      </c>
      <c r="H232" s="18" t="s">
        <v>107</v>
      </c>
      <c r="I232" s="18" t="s">
        <v>125</v>
      </c>
      <c r="J232" s="64" t="n">
        <v>2389.989888</v>
      </c>
      <c r="K232" s="64"/>
      <c r="L232" s="64"/>
      <c r="M232" s="73" t="n">
        <v>0.974</v>
      </c>
      <c r="N232" s="73"/>
      <c r="O232" s="74" t="n">
        <f aca="false">IF(K232="",M232,L232/K232)</f>
        <v>0.974</v>
      </c>
      <c r="P232" s="74" t="n">
        <f aca="false">O232-M232</f>
        <v>0</v>
      </c>
    </row>
    <row r="233" customFormat="false" ht="15" hidden="false" customHeight="false" outlineLevel="0" collapsed="false">
      <c r="A233" s="18" t="s">
        <v>203</v>
      </c>
      <c r="B233" s="18" t="s">
        <v>204</v>
      </c>
      <c r="C233" s="18"/>
      <c r="D233" s="49" t="n">
        <v>46327</v>
      </c>
      <c r="E233" s="18" t="s">
        <v>127</v>
      </c>
      <c r="F233" s="18" t="s">
        <v>119</v>
      </c>
      <c r="G233" s="18" t="s">
        <v>100</v>
      </c>
      <c r="H233" s="18" t="s">
        <v>128</v>
      </c>
      <c r="I233" s="18" t="s">
        <v>125</v>
      </c>
      <c r="J233" s="64" t="n">
        <v>1412.266752</v>
      </c>
      <c r="K233" s="64"/>
      <c r="L233" s="64"/>
      <c r="M233" s="73" t="n">
        <v>0.988</v>
      </c>
      <c r="N233" s="73"/>
      <c r="O233" s="74" t="n">
        <f aca="false">IF(K233="",M233,L233/K233)</f>
        <v>0.988</v>
      </c>
      <c r="P233" s="74" t="n">
        <f aca="false">O233-M233</f>
        <v>0</v>
      </c>
    </row>
    <row r="234" customFormat="false" ht="15" hidden="false" customHeight="false" outlineLevel="0" collapsed="false">
      <c r="A234" s="18" t="s">
        <v>203</v>
      </c>
      <c r="B234" s="18" t="s">
        <v>204</v>
      </c>
      <c r="C234" s="18"/>
      <c r="D234" s="49" t="n">
        <v>46327</v>
      </c>
      <c r="E234" s="18" t="s">
        <v>130</v>
      </c>
      <c r="F234" s="18" t="s">
        <v>119</v>
      </c>
      <c r="G234" s="18" t="s">
        <v>110</v>
      </c>
      <c r="H234" s="18" t="s">
        <v>107</v>
      </c>
      <c r="I234" s="18" t="s">
        <v>125</v>
      </c>
      <c r="J234" s="64" t="n">
        <v>452.6496</v>
      </c>
      <c r="K234" s="64"/>
      <c r="L234" s="64"/>
      <c r="M234" s="73" t="n">
        <v>0.971</v>
      </c>
      <c r="N234" s="73"/>
      <c r="O234" s="74" t="n">
        <f aca="false">IF(K234="",M234,L234/K234)</f>
        <v>0.971</v>
      </c>
      <c r="P234" s="74" t="n">
        <f aca="false">O234-M234</f>
        <v>0</v>
      </c>
    </row>
    <row r="235" customFormat="false" ht="15" hidden="false" customHeight="false" outlineLevel="0" collapsed="false">
      <c r="A235" s="18" t="s">
        <v>203</v>
      </c>
      <c r="B235" s="18" t="s">
        <v>204</v>
      </c>
      <c r="C235" s="18"/>
      <c r="D235" s="49" t="n">
        <v>46357</v>
      </c>
      <c r="E235" s="18" t="s">
        <v>98</v>
      </c>
      <c r="F235" s="18" t="s">
        <v>99</v>
      </c>
      <c r="G235" s="18" t="s">
        <v>100</v>
      </c>
      <c r="H235" s="18" t="s">
        <v>101</v>
      </c>
      <c r="I235" s="18" t="s">
        <v>102</v>
      </c>
      <c r="J235" s="64" t="n">
        <v>5592.7872</v>
      </c>
      <c r="K235" s="64"/>
      <c r="L235" s="64"/>
      <c r="M235" s="73" t="n">
        <v>0.965</v>
      </c>
      <c r="N235" s="73"/>
      <c r="O235" s="74" t="n">
        <f aca="false">IF(K235="",M235,L235/K235)</f>
        <v>0.965</v>
      </c>
      <c r="P235" s="74" t="n">
        <f aca="false">O235-M235</f>
        <v>0</v>
      </c>
    </row>
    <row r="236" customFormat="false" ht="15" hidden="false" customHeight="false" outlineLevel="0" collapsed="false">
      <c r="A236" s="18" t="s">
        <v>203</v>
      </c>
      <c r="B236" s="18" t="s">
        <v>204</v>
      </c>
      <c r="C236" s="18"/>
      <c r="D236" s="49" t="n">
        <v>46357</v>
      </c>
      <c r="E236" s="18" t="s">
        <v>106</v>
      </c>
      <c r="F236" s="18" t="s">
        <v>99</v>
      </c>
      <c r="G236" s="18" t="s">
        <v>100</v>
      </c>
      <c r="H236" s="18" t="s">
        <v>107</v>
      </c>
      <c r="I236" s="18" t="s">
        <v>102</v>
      </c>
      <c r="J236" s="64" t="n">
        <v>3728.5248</v>
      </c>
      <c r="K236" s="64"/>
      <c r="L236" s="64"/>
      <c r="M236" s="73" t="n">
        <v>0.976</v>
      </c>
      <c r="N236" s="73"/>
      <c r="O236" s="74" t="n">
        <f aca="false">IF(K236="",M236,L236/K236)</f>
        <v>0.976</v>
      </c>
      <c r="P236" s="74" t="n">
        <f aca="false">O236-M236</f>
        <v>0</v>
      </c>
    </row>
    <row r="237" customFormat="false" ht="15" hidden="false" customHeight="false" outlineLevel="0" collapsed="false">
      <c r="A237" s="18" t="s">
        <v>203</v>
      </c>
      <c r="B237" s="18" t="s">
        <v>204</v>
      </c>
      <c r="C237" s="18"/>
      <c r="D237" s="49" t="n">
        <v>46357</v>
      </c>
      <c r="E237" s="18" t="s">
        <v>109</v>
      </c>
      <c r="F237" s="18" t="s">
        <v>99</v>
      </c>
      <c r="G237" s="18" t="s">
        <v>110</v>
      </c>
      <c r="H237" s="18" t="s">
        <v>107</v>
      </c>
      <c r="I237" s="18" t="s">
        <v>102</v>
      </c>
      <c r="J237" s="64" t="n">
        <v>296.5248</v>
      </c>
      <c r="K237" s="64"/>
      <c r="L237" s="64"/>
      <c r="M237" s="73" t="n">
        <v>0.968</v>
      </c>
      <c r="N237" s="73"/>
      <c r="O237" s="74" t="n">
        <f aca="false">IF(K237="",M237,L237/K237)</f>
        <v>0.968</v>
      </c>
      <c r="P237" s="74" t="n">
        <f aca="false">O237-M237</f>
        <v>0</v>
      </c>
    </row>
    <row r="238" customFormat="false" ht="15" hidden="false" customHeight="false" outlineLevel="0" collapsed="false">
      <c r="A238" s="18" t="s">
        <v>203</v>
      </c>
      <c r="B238" s="18" t="s">
        <v>204</v>
      </c>
      <c r="C238" s="18"/>
      <c r="D238" s="49" t="n">
        <v>46357</v>
      </c>
      <c r="E238" s="18" t="s">
        <v>112</v>
      </c>
      <c r="F238" s="18" t="s">
        <v>113</v>
      </c>
      <c r="G238" s="18" t="s">
        <v>110</v>
      </c>
      <c r="H238" s="18" t="s">
        <v>101</v>
      </c>
      <c r="I238" s="18" t="s">
        <v>102</v>
      </c>
      <c r="J238" s="64" t="n">
        <v>2970.968</v>
      </c>
      <c r="K238" s="64"/>
      <c r="L238" s="64"/>
      <c r="M238" s="73" t="n">
        <v>0.961</v>
      </c>
      <c r="N238" s="73"/>
      <c r="O238" s="74" t="n">
        <f aca="false">IF(K238="",M238,L238/K238)</f>
        <v>0.961</v>
      </c>
      <c r="P238" s="74" t="n">
        <f aca="false">O238-M238</f>
        <v>0</v>
      </c>
    </row>
    <row r="239" customFormat="false" ht="15" hidden="false" customHeight="false" outlineLevel="0" collapsed="false">
      <c r="A239" s="18" t="s">
        <v>203</v>
      </c>
      <c r="B239" s="18" t="s">
        <v>204</v>
      </c>
      <c r="C239" s="18"/>
      <c r="D239" s="49" t="n">
        <v>46357</v>
      </c>
      <c r="E239" s="18" t="s">
        <v>116</v>
      </c>
      <c r="F239" s="18" t="s">
        <v>113</v>
      </c>
      <c r="G239" s="18" t="s">
        <v>110</v>
      </c>
      <c r="H239" s="18" t="s">
        <v>107</v>
      </c>
      <c r="I239" s="18" t="s">
        <v>102</v>
      </c>
      <c r="J239" s="64" t="n">
        <v>5517.512</v>
      </c>
      <c r="K239" s="64"/>
      <c r="L239" s="64"/>
      <c r="M239" s="73" t="n">
        <v>0.973</v>
      </c>
      <c r="N239" s="73"/>
      <c r="O239" s="74" t="n">
        <f aca="false">IF(K239="",M239,L239/K239)</f>
        <v>0.973</v>
      </c>
      <c r="P239" s="74" t="n">
        <f aca="false">O239-M239</f>
        <v>0</v>
      </c>
    </row>
    <row r="240" customFormat="false" ht="15" hidden="false" customHeight="false" outlineLevel="0" collapsed="false">
      <c r="A240" s="18" t="s">
        <v>203</v>
      </c>
      <c r="B240" s="18" t="s">
        <v>204</v>
      </c>
      <c r="C240" s="18"/>
      <c r="D240" s="49" t="n">
        <v>46357</v>
      </c>
      <c r="E240" s="18" t="s">
        <v>118</v>
      </c>
      <c r="F240" s="18" t="s">
        <v>119</v>
      </c>
      <c r="G240" s="18" t="s">
        <v>100</v>
      </c>
      <c r="H240" s="18" t="s">
        <v>101</v>
      </c>
      <c r="I240" s="18" t="s">
        <v>102</v>
      </c>
      <c r="J240" s="64" t="n">
        <v>6167.71584</v>
      </c>
      <c r="K240" s="64"/>
      <c r="L240" s="64"/>
      <c r="M240" s="73" t="n">
        <v>0.93</v>
      </c>
      <c r="N240" s="73"/>
      <c r="O240" s="74" t="n">
        <f aca="false">IF(K240="",M240,L240/K240)</f>
        <v>0.93</v>
      </c>
      <c r="P240" s="74" t="n">
        <f aca="false">O240-M240</f>
        <v>0</v>
      </c>
    </row>
    <row r="241" customFormat="false" ht="15" hidden="false" customHeight="false" outlineLevel="0" collapsed="false">
      <c r="A241" s="18" t="s">
        <v>203</v>
      </c>
      <c r="B241" s="18" t="s">
        <v>204</v>
      </c>
      <c r="C241" s="18"/>
      <c r="D241" s="49" t="n">
        <v>46357</v>
      </c>
      <c r="E241" s="18" t="s">
        <v>122</v>
      </c>
      <c r="F241" s="18" t="s">
        <v>119</v>
      </c>
      <c r="G241" s="18" t="s">
        <v>100</v>
      </c>
      <c r="H241" s="18" t="s">
        <v>107</v>
      </c>
      <c r="I241" s="18" t="s">
        <v>102</v>
      </c>
      <c r="J241" s="64" t="n">
        <v>3212.352</v>
      </c>
      <c r="K241" s="64"/>
      <c r="L241" s="64"/>
      <c r="M241" s="73" t="n">
        <v>0.95</v>
      </c>
      <c r="N241" s="73"/>
      <c r="O241" s="74" t="n">
        <f aca="false">IF(K241="",M241,L241/K241)</f>
        <v>0.95</v>
      </c>
      <c r="P241" s="74" t="n">
        <f aca="false">O241-M241</f>
        <v>0</v>
      </c>
    </row>
    <row r="242" customFormat="false" ht="15" hidden="false" customHeight="false" outlineLevel="0" collapsed="false">
      <c r="A242" s="18" t="s">
        <v>203</v>
      </c>
      <c r="B242" s="18" t="s">
        <v>204</v>
      </c>
      <c r="C242" s="18"/>
      <c r="D242" s="49" t="n">
        <v>46357</v>
      </c>
      <c r="E242" s="18" t="s">
        <v>124</v>
      </c>
      <c r="F242" s="18" t="s">
        <v>119</v>
      </c>
      <c r="G242" s="18" t="s">
        <v>100</v>
      </c>
      <c r="H242" s="18" t="s">
        <v>107</v>
      </c>
      <c r="I242" s="18" t="s">
        <v>125</v>
      </c>
      <c r="J242" s="64" t="n">
        <v>2441.38752</v>
      </c>
      <c r="K242" s="64"/>
      <c r="L242" s="64"/>
      <c r="M242" s="73" t="n">
        <v>0.974</v>
      </c>
      <c r="N242" s="73"/>
      <c r="O242" s="74" t="n">
        <f aca="false">IF(K242="",M242,L242/K242)</f>
        <v>0.974</v>
      </c>
      <c r="P242" s="74" t="n">
        <f aca="false">O242-M242</f>
        <v>0</v>
      </c>
    </row>
    <row r="243" customFormat="false" ht="15" hidden="false" customHeight="false" outlineLevel="0" collapsed="false">
      <c r="A243" s="18" t="s">
        <v>203</v>
      </c>
      <c r="B243" s="18" t="s">
        <v>204</v>
      </c>
      <c r="C243" s="18"/>
      <c r="D243" s="49" t="n">
        <v>46357</v>
      </c>
      <c r="E243" s="18" t="s">
        <v>127</v>
      </c>
      <c r="F243" s="18" t="s">
        <v>119</v>
      </c>
      <c r="G243" s="18" t="s">
        <v>100</v>
      </c>
      <c r="H243" s="18" t="s">
        <v>128</v>
      </c>
      <c r="I243" s="18" t="s">
        <v>125</v>
      </c>
      <c r="J243" s="64" t="n">
        <v>1027.95264</v>
      </c>
      <c r="K243" s="64"/>
      <c r="L243" s="64"/>
      <c r="M243" s="73" t="n">
        <v>0.988</v>
      </c>
      <c r="N243" s="73"/>
      <c r="O243" s="74" t="n">
        <f aca="false">IF(K243="",M243,L243/K243)</f>
        <v>0.988</v>
      </c>
      <c r="P243" s="74" t="n">
        <f aca="false">O243-M243</f>
        <v>0</v>
      </c>
    </row>
    <row r="244" customFormat="false" ht="15" hidden="false" customHeight="false" outlineLevel="0" collapsed="false">
      <c r="A244" s="18" t="s">
        <v>203</v>
      </c>
      <c r="B244" s="18" t="s">
        <v>204</v>
      </c>
      <c r="C244" s="18"/>
      <c r="D244" s="49" t="n">
        <v>46357</v>
      </c>
      <c r="E244" s="18" t="s">
        <v>130</v>
      </c>
      <c r="F244" s="18" t="s">
        <v>119</v>
      </c>
      <c r="G244" s="18" t="s">
        <v>110</v>
      </c>
      <c r="H244" s="18" t="s">
        <v>107</v>
      </c>
      <c r="I244" s="18" t="s">
        <v>125</v>
      </c>
      <c r="J244" s="64" t="n">
        <v>535.392</v>
      </c>
      <c r="K244" s="64"/>
      <c r="L244" s="64"/>
      <c r="M244" s="73" t="n">
        <v>0.971</v>
      </c>
      <c r="N244" s="73"/>
      <c r="O244" s="74" t="n">
        <f aca="false">IF(K244="",M244,L244/K244)</f>
        <v>0.971</v>
      </c>
      <c r="P244" s="74" t="n">
        <f aca="false">O244-M244</f>
        <v>0</v>
      </c>
    </row>
    <row r="245" customFormat="false" ht="15" hidden="false" customHeight="false" outlineLevel="0" collapsed="false">
      <c r="A245" s="18" t="s">
        <v>206</v>
      </c>
      <c r="B245" s="18" t="s">
        <v>207</v>
      </c>
      <c r="C245" s="18" t="s">
        <v>208</v>
      </c>
      <c r="D245" s="49" t="n">
        <v>46266</v>
      </c>
      <c r="E245" s="18" t="s">
        <v>98</v>
      </c>
      <c r="F245" s="18" t="s">
        <v>99</v>
      </c>
      <c r="G245" s="18" t="s">
        <v>100</v>
      </c>
      <c r="H245" s="18" t="s">
        <v>101</v>
      </c>
      <c r="I245" s="18" t="s">
        <v>102</v>
      </c>
      <c r="J245" s="64" t="n">
        <v>3783.9312</v>
      </c>
      <c r="K245" s="64"/>
      <c r="L245" s="64"/>
      <c r="M245" s="73" t="n">
        <v>0.965</v>
      </c>
      <c r="N245" s="73"/>
      <c r="O245" s="74" t="n">
        <f aca="false">IF(K245="",M245,L245/K245)</f>
        <v>0.965</v>
      </c>
      <c r="P245" s="74" t="n">
        <f aca="false">O245-M245</f>
        <v>0</v>
      </c>
    </row>
    <row r="246" customFormat="false" ht="15" hidden="false" customHeight="false" outlineLevel="0" collapsed="false">
      <c r="A246" s="18" t="s">
        <v>206</v>
      </c>
      <c r="B246" s="18" t="s">
        <v>207</v>
      </c>
      <c r="C246" s="18" t="s">
        <v>208</v>
      </c>
      <c r="D246" s="49" t="n">
        <v>46266</v>
      </c>
      <c r="E246" s="18" t="s">
        <v>106</v>
      </c>
      <c r="F246" s="18" t="s">
        <v>99</v>
      </c>
      <c r="G246" s="18" t="s">
        <v>100</v>
      </c>
      <c r="H246" s="18" t="s">
        <v>107</v>
      </c>
      <c r="I246" s="18" t="s">
        <v>102</v>
      </c>
      <c r="J246" s="64" t="n">
        <v>2522.6208</v>
      </c>
      <c r="K246" s="64"/>
      <c r="L246" s="64"/>
      <c r="M246" s="73" t="n">
        <v>0.976</v>
      </c>
      <c r="N246" s="73"/>
      <c r="O246" s="74" t="n">
        <f aca="false">IF(K246="",M246,L246/K246)</f>
        <v>0.976</v>
      </c>
      <c r="P246" s="74" t="n">
        <f aca="false">O246-M246</f>
        <v>0</v>
      </c>
    </row>
    <row r="247" customFormat="false" ht="15" hidden="false" customHeight="false" outlineLevel="0" collapsed="false">
      <c r="A247" s="18" t="s">
        <v>206</v>
      </c>
      <c r="B247" s="18" t="s">
        <v>207</v>
      </c>
      <c r="C247" s="18" t="s">
        <v>208</v>
      </c>
      <c r="D247" s="49" t="n">
        <v>46266</v>
      </c>
      <c r="E247" s="18" t="s">
        <v>109</v>
      </c>
      <c r="F247" s="18" t="s">
        <v>99</v>
      </c>
      <c r="G247" s="18" t="s">
        <v>110</v>
      </c>
      <c r="H247" s="18" t="s">
        <v>107</v>
      </c>
      <c r="I247" s="18" t="s">
        <v>102</v>
      </c>
      <c r="J247" s="64" t="n">
        <v>200.6208</v>
      </c>
      <c r="K247" s="64"/>
      <c r="L247" s="64"/>
      <c r="M247" s="73" t="n">
        <v>0.968</v>
      </c>
      <c r="N247" s="73"/>
      <c r="O247" s="74" t="n">
        <f aca="false">IF(K247="",M247,L247/K247)</f>
        <v>0.968</v>
      </c>
      <c r="P247" s="74" t="n">
        <f aca="false">O247-M247</f>
        <v>0</v>
      </c>
    </row>
    <row r="248" customFormat="false" ht="15" hidden="false" customHeight="false" outlineLevel="0" collapsed="false">
      <c r="A248" s="18" t="s">
        <v>206</v>
      </c>
      <c r="B248" s="18" t="s">
        <v>207</v>
      </c>
      <c r="C248" s="18" t="s">
        <v>208</v>
      </c>
      <c r="D248" s="49" t="n">
        <v>46266</v>
      </c>
      <c r="E248" s="18" t="s">
        <v>112</v>
      </c>
      <c r="F248" s="18" t="s">
        <v>113</v>
      </c>
      <c r="G248" s="18" t="s">
        <v>110</v>
      </c>
      <c r="H248" s="18" t="s">
        <v>101</v>
      </c>
      <c r="I248" s="18" t="s">
        <v>102</v>
      </c>
      <c r="J248" s="64" t="n">
        <v>1914.36</v>
      </c>
      <c r="K248" s="64"/>
      <c r="L248" s="64"/>
      <c r="M248" s="73" t="n">
        <v>0.961</v>
      </c>
      <c r="N248" s="73"/>
      <c r="O248" s="74" t="n">
        <f aca="false">IF(K248="",M248,L248/K248)</f>
        <v>0.961</v>
      </c>
      <c r="P248" s="74" t="n">
        <f aca="false">O248-M248</f>
        <v>0</v>
      </c>
    </row>
    <row r="249" customFormat="false" ht="15" hidden="false" customHeight="false" outlineLevel="0" collapsed="false">
      <c r="A249" s="18" t="s">
        <v>206</v>
      </c>
      <c r="B249" s="18" t="s">
        <v>207</v>
      </c>
      <c r="C249" s="18" t="s">
        <v>208</v>
      </c>
      <c r="D249" s="49" t="n">
        <v>46266</v>
      </c>
      <c r="E249" s="18" t="s">
        <v>116</v>
      </c>
      <c r="F249" s="18" t="s">
        <v>113</v>
      </c>
      <c r="G249" s="18" t="s">
        <v>110</v>
      </c>
      <c r="H249" s="18" t="s">
        <v>107</v>
      </c>
      <c r="I249" s="18" t="s">
        <v>102</v>
      </c>
      <c r="J249" s="64" t="n">
        <v>3555.24</v>
      </c>
      <c r="K249" s="64"/>
      <c r="L249" s="64"/>
      <c r="M249" s="73" t="n">
        <v>0.973</v>
      </c>
      <c r="N249" s="73"/>
      <c r="O249" s="74" t="n">
        <f aca="false">IF(K249="",M249,L249/K249)</f>
        <v>0.973</v>
      </c>
      <c r="P249" s="74" t="n">
        <f aca="false">O249-M249</f>
        <v>0</v>
      </c>
    </row>
    <row r="250" customFormat="false" ht="15" hidden="false" customHeight="false" outlineLevel="0" collapsed="false">
      <c r="A250" s="18" t="s">
        <v>206</v>
      </c>
      <c r="B250" s="18" t="s">
        <v>207</v>
      </c>
      <c r="C250" s="18" t="s">
        <v>208</v>
      </c>
      <c r="D250" s="49" t="n">
        <v>46266</v>
      </c>
      <c r="E250" s="18" t="s">
        <v>118</v>
      </c>
      <c r="F250" s="18" t="s">
        <v>119</v>
      </c>
      <c r="G250" s="18" t="s">
        <v>100</v>
      </c>
      <c r="H250" s="18" t="s">
        <v>101</v>
      </c>
      <c r="I250" s="18" t="s">
        <v>102</v>
      </c>
      <c r="J250" s="64" t="n">
        <v>2004.22656</v>
      </c>
      <c r="K250" s="64"/>
      <c r="L250" s="64"/>
      <c r="M250" s="73" t="n">
        <v>0.93</v>
      </c>
      <c r="N250" s="73"/>
      <c r="O250" s="74" t="n">
        <f aca="false">IF(K250="",M250,L250/K250)</f>
        <v>0.93</v>
      </c>
      <c r="P250" s="74" t="n">
        <f aca="false">O250-M250</f>
        <v>0</v>
      </c>
    </row>
    <row r="251" customFormat="false" ht="15" hidden="false" customHeight="false" outlineLevel="0" collapsed="false">
      <c r="A251" s="18" t="s">
        <v>206</v>
      </c>
      <c r="B251" s="18" t="s">
        <v>207</v>
      </c>
      <c r="C251" s="18" t="s">
        <v>208</v>
      </c>
      <c r="D251" s="49" t="n">
        <v>46266</v>
      </c>
      <c r="E251" s="18" t="s">
        <v>122</v>
      </c>
      <c r="F251" s="18" t="s">
        <v>119</v>
      </c>
      <c r="G251" s="18" t="s">
        <v>100</v>
      </c>
      <c r="H251" s="18" t="s">
        <v>107</v>
      </c>
      <c r="I251" s="18" t="s">
        <v>102</v>
      </c>
      <c r="J251" s="64" t="n">
        <v>1135.728384</v>
      </c>
      <c r="K251" s="64"/>
      <c r="L251" s="64"/>
      <c r="M251" s="73" t="n">
        <v>0.95</v>
      </c>
      <c r="N251" s="73"/>
      <c r="O251" s="74" t="n">
        <f aca="false">IF(K251="",M251,L251/K251)</f>
        <v>0.95</v>
      </c>
      <c r="P251" s="74" t="n">
        <f aca="false">O251-M251</f>
        <v>0</v>
      </c>
    </row>
    <row r="252" customFormat="false" ht="15" hidden="false" customHeight="false" outlineLevel="0" collapsed="false">
      <c r="A252" s="18" t="s">
        <v>206</v>
      </c>
      <c r="B252" s="18" t="s">
        <v>207</v>
      </c>
      <c r="C252" s="18" t="s">
        <v>208</v>
      </c>
      <c r="D252" s="49" t="n">
        <v>46266</v>
      </c>
      <c r="E252" s="18" t="s">
        <v>124</v>
      </c>
      <c r="F252" s="18" t="s">
        <v>119</v>
      </c>
      <c r="G252" s="18" t="s">
        <v>100</v>
      </c>
      <c r="H252" s="18" t="s">
        <v>107</v>
      </c>
      <c r="I252" s="18" t="s">
        <v>125</v>
      </c>
      <c r="J252" s="64" t="n">
        <v>1670.1888</v>
      </c>
      <c r="K252" s="64"/>
      <c r="L252" s="64"/>
      <c r="M252" s="73" t="n">
        <v>0.974</v>
      </c>
      <c r="N252" s="73"/>
      <c r="O252" s="74" t="n">
        <f aca="false">IF(K252="",M252,L252/K252)</f>
        <v>0.974</v>
      </c>
      <c r="P252" s="74" t="n">
        <f aca="false">O252-M252</f>
        <v>0</v>
      </c>
    </row>
    <row r="253" customFormat="false" ht="15" hidden="false" customHeight="false" outlineLevel="0" collapsed="false">
      <c r="A253" s="18" t="s">
        <v>206</v>
      </c>
      <c r="B253" s="18" t="s">
        <v>207</v>
      </c>
      <c r="C253" s="18" t="s">
        <v>208</v>
      </c>
      <c r="D253" s="49" t="n">
        <v>46266</v>
      </c>
      <c r="E253" s="18" t="s">
        <v>127</v>
      </c>
      <c r="F253" s="18" t="s">
        <v>119</v>
      </c>
      <c r="G253" s="18" t="s">
        <v>100</v>
      </c>
      <c r="H253" s="18" t="s">
        <v>128</v>
      </c>
      <c r="I253" s="18" t="s">
        <v>125</v>
      </c>
      <c r="J253" s="64" t="n">
        <v>1870.611456</v>
      </c>
      <c r="K253" s="64"/>
      <c r="L253" s="64"/>
      <c r="M253" s="73" t="n">
        <v>0.988</v>
      </c>
      <c r="N253" s="73"/>
      <c r="O253" s="74" t="n">
        <f aca="false">IF(K253="",M253,L253/K253)</f>
        <v>0.988</v>
      </c>
      <c r="P253" s="74" t="n">
        <f aca="false">O253-M253</f>
        <v>0</v>
      </c>
    </row>
    <row r="254" customFormat="false" ht="15" hidden="false" customHeight="false" outlineLevel="0" collapsed="false">
      <c r="A254" s="18" t="s">
        <v>206</v>
      </c>
      <c r="B254" s="18" t="s">
        <v>207</v>
      </c>
      <c r="C254" s="18" t="s">
        <v>208</v>
      </c>
      <c r="D254" s="49" t="n">
        <v>46266</v>
      </c>
      <c r="E254" s="18" t="s">
        <v>130</v>
      </c>
      <c r="F254" s="18" t="s">
        <v>119</v>
      </c>
      <c r="G254" s="18" t="s">
        <v>110</v>
      </c>
      <c r="H254" s="18" t="s">
        <v>107</v>
      </c>
      <c r="I254" s="18" t="s">
        <v>125</v>
      </c>
      <c r="J254" s="64" t="n">
        <v>273.6864</v>
      </c>
      <c r="K254" s="64"/>
      <c r="L254" s="64"/>
      <c r="M254" s="73" t="n">
        <v>0.971</v>
      </c>
      <c r="N254" s="73"/>
      <c r="O254" s="74" t="n">
        <f aca="false">IF(K254="",M254,L254/K254)</f>
        <v>0.971</v>
      </c>
      <c r="P254" s="74" t="n">
        <f aca="false">O254-M254</f>
        <v>0</v>
      </c>
    </row>
    <row r="255" customFormat="false" ht="15" hidden="false" customHeight="false" outlineLevel="0" collapsed="false">
      <c r="A255" s="18" t="s">
        <v>206</v>
      </c>
      <c r="B255" s="18" t="s">
        <v>207</v>
      </c>
      <c r="C255" s="18" t="s">
        <v>208</v>
      </c>
      <c r="D255" s="49" t="n">
        <v>46296</v>
      </c>
      <c r="E255" s="18" t="s">
        <v>98</v>
      </c>
      <c r="F255" s="18" t="s">
        <v>99</v>
      </c>
      <c r="G255" s="18" t="s">
        <v>100</v>
      </c>
      <c r="H255" s="18" t="s">
        <v>101</v>
      </c>
      <c r="I255" s="18" t="s">
        <v>102</v>
      </c>
      <c r="J255" s="64" t="n">
        <v>4051.593</v>
      </c>
      <c r="K255" s="64"/>
      <c r="L255" s="64"/>
      <c r="M255" s="73" t="n">
        <v>0.965</v>
      </c>
      <c r="N255" s="73"/>
      <c r="O255" s="74" t="n">
        <f aca="false">IF(K255="",M255,L255/K255)</f>
        <v>0.965</v>
      </c>
      <c r="P255" s="74" t="n">
        <f aca="false">O255-M255</f>
        <v>0</v>
      </c>
    </row>
    <row r="256" customFormat="false" ht="15" hidden="false" customHeight="false" outlineLevel="0" collapsed="false">
      <c r="A256" s="18" t="s">
        <v>206</v>
      </c>
      <c r="B256" s="18" t="s">
        <v>207</v>
      </c>
      <c r="C256" s="18" t="s">
        <v>208</v>
      </c>
      <c r="D256" s="49" t="n">
        <v>46296</v>
      </c>
      <c r="E256" s="18" t="s">
        <v>106</v>
      </c>
      <c r="F256" s="18" t="s">
        <v>99</v>
      </c>
      <c r="G256" s="18" t="s">
        <v>100</v>
      </c>
      <c r="H256" s="18" t="s">
        <v>107</v>
      </c>
      <c r="I256" s="18" t="s">
        <v>102</v>
      </c>
      <c r="J256" s="64" t="n">
        <v>2701.062</v>
      </c>
      <c r="K256" s="64"/>
      <c r="L256" s="64"/>
      <c r="M256" s="73" t="n">
        <v>0.976</v>
      </c>
      <c r="N256" s="73"/>
      <c r="O256" s="74" t="n">
        <f aca="false">IF(K256="",M256,L256/K256)</f>
        <v>0.976</v>
      </c>
      <c r="P256" s="74" t="n">
        <f aca="false">O256-M256</f>
        <v>0</v>
      </c>
    </row>
    <row r="257" customFormat="false" ht="15" hidden="false" customHeight="false" outlineLevel="0" collapsed="false">
      <c r="A257" s="18" t="s">
        <v>206</v>
      </c>
      <c r="B257" s="18" t="s">
        <v>207</v>
      </c>
      <c r="C257" s="18" t="s">
        <v>208</v>
      </c>
      <c r="D257" s="49" t="n">
        <v>46296</v>
      </c>
      <c r="E257" s="18" t="s">
        <v>109</v>
      </c>
      <c r="F257" s="18" t="s">
        <v>99</v>
      </c>
      <c r="G257" s="18" t="s">
        <v>110</v>
      </c>
      <c r="H257" s="18" t="s">
        <v>107</v>
      </c>
      <c r="I257" s="18" t="s">
        <v>102</v>
      </c>
      <c r="J257" s="64" t="n">
        <v>214.812</v>
      </c>
      <c r="K257" s="64"/>
      <c r="L257" s="64"/>
      <c r="M257" s="73" t="n">
        <v>0.968</v>
      </c>
      <c r="N257" s="73"/>
      <c r="O257" s="74" t="n">
        <f aca="false">IF(K257="",M257,L257/K257)</f>
        <v>0.968</v>
      </c>
      <c r="P257" s="74" t="n">
        <f aca="false">O257-M257</f>
        <v>0</v>
      </c>
    </row>
    <row r="258" customFormat="false" ht="15" hidden="false" customHeight="false" outlineLevel="0" collapsed="false">
      <c r="A258" s="18" t="s">
        <v>206</v>
      </c>
      <c r="B258" s="18" t="s">
        <v>207</v>
      </c>
      <c r="C258" s="18" t="s">
        <v>208</v>
      </c>
      <c r="D258" s="49" t="n">
        <v>46296</v>
      </c>
      <c r="E258" s="18" t="s">
        <v>112</v>
      </c>
      <c r="F258" s="18" t="s">
        <v>113</v>
      </c>
      <c r="G258" s="18" t="s">
        <v>110</v>
      </c>
      <c r="H258" s="18" t="s">
        <v>101</v>
      </c>
      <c r="I258" s="18" t="s">
        <v>102</v>
      </c>
      <c r="J258" s="64" t="n">
        <v>2170.35</v>
      </c>
      <c r="K258" s="64"/>
      <c r="L258" s="64"/>
      <c r="M258" s="73" t="n">
        <v>0.961</v>
      </c>
      <c r="N258" s="73"/>
      <c r="O258" s="74" t="n">
        <f aca="false">IF(K258="",M258,L258/K258)</f>
        <v>0.961</v>
      </c>
      <c r="P258" s="74" t="n">
        <f aca="false">O258-M258</f>
        <v>0</v>
      </c>
    </row>
    <row r="259" customFormat="false" ht="15" hidden="false" customHeight="false" outlineLevel="0" collapsed="false">
      <c r="A259" s="18" t="s">
        <v>206</v>
      </c>
      <c r="B259" s="18" t="s">
        <v>207</v>
      </c>
      <c r="C259" s="18" t="s">
        <v>208</v>
      </c>
      <c r="D259" s="49" t="n">
        <v>46296</v>
      </c>
      <c r="E259" s="18" t="s">
        <v>116</v>
      </c>
      <c r="F259" s="18" t="s">
        <v>113</v>
      </c>
      <c r="G259" s="18" t="s">
        <v>110</v>
      </c>
      <c r="H259" s="18" t="s">
        <v>107</v>
      </c>
      <c r="I259" s="18" t="s">
        <v>102</v>
      </c>
      <c r="J259" s="64" t="n">
        <v>4030.65</v>
      </c>
      <c r="K259" s="64"/>
      <c r="L259" s="64"/>
      <c r="M259" s="73" t="n">
        <v>0.973</v>
      </c>
      <c r="N259" s="73"/>
      <c r="O259" s="74" t="n">
        <f aca="false">IF(K259="",M259,L259/K259)</f>
        <v>0.973</v>
      </c>
      <c r="P259" s="74" t="n">
        <f aca="false">O259-M259</f>
        <v>0</v>
      </c>
    </row>
    <row r="260" customFormat="false" ht="15" hidden="false" customHeight="false" outlineLevel="0" collapsed="false">
      <c r="A260" s="18" t="s">
        <v>206</v>
      </c>
      <c r="B260" s="18" t="s">
        <v>207</v>
      </c>
      <c r="C260" s="18" t="s">
        <v>208</v>
      </c>
      <c r="D260" s="49" t="n">
        <v>46296</v>
      </c>
      <c r="E260" s="18" t="s">
        <v>118</v>
      </c>
      <c r="F260" s="18" t="s">
        <v>119</v>
      </c>
      <c r="G260" s="18" t="s">
        <v>100</v>
      </c>
      <c r="H260" s="18" t="s">
        <v>101</v>
      </c>
      <c r="I260" s="18" t="s">
        <v>102</v>
      </c>
      <c r="J260" s="64" t="n">
        <v>2838.55104</v>
      </c>
      <c r="K260" s="64"/>
      <c r="L260" s="64"/>
      <c r="M260" s="73" t="n">
        <v>0.93</v>
      </c>
      <c r="N260" s="73"/>
      <c r="O260" s="74" t="n">
        <f aca="false">IF(K260="",M260,L260/K260)</f>
        <v>0.93</v>
      </c>
      <c r="P260" s="74" t="n">
        <f aca="false">O260-M260</f>
        <v>0</v>
      </c>
    </row>
    <row r="261" customFormat="false" ht="15" hidden="false" customHeight="false" outlineLevel="0" collapsed="false">
      <c r="A261" s="18" t="s">
        <v>206</v>
      </c>
      <c r="B261" s="18" t="s">
        <v>207</v>
      </c>
      <c r="C261" s="18" t="s">
        <v>208</v>
      </c>
      <c r="D261" s="49" t="n">
        <v>46296</v>
      </c>
      <c r="E261" s="18" t="s">
        <v>122</v>
      </c>
      <c r="F261" s="18" t="s">
        <v>119</v>
      </c>
      <c r="G261" s="18" t="s">
        <v>100</v>
      </c>
      <c r="H261" s="18" t="s">
        <v>107</v>
      </c>
      <c r="I261" s="18" t="s">
        <v>102</v>
      </c>
      <c r="J261" s="64" t="n">
        <v>1576.9728</v>
      </c>
      <c r="K261" s="64"/>
      <c r="L261" s="64"/>
      <c r="M261" s="73" t="n">
        <v>0.95</v>
      </c>
      <c r="N261" s="73"/>
      <c r="O261" s="74" t="n">
        <f aca="false">IF(K261="",M261,L261/K261)</f>
        <v>0.95</v>
      </c>
      <c r="P261" s="74" t="n">
        <f aca="false">O261-M261</f>
        <v>0</v>
      </c>
    </row>
    <row r="262" customFormat="false" ht="15" hidden="false" customHeight="false" outlineLevel="0" collapsed="false">
      <c r="A262" s="18" t="s">
        <v>206</v>
      </c>
      <c r="B262" s="18" t="s">
        <v>207</v>
      </c>
      <c r="C262" s="18" t="s">
        <v>208</v>
      </c>
      <c r="D262" s="49" t="n">
        <v>46296</v>
      </c>
      <c r="E262" s="18" t="s">
        <v>124</v>
      </c>
      <c r="F262" s="18" t="s">
        <v>119</v>
      </c>
      <c r="G262" s="18" t="s">
        <v>100</v>
      </c>
      <c r="H262" s="18" t="s">
        <v>107</v>
      </c>
      <c r="I262" s="18" t="s">
        <v>125</v>
      </c>
      <c r="J262" s="64" t="n">
        <v>1892.36736</v>
      </c>
      <c r="K262" s="64"/>
      <c r="L262" s="64"/>
      <c r="M262" s="73" t="n">
        <v>0.974</v>
      </c>
      <c r="N262" s="73"/>
      <c r="O262" s="74" t="n">
        <f aca="false">IF(K262="",M262,L262/K262)</f>
        <v>0.974</v>
      </c>
      <c r="P262" s="74" t="n">
        <f aca="false">O262-M262</f>
        <v>0</v>
      </c>
    </row>
    <row r="263" customFormat="false" ht="15" hidden="false" customHeight="false" outlineLevel="0" collapsed="false">
      <c r="A263" s="18" t="s">
        <v>206</v>
      </c>
      <c r="B263" s="18" t="s">
        <v>207</v>
      </c>
      <c r="C263" s="18" t="s">
        <v>208</v>
      </c>
      <c r="D263" s="49" t="n">
        <v>46296</v>
      </c>
      <c r="E263" s="18" t="s">
        <v>127</v>
      </c>
      <c r="F263" s="18" t="s">
        <v>119</v>
      </c>
      <c r="G263" s="18" t="s">
        <v>100</v>
      </c>
      <c r="H263" s="18" t="s">
        <v>128</v>
      </c>
      <c r="I263" s="18" t="s">
        <v>125</v>
      </c>
      <c r="J263" s="64" t="n">
        <v>1576.9728</v>
      </c>
      <c r="K263" s="64"/>
      <c r="L263" s="64"/>
      <c r="M263" s="73" t="n">
        <v>0.988</v>
      </c>
      <c r="N263" s="73"/>
      <c r="O263" s="74" t="n">
        <f aca="false">IF(K263="",M263,L263/K263)</f>
        <v>0.988</v>
      </c>
      <c r="P263" s="74" t="n">
        <f aca="false">O263-M263</f>
        <v>0</v>
      </c>
    </row>
    <row r="264" customFormat="false" ht="15" hidden="false" customHeight="false" outlineLevel="0" collapsed="false">
      <c r="A264" s="18" t="s">
        <v>206</v>
      </c>
      <c r="B264" s="18" t="s">
        <v>207</v>
      </c>
      <c r="C264" s="18" t="s">
        <v>208</v>
      </c>
      <c r="D264" s="49" t="n">
        <v>46296</v>
      </c>
      <c r="E264" s="18" t="s">
        <v>130</v>
      </c>
      <c r="F264" s="18" t="s">
        <v>119</v>
      </c>
      <c r="G264" s="18" t="s">
        <v>110</v>
      </c>
      <c r="H264" s="18" t="s">
        <v>107</v>
      </c>
      <c r="I264" s="18" t="s">
        <v>125</v>
      </c>
      <c r="J264" s="64" t="n">
        <v>328.536</v>
      </c>
      <c r="K264" s="64"/>
      <c r="L264" s="64"/>
      <c r="M264" s="73" t="n">
        <v>0.971</v>
      </c>
      <c r="N264" s="73"/>
      <c r="O264" s="74" t="n">
        <f aca="false">IF(K264="",M264,L264/K264)</f>
        <v>0.971</v>
      </c>
      <c r="P264" s="74" t="n">
        <f aca="false">O264-M264</f>
        <v>0</v>
      </c>
    </row>
    <row r="265" customFormat="false" ht="15" hidden="false" customHeight="false" outlineLevel="0" collapsed="false">
      <c r="A265" s="18" t="s">
        <v>206</v>
      </c>
      <c r="B265" s="18" t="s">
        <v>207</v>
      </c>
      <c r="C265" s="18" t="s">
        <v>208</v>
      </c>
      <c r="D265" s="49" t="n">
        <v>46327</v>
      </c>
      <c r="E265" s="18" t="s">
        <v>98</v>
      </c>
      <c r="F265" s="18" t="s">
        <v>99</v>
      </c>
      <c r="G265" s="18" t="s">
        <v>100</v>
      </c>
      <c r="H265" s="18" t="s">
        <v>101</v>
      </c>
      <c r="I265" s="18" t="s">
        <v>102</v>
      </c>
      <c r="J265" s="64" t="n">
        <v>4849.6896</v>
      </c>
      <c r="K265" s="64"/>
      <c r="L265" s="64"/>
      <c r="M265" s="73" t="n">
        <v>0.965</v>
      </c>
      <c r="N265" s="73"/>
      <c r="O265" s="74" t="n">
        <f aca="false">IF(K265="",M265,L265/K265)</f>
        <v>0.965</v>
      </c>
      <c r="P265" s="74" t="n">
        <f aca="false">O265-M265</f>
        <v>0</v>
      </c>
    </row>
    <row r="266" customFormat="false" ht="15" hidden="false" customHeight="false" outlineLevel="0" collapsed="false">
      <c r="A266" s="18" t="s">
        <v>206</v>
      </c>
      <c r="B266" s="18" t="s">
        <v>207</v>
      </c>
      <c r="C266" s="18" t="s">
        <v>208</v>
      </c>
      <c r="D266" s="49" t="n">
        <v>46327</v>
      </c>
      <c r="E266" s="18" t="s">
        <v>106</v>
      </c>
      <c r="F266" s="18" t="s">
        <v>99</v>
      </c>
      <c r="G266" s="18" t="s">
        <v>100</v>
      </c>
      <c r="H266" s="18" t="s">
        <v>107</v>
      </c>
      <c r="I266" s="18" t="s">
        <v>102</v>
      </c>
      <c r="J266" s="64" t="n">
        <v>3233.1264</v>
      </c>
      <c r="K266" s="64"/>
      <c r="L266" s="64"/>
      <c r="M266" s="73" t="n">
        <v>0.976</v>
      </c>
      <c r="N266" s="73"/>
      <c r="O266" s="74" t="n">
        <f aca="false">IF(K266="",M266,L266/K266)</f>
        <v>0.976</v>
      </c>
      <c r="P266" s="74" t="n">
        <f aca="false">O266-M266</f>
        <v>0</v>
      </c>
    </row>
    <row r="267" customFormat="false" ht="15" hidden="false" customHeight="false" outlineLevel="0" collapsed="false">
      <c r="A267" s="18" t="s">
        <v>206</v>
      </c>
      <c r="B267" s="18" t="s">
        <v>207</v>
      </c>
      <c r="C267" s="18" t="s">
        <v>208</v>
      </c>
      <c r="D267" s="49" t="n">
        <v>46327</v>
      </c>
      <c r="E267" s="18" t="s">
        <v>109</v>
      </c>
      <c r="F267" s="18" t="s">
        <v>99</v>
      </c>
      <c r="G267" s="18" t="s">
        <v>110</v>
      </c>
      <c r="H267" s="18" t="s">
        <v>107</v>
      </c>
      <c r="I267" s="18" t="s">
        <v>102</v>
      </c>
      <c r="J267" s="64" t="n">
        <v>257.1264</v>
      </c>
      <c r="K267" s="64"/>
      <c r="L267" s="64"/>
      <c r="M267" s="73" t="n">
        <v>0.968</v>
      </c>
      <c r="N267" s="73"/>
      <c r="O267" s="74" t="n">
        <f aca="false">IF(K267="",M267,L267/K267)</f>
        <v>0.968</v>
      </c>
      <c r="P267" s="74" t="n">
        <f aca="false">O267-M267</f>
        <v>0</v>
      </c>
    </row>
    <row r="268" customFormat="false" ht="15" hidden="false" customHeight="false" outlineLevel="0" collapsed="false">
      <c r="A268" s="18" t="s">
        <v>206</v>
      </c>
      <c r="B268" s="18" t="s">
        <v>207</v>
      </c>
      <c r="C268" s="18" t="s">
        <v>208</v>
      </c>
      <c r="D268" s="49" t="n">
        <v>46327</v>
      </c>
      <c r="E268" s="18" t="s">
        <v>112</v>
      </c>
      <c r="F268" s="18" t="s">
        <v>113</v>
      </c>
      <c r="G268" s="18" t="s">
        <v>110</v>
      </c>
      <c r="H268" s="18" t="s">
        <v>101</v>
      </c>
      <c r="I268" s="18" t="s">
        <v>102</v>
      </c>
      <c r="J268" s="64" t="n">
        <v>2668.232</v>
      </c>
      <c r="K268" s="64"/>
      <c r="L268" s="64"/>
      <c r="M268" s="73" t="n">
        <v>0.961</v>
      </c>
      <c r="N268" s="73"/>
      <c r="O268" s="74" t="n">
        <f aca="false">IF(K268="",M268,L268/K268)</f>
        <v>0.961</v>
      </c>
      <c r="P268" s="74" t="n">
        <f aca="false">O268-M268</f>
        <v>0</v>
      </c>
    </row>
    <row r="269" customFormat="false" ht="15" hidden="false" customHeight="false" outlineLevel="0" collapsed="false">
      <c r="A269" s="18" t="s">
        <v>206</v>
      </c>
      <c r="B269" s="18" t="s">
        <v>207</v>
      </c>
      <c r="C269" s="18" t="s">
        <v>208</v>
      </c>
      <c r="D269" s="49" t="n">
        <v>46327</v>
      </c>
      <c r="E269" s="18" t="s">
        <v>116</v>
      </c>
      <c r="F269" s="18" t="s">
        <v>113</v>
      </c>
      <c r="G269" s="18" t="s">
        <v>110</v>
      </c>
      <c r="H269" s="18" t="s">
        <v>107</v>
      </c>
      <c r="I269" s="18" t="s">
        <v>102</v>
      </c>
      <c r="J269" s="64" t="n">
        <v>4955.288</v>
      </c>
      <c r="K269" s="64"/>
      <c r="L269" s="64"/>
      <c r="M269" s="73" t="n">
        <v>0.973</v>
      </c>
      <c r="N269" s="73"/>
      <c r="O269" s="74" t="n">
        <f aca="false">IF(K269="",M269,L269/K269)</f>
        <v>0.973</v>
      </c>
      <c r="P269" s="74" t="n">
        <f aca="false">O269-M269</f>
        <v>0</v>
      </c>
    </row>
    <row r="270" customFormat="false" ht="15" hidden="false" customHeight="false" outlineLevel="0" collapsed="false">
      <c r="A270" s="18" t="s">
        <v>206</v>
      </c>
      <c r="B270" s="18" t="s">
        <v>207</v>
      </c>
      <c r="C270" s="18" t="s">
        <v>208</v>
      </c>
      <c r="D270" s="49" t="n">
        <v>46327</v>
      </c>
      <c r="E270" s="18" t="s">
        <v>118</v>
      </c>
      <c r="F270" s="18" t="s">
        <v>119</v>
      </c>
      <c r="G270" s="18" t="s">
        <v>100</v>
      </c>
      <c r="H270" s="18" t="s">
        <v>101</v>
      </c>
      <c r="I270" s="18" t="s">
        <v>102</v>
      </c>
      <c r="J270" s="64" t="n">
        <v>4562.707968</v>
      </c>
      <c r="K270" s="64"/>
      <c r="L270" s="64"/>
      <c r="M270" s="73" t="n">
        <v>0.93</v>
      </c>
      <c r="N270" s="73"/>
      <c r="O270" s="74" t="n">
        <f aca="false">IF(K270="",M270,L270/K270)</f>
        <v>0.93</v>
      </c>
      <c r="P270" s="74" t="n">
        <f aca="false">O270-M270</f>
        <v>0</v>
      </c>
    </row>
    <row r="271" customFormat="false" ht="15" hidden="false" customHeight="false" outlineLevel="0" collapsed="false">
      <c r="A271" s="18" t="s">
        <v>206</v>
      </c>
      <c r="B271" s="18" t="s">
        <v>207</v>
      </c>
      <c r="C271" s="18" t="s">
        <v>208</v>
      </c>
      <c r="D271" s="49" t="n">
        <v>46327</v>
      </c>
      <c r="E271" s="18" t="s">
        <v>122</v>
      </c>
      <c r="F271" s="18" t="s">
        <v>119</v>
      </c>
      <c r="G271" s="18" t="s">
        <v>100</v>
      </c>
      <c r="H271" s="18" t="s">
        <v>107</v>
      </c>
      <c r="I271" s="18" t="s">
        <v>102</v>
      </c>
      <c r="J271" s="64" t="n">
        <v>2498.625792</v>
      </c>
      <c r="K271" s="64"/>
      <c r="L271" s="64"/>
      <c r="M271" s="73" t="n">
        <v>0.95</v>
      </c>
      <c r="N271" s="73"/>
      <c r="O271" s="74" t="n">
        <f aca="false">IF(K271="",M271,L271/K271)</f>
        <v>0.95</v>
      </c>
      <c r="P271" s="74" t="n">
        <f aca="false">O271-M271</f>
        <v>0</v>
      </c>
    </row>
    <row r="272" customFormat="false" ht="15" hidden="false" customHeight="false" outlineLevel="0" collapsed="false">
      <c r="A272" s="18" t="s">
        <v>206</v>
      </c>
      <c r="B272" s="18" t="s">
        <v>207</v>
      </c>
      <c r="C272" s="18" t="s">
        <v>208</v>
      </c>
      <c r="D272" s="49" t="n">
        <v>46327</v>
      </c>
      <c r="E272" s="18" t="s">
        <v>124</v>
      </c>
      <c r="F272" s="18" t="s">
        <v>119</v>
      </c>
      <c r="G272" s="18" t="s">
        <v>100</v>
      </c>
      <c r="H272" s="18" t="s">
        <v>107</v>
      </c>
      <c r="I272" s="18" t="s">
        <v>125</v>
      </c>
      <c r="J272" s="64" t="n">
        <v>2389.989888</v>
      </c>
      <c r="K272" s="64"/>
      <c r="L272" s="64"/>
      <c r="M272" s="73" t="n">
        <v>0.974</v>
      </c>
      <c r="N272" s="73"/>
      <c r="O272" s="74" t="n">
        <f aca="false">IF(K272="",M272,L272/K272)</f>
        <v>0.974</v>
      </c>
      <c r="P272" s="74" t="n">
        <f aca="false">O272-M272</f>
        <v>0</v>
      </c>
    </row>
    <row r="273" customFormat="false" ht="15" hidden="false" customHeight="false" outlineLevel="0" collapsed="false">
      <c r="A273" s="18" t="s">
        <v>206</v>
      </c>
      <c r="B273" s="18" t="s">
        <v>207</v>
      </c>
      <c r="C273" s="18" t="s">
        <v>208</v>
      </c>
      <c r="D273" s="49" t="n">
        <v>46327</v>
      </c>
      <c r="E273" s="18" t="s">
        <v>127</v>
      </c>
      <c r="F273" s="18" t="s">
        <v>119</v>
      </c>
      <c r="G273" s="18" t="s">
        <v>100</v>
      </c>
      <c r="H273" s="18" t="s">
        <v>128</v>
      </c>
      <c r="I273" s="18" t="s">
        <v>125</v>
      </c>
      <c r="J273" s="64" t="n">
        <v>1412.266752</v>
      </c>
      <c r="K273" s="64"/>
      <c r="L273" s="64"/>
      <c r="M273" s="73" t="n">
        <v>0.988</v>
      </c>
      <c r="N273" s="73"/>
      <c r="O273" s="74" t="n">
        <f aca="false">IF(K273="",M273,L273/K273)</f>
        <v>0.988</v>
      </c>
      <c r="P273" s="74" t="n">
        <f aca="false">O273-M273</f>
        <v>0</v>
      </c>
    </row>
    <row r="274" customFormat="false" ht="15" hidden="false" customHeight="false" outlineLevel="0" collapsed="false">
      <c r="A274" s="18" t="s">
        <v>206</v>
      </c>
      <c r="B274" s="18" t="s">
        <v>207</v>
      </c>
      <c r="C274" s="18" t="s">
        <v>208</v>
      </c>
      <c r="D274" s="49" t="n">
        <v>46327</v>
      </c>
      <c r="E274" s="18" t="s">
        <v>130</v>
      </c>
      <c r="F274" s="18" t="s">
        <v>119</v>
      </c>
      <c r="G274" s="18" t="s">
        <v>110</v>
      </c>
      <c r="H274" s="18" t="s">
        <v>107</v>
      </c>
      <c r="I274" s="18" t="s">
        <v>125</v>
      </c>
      <c r="J274" s="64" t="n">
        <v>452.6496</v>
      </c>
      <c r="K274" s="64"/>
      <c r="L274" s="64"/>
      <c r="M274" s="73" t="n">
        <v>0.971</v>
      </c>
      <c r="N274" s="73"/>
      <c r="O274" s="74" t="n">
        <f aca="false">IF(K274="",M274,L274/K274)</f>
        <v>0.971</v>
      </c>
      <c r="P274" s="74" t="n">
        <f aca="false">O274-M274</f>
        <v>0</v>
      </c>
    </row>
    <row r="275" customFormat="false" ht="15" hidden="false" customHeight="false" outlineLevel="0" collapsed="false">
      <c r="A275" s="18" t="s">
        <v>206</v>
      </c>
      <c r="B275" s="18" t="s">
        <v>207</v>
      </c>
      <c r="C275" s="18" t="s">
        <v>208</v>
      </c>
      <c r="D275" s="49" t="n">
        <v>46357</v>
      </c>
      <c r="E275" s="18" t="s">
        <v>98</v>
      </c>
      <c r="F275" s="18" t="s">
        <v>99</v>
      </c>
      <c r="G275" s="18" t="s">
        <v>100</v>
      </c>
      <c r="H275" s="18" t="s">
        <v>101</v>
      </c>
      <c r="I275" s="18" t="s">
        <v>102</v>
      </c>
      <c r="J275" s="64" t="n">
        <v>5592.7872</v>
      </c>
      <c r="K275" s="64"/>
      <c r="L275" s="64"/>
      <c r="M275" s="73" t="n">
        <v>0.965</v>
      </c>
      <c r="N275" s="73"/>
      <c r="O275" s="74" t="n">
        <f aca="false">IF(K275="",M275,L275/K275)</f>
        <v>0.965</v>
      </c>
      <c r="P275" s="74" t="n">
        <f aca="false">O275-M275</f>
        <v>0</v>
      </c>
    </row>
    <row r="276" customFormat="false" ht="15" hidden="false" customHeight="false" outlineLevel="0" collapsed="false">
      <c r="A276" s="18" t="s">
        <v>206</v>
      </c>
      <c r="B276" s="18" t="s">
        <v>207</v>
      </c>
      <c r="C276" s="18" t="s">
        <v>208</v>
      </c>
      <c r="D276" s="49" t="n">
        <v>46357</v>
      </c>
      <c r="E276" s="18" t="s">
        <v>106</v>
      </c>
      <c r="F276" s="18" t="s">
        <v>99</v>
      </c>
      <c r="G276" s="18" t="s">
        <v>100</v>
      </c>
      <c r="H276" s="18" t="s">
        <v>107</v>
      </c>
      <c r="I276" s="18" t="s">
        <v>102</v>
      </c>
      <c r="J276" s="64" t="n">
        <v>3728.5248</v>
      </c>
      <c r="K276" s="64"/>
      <c r="L276" s="64"/>
      <c r="M276" s="73" t="n">
        <v>0.976</v>
      </c>
      <c r="N276" s="73"/>
      <c r="O276" s="74" t="n">
        <f aca="false">IF(K276="",M276,L276/K276)</f>
        <v>0.976</v>
      </c>
      <c r="P276" s="74" t="n">
        <f aca="false">O276-M276</f>
        <v>0</v>
      </c>
    </row>
    <row r="277" customFormat="false" ht="15" hidden="false" customHeight="false" outlineLevel="0" collapsed="false">
      <c r="A277" s="18" t="s">
        <v>206</v>
      </c>
      <c r="B277" s="18" t="s">
        <v>207</v>
      </c>
      <c r="C277" s="18" t="s">
        <v>208</v>
      </c>
      <c r="D277" s="49" t="n">
        <v>46357</v>
      </c>
      <c r="E277" s="18" t="s">
        <v>109</v>
      </c>
      <c r="F277" s="18" t="s">
        <v>99</v>
      </c>
      <c r="G277" s="18" t="s">
        <v>110</v>
      </c>
      <c r="H277" s="18" t="s">
        <v>107</v>
      </c>
      <c r="I277" s="18" t="s">
        <v>102</v>
      </c>
      <c r="J277" s="64" t="n">
        <v>296.5248</v>
      </c>
      <c r="K277" s="64"/>
      <c r="L277" s="64"/>
      <c r="M277" s="73" t="n">
        <v>0.968</v>
      </c>
      <c r="N277" s="73"/>
      <c r="O277" s="74" t="n">
        <f aca="false">IF(K277="",M277,L277/K277)</f>
        <v>0.968</v>
      </c>
      <c r="P277" s="74" t="n">
        <f aca="false">O277-M277</f>
        <v>0</v>
      </c>
    </row>
    <row r="278" customFormat="false" ht="15" hidden="false" customHeight="false" outlineLevel="0" collapsed="false">
      <c r="A278" s="18" t="s">
        <v>206</v>
      </c>
      <c r="B278" s="18" t="s">
        <v>207</v>
      </c>
      <c r="C278" s="18" t="s">
        <v>208</v>
      </c>
      <c r="D278" s="49" t="n">
        <v>46357</v>
      </c>
      <c r="E278" s="18" t="s">
        <v>112</v>
      </c>
      <c r="F278" s="18" t="s">
        <v>113</v>
      </c>
      <c r="G278" s="18" t="s">
        <v>110</v>
      </c>
      <c r="H278" s="18" t="s">
        <v>101</v>
      </c>
      <c r="I278" s="18" t="s">
        <v>102</v>
      </c>
      <c r="J278" s="64" t="n">
        <v>2970.968</v>
      </c>
      <c r="K278" s="64"/>
      <c r="L278" s="64"/>
      <c r="M278" s="73" t="n">
        <v>0.961</v>
      </c>
      <c r="N278" s="73"/>
      <c r="O278" s="74" t="n">
        <f aca="false">IF(K278="",M278,L278/K278)</f>
        <v>0.961</v>
      </c>
      <c r="P278" s="74" t="n">
        <f aca="false">O278-M278</f>
        <v>0</v>
      </c>
    </row>
    <row r="279" customFormat="false" ht="15" hidden="false" customHeight="false" outlineLevel="0" collapsed="false">
      <c r="A279" s="18" t="s">
        <v>206</v>
      </c>
      <c r="B279" s="18" t="s">
        <v>207</v>
      </c>
      <c r="C279" s="18" t="s">
        <v>208</v>
      </c>
      <c r="D279" s="49" t="n">
        <v>46357</v>
      </c>
      <c r="E279" s="18" t="s">
        <v>116</v>
      </c>
      <c r="F279" s="18" t="s">
        <v>113</v>
      </c>
      <c r="G279" s="18" t="s">
        <v>110</v>
      </c>
      <c r="H279" s="18" t="s">
        <v>107</v>
      </c>
      <c r="I279" s="18" t="s">
        <v>102</v>
      </c>
      <c r="J279" s="64" t="n">
        <v>5517.512</v>
      </c>
      <c r="K279" s="64"/>
      <c r="L279" s="64"/>
      <c r="M279" s="73" t="n">
        <v>0.973</v>
      </c>
      <c r="N279" s="73"/>
      <c r="O279" s="74" t="n">
        <f aca="false">IF(K279="",M279,L279/K279)</f>
        <v>0.973</v>
      </c>
      <c r="P279" s="74" t="n">
        <f aca="false">O279-M279</f>
        <v>0</v>
      </c>
    </row>
    <row r="280" customFormat="false" ht="15" hidden="false" customHeight="false" outlineLevel="0" collapsed="false">
      <c r="A280" s="18" t="s">
        <v>206</v>
      </c>
      <c r="B280" s="18" t="s">
        <v>207</v>
      </c>
      <c r="C280" s="18" t="s">
        <v>208</v>
      </c>
      <c r="D280" s="49" t="n">
        <v>46357</v>
      </c>
      <c r="E280" s="18" t="s">
        <v>118</v>
      </c>
      <c r="F280" s="18" t="s">
        <v>119</v>
      </c>
      <c r="G280" s="18" t="s">
        <v>100</v>
      </c>
      <c r="H280" s="18" t="s">
        <v>101</v>
      </c>
      <c r="I280" s="18" t="s">
        <v>102</v>
      </c>
      <c r="J280" s="64" t="n">
        <v>6167.71584</v>
      </c>
      <c r="K280" s="64"/>
      <c r="L280" s="64"/>
      <c r="M280" s="73" t="n">
        <v>0.93</v>
      </c>
      <c r="N280" s="73"/>
      <c r="O280" s="74" t="n">
        <f aca="false">IF(K280="",M280,L280/K280)</f>
        <v>0.93</v>
      </c>
      <c r="P280" s="74" t="n">
        <f aca="false">O280-M280</f>
        <v>0</v>
      </c>
    </row>
    <row r="281" customFormat="false" ht="15" hidden="false" customHeight="false" outlineLevel="0" collapsed="false">
      <c r="A281" s="18" t="s">
        <v>206</v>
      </c>
      <c r="B281" s="18" t="s">
        <v>207</v>
      </c>
      <c r="C281" s="18" t="s">
        <v>208</v>
      </c>
      <c r="D281" s="49" t="n">
        <v>46357</v>
      </c>
      <c r="E281" s="18" t="s">
        <v>122</v>
      </c>
      <c r="F281" s="18" t="s">
        <v>119</v>
      </c>
      <c r="G281" s="18" t="s">
        <v>100</v>
      </c>
      <c r="H281" s="18" t="s">
        <v>107</v>
      </c>
      <c r="I281" s="18" t="s">
        <v>102</v>
      </c>
      <c r="J281" s="64" t="n">
        <v>3212.352</v>
      </c>
      <c r="K281" s="64"/>
      <c r="L281" s="64"/>
      <c r="M281" s="73" t="n">
        <v>0.95</v>
      </c>
      <c r="N281" s="73"/>
      <c r="O281" s="74" t="n">
        <f aca="false">IF(K281="",M281,L281/K281)</f>
        <v>0.95</v>
      </c>
      <c r="P281" s="74" t="n">
        <f aca="false">O281-M281</f>
        <v>0</v>
      </c>
    </row>
    <row r="282" customFormat="false" ht="15" hidden="false" customHeight="false" outlineLevel="0" collapsed="false">
      <c r="A282" s="18" t="s">
        <v>206</v>
      </c>
      <c r="B282" s="18" t="s">
        <v>207</v>
      </c>
      <c r="C282" s="18" t="s">
        <v>208</v>
      </c>
      <c r="D282" s="49" t="n">
        <v>46357</v>
      </c>
      <c r="E282" s="18" t="s">
        <v>124</v>
      </c>
      <c r="F282" s="18" t="s">
        <v>119</v>
      </c>
      <c r="G282" s="18" t="s">
        <v>100</v>
      </c>
      <c r="H282" s="18" t="s">
        <v>107</v>
      </c>
      <c r="I282" s="18" t="s">
        <v>125</v>
      </c>
      <c r="J282" s="64" t="n">
        <v>2441.38752</v>
      </c>
      <c r="K282" s="64"/>
      <c r="L282" s="64"/>
      <c r="M282" s="73" t="n">
        <v>0.974</v>
      </c>
      <c r="N282" s="73"/>
      <c r="O282" s="74" t="n">
        <f aca="false">IF(K282="",M282,L282/K282)</f>
        <v>0.974</v>
      </c>
      <c r="P282" s="74" t="n">
        <f aca="false">O282-M282</f>
        <v>0</v>
      </c>
    </row>
    <row r="283" customFormat="false" ht="15" hidden="false" customHeight="false" outlineLevel="0" collapsed="false">
      <c r="A283" s="18" t="s">
        <v>206</v>
      </c>
      <c r="B283" s="18" t="s">
        <v>207</v>
      </c>
      <c r="C283" s="18" t="s">
        <v>208</v>
      </c>
      <c r="D283" s="49" t="n">
        <v>46357</v>
      </c>
      <c r="E283" s="18" t="s">
        <v>127</v>
      </c>
      <c r="F283" s="18" t="s">
        <v>119</v>
      </c>
      <c r="G283" s="18" t="s">
        <v>100</v>
      </c>
      <c r="H283" s="18" t="s">
        <v>128</v>
      </c>
      <c r="I283" s="18" t="s">
        <v>125</v>
      </c>
      <c r="J283" s="64" t="n">
        <v>1027.95264</v>
      </c>
      <c r="K283" s="64"/>
      <c r="L283" s="64"/>
      <c r="M283" s="73" t="n">
        <v>0.988</v>
      </c>
      <c r="N283" s="73"/>
      <c r="O283" s="74" t="n">
        <f aca="false">IF(K283="",M283,L283/K283)</f>
        <v>0.988</v>
      </c>
      <c r="P283" s="74" t="n">
        <f aca="false">O283-M283</f>
        <v>0</v>
      </c>
    </row>
    <row r="284" customFormat="false" ht="15" hidden="false" customHeight="false" outlineLevel="0" collapsed="false">
      <c r="A284" s="18" t="s">
        <v>206</v>
      </c>
      <c r="B284" s="18" t="s">
        <v>207</v>
      </c>
      <c r="C284" s="18" t="s">
        <v>208</v>
      </c>
      <c r="D284" s="49" t="n">
        <v>46357</v>
      </c>
      <c r="E284" s="18" t="s">
        <v>130</v>
      </c>
      <c r="F284" s="18" t="s">
        <v>119</v>
      </c>
      <c r="G284" s="18" t="s">
        <v>110</v>
      </c>
      <c r="H284" s="18" t="s">
        <v>107</v>
      </c>
      <c r="I284" s="18" t="s">
        <v>125</v>
      </c>
      <c r="J284" s="64" t="n">
        <v>535.392</v>
      </c>
      <c r="K284" s="64"/>
      <c r="L284" s="64"/>
      <c r="M284" s="73" t="n">
        <v>0.971</v>
      </c>
      <c r="N284" s="73"/>
      <c r="O284" s="74" t="n">
        <f aca="false">IF(K284="",M284,L284/K284)</f>
        <v>0.971</v>
      </c>
      <c r="P284" s="74" t="n">
        <f aca="false">O284-M284</f>
        <v>0</v>
      </c>
    </row>
    <row r="285" customFormat="false" ht="15" hidden="false" customHeight="false" outlineLevel="0" collapsed="false">
      <c r="A285" s="18" t="s">
        <v>210</v>
      </c>
      <c r="B285" s="18" t="s">
        <v>207</v>
      </c>
      <c r="C285" s="18" t="s">
        <v>211</v>
      </c>
      <c r="D285" s="49" t="n">
        <v>46266</v>
      </c>
      <c r="E285" s="18" t="s">
        <v>98</v>
      </c>
      <c r="F285" s="18" t="s">
        <v>99</v>
      </c>
      <c r="G285" s="18" t="s">
        <v>100</v>
      </c>
      <c r="H285" s="18" t="s">
        <v>101</v>
      </c>
      <c r="I285" s="18" t="s">
        <v>102</v>
      </c>
      <c r="J285" s="64" t="n">
        <v>3783.9312</v>
      </c>
      <c r="K285" s="64"/>
      <c r="L285" s="64"/>
      <c r="M285" s="73" t="n">
        <v>0.965</v>
      </c>
      <c r="N285" s="73"/>
      <c r="O285" s="74" t="n">
        <f aca="false">IF(K285="",M285,L285/K285)</f>
        <v>0.965</v>
      </c>
      <c r="P285" s="74" t="n">
        <f aca="false">O285-M285</f>
        <v>0</v>
      </c>
    </row>
    <row r="286" customFormat="false" ht="15" hidden="false" customHeight="false" outlineLevel="0" collapsed="false">
      <c r="A286" s="18" t="s">
        <v>210</v>
      </c>
      <c r="B286" s="18" t="s">
        <v>207</v>
      </c>
      <c r="C286" s="18" t="s">
        <v>211</v>
      </c>
      <c r="D286" s="49" t="n">
        <v>46266</v>
      </c>
      <c r="E286" s="18" t="s">
        <v>106</v>
      </c>
      <c r="F286" s="18" t="s">
        <v>99</v>
      </c>
      <c r="G286" s="18" t="s">
        <v>100</v>
      </c>
      <c r="H286" s="18" t="s">
        <v>107</v>
      </c>
      <c r="I286" s="18" t="s">
        <v>102</v>
      </c>
      <c r="J286" s="64" t="n">
        <v>2522.6208</v>
      </c>
      <c r="K286" s="64"/>
      <c r="L286" s="64"/>
      <c r="M286" s="73" t="n">
        <v>0.976</v>
      </c>
      <c r="N286" s="73"/>
      <c r="O286" s="74" t="n">
        <f aca="false">IF(K286="",M286,L286/K286)</f>
        <v>0.976</v>
      </c>
      <c r="P286" s="74" t="n">
        <f aca="false">O286-M286</f>
        <v>0</v>
      </c>
    </row>
    <row r="287" customFormat="false" ht="15" hidden="false" customHeight="false" outlineLevel="0" collapsed="false">
      <c r="A287" s="18" t="s">
        <v>210</v>
      </c>
      <c r="B287" s="18" t="s">
        <v>207</v>
      </c>
      <c r="C287" s="18" t="s">
        <v>211</v>
      </c>
      <c r="D287" s="49" t="n">
        <v>46266</v>
      </c>
      <c r="E287" s="18" t="s">
        <v>109</v>
      </c>
      <c r="F287" s="18" t="s">
        <v>99</v>
      </c>
      <c r="G287" s="18" t="s">
        <v>110</v>
      </c>
      <c r="H287" s="18" t="s">
        <v>107</v>
      </c>
      <c r="I287" s="18" t="s">
        <v>102</v>
      </c>
      <c r="J287" s="64" t="n">
        <v>200.6208</v>
      </c>
      <c r="K287" s="64"/>
      <c r="L287" s="64"/>
      <c r="M287" s="73" t="n">
        <v>0.968</v>
      </c>
      <c r="N287" s="73"/>
      <c r="O287" s="74" t="n">
        <f aca="false">IF(K287="",M287,L287/K287)</f>
        <v>0.968</v>
      </c>
      <c r="P287" s="74" t="n">
        <f aca="false">O287-M287</f>
        <v>0</v>
      </c>
    </row>
    <row r="288" customFormat="false" ht="15" hidden="false" customHeight="false" outlineLevel="0" collapsed="false">
      <c r="A288" s="18" t="s">
        <v>210</v>
      </c>
      <c r="B288" s="18" t="s">
        <v>207</v>
      </c>
      <c r="C288" s="18" t="s">
        <v>211</v>
      </c>
      <c r="D288" s="49" t="n">
        <v>46266</v>
      </c>
      <c r="E288" s="18" t="s">
        <v>112</v>
      </c>
      <c r="F288" s="18" t="s">
        <v>113</v>
      </c>
      <c r="G288" s="18" t="s">
        <v>110</v>
      </c>
      <c r="H288" s="18" t="s">
        <v>101</v>
      </c>
      <c r="I288" s="18" t="s">
        <v>102</v>
      </c>
      <c r="J288" s="64" t="n">
        <v>1914.36</v>
      </c>
      <c r="K288" s="64"/>
      <c r="L288" s="64"/>
      <c r="M288" s="73" t="n">
        <v>0.961</v>
      </c>
      <c r="N288" s="73"/>
      <c r="O288" s="74" t="n">
        <f aca="false">IF(K288="",M288,L288/K288)</f>
        <v>0.961</v>
      </c>
      <c r="P288" s="74" t="n">
        <f aca="false">O288-M288</f>
        <v>0</v>
      </c>
    </row>
    <row r="289" customFormat="false" ht="15" hidden="false" customHeight="false" outlineLevel="0" collapsed="false">
      <c r="A289" s="18" t="s">
        <v>210</v>
      </c>
      <c r="B289" s="18" t="s">
        <v>207</v>
      </c>
      <c r="C289" s="18" t="s">
        <v>211</v>
      </c>
      <c r="D289" s="49" t="n">
        <v>46266</v>
      </c>
      <c r="E289" s="18" t="s">
        <v>116</v>
      </c>
      <c r="F289" s="18" t="s">
        <v>113</v>
      </c>
      <c r="G289" s="18" t="s">
        <v>110</v>
      </c>
      <c r="H289" s="18" t="s">
        <v>107</v>
      </c>
      <c r="I289" s="18" t="s">
        <v>102</v>
      </c>
      <c r="J289" s="64" t="n">
        <v>3555.24</v>
      </c>
      <c r="K289" s="64"/>
      <c r="L289" s="64"/>
      <c r="M289" s="73" t="n">
        <v>0.973</v>
      </c>
      <c r="N289" s="73"/>
      <c r="O289" s="74" t="n">
        <f aca="false">IF(K289="",M289,L289/K289)</f>
        <v>0.973</v>
      </c>
      <c r="P289" s="74" t="n">
        <f aca="false">O289-M289</f>
        <v>0</v>
      </c>
    </row>
    <row r="290" customFormat="false" ht="15" hidden="false" customHeight="false" outlineLevel="0" collapsed="false">
      <c r="A290" s="18" t="s">
        <v>210</v>
      </c>
      <c r="B290" s="18" t="s">
        <v>207</v>
      </c>
      <c r="C290" s="18" t="s">
        <v>211</v>
      </c>
      <c r="D290" s="49" t="n">
        <v>46266</v>
      </c>
      <c r="E290" s="18" t="s">
        <v>118</v>
      </c>
      <c r="F290" s="18" t="s">
        <v>119</v>
      </c>
      <c r="G290" s="18" t="s">
        <v>100</v>
      </c>
      <c r="H290" s="18" t="s">
        <v>101</v>
      </c>
      <c r="I290" s="18" t="s">
        <v>102</v>
      </c>
      <c r="J290" s="64" t="n">
        <v>2204.649216</v>
      </c>
      <c r="K290" s="64"/>
      <c r="L290" s="64"/>
      <c r="M290" s="73" t="n">
        <v>0.93</v>
      </c>
      <c r="N290" s="73"/>
      <c r="O290" s="74" t="n">
        <f aca="false">IF(K290="",M290,L290/K290)</f>
        <v>0.93</v>
      </c>
      <c r="P290" s="74" t="n">
        <f aca="false">O290-M290</f>
        <v>0</v>
      </c>
    </row>
    <row r="291" customFormat="false" ht="15" hidden="false" customHeight="false" outlineLevel="0" collapsed="false">
      <c r="A291" s="18" t="s">
        <v>210</v>
      </c>
      <c r="B291" s="18" t="s">
        <v>207</v>
      </c>
      <c r="C291" s="18" t="s">
        <v>211</v>
      </c>
      <c r="D291" s="49" t="n">
        <v>46266</v>
      </c>
      <c r="E291" s="18" t="s">
        <v>122</v>
      </c>
      <c r="F291" s="18" t="s">
        <v>119</v>
      </c>
      <c r="G291" s="18" t="s">
        <v>100</v>
      </c>
      <c r="H291" s="18" t="s">
        <v>107</v>
      </c>
      <c r="I291" s="18" t="s">
        <v>102</v>
      </c>
      <c r="J291" s="64" t="n">
        <v>1249.3012224</v>
      </c>
      <c r="K291" s="64"/>
      <c r="L291" s="64"/>
      <c r="M291" s="73" t="n">
        <v>0.95</v>
      </c>
      <c r="N291" s="73"/>
      <c r="O291" s="74" t="n">
        <f aca="false">IF(K291="",M291,L291/K291)</f>
        <v>0.95</v>
      </c>
      <c r="P291" s="74" t="n">
        <f aca="false">O291-M291</f>
        <v>0</v>
      </c>
    </row>
    <row r="292" customFormat="false" ht="15" hidden="false" customHeight="false" outlineLevel="0" collapsed="false">
      <c r="A292" s="18" t="s">
        <v>210</v>
      </c>
      <c r="B292" s="18" t="s">
        <v>207</v>
      </c>
      <c r="C292" s="18" t="s">
        <v>211</v>
      </c>
      <c r="D292" s="49" t="n">
        <v>46266</v>
      </c>
      <c r="E292" s="18" t="s">
        <v>124</v>
      </c>
      <c r="F292" s="18" t="s">
        <v>119</v>
      </c>
      <c r="G292" s="18" t="s">
        <v>100</v>
      </c>
      <c r="H292" s="18" t="s">
        <v>107</v>
      </c>
      <c r="I292" s="18" t="s">
        <v>125</v>
      </c>
      <c r="J292" s="64" t="n">
        <v>1837.20768</v>
      </c>
      <c r="K292" s="64"/>
      <c r="L292" s="64"/>
      <c r="M292" s="73" t="n">
        <v>0.974</v>
      </c>
      <c r="N292" s="73"/>
      <c r="O292" s="74" t="n">
        <f aca="false">IF(K292="",M292,L292/K292)</f>
        <v>0.974</v>
      </c>
      <c r="P292" s="74" t="n">
        <f aca="false">O292-M292</f>
        <v>0</v>
      </c>
    </row>
    <row r="293" customFormat="false" ht="15" hidden="false" customHeight="false" outlineLevel="0" collapsed="false">
      <c r="A293" s="18" t="s">
        <v>210</v>
      </c>
      <c r="B293" s="18" t="s">
        <v>207</v>
      </c>
      <c r="C293" s="18" t="s">
        <v>211</v>
      </c>
      <c r="D293" s="49" t="n">
        <v>46266</v>
      </c>
      <c r="E293" s="18" t="s">
        <v>127</v>
      </c>
      <c r="F293" s="18" t="s">
        <v>119</v>
      </c>
      <c r="G293" s="18" t="s">
        <v>100</v>
      </c>
      <c r="H293" s="18" t="s">
        <v>128</v>
      </c>
      <c r="I293" s="18" t="s">
        <v>125</v>
      </c>
      <c r="J293" s="64" t="n">
        <v>2057.6726016</v>
      </c>
      <c r="K293" s="64"/>
      <c r="L293" s="64"/>
      <c r="M293" s="73" t="n">
        <v>0.988</v>
      </c>
      <c r="N293" s="73"/>
      <c r="O293" s="74" t="n">
        <f aca="false">IF(K293="",M293,L293/K293)</f>
        <v>0.988</v>
      </c>
      <c r="P293" s="74" t="n">
        <f aca="false">O293-M293</f>
        <v>0</v>
      </c>
    </row>
    <row r="294" customFormat="false" ht="15" hidden="false" customHeight="false" outlineLevel="0" collapsed="false">
      <c r="A294" s="18" t="s">
        <v>210</v>
      </c>
      <c r="B294" s="18" t="s">
        <v>207</v>
      </c>
      <c r="C294" s="18" t="s">
        <v>211</v>
      </c>
      <c r="D294" s="49" t="n">
        <v>46266</v>
      </c>
      <c r="E294" s="18" t="s">
        <v>130</v>
      </c>
      <c r="F294" s="18" t="s">
        <v>119</v>
      </c>
      <c r="G294" s="18" t="s">
        <v>110</v>
      </c>
      <c r="H294" s="18" t="s">
        <v>107</v>
      </c>
      <c r="I294" s="18" t="s">
        <v>125</v>
      </c>
      <c r="J294" s="64" t="n">
        <v>301.05504</v>
      </c>
      <c r="K294" s="64"/>
      <c r="L294" s="64"/>
      <c r="M294" s="73" t="n">
        <v>0.971</v>
      </c>
      <c r="N294" s="73"/>
      <c r="O294" s="74" t="n">
        <f aca="false">IF(K294="",M294,L294/K294)</f>
        <v>0.971</v>
      </c>
      <c r="P294" s="74" t="n">
        <f aca="false">O294-M294</f>
        <v>0</v>
      </c>
    </row>
    <row r="295" customFormat="false" ht="15" hidden="false" customHeight="false" outlineLevel="0" collapsed="false">
      <c r="A295" s="18" t="s">
        <v>210</v>
      </c>
      <c r="B295" s="18" t="s">
        <v>207</v>
      </c>
      <c r="C295" s="18" t="s">
        <v>211</v>
      </c>
      <c r="D295" s="49" t="n">
        <v>46296</v>
      </c>
      <c r="E295" s="18" t="s">
        <v>98</v>
      </c>
      <c r="F295" s="18" t="s">
        <v>99</v>
      </c>
      <c r="G295" s="18" t="s">
        <v>100</v>
      </c>
      <c r="H295" s="18" t="s">
        <v>101</v>
      </c>
      <c r="I295" s="18" t="s">
        <v>102</v>
      </c>
      <c r="J295" s="64" t="n">
        <v>4051.593</v>
      </c>
      <c r="K295" s="64"/>
      <c r="L295" s="64"/>
      <c r="M295" s="73" t="n">
        <v>0.965</v>
      </c>
      <c r="N295" s="73"/>
      <c r="O295" s="74" t="n">
        <f aca="false">IF(K295="",M295,L295/K295)</f>
        <v>0.965</v>
      </c>
      <c r="P295" s="74" t="n">
        <f aca="false">O295-M295</f>
        <v>0</v>
      </c>
    </row>
    <row r="296" customFormat="false" ht="15" hidden="false" customHeight="false" outlineLevel="0" collapsed="false">
      <c r="A296" s="18" t="s">
        <v>210</v>
      </c>
      <c r="B296" s="18" t="s">
        <v>207</v>
      </c>
      <c r="C296" s="18" t="s">
        <v>211</v>
      </c>
      <c r="D296" s="49" t="n">
        <v>46296</v>
      </c>
      <c r="E296" s="18" t="s">
        <v>106</v>
      </c>
      <c r="F296" s="18" t="s">
        <v>99</v>
      </c>
      <c r="G296" s="18" t="s">
        <v>100</v>
      </c>
      <c r="H296" s="18" t="s">
        <v>107</v>
      </c>
      <c r="I296" s="18" t="s">
        <v>102</v>
      </c>
      <c r="J296" s="64" t="n">
        <v>2701.062</v>
      </c>
      <c r="K296" s="64"/>
      <c r="L296" s="64"/>
      <c r="M296" s="73" t="n">
        <v>0.976</v>
      </c>
      <c r="N296" s="73"/>
      <c r="O296" s="74" t="n">
        <f aca="false">IF(K296="",M296,L296/K296)</f>
        <v>0.976</v>
      </c>
      <c r="P296" s="74" t="n">
        <f aca="false">O296-M296</f>
        <v>0</v>
      </c>
    </row>
    <row r="297" customFormat="false" ht="15" hidden="false" customHeight="false" outlineLevel="0" collapsed="false">
      <c r="A297" s="18" t="s">
        <v>210</v>
      </c>
      <c r="B297" s="18" t="s">
        <v>207</v>
      </c>
      <c r="C297" s="18" t="s">
        <v>211</v>
      </c>
      <c r="D297" s="49" t="n">
        <v>46296</v>
      </c>
      <c r="E297" s="18" t="s">
        <v>109</v>
      </c>
      <c r="F297" s="18" t="s">
        <v>99</v>
      </c>
      <c r="G297" s="18" t="s">
        <v>110</v>
      </c>
      <c r="H297" s="18" t="s">
        <v>107</v>
      </c>
      <c r="I297" s="18" t="s">
        <v>102</v>
      </c>
      <c r="J297" s="64" t="n">
        <v>214.812</v>
      </c>
      <c r="K297" s="64"/>
      <c r="L297" s="64"/>
      <c r="M297" s="73" t="n">
        <v>0.968</v>
      </c>
      <c r="N297" s="73"/>
      <c r="O297" s="74" t="n">
        <f aca="false">IF(K297="",M297,L297/K297)</f>
        <v>0.968</v>
      </c>
      <c r="P297" s="74" t="n">
        <f aca="false">O297-M297</f>
        <v>0</v>
      </c>
    </row>
    <row r="298" customFormat="false" ht="15" hidden="false" customHeight="false" outlineLevel="0" collapsed="false">
      <c r="A298" s="18" t="s">
        <v>210</v>
      </c>
      <c r="B298" s="18" t="s">
        <v>207</v>
      </c>
      <c r="C298" s="18" t="s">
        <v>211</v>
      </c>
      <c r="D298" s="49" t="n">
        <v>46296</v>
      </c>
      <c r="E298" s="18" t="s">
        <v>112</v>
      </c>
      <c r="F298" s="18" t="s">
        <v>113</v>
      </c>
      <c r="G298" s="18" t="s">
        <v>110</v>
      </c>
      <c r="H298" s="18" t="s">
        <v>101</v>
      </c>
      <c r="I298" s="18" t="s">
        <v>102</v>
      </c>
      <c r="J298" s="64" t="n">
        <v>2170.35</v>
      </c>
      <c r="K298" s="64"/>
      <c r="L298" s="64"/>
      <c r="M298" s="73" t="n">
        <v>0.961</v>
      </c>
      <c r="N298" s="73"/>
      <c r="O298" s="74" t="n">
        <f aca="false">IF(K298="",M298,L298/K298)</f>
        <v>0.961</v>
      </c>
      <c r="P298" s="74" t="n">
        <f aca="false">O298-M298</f>
        <v>0</v>
      </c>
    </row>
    <row r="299" customFormat="false" ht="15" hidden="false" customHeight="false" outlineLevel="0" collapsed="false">
      <c r="A299" s="18" t="s">
        <v>210</v>
      </c>
      <c r="B299" s="18" t="s">
        <v>207</v>
      </c>
      <c r="C299" s="18" t="s">
        <v>211</v>
      </c>
      <c r="D299" s="49" t="n">
        <v>46296</v>
      </c>
      <c r="E299" s="18" t="s">
        <v>116</v>
      </c>
      <c r="F299" s="18" t="s">
        <v>113</v>
      </c>
      <c r="G299" s="18" t="s">
        <v>110</v>
      </c>
      <c r="H299" s="18" t="s">
        <v>107</v>
      </c>
      <c r="I299" s="18" t="s">
        <v>102</v>
      </c>
      <c r="J299" s="64" t="n">
        <v>4030.65</v>
      </c>
      <c r="K299" s="64"/>
      <c r="L299" s="64"/>
      <c r="M299" s="73" t="n">
        <v>0.973</v>
      </c>
      <c r="N299" s="73"/>
      <c r="O299" s="74" t="n">
        <f aca="false">IF(K299="",M299,L299/K299)</f>
        <v>0.973</v>
      </c>
      <c r="P299" s="74" t="n">
        <f aca="false">O299-M299</f>
        <v>0</v>
      </c>
    </row>
    <row r="300" customFormat="false" ht="15" hidden="false" customHeight="false" outlineLevel="0" collapsed="false">
      <c r="A300" s="18" t="s">
        <v>210</v>
      </c>
      <c r="B300" s="18" t="s">
        <v>207</v>
      </c>
      <c r="C300" s="18" t="s">
        <v>211</v>
      </c>
      <c r="D300" s="49" t="n">
        <v>46296</v>
      </c>
      <c r="E300" s="18" t="s">
        <v>118</v>
      </c>
      <c r="F300" s="18" t="s">
        <v>119</v>
      </c>
      <c r="G300" s="18" t="s">
        <v>100</v>
      </c>
      <c r="H300" s="18" t="s">
        <v>101</v>
      </c>
      <c r="I300" s="18" t="s">
        <v>102</v>
      </c>
      <c r="J300" s="64" t="n">
        <v>3122.406144</v>
      </c>
      <c r="K300" s="64"/>
      <c r="L300" s="64"/>
      <c r="M300" s="73" t="n">
        <v>0.93</v>
      </c>
      <c r="N300" s="73"/>
      <c r="O300" s="74" t="n">
        <f aca="false">IF(K300="",M300,L300/K300)</f>
        <v>0.93</v>
      </c>
      <c r="P300" s="74" t="n">
        <f aca="false">O300-M300</f>
        <v>0</v>
      </c>
    </row>
    <row r="301" customFormat="false" ht="15" hidden="false" customHeight="false" outlineLevel="0" collapsed="false">
      <c r="A301" s="18" t="s">
        <v>210</v>
      </c>
      <c r="B301" s="18" t="s">
        <v>207</v>
      </c>
      <c r="C301" s="18" t="s">
        <v>211</v>
      </c>
      <c r="D301" s="49" t="n">
        <v>46296</v>
      </c>
      <c r="E301" s="18" t="s">
        <v>122</v>
      </c>
      <c r="F301" s="18" t="s">
        <v>119</v>
      </c>
      <c r="G301" s="18" t="s">
        <v>100</v>
      </c>
      <c r="H301" s="18" t="s">
        <v>107</v>
      </c>
      <c r="I301" s="18" t="s">
        <v>102</v>
      </c>
      <c r="J301" s="64" t="n">
        <v>1734.67008</v>
      </c>
      <c r="K301" s="64"/>
      <c r="L301" s="64"/>
      <c r="M301" s="73" t="n">
        <v>0.95</v>
      </c>
      <c r="N301" s="73"/>
      <c r="O301" s="74" t="n">
        <f aca="false">IF(K301="",M301,L301/K301)</f>
        <v>0.95</v>
      </c>
      <c r="P301" s="74" t="n">
        <f aca="false">O301-M301</f>
        <v>0</v>
      </c>
    </row>
    <row r="302" customFormat="false" ht="15" hidden="false" customHeight="false" outlineLevel="0" collapsed="false">
      <c r="A302" s="18" t="s">
        <v>210</v>
      </c>
      <c r="B302" s="18" t="s">
        <v>207</v>
      </c>
      <c r="C302" s="18" t="s">
        <v>211</v>
      </c>
      <c r="D302" s="49" t="n">
        <v>46296</v>
      </c>
      <c r="E302" s="18" t="s">
        <v>124</v>
      </c>
      <c r="F302" s="18" t="s">
        <v>119</v>
      </c>
      <c r="G302" s="18" t="s">
        <v>100</v>
      </c>
      <c r="H302" s="18" t="s">
        <v>107</v>
      </c>
      <c r="I302" s="18" t="s">
        <v>125</v>
      </c>
      <c r="J302" s="64" t="n">
        <v>2081.604096</v>
      </c>
      <c r="K302" s="64"/>
      <c r="L302" s="64"/>
      <c r="M302" s="73" t="n">
        <v>0.974</v>
      </c>
      <c r="N302" s="73"/>
      <c r="O302" s="74" t="n">
        <f aca="false">IF(K302="",M302,L302/K302)</f>
        <v>0.974</v>
      </c>
      <c r="P302" s="74" t="n">
        <f aca="false">O302-M302</f>
        <v>0</v>
      </c>
    </row>
    <row r="303" customFormat="false" ht="15" hidden="false" customHeight="false" outlineLevel="0" collapsed="false">
      <c r="A303" s="18" t="s">
        <v>210</v>
      </c>
      <c r="B303" s="18" t="s">
        <v>207</v>
      </c>
      <c r="C303" s="18" t="s">
        <v>211</v>
      </c>
      <c r="D303" s="49" t="n">
        <v>46296</v>
      </c>
      <c r="E303" s="18" t="s">
        <v>127</v>
      </c>
      <c r="F303" s="18" t="s">
        <v>119</v>
      </c>
      <c r="G303" s="18" t="s">
        <v>100</v>
      </c>
      <c r="H303" s="18" t="s">
        <v>128</v>
      </c>
      <c r="I303" s="18" t="s">
        <v>125</v>
      </c>
      <c r="J303" s="64" t="n">
        <v>1734.67008</v>
      </c>
      <c r="K303" s="64"/>
      <c r="L303" s="64"/>
      <c r="M303" s="73" t="n">
        <v>0.988</v>
      </c>
      <c r="N303" s="73"/>
      <c r="O303" s="74" t="n">
        <f aca="false">IF(K303="",M303,L303/K303)</f>
        <v>0.988</v>
      </c>
      <c r="P303" s="74" t="n">
        <f aca="false">O303-M303</f>
        <v>0</v>
      </c>
    </row>
    <row r="304" customFormat="false" ht="15" hidden="false" customHeight="false" outlineLevel="0" collapsed="false">
      <c r="A304" s="18" t="s">
        <v>210</v>
      </c>
      <c r="B304" s="18" t="s">
        <v>207</v>
      </c>
      <c r="C304" s="18" t="s">
        <v>211</v>
      </c>
      <c r="D304" s="49" t="n">
        <v>46296</v>
      </c>
      <c r="E304" s="18" t="s">
        <v>130</v>
      </c>
      <c r="F304" s="18" t="s">
        <v>119</v>
      </c>
      <c r="G304" s="18" t="s">
        <v>110</v>
      </c>
      <c r="H304" s="18" t="s">
        <v>107</v>
      </c>
      <c r="I304" s="18" t="s">
        <v>125</v>
      </c>
      <c r="J304" s="64" t="n">
        <v>361.3896</v>
      </c>
      <c r="K304" s="64"/>
      <c r="L304" s="64"/>
      <c r="M304" s="73" t="n">
        <v>0.971</v>
      </c>
      <c r="N304" s="73"/>
      <c r="O304" s="74" t="n">
        <f aca="false">IF(K304="",M304,L304/K304)</f>
        <v>0.971</v>
      </c>
      <c r="P304" s="74" t="n">
        <f aca="false">O304-M304</f>
        <v>0</v>
      </c>
    </row>
    <row r="305" customFormat="false" ht="15" hidden="false" customHeight="false" outlineLevel="0" collapsed="false">
      <c r="A305" s="18" t="s">
        <v>210</v>
      </c>
      <c r="B305" s="18" t="s">
        <v>207</v>
      </c>
      <c r="C305" s="18" t="s">
        <v>211</v>
      </c>
      <c r="D305" s="49" t="n">
        <v>46327</v>
      </c>
      <c r="E305" s="18" t="s">
        <v>98</v>
      </c>
      <c r="F305" s="18" t="s">
        <v>99</v>
      </c>
      <c r="G305" s="18" t="s">
        <v>100</v>
      </c>
      <c r="H305" s="18" t="s">
        <v>101</v>
      </c>
      <c r="I305" s="18" t="s">
        <v>102</v>
      </c>
      <c r="J305" s="64" t="n">
        <v>4849.6896</v>
      </c>
      <c r="K305" s="64"/>
      <c r="L305" s="64"/>
      <c r="M305" s="73" t="n">
        <v>0.965</v>
      </c>
      <c r="N305" s="73"/>
      <c r="O305" s="74" t="n">
        <f aca="false">IF(K305="",M305,L305/K305)</f>
        <v>0.965</v>
      </c>
      <c r="P305" s="74" t="n">
        <f aca="false">O305-M305</f>
        <v>0</v>
      </c>
    </row>
    <row r="306" customFormat="false" ht="15" hidden="false" customHeight="false" outlineLevel="0" collapsed="false">
      <c r="A306" s="18" t="s">
        <v>210</v>
      </c>
      <c r="B306" s="18" t="s">
        <v>207</v>
      </c>
      <c r="C306" s="18" t="s">
        <v>211</v>
      </c>
      <c r="D306" s="49" t="n">
        <v>46327</v>
      </c>
      <c r="E306" s="18" t="s">
        <v>106</v>
      </c>
      <c r="F306" s="18" t="s">
        <v>99</v>
      </c>
      <c r="G306" s="18" t="s">
        <v>100</v>
      </c>
      <c r="H306" s="18" t="s">
        <v>107</v>
      </c>
      <c r="I306" s="18" t="s">
        <v>102</v>
      </c>
      <c r="J306" s="64" t="n">
        <v>3233.1264</v>
      </c>
      <c r="K306" s="64"/>
      <c r="L306" s="64"/>
      <c r="M306" s="73" t="n">
        <v>0.976</v>
      </c>
      <c r="N306" s="73"/>
      <c r="O306" s="74" t="n">
        <f aca="false">IF(K306="",M306,L306/K306)</f>
        <v>0.976</v>
      </c>
      <c r="P306" s="74" t="n">
        <f aca="false">O306-M306</f>
        <v>0</v>
      </c>
    </row>
    <row r="307" customFormat="false" ht="15" hidden="false" customHeight="false" outlineLevel="0" collapsed="false">
      <c r="A307" s="18" t="s">
        <v>210</v>
      </c>
      <c r="B307" s="18" t="s">
        <v>207</v>
      </c>
      <c r="C307" s="18" t="s">
        <v>211</v>
      </c>
      <c r="D307" s="49" t="n">
        <v>46327</v>
      </c>
      <c r="E307" s="18" t="s">
        <v>109</v>
      </c>
      <c r="F307" s="18" t="s">
        <v>99</v>
      </c>
      <c r="G307" s="18" t="s">
        <v>110</v>
      </c>
      <c r="H307" s="18" t="s">
        <v>107</v>
      </c>
      <c r="I307" s="18" t="s">
        <v>102</v>
      </c>
      <c r="J307" s="64" t="n">
        <v>257.1264</v>
      </c>
      <c r="K307" s="64"/>
      <c r="L307" s="64"/>
      <c r="M307" s="73" t="n">
        <v>0.968</v>
      </c>
      <c r="N307" s="73"/>
      <c r="O307" s="74" t="n">
        <f aca="false">IF(K307="",M307,L307/K307)</f>
        <v>0.968</v>
      </c>
      <c r="P307" s="74" t="n">
        <f aca="false">O307-M307</f>
        <v>0</v>
      </c>
    </row>
    <row r="308" customFormat="false" ht="15" hidden="false" customHeight="false" outlineLevel="0" collapsed="false">
      <c r="A308" s="18" t="s">
        <v>210</v>
      </c>
      <c r="B308" s="18" t="s">
        <v>207</v>
      </c>
      <c r="C308" s="18" t="s">
        <v>211</v>
      </c>
      <c r="D308" s="49" t="n">
        <v>46327</v>
      </c>
      <c r="E308" s="18" t="s">
        <v>112</v>
      </c>
      <c r="F308" s="18" t="s">
        <v>113</v>
      </c>
      <c r="G308" s="18" t="s">
        <v>110</v>
      </c>
      <c r="H308" s="18" t="s">
        <v>101</v>
      </c>
      <c r="I308" s="18" t="s">
        <v>102</v>
      </c>
      <c r="J308" s="64" t="n">
        <v>2668.232</v>
      </c>
      <c r="K308" s="64"/>
      <c r="L308" s="64"/>
      <c r="M308" s="73" t="n">
        <v>0.961</v>
      </c>
      <c r="N308" s="73"/>
      <c r="O308" s="74" t="n">
        <f aca="false">IF(K308="",M308,L308/K308)</f>
        <v>0.961</v>
      </c>
      <c r="P308" s="74" t="n">
        <f aca="false">O308-M308</f>
        <v>0</v>
      </c>
    </row>
    <row r="309" customFormat="false" ht="15" hidden="false" customHeight="false" outlineLevel="0" collapsed="false">
      <c r="A309" s="18" t="s">
        <v>210</v>
      </c>
      <c r="B309" s="18" t="s">
        <v>207</v>
      </c>
      <c r="C309" s="18" t="s">
        <v>211</v>
      </c>
      <c r="D309" s="49" t="n">
        <v>46327</v>
      </c>
      <c r="E309" s="18" t="s">
        <v>116</v>
      </c>
      <c r="F309" s="18" t="s">
        <v>113</v>
      </c>
      <c r="G309" s="18" t="s">
        <v>110</v>
      </c>
      <c r="H309" s="18" t="s">
        <v>107</v>
      </c>
      <c r="I309" s="18" t="s">
        <v>102</v>
      </c>
      <c r="J309" s="64" t="n">
        <v>4955.288</v>
      </c>
      <c r="K309" s="64"/>
      <c r="L309" s="64"/>
      <c r="M309" s="73" t="n">
        <v>0.973</v>
      </c>
      <c r="N309" s="73"/>
      <c r="O309" s="74" t="n">
        <f aca="false">IF(K309="",M309,L309/K309)</f>
        <v>0.973</v>
      </c>
      <c r="P309" s="74" t="n">
        <f aca="false">O309-M309</f>
        <v>0</v>
      </c>
    </row>
    <row r="310" customFormat="false" ht="15" hidden="false" customHeight="false" outlineLevel="0" collapsed="false">
      <c r="A310" s="18" t="s">
        <v>210</v>
      </c>
      <c r="B310" s="18" t="s">
        <v>207</v>
      </c>
      <c r="C310" s="18" t="s">
        <v>211</v>
      </c>
      <c r="D310" s="49" t="n">
        <v>46327</v>
      </c>
      <c r="E310" s="18" t="s">
        <v>118</v>
      </c>
      <c r="F310" s="18" t="s">
        <v>119</v>
      </c>
      <c r="G310" s="18" t="s">
        <v>100</v>
      </c>
      <c r="H310" s="18" t="s">
        <v>101</v>
      </c>
      <c r="I310" s="18" t="s">
        <v>102</v>
      </c>
      <c r="J310" s="64" t="n">
        <v>5018.9787648</v>
      </c>
      <c r="K310" s="64"/>
      <c r="L310" s="64"/>
      <c r="M310" s="73" t="n">
        <v>0.93</v>
      </c>
      <c r="N310" s="73"/>
      <c r="O310" s="74" t="n">
        <f aca="false">IF(K310="",M310,L310/K310)</f>
        <v>0.93</v>
      </c>
      <c r="P310" s="74" t="n">
        <f aca="false">O310-M310</f>
        <v>0</v>
      </c>
    </row>
    <row r="311" customFormat="false" ht="15" hidden="false" customHeight="false" outlineLevel="0" collapsed="false">
      <c r="A311" s="18" t="s">
        <v>210</v>
      </c>
      <c r="B311" s="18" t="s">
        <v>207</v>
      </c>
      <c r="C311" s="18" t="s">
        <v>211</v>
      </c>
      <c r="D311" s="49" t="n">
        <v>46327</v>
      </c>
      <c r="E311" s="18" t="s">
        <v>122</v>
      </c>
      <c r="F311" s="18" t="s">
        <v>119</v>
      </c>
      <c r="G311" s="18" t="s">
        <v>100</v>
      </c>
      <c r="H311" s="18" t="s">
        <v>107</v>
      </c>
      <c r="I311" s="18" t="s">
        <v>102</v>
      </c>
      <c r="J311" s="64" t="n">
        <v>2748.4883712</v>
      </c>
      <c r="K311" s="64"/>
      <c r="L311" s="64"/>
      <c r="M311" s="73" t="n">
        <v>0.95</v>
      </c>
      <c r="N311" s="73"/>
      <c r="O311" s="74" t="n">
        <f aca="false">IF(K311="",M311,L311/K311)</f>
        <v>0.95</v>
      </c>
      <c r="P311" s="74" t="n">
        <f aca="false">O311-M311</f>
        <v>0</v>
      </c>
    </row>
    <row r="312" customFormat="false" ht="15" hidden="false" customHeight="false" outlineLevel="0" collapsed="false">
      <c r="A312" s="18" t="s">
        <v>210</v>
      </c>
      <c r="B312" s="18" t="s">
        <v>207</v>
      </c>
      <c r="C312" s="18" t="s">
        <v>211</v>
      </c>
      <c r="D312" s="49" t="n">
        <v>46327</v>
      </c>
      <c r="E312" s="18" t="s">
        <v>124</v>
      </c>
      <c r="F312" s="18" t="s">
        <v>119</v>
      </c>
      <c r="G312" s="18" t="s">
        <v>100</v>
      </c>
      <c r="H312" s="18" t="s">
        <v>107</v>
      </c>
      <c r="I312" s="18" t="s">
        <v>125</v>
      </c>
      <c r="J312" s="64" t="n">
        <v>2628.9888768</v>
      </c>
      <c r="K312" s="64"/>
      <c r="L312" s="64"/>
      <c r="M312" s="73" t="n">
        <v>0.974</v>
      </c>
      <c r="N312" s="73"/>
      <c r="O312" s="74" t="n">
        <f aca="false">IF(K312="",M312,L312/K312)</f>
        <v>0.974</v>
      </c>
      <c r="P312" s="74" t="n">
        <f aca="false">O312-M312</f>
        <v>0</v>
      </c>
    </row>
    <row r="313" customFormat="false" ht="15" hidden="false" customHeight="false" outlineLevel="0" collapsed="false">
      <c r="A313" s="18" t="s">
        <v>210</v>
      </c>
      <c r="B313" s="18" t="s">
        <v>207</v>
      </c>
      <c r="C313" s="18" t="s">
        <v>211</v>
      </c>
      <c r="D313" s="49" t="n">
        <v>46327</v>
      </c>
      <c r="E313" s="18" t="s">
        <v>127</v>
      </c>
      <c r="F313" s="18" t="s">
        <v>119</v>
      </c>
      <c r="G313" s="18" t="s">
        <v>100</v>
      </c>
      <c r="H313" s="18" t="s">
        <v>128</v>
      </c>
      <c r="I313" s="18" t="s">
        <v>125</v>
      </c>
      <c r="J313" s="64" t="n">
        <v>1553.4934272</v>
      </c>
      <c r="K313" s="64"/>
      <c r="L313" s="64"/>
      <c r="M313" s="73" t="n">
        <v>0.988</v>
      </c>
      <c r="N313" s="73"/>
      <c r="O313" s="74" t="n">
        <f aca="false">IF(K313="",M313,L313/K313)</f>
        <v>0.988</v>
      </c>
      <c r="P313" s="74" t="n">
        <f aca="false">O313-M313</f>
        <v>0</v>
      </c>
    </row>
    <row r="314" customFormat="false" ht="15" hidden="false" customHeight="false" outlineLevel="0" collapsed="false">
      <c r="A314" s="18" t="s">
        <v>210</v>
      </c>
      <c r="B314" s="18" t="s">
        <v>207</v>
      </c>
      <c r="C314" s="18" t="s">
        <v>211</v>
      </c>
      <c r="D314" s="49" t="n">
        <v>46327</v>
      </c>
      <c r="E314" s="18" t="s">
        <v>130</v>
      </c>
      <c r="F314" s="18" t="s">
        <v>119</v>
      </c>
      <c r="G314" s="18" t="s">
        <v>110</v>
      </c>
      <c r="H314" s="18" t="s">
        <v>107</v>
      </c>
      <c r="I314" s="18" t="s">
        <v>125</v>
      </c>
      <c r="J314" s="64" t="n">
        <v>497.91456</v>
      </c>
      <c r="K314" s="64"/>
      <c r="L314" s="64"/>
      <c r="M314" s="73" t="n">
        <v>0.971</v>
      </c>
      <c r="N314" s="73"/>
      <c r="O314" s="74" t="n">
        <f aca="false">IF(K314="",M314,L314/K314)</f>
        <v>0.971</v>
      </c>
      <c r="P314" s="74" t="n">
        <f aca="false">O314-M314</f>
        <v>0</v>
      </c>
    </row>
    <row r="315" customFormat="false" ht="15" hidden="false" customHeight="false" outlineLevel="0" collapsed="false">
      <c r="A315" s="18" t="s">
        <v>210</v>
      </c>
      <c r="B315" s="18" t="s">
        <v>207</v>
      </c>
      <c r="C315" s="18" t="s">
        <v>211</v>
      </c>
      <c r="D315" s="49" t="n">
        <v>46357</v>
      </c>
      <c r="E315" s="18" t="s">
        <v>98</v>
      </c>
      <c r="F315" s="18" t="s">
        <v>99</v>
      </c>
      <c r="G315" s="18" t="s">
        <v>100</v>
      </c>
      <c r="H315" s="18" t="s">
        <v>101</v>
      </c>
      <c r="I315" s="18" t="s">
        <v>102</v>
      </c>
      <c r="J315" s="64" t="n">
        <v>5592.7872</v>
      </c>
      <c r="K315" s="64"/>
      <c r="L315" s="64"/>
      <c r="M315" s="73" t="n">
        <v>0.965</v>
      </c>
      <c r="N315" s="73"/>
      <c r="O315" s="74" t="n">
        <f aca="false">IF(K315="",M315,L315/K315)</f>
        <v>0.965</v>
      </c>
      <c r="P315" s="74" t="n">
        <f aca="false">O315-M315</f>
        <v>0</v>
      </c>
    </row>
    <row r="316" customFormat="false" ht="15" hidden="false" customHeight="false" outlineLevel="0" collapsed="false">
      <c r="A316" s="18" t="s">
        <v>210</v>
      </c>
      <c r="B316" s="18" t="s">
        <v>207</v>
      </c>
      <c r="C316" s="18" t="s">
        <v>211</v>
      </c>
      <c r="D316" s="49" t="n">
        <v>46357</v>
      </c>
      <c r="E316" s="18" t="s">
        <v>106</v>
      </c>
      <c r="F316" s="18" t="s">
        <v>99</v>
      </c>
      <c r="G316" s="18" t="s">
        <v>100</v>
      </c>
      <c r="H316" s="18" t="s">
        <v>107</v>
      </c>
      <c r="I316" s="18" t="s">
        <v>102</v>
      </c>
      <c r="J316" s="64" t="n">
        <v>3728.5248</v>
      </c>
      <c r="K316" s="64"/>
      <c r="L316" s="64"/>
      <c r="M316" s="73" t="n">
        <v>0.976</v>
      </c>
      <c r="N316" s="73"/>
      <c r="O316" s="74" t="n">
        <f aca="false">IF(K316="",M316,L316/K316)</f>
        <v>0.976</v>
      </c>
      <c r="P316" s="74" t="n">
        <f aca="false">O316-M316</f>
        <v>0</v>
      </c>
    </row>
    <row r="317" customFormat="false" ht="15" hidden="false" customHeight="false" outlineLevel="0" collapsed="false">
      <c r="A317" s="18" t="s">
        <v>210</v>
      </c>
      <c r="B317" s="18" t="s">
        <v>207</v>
      </c>
      <c r="C317" s="18" t="s">
        <v>211</v>
      </c>
      <c r="D317" s="49" t="n">
        <v>46357</v>
      </c>
      <c r="E317" s="18" t="s">
        <v>109</v>
      </c>
      <c r="F317" s="18" t="s">
        <v>99</v>
      </c>
      <c r="G317" s="18" t="s">
        <v>110</v>
      </c>
      <c r="H317" s="18" t="s">
        <v>107</v>
      </c>
      <c r="I317" s="18" t="s">
        <v>102</v>
      </c>
      <c r="J317" s="64" t="n">
        <v>296.5248</v>
      </c>
      <c r="K317" s="64"/>
      <c r="L317" s="64"/>
      <c r="M317" s="73" t="n">
        <v>0.968</v>
      </c>
      <c r="N317" s="73"/>
      <c r="O317" s="74" t="n">
        <f aca="false">IF(K317="",M317,L317/K317)</f>
        <v>0.968</v>
      </c>
      <c r="P317" s="74" t="n">
        <f aca="false">O317-M317</f>
        <v>0</v>
      </c>
    </row>
    <row r="318" customFormat="false" ht="15" hidden="false" customHeight="false" outlineLevel="0" collapsed="false">
      <c r="A318" s="18" t="s">
        <v>210</v>
      </c>
      <c r="B318" s="18" t="s">
        <v>207</v>
      </c>
      <c r="C318" s="18" t="s">
        <v>211</v>
      </c>
      <c r="D318" s="49" t="n">
        <v>46357</v>
      </c>
      <c r="E318" s="18" t="s">
        <v>112</v>
      </c>
      <c r="F318" s="18" t="s">
        <v>113</v>
      </c>
      <c r="G318" s="18" t="s">
        <v>110</v>
      </c>
      <c r="H318" s="18" t="s">
        <v>101</v>
      </c>
      <c r="I318" s="18" t="s">
        <v>102</v>
      </c>
      <c r="J318" s="64" t="n">
        <v>2970.968</v>
      </c>
      <c r="K318" s="64"/>
      <c r="L318" s="64"/>
      <c r="M318" s="73" t="n">
        <v>0.961</v>
      </c>
      <c r="N318" s="73"/>
      <c r="O318" s="74" t="n">
        <f aca="false">IF(K318="",M318,L318/K318)</f>
        <v>0.961</v>
      </c>
      <c r="P318" s="74" t="n">
        <f aca="false">O318-M318</f>
        <v>0</v>
      </c>
    </row>
    <row r="319" customFormat="false" ht="15" hidden="false" customHeight="false" outlineLevel="0" collapsed="false">
      <c r="A319" s="18" t="s">
        <v>210</v>
      </c>
      <c r="B319" s="18" t="s">
        <v>207</v>
      </c>
      <c r="C319" s="18" t="s">
        <v>211</v>
      </c>
      <c r="D319" s="49" t="n">
        <v>46357</v>
      </c>
      <c r="E319" s="18" t="s">
        <v>116</v>
      </c>
      <c r="F319" s="18" t="s">
        <v>113</v>
      </c>
      <c r="G319" s="18" t="s">
        <v>110</v>
      </c>
      <c r="H319" s="18" t="s">
        <v>107</v>
      </c>
      <c r="I319" s="18" t="s">
        <v>102</v>
      </c>
      <c r="J319" s="64" t="n">
        <v>5517.512</v>
      </c>
      <c r="K319" s="64"/>
      <c r="L319" s="64"/>
      <c r="M319" s="73" t="n">
        <v>0.973</v>
      </c>
      <c r="N319" s="73"/>
      <c r="O319" s="74" t="n">
        <f aca="false">IF(K319="",M319,L319/K319)</f>
        <v>0.973</v>
      </c>
      <c r="P319" s="74" t="n">
        <f aca="false">O319-M319</f>
        <v>0</v>
      </c>
    </row>
    <row r="320" customFormat="false" ht="15" hidden="false" customHeight="false" outlineLevel="0" collapsed="false">
      <c r="A320" s="18" t="s">
        <v>210</v>
      </c>
      <c r="B320" s="18" t="s">
        <v>207</v>
      </c>
      <c r="C320" s="18" t="s">
        <v>211</v>
      </c>
      <c r="D320" s="49" t="n">
        <v>46357</v>
      </c>
      <c r="E320" s="18" t="s">
        <v>118</v>
      </c>
      <c r="F320" s="18" t="s">
        <v>119</v>
      </c>
      <c r="G320" s="18" t="s">
        <v>100</v>
      </c>
      <c r="H320" s="18" t="s">
        <v>101</v>
      </c>
      <c r="I320" s="18" t="s">
        <v>102</v>
      </c>
      <c r="J320" s="64" t="n">
        <v>6784.487424</v>
      </c>
      <c r="K320" s="64"/>
      <c r="L320" s="64"/>
      <c r="M320" s="73" t="n">
        <v>0.93</v>
      </c>
      <c r="N320" s="73"/>
      <c r="O320" s="74" t="n">
        <f aca="false">IF(K320="",M320,L320/K320)</f>
        <v>0.93</v>
      </c>
      <c r="P320" s="74" t="n">
        <f aca="false">O320-M320</f>
        <v>0</v>
      </c>
    </row>
    <row r="321" customFormat="false" ht="15" hidden="false" customHeight="false" outlineLevel="0" collapsed="false">
      <c r="A321" s="18" t="s">
        <v>210</v>
      </c>
      <c r="B321" s="18" t="s">
        <v>207</v>
      </c>
      <c r="C321" s="18" t="s">
        <v>211</v>
      </c>
      <c r="D321" s="49" t="n">
        <v>46357</v>
      </c>
      <c r="E321" s="18" t="s">
        <v>122</v>
      </c>
      <c r="F321" s="18" t="s">
        <v>119</v>
      </c>
      <c r="G321" s="18" t="s">
        <v>100</v>
      </c>
      <c r="H321" s="18" t="s">
        <v>107</v>
      </c>
      <c r="I321" s="18" t="s">
        <v>102</v>
      </c>
      <c r="J321" s="64" t="n">
        <v>3533.5872</v>
      </c>
      <c r="K321" s="64"/>
      <c r="L321" s="64"/>
      <c r="M321" s="73" t="n">
        <v>0.95</v>
      </c>
      <c r="N321" s="73"/>
      <c r="O321" s="74" t="n">
        <f aca="false">IF(K321="",M321,L321/K321)</f>
        <v>0.95</v>
      </c>
      <c r="P321" s="74" t="n">
        <f aca="false">O321-M321</f>
        <v>0</v>
      </c>
    </row>
    <row r="322" customFormat="false" ht="15" hidden="false" customHeight="false" outlineLevel="0" collapsed="false">
      <c r="A322" s="18" t="s">
        <v>210</v>
      </c>
      <c r="B322" s="18" t="s">
        <v>207</v>
      </c>
      <c r="C322" s="18" t="s">
        <v>211</v>
      </c>
      <c r="D322" s="49" t="n">
        <v>46357</v>
      </c>
      <c r="E322" s="18" t="s">
        <v>124</v>
      </c>
      <c r="F322" s="18" t="s">
        <v>119</v>
      </c>
      <c r="G322" s="18" t="s">
        <v>100</v>
      </c>
      <c r="H322" s="18" t="s">
        <v>107</v>
      </c>
      <c r="I322" s="18" t="s">
        <v>125</v>
      </c>
      <c r="J322" s="64" t="n">
        <v>2685.526272</v>
      </c>
      <c r="K322" s="64"/>
      <c r="L322" s="64"/>
      <c r="M322" s="73" t="n">
        <v>0.974</v>
      </c>
      <c r="N322" s="73"/>
      <c r="O322" s="74" t="n">
        <f aca="false">IF(K322="",M322,L322/K322)</f>
        <v>0.974</v>
      </c>
      <c r="P322" s="74" t="n">
        <f aca="false">O322-M322</f>
        <v>0</v>
      </c>
    </row>
    <row r="323" customFormat="false" ht="15" hidden="false" customHeight="false" outlineLevel="0" collapsed="false">
      <c r="A323" s="18" t="s">
        <v>210</v>
      </c>
      <c r="B323" s="18" t="s">
        <v>207</v>
      </c>
      <c r="C323" s="18" t="s">
        <v>211</v>
      </c>
      <c r="D323" s="49" t="n">
        <v>46357</v>
      </c>
      <c r="E323" s="18" t="s">
        <v>127</v>
      </c>
      <c r="F323" s="18" t="s">
        <v>119</v>
      </c>
      <c r="G323" s="18" t="s">
        <v>100</v>
      </c>
      <c r="H323" s="18" t="s">
        <v>128</v>
      </c>
      <c r="I323" s="18" t="s">
        <v>125</v>
      </c>
      <c r="J323" s="64" t="n">
        <v>1130.747904</v>
      </c>
      <c r="K323" s="64"/>
      <c r="L323" s="64"/>
      <c r="M323" s="73" t="n">
        <v>0.988</v>
      </c>
      <c r="N323" s="73"/>
      <c r="O323" s="74" t="n">
        <f aca="false">IF(K323="",M323,L323/K323)</f>
        <v>0.988</v>
      </c>
      <c r="P323" s="74" t="n">
        <f aca="false">O323-M323</f>
        <v>0</v>
      </c>
    </row>
    <row r="324" customFormat="false" ht="15" hidden="false" customHeight="false" outlineLevel="0" collapsed="false">
      <c r="A324" s="18" t="s">
        <v>210</v>
      </c>
      <c r="B324" s="18" t="s">
        <v>207</v>
      </c>
      <c r="C324" s="18" t="s">
        <v>211</v>
      </c>
      <c r="D324" s="49" t="n">
        <v>46357</v>
      </c>
      <c r="E324" s="18" t="s">
        <v>130</v>
      </c>
      <c r="F324" s="18" t="s">
        <v>119</v>
      </c>
      <c r="G324" s="18" t="s">
        <v>110</v>
      </c>
      <c r="H324" s="18" t="s">
        <v>107</v>
      </c>
      <c r="I324" s="18" t="s">
        <v>125</v>
      </c>
      <c r="J324" s="64" t="n">
        <v>588.9312</v>
      </c>
      <c r="K324" s="64"/>
      <c r="L324" s="64"/>
      <c r="M324" s="73" t="n">
        <v>0.971</v>
      </c>
      <c r="N324" s="73"/>
      <c r="O324" s="74" t="n">
        <f aca="false">IF(K324="",M324,L324/K324)</f>
        <v>0.971</v>
      </c>
      <c r="P324" s="74" t="n">
        <f aca="false">O324-M324</f>
        <v>0</v>
      </c>
    </row>
    <row r="325" customFormat="false" ht="15" hidden="false" customHeight="false" outlineLevel="0" collapsed="false">
      <c r="A325" s="18" t="s">
        <v>213</v>
      </c>
      <c r="B325" s="18" t="s">
        <v>207</v>
      </c>
      <c r="C325" s="18" t="s">
        <v>214</v>
      </c>
      <c r="D325" s="49" t="n">
        <v>46266</v>
      </c>
      <c r="E325" s="18" t="s">
        <v>98</v>
      </c>
      <c r="F325" s="18" t="s">
        <v>99</v>
      </c>
      <c r="G325" s="18" t="s">
        <v>100</v>
      </c>
      <c r="H325" s="18" t="s">
        <v>101</v>
      </c>
      <c r="I325" s="18" t="s">
        <v>102</v>
      </c>
      <c r="J325" s="64" t="n">
        <v>3783.9312</v>
      </c>
      <c r="K325" s="64"/>
      <c r="L325" s="64"/>
      <c r="M325" s="73" t="n">
        <v>0.965</v>
      </c>
      <c r="N325" s="73"/>
      <c r="O325" s="74" t="n">
        <f aca="false">IF(K325="",M325,L325/K325)</f>
        <v>0.965</v>
      </c>
      <c r="P325" s="74" t="n">
        <f aca="false">O325-M325</f>
        <v>0</v>
      </c>
    </row>
    <row r="326" customFormat="false" ht="15" hidden="false" customHeight="false" outlineLevel="0" collapsed="false">
      <c r="A326" s="18" t="s">
        <v>213</v>
      </c>
      <c r="B326" s="18" t="s">
        <v>207</v>
      </c>
      <c r="C326" s="18" t="s">
        <v>214</v>
      </c>
      <c r="D326" s="49" t="n">
        <v>46266</v>
      </c>
      <c r="E326" s="18" t="s">
        <v>106</v>
      </c>
      <c r="F326" s="18" t="s">
        <v>99</v>
      </c>
      <c r="G326" s="18" t="s">
        <v>100</v>
      </c>
      <c r="H326" s="18" t="s">
        <v>107</v>
      </c>
      <c r="I326" s="18" t="s">
        <v>102</v>
      </c>
      <c r="J326" s="64" t="n">
        <v>2522.6208</v>
      </c>
      <c r="K326" s="64"/>
      <c r="L326" s="64"/>
      <c r="M326" s="73" t="n">
        <v>0.976</v>
      </c>
      <c r="N326" s="73"/>
      <c r="O326" s="74" t="n">
        <f aca="false">IF(K326="",M326,L326/K326)</f>
        <v>0.976</v>
      </c>
      <c r="P326" s="74" t="n">
        <f aca="false">O326-M326</f>
        <v>0</v>
      </c>
    </row>
    <row r="327" customFormat="false" ht="15" hidden="false" customHeight="false" outlineLevel="0" collapsed="false">
      <c r="A327" s="18" t="s">
        <v>213</v>
      </c>
      <c r="B327" s="18" t="s">
        <v>207</v>
      </c>
      <c r="C327" s="18" t="s">
        <v>214</v>
      </c>
      <c r="D327" s="49" t="n">
        <v>46266</v>
      </c>
      <c r="E327" s="18" t="s">
        <v>109</v>
      </c>
      <c r="F327" s="18" t="s">
        <v>99</v>
      </c>
      <c r="G327" s="18" t="s">
        <v>110</v>
      </c>
      <c r="H327" s="18" t="s">
        <v>107</v>
      </c>
      <c r="I327" s="18" t="s">
        <v>102</v>
      </c>
      <c r="J327" s="64" t="n">
        <v>200.6208</v>
      </c>
      <c r="K327" s="64"/>
      <c r="L327" s="64"/>
      <c r="M327" s="73" t="n">
        <v>0.968</v>
      </c>
      <c r="N327" s="73"/>
      <c r="O327" s="74" t="n">
        <f aca="false">IF(K327="",M327,L327/K327)</f>
        <v>0.968</v>
      </c>
      <c r="P327" s="74" t="n">
        <f aca="false">O327-M327</f>
        <v>0</v>
      </c>
    </row>
    <row r="328" customFormat="false" ht="15" hidden="false" customHeight="false" outlineLevel="0" collapsed="false">
      <c r="A328" s="18" t="s">
        <v>213</v>
      </c>
      <c r="B328" s="18" t="s">
        <v>207</v>
      </c>
      <c r="C328" s="18" t="s">
        <v>214</v>
      </c>
      <c r="D328" s="49" t="n">
        <v>46266</v>
      </c>
      <c r="E328" s="18" t="s">
        <v>112</v>
      </c>
      <c r="F328" s="18" t="s">
        <v>113</v>
      </c>
      <c r="G328" s="18" t="s">
        <v>110</v>
      </c>
      <c r="H328" s="18" t="s">
        <v>101</v>
      </c>
      <c r="I328" s="18" t="s">
        <v>102</v>
      </c>
      <c r="J328" s="64" t="n">
        <v>1914.36</v>
      </c>
      <c r="K328" s="64"/>
      <c r="L328" s="64"/>
      <c r="M328" s="73" t="n">
        <v>0.961</v>
      </c>
      <c r="N328" s="73"/>
      <c r="O328" s="74" t="n">
        <f aca="false">IF(K328="",M328,L328/K328)</f>
        <v>0.961</v>
      </c>
      <c r="P328" s="74" t="n">
        <f aca="false">O328-M328</f>
        <v>0</v>
      </c>
    </row>
    <row r="329" customFormat="false" ht="15" hidden="false" customHeight="false" outlineLevel="0" collapsed="false">
      <c r="A329" s="18" t="s">
        <v>213</v>
      </c>
      <c r="B329" s="18" t="s">
        <v>207</v>
      </c>
      <c r="C329" s="18" t="s">
        <v>214</v>
      </c>
      <c r="D329" s="49" t="n">
        <v>46266</v>
      </c>
      <c r="E329" s="18" t="s">
        <v>116</v>
      </c>
      <c r="F329" s="18" t="s">
        <v>113</v>
      </c>
      <c r="G329" s="18" t="s">
        <v>110</v>
      </c>
      <c r="H329" s="18" t="s">
        <v>107</v>
      </c>
      <c r="I329" s="18" t="s">
        <v>102</v>
      </c>
      <c r="J329" s="64" t="n">
        <v>3555.24</v>
      </c>
      <c r="K329" s="64"/>
      <c r="L329" s="64"/>
      <c r="M329" s="73" t="n">
        <v>0.973</v>
      </c>
      <c r="N329" s="73"/>
      <c r="O329" s="74" t="n">
        <f aca="false">IF(K329="",M329,L329/K329)</f>
        <v>0.973</v>
      </c>
      <c r="P329" s="74" t="n">
        <f aca="false">O329-M329</f>
        <v>0</v>
      </c>
    </row>
    <row r="330" customFormat="false" ht="15" hidden="false" customHeight="false" outlineLevel="0" collapsed="false">
      <c r="A330" s="18" t="s">
        <v>213</v>
      </c>
      <c r="B330" s="18" t="s">
        <v>207</v>
      </c>
      <c r="C330" s="18" t="s">
        <v>214</v>
      </c>
      <c r="D330" s="49" t="n">
        <v>46266</v>
      </c>
      <c r="E330" s="18" t="s">
        <v>118</v>
      </c>
      <c r="F330" s="18" t="s">
        <v>119</v>
      </c>
      <c r="G330" s="18" t="s">
        <v>100</v>
      </c>
      <c r="H330" s="18" t="s">
        <v>101</v>
      </c>
      <c r="I330" s="18" t="s">
        <v>102</v>
      </c>
      <c r="J330" s="64" t="n">
        <v>2004.22656</v>
      </c>
      <c r="K330" s="64"/>
      <c r="L330" s="64"/>
      <c r="M330" s="73" t="n">
        <v>0.93</v>
      </c>
      <c r="N330" s="73"/>
      <c r="O330" s="74" t="n">
        <f aca="false">IF(K330="",M330,L330/K330)</f>
        <v>0.93</v>
      </c>
      <c r="P330" s="74" t="n">
        <f aca="false">O330-M330</f>
        <v>0</v>
      </c>
    </row>
    <row r="331" customFormat="false" ht="15" hidden="false" customHeight="false" outlineLevel="0" collapsed="false">
      <c r="A331" s="18" t="s">
        <v>213</v>
      </c>
      <c r="B331" s="18" t="s">
        <v>207</v>
      </c>
      <c r="C331" s="18" t="s">
        <v>214</v>
      </c>
      <c r="D331" s="49" t="n">
        <v>46266</v>
      </c>
      <c r="E331" s="18" t="s">
        <v>122</v>
      </c>
      <c r="F331" s="18" t="s">
        <v>119</v>
      </c>
      <c r="G331" s="18" t="s">
        <v>100</v>
      </c>
      <c r="H331" s="18" t="s">
        <v>107</v>
      </c>
      <c r="I331" s="18" t="s">
        <v>102</v>
      </c>
      <c r="J331" s="64" t="n">
        <v>1135.728384</v>
      </c>
      <c r="K331" s="64"/>
      <c r="L331" s="64"/>
      <c r="M331" s="73" t="n">
        <v>0.95</v>
      </c>
      <c r="N331" s="73"/>
      <c r="O331" s="74" t="n">
        <f aca="false">IF(K331="",M331,L331/K331)</f>
        <v>0.95</v>
      </c>
      <c r="P331" s="74" t="n">
        <f aca="false">O331-M331</f>
        <v>0</v>
      </c>
    </row>
    <row r="332" customFormat="false" ht="15" hidden="false" customHeight="false" outlineLevel="0" collapsed="false">
      <c r="A332" s="18" t="s">
        <v>213</v>
      </c>
      <c r="B332" s="18" t="s">
        <v>207</v>
      </c>
      <c r="C332" s="18" t="s">
        <v>214</v>
      </c>
      <c r="D332" s="49" t="n">
        <v>46266</v>
      </c>
      <c r="E332" s="18" t="s">
        <v>124</v>
      </c>
      <c r="F332" s="18" t="s">
        <v>119</v>
      </c>
      <c r="G332" s="18" t="s">
        <v>100</v>
      </c>
      <c r="H332" s="18" t="s">
        <v>107</v>
      </c>
      <c r="I332" s="18" t="s">
        <v>125</v>
      </c>
      <c r="J332" s="64" t="n">
        <v>1670.1888</v>
      </c>
      <c r="K332" s="64"/>
      <c r="L332" s="64"/>
      <c r="M332" s="73" t="n">
        <v>0.974</v>
      </c>
      <c r="N332" s="73"/>
      <c r="O332" s="74" t="n">
        <f aca="false">IF(K332="",M332,L332/K332)</f>
        <v>0.974</v>
      </c>
      <c r="P332" s="74" t="n">
        <f aca="false">O332-M332</f>
        <v>0</v>
      </c>
    </row>
    <row r="333" customFormat="false" ht="15" hidden="false" customHeight="false" outlineLevel="0" collapsed="false">
      <c r="A333" s="18" t="s">
        <v>213</v>
      </c>
      <c r="B333" s="18" t="s">
        <v>207</v>
      </c>
      <c r="C333" s="18" t="s">
        <v>214</v>
      </c>
      <c r="D333" s="49" t="n">
        <v>46266</v>
      </c>
      <c r="E333" s="18" t="s">
        <v>127</v>
      </c>
      <c r="F333" s="18" t="s">
        <v>119</v>
      </c>
      <c r="G333" s="18" t="s">
        <v>100</v>
      </c>
      <c r="H333" s="18" t="s">
        <v>128</v>
      </c>
      <c r="I333" s="18" t="s">
        <v>125</v>
      </c>
      <c r="J333" s="64" t="n">
        <v>1870.611456</v>
      </c>
      <c r="K333" s="64"/>
      <c r="L333" s="64"/>
      <c r="M333" s="73" t="n">
        <v>0.988</v>
      </c>
      <c r="N333" s="73"/>
      <c r="O333" s="74" t="n">
        <f aca="false">IF(K333="",M333,L333/K333)</f>
        <v>0.988</v>
      </c>
      <c r="P333" s="74" t="n">
        <f aca="false">O333-M333</f>
        <v>0</v>
      </c>
    </row>
    <row r="334" customFormat="false" ht="15" hidden="false" customHeight="false" outlineLevel="0" collapsed="false">
      <c r="A334" s="18" t="s">
        <v>213</v>
      </c>
      <c r="B334" s="18" t="s">
        <v>207</v>
      </c>
      <c r="C334" s="18" t="s">
        <v>214</v>
      </c>
      <c r="D334" s="49" t="n">
        <v>46266</v>
      </c>
      <c r="E334" s="18" t="s">
        <v>130</v>
      </c>
      <c r="F334" s="18" t="s">
        <v>119</v>
      </c>
      <c r="G334" s="18" t="s">
        <v>110</v>
      </c>
      <c r="H334" s="18" t="s">
        <v>107</v>
      </c>
      <c r="I334" s="18" t="s">
        <v>125</v>
      </c>
      <c r="J334" s="64" t="n">
        <v>273.6864</v>
      </c>
      <c r="K334" s="64"/>
      <c r="L334" s="64"/>
      <c r="M334" s="73" t="n">
        <v>0.971</v>
      </c>
      <c r="N334" s="73"/>
      <c r="O334" s="74" t="n">
        <f aca="false">IF(K334="",M334,L334/K334)</f>
        <v>0.971</v>
      </c>
      <c r="P334" s="74" t="n">
        <f aca="false">O334-M334</f>
        <v>0</v>
      </c>
    </row>
    <row r="335" customFormat="false" ht="15" hidden="false" customHeight="false" outlineLevel="0" collapsed="false">
      <c r="A335" s="18" t="s">
        <v>213</v>
      </c>
      <c r="B335" s="18" t="s">
        <v>207</v>
      </c>
      <c r="C335" s="18" t="s">
        <v>214</v>
      </c>
      <c r="D335" s="49" t="n">
        <v>46296</v>
      </c>
      <c r="E335" s="18" t="s">
        <v>98</v>
      </c>
      <c r="F335" s="18" t="s">
        <v>99</v>
      </c>
      <c r="G335" s="18" t="s">
        <v>100</v>
      </c>
      <c r="H335" s="18" t="s">
        <v>101</v>
      </c>
      <c r="I335" s="18" t="s">
        <v>102</v>
      </c>
      <c r="J335" s="64" t="n">
        <v>4051.593</v>
      </c>
      <c r="K335" s="64"/>
      <c r="L335" s="64"/>
      <c r="M335" s="73" t="n">
        <v>0.965</v>
      </c>
      <c r="N335" s="73"/>
      <c r="O335" s="74" t="n">
        <f aca="false">IF(K335="",M335,L335/K335)</f>
        <v>0.965</v>
      </c>
      <c r="P335" s="74" t="n">
        <f aca="false">O335-M335</f>
        <v>0</v>
      </c>
    </row>
    <row r="336" customFormat="false" ht="15" hidden="false" customHeight="false" outlineLevel="0" collapsed="false">
      <c r="A336" s="18" t="s">
        <v>213</v>
      </c>
      <c r="B336" s="18" t="s">
        <v>207</v>
      </c>
      <c r="C336" s="18" t="s">
        <v>214</v>
      </c>
      <c r="D336" s="49" t="n">
        <v>46296</v>
      </c>
      <c r="E336" s="18" t="s">
        <v>106</v>
      </c>
      <c r="F336" s="18" t="s">
        <v>99</v>
      </c>
      <c r="G336" s="18" t="s">
        <v>100</v>
      </c>
      <c r="H336" s="18" t="s">
        <v>107</v>
      </c>
      <c r="I336" s="18" t="s">
        <v>102</v>
      </c>
      <c r="J336" s="64" t="n">
        <v>2701.062</v>
      </c>
      <c r="K336" s="64"/>
      <c r="L336" s="64"/>
      <c r="M336" s="73" t="n">
        <v>0.976</v>
      </c>
      <c r="N336" s="73"/>
      <c r="O336" s="74" t="n">
        <f aca="false">IF(K336="",M336,L336/K336)</f>
        <v>0.976</v>
      </c>
      <c r="P336" s="74" t="n">
        <f aca="false">O336-M336</f>
        <v>0</v>
      </c>
    </row>
    <row r="337" customFormat="false" ht="15" hidden="false" customHeight="false" outlineLevel="0" collapsed="false">
      <c r="A337" s="18" t="s">
        <v>213</v>
      </c>
      <c r="B337" s="18" t="s">
        <v>207</v>
      </c>
      <c r="C337" s="18" t="s">
        <v>214</v>
      </c>
      <c r="D337" s="49" t="n">
        <v>46296</v>
      </c>
      <c r="E337" s="18" t="s">
        <v>109</v>
      </c>
      <c r="F337" s="18" t="s">
        <v>99</v>
      </c>
      <c r="G337" s="18" t="s">
        <v>110</v>
      </c>
      <c r="H337" s="18" t="s">
        <v>107</v>
      </c>
      <c r="I337" s="18" t="s">
        <v>102</v>
      </c>
      <c r="J337" s="64" t="n">
        <v>214.812</v>
      </c>
      <c r="K337" s="64"/>
      <c r="L337" s="64"/>
      <c r="M337" s="73" t="n">
        <v>0.968</v>
      </c>
      <c r="N337" s="73"/>
      <c r="O337" s="74" t="n">
        <f aca="false">IF(K337="",M337,L337/K337)</f>
        <v>0.968</v>
      </c>
      <c r="P337" s="74" t="n">
        <f aca="false">O337-M337</f>
        <v>0</v>
      </c>
    </row>
    <row r="338" customFormat="false" ht="15" hidden="false" customHeight="false" outlineLevel="0" collapsed="false">
      <c r="A338" s="18" t="s">
        <v>213</v>
      </c>
      <c r="B338" s="18" t="s">
        <v>207</v>
      </c>
      <c r="C338" s="18" t="s">
        <v>214</v>
      </c>
      <c r="D338" s="49" t="n">
        <v>46296</v>
      </c>
      <c r="E338" s="18" t="s">
        <v>112</v>
      </c>
      <c r="F338" s="18" t="s">
        <v>113</v>
      </c>
      <c r="G338" s="18" t="s">
        <v>110</v>
      </c>
      <c r="H338" s="18" t="s">
        <v>101</v>
      </c>
      <c r="I338" s="18" t="s">
        <v>102</v>
      </c>
      <c r="J338" s="64" t="n">
        <v>2170.35</v>
      </c>
      <c r="K338" s="64"/>
      <c r="L338" s="64"/>
      <c r="M338" s="73" t="n">
        <v>0.961</v>
      </c>
      <c r="N338" s="73"/>
      <c r="O338" s="74" t="n">
        <f aca="false">IF(K338="",M338,L338/K338)</f>
        <v>0.961</v>
      </c>
      <c r="P338" s="74" t="n">
        <f aca="false">O338-M338</f>
        <v>0</v>
      </c>
    </row>
    <row r="339" customFormat="false" ht="15" hidden="false" customHeight="false" outlineLevel="0" collapsed="false">
      <c r="A339" s="18" t="s">
        <v>213</v>
      </c>
      <c r="B339" s="18" t="s">
        <v>207</v>
      </c>
      <c r="C339" s="18" t="s">
        <v>214</v>
      </c>
      <c r="D339" s="49" t="n">
        <v>46296</v>
      </c>
      <c r="E339" s="18" t="s">
        <v>116</v>
      </c>
      <c r="F339" s="18" t="s">
        <v>113</v>
      </c>
      <c r="G339" s="18" t="s">
        <v>110</v>
      </c>
      <c r="H339" s="18" t="s">
        <v>107</v>
      </c>
      <c r="I339" s="18" t="s">
        <v>102</v>
      </c>
      <c r="J339" s="64" t="n">
        <v>4030.65</v>
      </c>
      <c r="K339" s="64"/>
      <c r="L339" s="64"/>
      <c r="M339" s="73" t="n">
        <v>0.973</v>
      </c>
      <c r="N339" s="73"/>
      <c r="O339" s="74" t="n">
        <f aca="false">IF(K339="",M339,L339/K339)</f>
        <v>0.973</v>
      </c>
      <c r="P339" s="74" t="n">
        <f aca="false">O339-M339</f>
        <v>0</v>
      </c>
    </row>
    <row r="340" customFormat="false" ht="15" hidden="false" customHeight="false" outlineLevel="0" collapsed="false">
      <c r="A340" s="18" t="s">
        <v>213</v>
      </c>
      <c r="B340" s="18" t="s">
        <v>207</v>
      </c>
      <c r="C340" s="18" t="s">
        <v>214</v>
      </c>
      <c r="D340" s="49" t="n">
        <v>46296</v>
      </c>
      <c r="E340" s="18" t="s">
        <v>118</v>
      </c>
      <c r="F340" s="18" t="s">
        <v>119</v>
      </c>
      <c r="G340" s="18" t="s">
        <v>100</v>
      </c>
      <c r="H340" s="18" t="s">
        <v>101</v>
      </c>
      <c r="I340" s="18" t="s">
        <v>102</v>
      </c>
      <c r="J340" s="64" t="n">
        <v>3410.0352</v>
      </c>
      <c r="K340" s="64"/>
      <c r="L340" s="64"/>
      <c r="M340" s="73" t="n">
        <v>0.93</v>
      </c>
      <c r="N340" s="73"/>
      <c r="O340" s="74" t="n">
        <f aca="false">IF(K340="",M340,L340/K340)</f>
        <v>0.93</v>
      </c>
      <c r="P340" s="74" t="n">
        <f aca="false">O340-M340</f>
        <v>0</v>
      </c>
    </row>
    <row r="341" customFormat="false" ht="15" hidden="false" customHeight="false" outlineLevel="0" collapsed="false">
      <c r="A341" s="18" t="s">
        <v>213</v>
      </c>
      <c r="B341" s="18" t="s">
        <v>207</v>
      </c>
      <c r="C341" s="18" t="s">
        <v>214</v>
      </c>
      <c r="D341" s="49" t="n">
        <v>46296</v>
      </c>
      <c r="E341" s="18" t="s">
        <v>122</v>
      </c>
      <c r="F341" s="18" t="s">
        <v>119</v>
      </c>
      <c r="G341" s="18" t="s">
        <v>100</v>
      </c>
      <c r="H341" s="18" t="s">
        <v>107</v>
      </c>
      <c r="I341" s="18" t="s">
        <v>102</v>
      </c>
      <c r="J341" s="64" t="n">
        <v>1860.0192</v>
      </c>
      <c r="K341" s="64"/>
      <c r="L341" s="64"/>
      <c r="M341" s="73" t="n">
        <v>0.95</v>
      </c>
      <c r="N341" s="73"/>
      <c r="O341" s="74" t="n">
        <f aca="false">IF(K341="",M341,L341/K341)</f>
        <v>0.95</v>
      </c>
      <c r="P341" s="74" t="n">
        <f aca="false">O341-M341</f>
        <v>0</v>
      </c>
    </row>
    <row r="342" customFormat="false" ht="15" hidden="false" customHeight="false" outlineLevel="0" collapsed="false">
      <c r="A342" s="18" t="s">
        <v>213</v>
      </c>
      <c r="B342" s="18" t="s">
        <v>207</v>
      </c>
      <c r="C342" s="18" t="s">
        <v>214</v>
      </c>
      <c r="D342" s="49" t="n">
        <v>46296</v>
      </c>
      <c r="E342" s="18" t="s">
        <v>124</v>
      </c>
      <c r="F342" s="18" t="s">
        <v>119</v>
      </c>
      <c r="G342" s="18" t="s">
        <v>100</v>
      </c>
      <c r="H342" s="18" t="s">
        <v>107</v>
      </c>
      <c r="I342" s="18" t="s">
        <v>125</v>
      </c>
      <c r="J342" s="64" t="n">
        <v>1550.016</v>
      </c>
      <c r="K342" s="64"/>
      <c r="L342" s="64"/>
      <c r="M342" s="73" t="n">
        <v>0.974</v>
      </c>
      <c r="N342" s="73"/>
      <c r="O342" s="74" t="n">
        <f aca="false">IF(K342="",M342,L342/K342)</f>
        <v>0.974</v>
      </c>
      <c r="P342" s="74" t="n">
        <f aca="false">O342-M342</f>
        <v>0</v>
      </c>
    </row>
    <row r="343" customFormat="false" ht="15" hidden="false" customHeight="false" outlineLevel="0" collapsed="false">
      <c r="A343" s="18" t="s">
        <v>213</v>
      </c>
      <c r="B343" s="18" t="s">
        <v>207</v>
      </c>
      <c r="C343" s="18" t="s">
        <v>214</v>
      </c>
      <c r="D343" s="49" t="n">
        <v>46296</v>
      </c>
      <c r="E343" s="18" t="s">
        <v>127</v>
      </c>
      <c r="F343" s="18" t="s">
        <v>119</v>
      </c>
      <c r="G343" s="18" t="s">
        <v>100</v>
      </c>
      <c r="H343" s="18" t="s">
        <v>128</v>
      </c>
      <c r="I343" s="18" t="s">
        <v>125</v>
      </c>
      <c r="J343" s="64" t="n">
        <v>930.0096</v>
      </c>
      <c r="K343" s="64"/>
      <c r="L343" s="64"/>
      <c r="M343" s="73" t="n">
        <v>0.988</v>
      </c>
      <c r="N343" s="73"/>
      <c r="O343" s="74" t="n">
        <f aca="false">IF(K343="",M343,L343/K343)</f>
        <v>0.988</v>
      </c>
      <c r="P343" s="74" t="n">
        <f aca="false">O343-M343</f>
        <v>0</v>
      </c>
    </row>
    <row r="344" customFormat="false" ht="15" hidden="false" customHeight="false" outlineLevel="0" collapsed="false">
      <c r="A344" s="18" t="s">
        <v>213</v>
      </c>
      <c r="B344" s="18" t="s">
        <v>207</v>
      </c>
      <c r="C344" s="18" t="s">
        <v>214</v>
      </c>
      <c r="D344" s="49" t="n">
        <v>46296</v>
      </c>
      <c r="E344" s="18" t="s">
        <v>130</v>
      </c>
      <c r="F344" s="18" t="s">
        <v>119</v>
      </c>
      <c r="G344" s="18" t="s">
        <v>110</v>
      </c>
      <c r="H344" s="18" t="s">
        <v>107</v>
      </c>
      <c r="I344" s="18" t="s">
        <v>125</v>
      </c>
      <c r="J344" s="64" t="n">
        <v>328.536</v>
      </c>
      <c r="K344" s="64"/>
      <c r="L344" s="64"/>
      <c r="M344" s="73" t="n">
        <v>0.971</v>
      </c>
      <c r="N344" s="73"/>
      <c r="O344" s="74" t="n">
        <f aca="false">IF(K344="",M344,L344/K344)</f>
        <v>0.971</v>
      </c>
      <c r="P344" s="74" t="n">
        <f aca="false">O344-M344</f>
        <v>0</v>
      </c>
    </row>
    <row r="345" customFormat="false" ht="15" hidden="false" customHeight="false" outlineLevel="0" collapsed="false">
      <c r="A345" s="18" t="s">
        <v>213</v>
      </c>
      <c r="B345" s="18" t="s">
        <v>207</v>
      </c>
      <c r="C345" s="18" t="s">
        <v>214</v>
      </c>
      <c r="D345" s="49" t="n">
        <v>46327</v>
      </c>
      <c r="E345" s="18" t="s">
        <v>98</v>
      </c>
      <c r="F345" s="18" t="s">
        <v>99</v>
      </c>
      <c r="G345" s="18" t="s">
        <v>100</v>
      </c>
      <c r="H345" s="18" t="s">
        <v>101</v>
      </c>
      <c r="I345" s="18" t="s">
        <v>102</v>
      </c>
      <c r="J345" s="64" t="n">
        <v>4849.6896</v>
      </c>
      <c r="K345" s="64"/>
      <c r="L345" s="64"/>
      <c r="M345" s="73" t="n">
        <v>0.965</v>
      </c>
      <c r="N345" s="73"/>
      <c r="O345" s="74" t="n">
        <f aca="false">IF(K345="",M345,L345/K345)</f>
        <v>0.965</v>
      </c>
      <c r="P345" s="74" t="n">
        <f aca="false">O345-M345</f>
        <v>0</v>
      </c>
    </row>
    <row r="346" customFormat="false" ht="15" hidden="false" customHeight="false" outlineLevel="0" collapsed="false">
      <c r="A346" s="18" t="s">
        <v>213</v>
      </c>
      <c r="B346" s="18" t="s">
        <v>207</v>
      </c>
      <c r="C346" s="18" t="s">
        <v>214</v>
      </c>
      <c r="D346" s="49" t="n">
        <v>46327</v>
      </c>
      <c r="E346" s="18" t="s">
        <v>106</v>
      </c>
      <c r="F346" s="18" t="s">
        <v>99</v>
      </c>
      <c r="G346" s="18" t="s">
        <v>100</v>
      </c>
      <c r="H346" s="18" t="s">
        <v>107</v>
      </c>
      <c r="I346" s="18" t="s">
        <v>102</v>
      </c>
      <c r="J346" s="64" t="n">
        <v>3233.1264</v>
      </c>
      <c r="K346" s="64"/>
      <c r="L346" s="64"/>
      <c r="M346" s="73" t="n">
        <v>0.976</v>
      </c>
      <c r="N346" s="73"/>
      <c r="O346" s="74" t="n">
        <f aca="false">IF(K346="",M346,L346/K346)</f>
        <v>0.976</v>
      </c>
      <c r="P346" s="74" t="n">
        <f aca="false">O346-M346</f>
        <v>0</v>
      </c>
    </row>
    <row r="347" customFormat="false" ht="15" hidden="false" customHeight="false" outlineLevel="0" collapsed="false">
      <c r="A347" s="18" t="s">
        <v>213</v>
      </c>
      <c r="B347" s="18" t="s">
        <v>207</v>
      </c>
      <c r="C347" s="18" t="s">
        <v>214</v>
      </c>
      <c r="D347" s="49" t="n">
        <v>46327</v>
      </c>
      <c r="E347" s="18" t="s">
        <v>109</v>
      </c>
      <c r="F347" s="18" t="s">
        <v>99</v>
      </c>
      <c r="G347" s="18" t="s">
        <v>110</v>
      </c>
      <c r="H347" s="18" t="s">
        <v>107</v>
      </c>
      <c r="I347" s="18" t="s">
        <v>102</v>
      </c>
      <c r="J347" s="64" t="n">
        <v>257.1264</v>
      </c>
      <c r="K347" s="64"/>
      <c r="L347" s="64"/>
      <c r="M347" s="73" t="n">
        <v>0.968</v>
      </c>
      <c r="N347" s="73"/>
      <c r="O347" s="74" t="n">
        <f aca="false">IF(K347="",M347,L347/K347)</f>
        <v>0.968</v>
      </c>
      <c r="P347" s="74" t="n">
        <f aca="false">O347-M347</f>
        <v>0</v>
      </c>
    </row>
    <row r="348" customFormat="false" ht="15" hidden="false" customHeight="false" outlineLevel="0" collapsed="false">
      <c r="A348" s="18" t="s">
        <v>213</v>
      </c>
      <c r="B348" s="18" t="s">
        <v>207</v>
      </c>
      <c r="C348" s="18" t="s">
        <v>214</v>
      </c>
      <c r="D348" s="49" t="n">
        <v>46327</v>
      </c>
      <c r="E348" s="18" t="s">
        <v>112</v>
      </c>
      <c r="F348" s="18" t="s">
        <v>113</v>
      </c>
      <c r="G348" s="18" t="s">
        <v>110</v>
      </c>
      <c r="H348" s="18" t="s">
        <v>101</v>
      </c>
      <c r="I348" s="18" t="s">
        <v>102</v>
      </c>
      <c r="J348" s="64" t="n">
        <v>2668.232</v>
      </c>
      <c r="K348" s="64"/>
      <c r="L348" s="64"/>
      <c r="M348" s="73" t="n">
        <v>0.961</v>
      </c>
      <c r="N348" s="73"/>
      <c r="O348" s="74" t="n">
        <f aca="false">IF(K348="",M348,L348/K348)</f>
        <v>0.961</v>
      </c>
      <c r="P348" s="74" t="n">
        <f aca="false">O348-M348</f>
        <v>0</v>
      </c>
    </row>
    <row r="349" customFormat="false" ht="15" hidden="false" customHeight="false" outlineLevel="0" collapsed="false">
      <c r="A349" s="18" t="s">
        <v>213</v>
      </c>
      <c r="B349" s="18" t="s">
        <v>207</v>
      </c>
      <c r="C349" s="18" t="s">
        <v>214</v>
      </c>
      <c r="D349" s="49" t="n">
        <v>46327</v>
      </c>
      <c r="E349" s="18" t="s">
        <v>116</v>
      </c>
      <c r="F349" s="18" t="s">
        <v>113</v>
      </c>
      <c r="G349" s="18" t="s">
        <v>110</v>
      </c>
      <c r="H349" s="18" t="s">
        <v>107</v>
      </c>
      <c r="I349" s="18" t="s">
        <v>102</v>
      </c>
      <c r="J349" s="64" t="n">
        <v>4955.288</v>
      </c>
      <c r="K349" s="64"/>
      <c r="L349" s="64"/>
      <c r="M349" s="73" t="n">
        <v>0.973</v>
      </c>
      <c r="N349" s="73"/>
      <c r="O349" s="74" t="n">
        <f aca="false">IF(K349="",M349,L349/K349)</f>
        <v>0.973</v>
      </c>
      <c r="P349" s="74" t="n">
        <f aca="false">O349-M349</f>
        <v>0</v>
      </c>
    </row>
    <row r="350" customFormat="false" ht="15" hidden="false" customHeight="false" outlineLevel="0" collapsed="false">
      <c r="A350" s="18" t="s">
        <v>213</v>
      </c>
      <c r="B350" s="18" t="s">
        <v>207</v>
      </c>
      <c r="C350" s="18" t="s">
        <v>214</v>
      </c>
      <c r="D350" s="49" t="n">
        <v>46327</v>
      </c>
      <c r="E350" s="18" t="s">
        <v>118</v>
      </c>
      <c r="F350" s="18" t="s">
        <v>119</v>
      </c>
      <c r="G350" s="18" t="s">
        <v>100</v>
      </c>
      <c r="H350" s="18" t="s">
        <v>101</v>
      </c>
      <c r="I350" s="18" t="s">
        <v>102</v>
      </c>
      <c r="J350" s="64" t="n">
        <v>5770.70208</v>
      </c>
      <c r="K350" s="64"/>
      <c r="L350" s="64"/>
      <c r="M350" s="73" t="n">
        <v>0.93</v>
      </c>
      <c r="N350" s="73"/>
      <c r="O350" s="74" t="n">
        <f aca="false">IF(K350="",M350,L350/K350)</f>
        <v>0.93</v>
      </c>
      <c r="P350" s="74" t="n">
        <f aca="false">O350-M350</f>
        <v>0</v>
      </c>
    </row>
    <row r="351" customFormat="false" ht="15" hidden="false" customHeight="false" outlineLevel="0" collapsed="false">
      <c r="A351" s="18" t="s">
        <v>213</v>
      </c>
      <c r="B351" s="18" t="s">
        <v>207</v>
      </c>
      <c r="C351" s="18" t="s">
        <v>214</v>
      </c>
      <c r="D351" s="49" t="n">
        <v>46327</v>
      </c>
      <c r="E351" s="18" t="s">
        <v>122</v>
      </c>
      <c r="F351" s="18" t="s">
        <v>119</v>
      </c>
      <c r="G351" s="18" t="s">
        <v>100</v>
      </c>
      <c r="H351" s="18" t="s">
        <v>107</v>
      </c>
      <c r="I351" s="18" t="s">
        <v>102</v>
      </c>
      <c r="J351" s="64" t="n">
        <v>2937.811968</v>
      </c>
      <c r="K351" s="64"/>
      <c r="L351" s="64"/>
      <c r="M351" s="73" t="n">
        <v>0.95</v>
      </c>
      <c r="N351" s="73"/>
      <c r="O351" s="74" t="n">
        <f aca="false">IF(K351="",M351,L351/K351)</f>
        <v>0.95</v>
      </c>
      <c r="P351" s="74" t="n">
        <f aca="false">O351-M351</f>
        <v>0</v>
      </c>
    </row>
    <row r="352" customFormat="false" ht="15" hidden="false" customHeight="false" outlineLevel="0" collapsed="false">
      <c r="A352" s="18" t="s">
        <v>213</v>
      </c>
      <c r="B352" s="18" t="s">
        <v>207</v>
      </c>
      <c r="C352" s="18" t="s">
        <v>214</v>
      </c>
      <c r="D352" s="49" t="n">
        <v>46327</v>
      </c>
      <c r="E352" s="18" t="s">
        <v>124</v>
      </c>
      <c r="F352" s="18" t="s">
        <v>119</v>
      </c>
      <c r="G352" s="18" t="s">
        <v>100</v>
      </c>
      <c r="H352" s="18" t="s">
        <v>107</v>
      </c>
      <c r="I352" s="18" t="s">
        <v>125</v>
      </c>
      <c r="J352" s="64" t="n">
        <v>1363.984128</v>
      </c>
      <c r="K352" s="64"/>
      <c r="L352" s="64"/>
      <c r="M352" s="73" t="n">
        <v>0.974</v>
      </c>
      <c r="N352" s="73"/>
      <c r="O352" s="74" t="n">
        <f aca="false">IF(K352="",M352,L352/K352)</f>
        <v>0.974</v>
      </c>
      <c r="P352" s="74" t="n">
        <f aca="false">O352-M352</f>
        <v>0</v>
      </c>
    </row>
    <row r="353" customFormat="false" ht="15" hidden="false" customHeight="false" outlineLevel="0" collapsed="false">
      <c r="A353" s="18" t="s">
        <v>213</v>
      </c>
      <c r="B353" s="18" t="s">
        <v>207</v>
      </c>
      <c r="C353" s="18" t="s">
        <v>214</v>
      </c>
      <c r="D353" s="49" t="n">
        <v>46327</v>
      </c>
      <c r="E353" s="18" t="s">
        <v>127</v>
      </c>
      <c r="F353" s="18" t="s">
        <v>119</v>
      </c>
      <c r="G353" s="18" t="s">
        <v>100</v>
      </c>
      <c r="H353" s="18" t="s">
        <v>128</v>
      </c>
      <c r="I353" s="18" t="s">
        <v>125</v>
      </c>
      <c r="J353" s="64" t="n">
        <v>419.687424</v>
      </c>
      <c r="K353" s="64"/>
      <c r="L353" s="64"/>
      <c r="M353" s="73" t="n">
        <v>0.988</v>
      </c>
      <c r="N353" s="73"/>
      <c r="O353" s="74" t="n">
        <f aca="false">IF(K353="",M353,L353/K353)</f>
        <v>0.988</v>
      </c>
      <c r="P353" s="74" t="n">
        <f aca="false">O353-M353</f>
        <v>0</v>
      </c>
    </row>
    <row r="354" customFormat="false" ht="15" hidden="false" customHeight="false" outlineLevel="0" collapsed="false">
      <c r="A354" s="18" t="s">
        <v>213</v>
      </c>
      <c r="B354" s="18" t="s">
        <v>207</v>
      </c>
      <c r="C354" s="18" t="s">
        <v>214</v>
      </c>
      <c r="D354" s="49" t="n">
        <v>46327</v>
      </c>
      <c r="E354" s="18" t="s">
        <v>130</v>
      </c>
      <c r="F354" s="18" t="s">
        <v>119</v>
      </c>
      <c r="G354" s="18" t="s">
        <v>110</v>
      </c>
      <c r="H354" s="18" t="s">
        <v>107</v>
      </c>
      <c r="I354" s="18" t="s">
        <v>125</v>
      </c>
      <c r="J354" s="64" t="n">
        <v>452.6496</v>
      </c>
      <c r="K354" s="64"/>
      <c r="L354" s="64"/>
      <c r="M354" s="73" t="n">
        <v>0.971</v>
      </c>
      <c r="N354" s="73"/>
      <c r="O354" s="74" t="n">
        <f aca="false">IF(K354="",M354,L354/K354)</f>
        <v>0.971</v>
      </c>
      <c r="P354" s="74" t="n">
        <f aca="false">O354-M354</f>
        <v>0</v>
      </c>
    </row>
    <row r="355" customFormat="false" ht="15" hidden="false" customHeight="false" outlineLevel="0" collapsed="false">
      <c r="A355" s="18" t="s">
        <v>213</v>
      </c>
      <c r="B355" s="18" t="s">
        <v>207</v>
      </c>
      <c r="C355" s="18" t="s">
        <v>214</v>
      </c>
      <c r="D355" s="49" t="n">
        <v>46357</v>
      </c>
      <c r="E355" s="18" t="s">
        <v>98</v>
      </c>
      <c r="F355" s="18" t="s">
        <v>99</v>
      </c>
      <c r="G355" s="18" t="s">
        <v>100</v>
      </c>
      <c r="H355" s="18" t="s">
        <v>101</v>
      </c>
      <c r="I355" s="18" t="s">
        <v>102</v>
      </c>
      <c r="J355" s="64" t="n">
        <v>5592.7872</v>
      </c>
      <c r="K355" s="64"/>
      <c r="L355" s="64"/>
      <c r="M355" s="73" t="n">
        <v>0.965</v>
      </c>
      <c r="N355" s="73"/>
      <c r="O355" s="74" t="n">
        <f aca="false">IF(K355="",M355,L355/K355)</f>
        <v>0.965</v>
      </c>
      <c r="P355" s="74" t="n">
        <f aca="false">O355-M355</f>
        <v>0</v>
      </c>
    </row>
    <row r="356" customFormat="false" ht="15" hidden="false" customHeight="false" outlineLevel="0" collapsed="false">
      <c r="A356" s="18" t="s">
        <v>213</v>
      </c>
      <c r="B356" s="18" t="s">
        <v>207</v>
      </c>
      <c r="C356" s="18" t="s">
        <v>214</v>
      </c>
      <c r="D356" s="49" t="n">
        <v>46357</v>
      </c>
      <c r="E356" s="18" t="s">
        <v>106</v>
      </c>
      <c r="F356" s="18" t="s">
        <v>99</v>
      </c>
      <c r="G356" s="18" t="s">
        <v>100</v>
      </c>
      <c r="H356" s="18" t="s">
        <v>107</v>
      </c>
      <c r="I356" s="18" t="s">
        <v>102</v>
      </c>
      <c r="J356" s="64" t="n">
        <v>3728.5248</v>
      </c>
      <c r="K356" s="64"/>
      <c r="L356" s="64"/>
      <c r="M356" s="73" t="n">
        <v>0.976</v>
      </c>
      <c r="N356" s="73"/>
      <c r="O356" s="74" t="n">
        <f aca="false">IF(K356="",M356,L356/K356)</f>
        <v>0.976</v>
      </c>
      <c r="P356" s="74" t="n">
        <f aca="false">O356-M356</f>
        <v>0</v>
      </c>
    </row>
    <row r="357" customFormat="false" ht="15" hidden="false" customHeight="false" outlineLevel="0" collapsed="false">
      <c r="A357" s="18" t="s">
        <v>213</v>
      </c>
      <c r="B357" s="18" t="s">
        <v>207</v>
      </c>
      <c r="C357" s="18" t="s">
        <v>214</v>
      </c>
      <c r="D357" s="49" t="n">
        <v>46357</v>
      </c>
      <c r="E357" s="18" t="s">
        <v>109</v>
      </c>
      <c r="F357" s="18" t="s">
        <v>99</v>
      </c>
      <c r="G357" s="18" t="s">
        <v>110</v>
      </c>
      <c r="H357" s="18" t="s">
        <v>107</v>
      </c>
      <c r="I357" s="18" t="s">
        <v>102</v>
      </c>
      <c r="J357" s="64" t="n">
        <v>296.5248</v>
      </c>
      <c r="K357" s="64"/>
      <c r="L357" s="64"/>
      <c r="M357" s="73" t="n">
        <v>0.968</v>
      </c>
      <c r="N357" s="73"/>
      <c r="O357" s="74" t="n">
        <f aca="false">IF(K357="",M357,L357/K357)</f>
        <v>0.968</v>
      </c>
      <c r="P357" s="74" t="n">
        <f aca="false">O357-M357</f>
        <v>0</v>
      </c>
    </row>
    <row r="358" customFormat="false" ht="15" hidden="false" customHeight="false" outlineLevel="0" collapsed="false">
      <c r="A358" s="18" t="s">
        <v>213</v>
      </c>
      <c r="B358" s="18" t="s">
        <v>207</v>
      </c>
      <c r="C358" s="18" t="s">
        <v>214</v>
      </c>
      <c r="D358" s="49" t="n">
        <v>46357</v>
      </c>
      <c r="E358" s="18" t="s">
        <v>112</v>
      </c>
      <c r="F358" s="18" t="s">
        <v>113</v>
      </c>
      <c r="G358" s="18" t="s">
        <v>110</v>
      </c>
      <c r="H358" s="18" t="s">
        <v>101</v>
      </c>
      <c r="I358" s="18" t="s">
        <v>102</v>
      </c>
      <c r="J358" s="64" t="n">
        <v>2970.968</v>
      </c>
      <c r="K358" s="64"/>
      <c r="L358" s="64"/>
      <c r="M358" s="73" t="n">
        <v>0.961</v>
      </c>
      <c r="N358" s="73"/>
      <c r="O358" s="74" t="n">
        <f aca="false">IF(K358="",M358,L358/K358)</f>
        <v>0.961</v>
      </c>
      <c r="P358" s="74" t="n">
        <f aca="false">O358-M358</f>
        <v>0</v>
      </c>
    </row>
    <row r="359" customFormat="false" ht="15" hidden="false" customHeight="false" outlineLevel="0" collapsed="false">
      <c r="A359" s="18" t="s">
        <v>213</v>
      </c>
      <c r="B359" s="18" t="s">
        <v>207</v>
      </c>
      <c r="C359" s="18" t="s">
        <v>214</v>
      </c>
      <c r="D359" s="49" t="n">
        <v>46357</v>
      </c>
      <c r="E359" s="18" t="s">
        <v>116</v>
      </c>
      <c r="F359" s="18" t="s">
        <v>113</v>
      </c>
      <c r="G359" s="18" t="s">
        <v>110</v>
      </c>
      <c r="H359" s="18" t="s">
        <v>107</v>
      </c>
      <c r="I359" s="18" t="s">
        <v>102</v>
      </c>
      <c r="J359" s="64" t="n">
        <v>5517.512</v>
      </c>
      <c r="K359" s="64"/>
      <c r="L359" s="64"/>
      <c r="M359" s="73" t="n">
        <v>0.973</v>
      </c>
      <c r="N359" s="73"/>
      <c r="O359" s="74" t="n">
        <f aca="false">IF(K359="",M359,L359/K359)</f>
        <v>0.973</v>
      </c>
      <c r="P359" s="74" t="n">
        <f aca="false">O359-M359</f>
        <v>0</v>
      </c>
    </row>
    <row r="360" customFormat="false" ht="15" hidden="false" customHeight="false" outlineLevel="0" collapsed="false">
      <c r="A360" s="18" t="s">
        <v>213</v>
      </c>
      <c r="B360" s="18" t="s">
        <v>207</v>
      </c>
      <c r="C360" s="18" t="s">
        <v>214</v>
      </c>
      <c r="D360" s="49" t="n">
        <v>46357</v>
      </c>
      <c r="E360" s="18" t="s">
        <v>118</v>
      </c>
      <c r="F360" s="18" t="s">
        <v>119</v>
      </c>
      <c r="G360" s="18" t="s">
        <v>100</v>
      </c>
      <c r="H360" s="18" t="s">
        <v>101</v>
      </c>
      <c r="I360" s="18" t="s">
        <v>102</v>
      </c>
      <c r="J360" s="64" t="n">
        <v>7197.86496</v>
      </c>
      <c r="K360" s="64"/>
      <c r="L360" s="64"/>
      <c r="M360" s="73" t="n">
        <v>0.93</v>
      </c>
      <c r="N360" s="73"/>
      <c r="O360" s="74" t="n">
        <f aca="false">IF(K360="",M360,L360/K360)</f>
        <v>0.93</v>
      </c>
      <c r="P360" s="74" t="n">
        <f aca="false">O360-M360</f>
        <v>0</v>
      </c>
    </row>
    <row r="361" customFormat="false" ht="15" hidden="false" customHeight="false" outlineLevel="0" collapsed="false">
      <c r="A361" s="18" t="s">
        <v>213</v>
      </c>
      <c r="B361" s="18" t="s">
        <v>207</v>
      </c>
      <c r="C361" s="18" t="s">
        <v>214</v>
      </c>
      <c r="D361" s="49" t="n">
        <v>46357</v>
      </c>
      <c r="E361" s="18" t="s">
        <v>122</v>
      </c>
      <c r="F361" s="18" t="s">
        <v>119</v>
      </c>
      <c r="G361" s="18" t="s">
        <v>100</v>
      </c>
      <c r="H361" s="18" t="s">
        <v>107</v>
      </c>
      <c r="I361" s="18" t="s">
        <v>102</v>
      </c>
      <c r="J361" s="64" t="n">
        <v>3474.83136</v>
      </c>
      <c r="K361" s="64"/>
      <c r="L361" s="64"/>
      <c r="M361" s="73" t="n">
        <v>0.95</v>
      </c>
      <c r="N361" s="73"/>
      <c r="O361" s="74" t="n">
        <f aca="false">IF(K361="",M361,L361/K361)</f>
        <v>0.95</v>
      </c>
      <c r="P361" s="74" t="n">
        <f aca="false">O361-M361</f>
        <v>0</v>
      </c>
    </row>
    <row r="362" customFormat="false" ht="15" hidden="false" customHeight="false" outlineLevel="0" collapsed="false">
      <c r="A362" s="18" t="s">
        <v>213</v>
      </c>
      <c r="B362" s="18" t="s">
        <v>207</v>
      </c>
      <c r="C362" s="18" t="s">
        <v>214</v>
      </c>
      <c r="D362" s="49" t="n">
        <v>46357</v>
      </c>
      <c r="E362" s="18" t="s">
        <v>124</v>
      </c>
      <c r="F362" s="18" t="s">
        <v>119</v>
      </c>
      <c r="G362" s="18" t="s">
        <v>100</v>
      </c>
      <c r="H362" s="18" t="s">
        <v>107</v>
      </c>
      <c r="I362" s="18" t="s">
        <v>125</v>
      </c>
      <c r="J362" s="64" t="n">
        <v>1241.0112</v>
      </c>
      <c r="K362" s="64"/>
      <c r="L362" s="64"/>
      <c r="M362" s="73" t="n">
        <v>0.974</v>
      </c>
      <c r="N362" s="73"/>
      <c r="O362" s="74" t="n">
        <f aca="false">IF(K362="",M362,L362/K362)</f>
        <v>0.974</v>
      </c>
      <c r="P362" s="74" t="n">
        <f aca="false">O362-M362</f>
        <v>0</v>
      </c>
    </row>
    <row r="363" customFormat="false" ht="15" hidden="false" customHeight="false" outlineLevel="0" collapsed="false">
      <c r="A363" s="18" t="s">
        <v>213</v>
      </c>
      <c r="B363" s="18" t="s">
        <v>207</v>
      </c>
      <c r="C363" s="18" t="s">
        <v>214</v>
      </c>
      <c r="D363" s="49" t="n">
        <v>46357</v>
      </c>
      <c r="E363" s="18" t="s">
        <v>127</v>
      </c>
      <c r="F363" s="18" t="s">
        <v>119</v>
      </c>
      <c r="G363" s="18" t="s">
        <v>100</v>
      </c>
      <c r="H363" s="18" t="s">
        <v>128</v>
      </c>
      <c r="I363" s="18" t="s">
        <v>125</v>
      </c>
      <c r="J363" s="64" t="n">
        <v>496.40448</v>
      </c>
      <c r="K363" s="64"/>
      <c r="L363" s="64"/>
      <c r="M363" s="73" t="n">
        <v>0.988</v>
      </c>
      <c r="N363" s="73"/>
      <c r="O363" s="74" t="n">
        <f aca="false">IF(K363="",M363,L363/K363)</f>
        <v>0.988</v>
      </c>
      <c r="P363" s="74" t="n">
        <f aca="false">O363-M363</f>
        <v>0</v>
      </c>
    </row>
    <row r="364" customFormat="false" ht="15" hidden="false" customHeight="false" outlineLevel="0" collapsed="false">
      <c r="A364" s="21" t="s">
        <v>213</v>
      </c>
      <c r="B364" s="21" t="s">
        <v>207</v>
      </c>
      <c r="C364" s="21" t="s">
        <v>214</v>
      </c>
      <c r="D364" s="55" t="n">
        <v>46357</v>
      </c>
      <c r="E364" s="21" t="s">
        <v>130</v>
      </c>
      <c r="F364" s="21" t="s">
        <v>119</v>
      </c>
      <c r="G364" s="21" t="s">
        <v>110</v>
      </c>
      <c r="H364" s="21" t="s">
        <v>107</v>
      </c>
      <c r="I364" s="21" t="s">
        <v>125</v>
      </c>
      <c r="J364" s="67" t="n">
        <v>535.392</v>
      </c>
      <c r="K364" s="67"/>
      <c r="L364" s="67"/>
      <c r="M364" s="75" t="n">
        <v>0.971</v>
      </c>
      <c r="N364" s="75"/>
      <c r="O364" s="76" t="n">
        <f aca="false">IF(K364="",M364,L364/K364)</f>
        <v>0.971</v>
      </c>
      <c r="P364" s="76" t="n">
        <f aca="false">O364-M364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" min="1" style="0" width="17"/>
  </cols>
  <sheetData>
    <row r="1" customFormat="false" ht="32" hidden="false" customHeight="true" outlineLevel="0" collapsed="false">
      <c r="A1" s="24" t="s">
        <v>2119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8" hidden="false" customHeight="true" outlineLevel="0" collapsed="false">
      <c r="A2" s="2" t="s">
        <v>2120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37" t="s">
        <v>2121</v>
      </c>
      <c r="B4" s="12" t="s">
        <v>137</v>
      </c>
      <c r="C4" s="12" t="s">
        <v>2122</v>
      </c>
      <c r="D4" s="12" t="s">
        <v>149</v>
      </c>
      <c r="E4" s="12" t="s">
        <v>151</v>
      </c>
      <c r="F4" s="12" t="s">
        <v>187</v>
      </c>
      <c r="G4" s="12" t="s">
        <v>2123</v>
      </c>
      <c r="H4" s="12" t="s">
        <v>2124</v>
      </c>
      <c r="I4" s="12" t="s">
        <v>2125</v>
      </c>
      <c r="J4" s="12" t="s">
        <v>1938</v>
      </c>
      <c r="K4" s="12" t="s">
        <v>2126</v>
      </c>
      <c r="L4" s="12" t="s">
        <v>2127</v>
      </c>
      <c r="M4" s="12" t="s">
        <v>2128</v>
      </c>
      <c r="N4" s="12" t="s">
        <v>2129</v>
      </c>
      <c r="O4" s="12" t="s">
        <v>2116</v>
      </c>
      <c r="P4" s="13" t="s">
        <v>2117</v>
      </c>
    </row>
    <row r="5" customFormat="false" ht="15" hidden="false" customHeight="false" outlineLevel="0" collapsed="false">
      <c r="A5" s="15" t="s">
        <v>194</v>
      </c>
      <c r="B5" s="43" t="n">
        <v>46023</v>
      </c>
      <c r="C5" s="61" t="n">
        <v>14000</v>
      </c>
      <c r="D5" s="61" t="n">
        <v>15009.26</v>
      </c>
      <c r="E5" s="61" t="n">
        <v>12674.1604192</v>
      </c>
      <c r="F5" s="62" t="n">
        <v>559244.9786</v>
      </c>
      <c r="G5" s="62" t="n">
        <v>635000</v>
      </c>
      <c r="H5" s="62" t="n">
        <v>1194244.9786</v>
      </c>
      <c r="I5" s="63" t="n">
        <f aca="false">F5+G5</f>
        <v>1194244.9786</v>
      </c>
      <c r="J5" s="63" t="n">
        <f aca="false">ROUND(I5-H5,4)</f>
        <v>0</v>
      </c>
      <c r="K5" s="62" t="n">
        <v>9321312</v>
      </c>
      <c r="L5" s="77" t="n">
        <f aca="false">I5/K5</f>
        <v>0.128119837486397</v>
      </c>
      <c r="M5" s="46" t="n">
        <f aca="false">F5/C5</f>
        <v>39.9460699</v>
      </c>
      <c r="N5" s="61" t="n">
        <v>28.1574362833393</v>
      </c>
      <c r="O5" s="48" t="n">
        <v>0.961497134233133</v>
      </c>
      <c r="P5" s="48" t="n">
        <v>1</v>
      </c>
    </row>
    <row r="6" customFormat="false" ht="15" hidden="false" customHeight="false" outlineLevel="0" collapsed="false">
      <c r="A6" s="18" t="s">
        <v>194</v>
      </c>
      <c r="B6" s="49" t="n">
        <v>46054</v>
      </c>
      <c r="C6" s="64" t="n">
        <v>13500</v>
      </c>
      <c r="D6" s="64" t="n">
        <v>14473.215</v>
      </c>
      <c r="E6" s="64" t="n">
        <v>12221.5118328</v>
      </c>
      <c r="F6" s="65" t="n">
        <v>539271.9436</v>
      </c>
      <c r="G6" s="65" t="n">
        <v>635000</v>
      </c>
      <c r="H6" s="65" t="n">
        <v>1174271.9436</v>
      </c>
      <c r="I6" s="66" t="n">
        <f aca="false">F6+G6</f>
        <v>1174271.9436</v>
      </c>
      <c r="J6" s="66" t="n">
        <f aca="false">ROUND(I6-H6,4)</f>
        <v>0</v>
      </c>
      <c r="K6" s="65" t="n">
        <v>8988408</v>
      </c>
      <c r="L6" s="78" t="n">
        <f aca="false">I6/K6</f>
        <v>0.130642928491898</v>
      </c>
      <c r="M6" s="52" t="n">
        <f aca="false">F6/C6</f>
        <v>39.9460698962963</v>
      </c>
      <c r="N6" s="64" t="n">
        <v>28.1574362833393</v>
      </c>
      <c r="O6" s="54" t="n">
        <v>0.961497134233133</v>
      </c>
      <c r="P6" s="54" t="n">
        <v>1</v>
      </c>
    </row>
    <row r="7" customFormat="false" ht="15" hidden="false" customHeight="false" outlineLevel="0" collapsed="false">
      <c r="A7" s="18" t="s">
        <v>194</v>
      </c>
      <c r="B7" s="49" t="n">
        <v>46082</v>
      </c>
      <c r="C7" s="64" t="n">
        <v>15000</v>
      </c>
      <c r="D7" s="64" t="n">
        <v>16102.44</v>
      </c>
      <c r="E7" s="64" t="n">
        <v>13667.369376</v>
      </c>
      <c r="F7" s="65" t="n">
        <v>609596.958</v>
      </c>
      <c r="G7" s="65" t="n">
        <v>635000</v>
      </c>
      <c r="H7" s="65" t="n">
        <v>1244596.958</v>
      </c>
      <c r="I7" s="66" t="n">
        <f aca="false">F7+G7</f>
        <v>1244596.958</v>
      </c>
      <c r="J7" s="66" t="n">
        <f aca="false">ROUND(I7-H7,4)</f>
        <v>0</v>
      </c>
      <c r="K7" s="65" t="n">
        <v>10005840</v>
      </c>
      <c r="L7" s="78" t="n">
        <f aca="false">I7/K7</f>
        <v>0.124387053760604</v>
      </c>
      <c r="M7" s="52" t="n">
        <f aca="false">F7/C7</f>
        <v>40.6397972</v>
      </c>
      <c r="N7" s="64" t="n">
        <v>28.6808638912653</v>
      </c>
      <c r="O7" s="54" t="n">
        <v>0.960917162169212</v>
      </c>
      <c r="P7" s="54" t="n">
        <v>1</v>
      </c>
    </row>
    <row r="8" customFormat="false" ht="15" hidden="false" customHeight="false" outlineLevel="0" collapsed="false">
      <c r="A8" s="18" t="s">
        <v>194</v>
      </c>
      <c r="B8" s="49" t="n">
        <v>46113</v>
      </c>
      <c r="C8" s="64" t="n">
        <v>15500</v>
      </c>
      <c r="D8" s="64" t="n">
        <v>16639.188</v>
      </c>
      <c r="E8" s="64" t="n">
        <v>14122.9483552</v>
      </c>
      <c r="F8" s="65" t="n">
        <v>629916.8566</v>
      </c>
      <c r="G8" s="65" t="n">
        <v>635000</v>
      </c>
      <c r="H8" s="65" t="n">
        <v>1264916.8566</v>
      </c>
      <c r="I8" s="66" t="n">
        <f aca="false">F8+G8</f>
        <v>1264916.8566</v>
      </c>
      <c r="J8" s="66" t="n">
        <f aca="false">ROUND(I8-H8,4)</f>
        <v>0</v>
      </c>
      <c r="K8" s="65" t="n">
        <v>10339368</v>
      </c>
      <c r="L8" s="78" t="n">
        <f aca="false">I8/K8</f>
        <v>0.122339862223687</v>
      </c>
      <c r="M8" s="52" t="n">
        <f aca="false">F8/C8</f>
        <v>40.6397972</v>
      </c>
      <c r="N8" s="64" t="n">
        <v>28.6808638912653</v>
      </c>
      <c r="O8" s="54" t="n">
        <v>0.960917162169212</v>
      </c>
      <c r="P8" s="54" t="n">
        <v>1</v>
      </c>
    </row>
    <row r="9" customFormat="false" ht="15" hidden="false" customHeight="false" outlineLevel="0" collapsed="false">
      <c r="A9" s="18" t="s">
        <v>194</v>
      </c>
      <c r="B9" s="49" t="n">
        <v>46143</v>
      </c>
      <c r="C9" s="64" t="n">
        <v>16000</v>
      </c>
      <c r="D9" s="64" t="n">
        <v>17187.184</v>
      </c>
      <c r="E9" s="64" t="n">
        <v>14625.4136192</v>
      </c>
      <c r="F9" s="65" t="n">
        <v>655786.5736</v>
      </c>
      <c r="G9" s="65" t="n">
        <v>635000</v>
      </c>
      <c r="H9" s="65" t="n">
        <v>1290786.5736</v>
      </c>
      <c r="I9" s="66" t="n">
        <f aca="false">F9+G9</f>
        <v>1290786.5736</v>
      </c>
      <c r="J9" s="66" t="n">
        <f aca="false">ROUND(I9-H9,4)</f>
        <v>0</v>
      </c>
      <c r="K9" s="65" t="n">
        <v>10682880</v>
      </c>
      <c r="L9" s="78" t="n">
        <f aca="false">I9/K9</f>
        <v>0.120827583348311</v>
      </c>
      <c r="M9" s="52" t="n">
        <f aca="false">F9/C9</f>
        <v>40.98666085</v>
      </c>
      <c r="N9" s="64" t="n">
        <v>28.9400606817062</v>
      </c>
      <c r="O9" s="54" t="n">
        <v>0.960627745473604</v>
      </c>
      <c r="P9" s="54" t="n">
        <v>1</v>
      </c>
    </row>
    <row r="10" customFormat="false" ht="15" hidden="false" customHeight="false" outlineLevel="0" collapsed="false">
      <c r="A10" s="18" t="s">
        <v>194</v>
      </c>
      <c r="B10" s="49" t="n">
        <v>46174</v>
      </c>
      <c r="C10" s="64" t="n">
        <v>16500</v>
      </c>
      <c r="D10" s="64" t="n">
        <v>17724.2835</v>
      </c>
      <c r="E10" s="64" t="n">
        <v>15082.4577948</v>
      </c>
      <c r="F10" s="65" t="n">
        <v>676279.9041</v>
      </c>
      <c r="G10" s="65" t="n">
        <v>635000</v>
      </c>
      <c r="H10" s="65" t="n">
        <v>1311279.9041</v>
      </c>
      <c r="I10" s="66" t="n">
        <f aca="false">F10+G10</f>
        <v>1311279.9041</v>
      </c>
      <c r="J10" s="66" t="n">
        <f aca="false">ROUND(I10-H10,4)</f>
        <v>0</v>
      </c>
      <c r="K10" s="65" t="n">
        <v>11016720</v>
      </c>
      <c r="L10" s="78" t="n">
        <f aca="false">I10/K10</f>
        <v>0.119026343966262</v>
      </c>
      <c r="M10" s="52" t="n">
        <f aca="false">F10/C10</f>
        <v>40.9866608545455</v>
      </c>
      <c r="N10" s="64" t="n">
        <v>28.9400606817062</v>
      </c>
      <c r="O10" s="54" t="n">
        <v>0.960627745473604</v>
      </c>
      <c r="P10" s="54" t="n">
        <v>1</v>
      </c>
    </row>
    <row r="11" customFormat="false" ht="15" hidden="false" customHeight="false" outlineLevel="0" collapsed="false">
      <c r="A11" s="18" t="s">
        <v>194</v>
      </c>
      <c r="B11" s="49" t="n">
        <v>46204</v>
      </c>
      <c r="C11" s="64" t="n">
        <v>17000</v>
      </c>
      <c r="D11" s="64" t="n">
        <v>18273.334</v>
      </c>
      <c r="E11" s="64" t="n">
        <v>15589.318648</v>
      </c>
      <c r="F11" s="65" t="n">
        <v>702669.9166</v>
      </c>
      <c r="G11" s="65" t="n">
        <v>635000</v>
      </c>
      <c r="H11" s="65" t="n">
        <v>1337669.9166</v>
      </c>
      <c r="I11" s="66" t="n">
        <f aca="false">F11+G11</f>
        <v>1337669.9166</v>
      </c>
      <c r="J11" s="66" t="n">
        <f aca="false">ROUND(I11-H11,4)</f>
        <v>0</v>
      </c>
      <c r="K11" s="65" t="n">
        <v>11361168</v>
      </c>
      <c r="L11" s="78" t="n">
        <f aca="false">I11/K11</f>
        <v>0.117740527787284</v>
      </c>
      <c r="M11" s="52" t="n">
        <f aca="false">F11/C11</f>
        <v>41.3335245058824</v>
      </c>
      <c r="N11" s="64" t="n">
        <v>29.1976009118784</v>
      </c>
      <c r="O11" s="54" t="n">
        <v>0.960338707342623</v>
      </c>
      <c r="P11" s="54" t="n">
        <v>1</v>
      </c>
    </row>
    <row r="12" customFormat="false" ht="15" hidden="false" customHeight="false" outlineLevel="0" collapsed="false">
      <c r="A12" s="18" t="s">
        <v>194</v>
      </c>
      <c r="B12" s="49" t="n">
        <v>46235</v>
      </c>
      <c r="C12" s="64" t="n">
        <v>16000</v>
      </c>
      <c r="D12" s="64" t="n">
        <v>17198.432</v>
      </c>
      <c r="E12" s="64" t="n">
        <v>14672.299904</v>
      </c>
      <c r="F12" s="65" t="n">
        <v>661336.3921</v>
      </c>
      <c r="G12" s="65" t="n">
        <v>635000</v>
      </c>
      <c r="H12" s="65" t="n">
        <v>1296336.3921</v>
      </c>
      <c r="I12" s="66" t="n">
        <f aca="false">F12+G12</f>
        <v>1296336.3921</v>
      </c>
      <c r="J12" s="66" t="n">
        <f aca="false">ROUND(I12-H12,4)</f>
        <v>0</v>
      </c>
      <c r="K12" s="65" t="n">
        <v>10692864</v>
      </c>
      <c r="L12" s="78" t="n">
        <f aca="false">I12/K12</f>
        <v>0.121233786579536</v>
      </c>
      <c r="M12" s="52" t="n">
        <f aca="false">F12/C12</f>
        <v>41.33352450625</v>
      </c>
      <c r="N12" s="64" t="n">
        <v>29.1976009118784</v>
      </c>
      <c r="O12" s="54" t="n">
        <v>0.960338707342623</v>
      </c>
      <c r="P12" s="54" t="n">
        <v>1</v>
      </c>
    </row>
    <row r="13" customFormat="false" ht="15" hidden="false" customHeight="false" outlineLevel="0" collapsed="false">
      <c r="A13" s="18" t="s">
        <v>194</v>
      </c>
      <c r="B13" s="49" t="n">
        <v>46266</v>
      </c>
      <c r="C13" s="64" t="n">
        <v>16000</v>
      </c>
      <c r="D13" s="64" t="n">
        <v>17208.224</v>
      </c>
      <c r="E13" s="64" t="n">
        <v>14719.8537088</v>
      </c>
      <c r="F13" s="65" t="n">
        <v>667117.664</v>
      </c>
      <c r="G13" s="65" t="n">
        <v>635000</v>
      </c>
      <c r="H13" s="65" t="n">
        <v>1302117.664</v>
      </c>
      <c r="I13" s="66" t="n">
        <f aca="false">F13+G13</f>
        <v>1302117.664</v>
      </c>
      <c r="J13" s="66" t="n">
        <f aca="false">ROUND(I13-H13,4)</f>
        <v>0</v>
      </c>
      <c r="K13" s="65" t="n">
        <v>10697856</v>
      </c>
      <c r="L13" s="78" t="n">
        <f aca="false">I13/K13</f>
        <v>0.121717628653816</v>
      </c>
      <c r="M13" s="52" t="n">
        <f aca="false">F13/C13</f>
        <v>41.694854</v>
      </c>
      <c r="N13" s="64" t="n">
        <v>29.4557389152905</v>
      </c>
      <c r="O13" s="54" t="n">
        <v>0.960054747627646</v>
      </c>
      <c r="P13" s="54" t="n">
        <v>1</v>
      </c>
    </row>
    <row r="14" customFormat="false" ht="15" hidden="false" customHeight="false" outlineLevel="0" collapsed="false">
      <c r="A14" s="18" t="s">
        <v>194</v>
      </c>
      <c r="B14" s="49" t="n">
        <v>46296</v>
      </c>
      <c r="C14" s="64" t="n">
        <v>18000</v>
      </c>
      <c r="D14" s="64" t="n">
        <v>19384.56</v>
      </c>
      <c r="E14" s="64" t="n">
        <v>16831.982858832</v>
      </c>
      <c r="F14" s="65" t="n">
        <v>767987.8363</v>
      </c>
      <c r="G14" s="65" t="n">
        <v>635000</v>
      </c>
      <c r="H14" s="65" t="n">
        <v>1402987.8363</v>
      </c>
      <c r="I14" s="66" t="n">
        <f aca="false">F14+G14</f>
        <v>1402987.8363</v>
      </c>
      <c r="J14" s="66" t="n">
        <f aca="false">ROUND(I14-H14,4)</f>
        <v>0</v>
      </c>
      <c r="K14" s="65" t="n">
        <v>12057552</v>
      </c>
      <c r="L14" s="78" t="n">
        <f aca="false">I14/K14</f>
        <v>0.116357601965971</v>
      </c>
      <c r="M14" s="52" t="n">
        <f aca="false">F14/C14</f>
        <v>42.6659909055556</v>
      </c>
      <c r="N14" s="64" t="n">
        <v>29.9626410319425</v>
      </c>
      <c r="O14" s="54" t="n">
        <v>0.959478502692865</v>
      </c>
      <c r="P14" s="54" t="n">
        <v>1</v>
      </c>
    </row>
    <row r="15" customFormat="false" ht="15" hidden="false" customHeight="false" outlineLevel="0" collapsed="false">
      <c r="A15" s="18" t="s">
        <v>194</v>
      </c>
      <c r="B15" s="49" t="n">
        <v>46327</v>
      </c>
      <c r="C15" s="64" t="n">
        <v>22000</v>
      </c>
      <c r="D15" s="64" t="n">
        <v>23736.636</v>
      </c>
      <c r="E15" s="64" t="n">
        <v>20768.690496576</v>
      </c>
      <c r="F15" s="65" t="n">
        <v>962075.6164</v>
      </c>
      <c r="G15" s="65" t="n">
        <v>635000</v>
      </c>
      <c r="H15" s="65" t="n">
        <v>1597075.6164</v>
      </c>
      <c r="I15" s="66" t="n">
        <f aca="false">F15+G15</f>
        <v>1597075.6164</v>
      </c>
      <c r="J15" s="66" t="n">
        <f aca="false">ROUND(I15-H15,4)</f>
        <v>0</v>
      </c>
      <c r="K15" s="65" t="n">
        <v>15214467.84</v>
      </c>
      <c r="L15" s="78" t="n">
        <f aca="false">I15/K15</f>
        <v>0.10497084966726</v>
      </c>
      <c r="M15" s="52" t="n">
        <f aca="false">F15/C15</f>
        <v>43.7307098363636</v>
      </c>
      <c r="N15" s="64" t="n">
        <v>30.7132216817629</v>
      </c>
      <c r="O15" s="54" t="n">
        <v>0.958621515823894</v>
      </c>
      <c r="P15" s="54" t="n">
        <v>1</v>
      </c>
    </row>
    <row r="16" customFormat="false" ht="15" hidden="false" customHeight="false" outlineLevel="0" collapsed="false">
      <c r="A16" s="18" t="s">
        <v>194</v>
      </c>
      <c r="B16" s="49" t="n">
        <v>46357</v>
      </c>
      <c r="C16" s="64" t="n">
        <v>26000</v>
      </c>
      <c r="D16" s="64" t="n">
        <v>28068.3</v>
      </c>
      <c r="E16" s="64" t="n">
        <v>24622.863723536</v>
      </c>
      <c r="F16" s="65" t="n">
        <v>1146477.3311</v>
      </c>
      <c r="G16" s="65" t="n">
        <v>635000</v>
      </c>
      <c r="H16" s="65" t="n">
        <v>1781477.3311</v>
      </c>
      <c r="I16" s="66" t="n">
        <f aca="false">F16+G16</f>
        <v>1781477.3311</v>
      </c>
      <c r="J16" s="66" t="n">
        <f aca="false">ROUND(I16-H16,4)</f>
        <v>0</v>
      </c>
      <c r="K16" s="65" t="n">
        <v>17989090.08</v>
      </c>
      <c r="L16" s="78" t="n">
        <f aca="false">I16/K16</f>
        <v>0.0990309861798191</v>
      </c>
      <c r="M16" s="52" t="n">
        <f aca="false">F16/C16</f>
        <v>44.0952819653846</v>
      </c>
      <c r="N16" s="64" t="n">
        <v>30.9616921705576</v>
      </c>
      <c r="O16" s="54" t="n">
        <v>0.958339591200037</v>
      </c>
      <c r="P16" s="54" t="n">
        <v>1</v>
      </c>
    </row>
    <row r="17" customFormat="false" ht="15" hidden="false" customHeight="false" outlineLevel="0" collapsed="false">
      <c r="A17" s="18" t="s">
        <v>201</v>
      </c>
      <c r="B17" s="49" t="n">
        <v>46023</v>
      </c>
      <c r="C17" s="64" t="n">
        <v>13850</v>
      </c>
      <c r="D17" s="64" t="n">
        <v>14848.320465</v>
      </c>
      <c r="E17" s="64" t="n">
        <v>12590.9987427498</v>
      </c>
      <c r="F17" s="65" t="n">
        <v>558784.2145</v>
      </c>
      <c r="G17" s="65" t="n">
        <v>634450.25</v>
      </c>
      <c r="H17" s="65" t="n">
        <v>1193234.4645</v>
      </c>
      <c r="I17" s="66" t="n">
        <f aca="false">F17+G17</f>
        <v>1193234.4645</v>
      </c>
      <c r="J17" s="66" t="n">
        <f aca="false">ROUND(I17-H17,4)</f>
        <v>0</v>
      </c>
      <c r="K17" s="65" t="n">
        <v>9247852.3345</v>
      </c>
      <c r="L17" s="78" t="n">
        <f aca="false">I17/K17</f>
        <v>0.129028278279112</v>
      </c>
      <c r="M17" s="52" t="n">
        <f aca="false">F17/C17</f>
        <v>40.3454306498195</v>
      </c>
      <c r="N17" s="64" t="n">
        <v>28.4721835555484</v>
      </c>
      <c r="O17" s="54" t="n">
        <v>0.962878322484805</v>
      </c>
      <c r="P17" s="54" t="n">
        <v>1</v>
      </c>
    </row>
    <row r="18" customFormat="false" ht="15" hidden="false" customHeight="false" outlineLevel="0" collapsed="false">
      <c r="A18" s="18" t="s">
        <v>201</v>
      </c>
      <c r="B18" s="49" t="n">
        <v>46054</v>
      </c>
      <c r="C18" s="64" t="n">
        <v>13680</v>
      </c>
      <c r="D18" s="64" t="n">
        <v>14684.119225776</v>
      </c>
      <c r="E18" s="64" t="n">
        <v>12460.6421103318</v>
      </c>
      <c r="F18" s="65" t="n">
        <v>553302.694</v>
      </c>
      <c r="G18" s="65" t="n">
        <v>633896</v>
      </c>
      <c r="H18" s="65" t="n">
        <v>1187198.694</v>
      </c>
      <c r="I18" s="66" t="n">
        <f aca="false">F18+G18</f>
        <v>1187198.694</v>
      </c>
      <c r="J18" s="66" t="n">
        <f aca="false">ROUND(I18-H18,4)</f>
        <v>0</v>
      </c>
      <c r="K18" s="65" t="n">
        <v>9112571.6688</v>
      </c>
      <c r="L18" s="78" t="n">
        <f aca="false">I18/K18</f>
        <v>0.130281410906735</v>
      </c>
      <c r="M18" s="52" t="n">
        <f aca="false">F18/C18</f>
        <v>40.4461033625731</v>
      </c>
      <c r="N18" s="64" t="n">
        <v>28.5296520321613</v>
      </c>
      <c r="O18" s="54" t="n">
        <v>0.962793600809901</v>
      </c>
      <c r="P18" s="54" t="n">
        <v>1</v>
      </c>
    </row>
    <row r="19" customFormat="false" ht="15" hidden="false" customHeight="false" outlineLevel="0" collapsed="false">
      <c r="A19" s="18" t="s">
        <v>201</v>
      </c>
      <c r="B19" s="49" t="n">
        <v>46082</v>
      </c>
      <c r="C19" s="64" t="n">
        <v>15300</v>
      </c>
      <c r="D19" s="64" t="n">
        <v>16461.50923386</v>
      </c>
      <c r="E19" s="64" t="n">
        <v>14044.3329437659</v>
      </c>
      <c r="F19" s="65" t="n">
        <v>636858.6753</v>
      </c>
      <c r="G19" s="65" t="n">
        <v>639364.25</v>
      </c>
      <c r="H19" s="65" t="n">
        <v>1276222.9253</v>
      </c>
      <c r="I19" s="66" t="n">
        <f aca="false">F19+G19</f>
        <v>1276222.9253</v>
      </c>
      <c r="J19" s="66" t="n">
        <f aca="false">ROUND(I19-H19,4)</f>
        <v>0</v>
      </c>
      <c r="K19" s="65" t="n">
        <v>10281897.279</v>
      </c>
      <c r="L19" s="78" t="n">
        <f aca="false">I19/K19</f>
        <v>0.124123290738042</v>
      </c>
      <c r="M19" s="52" t="n">
        <f aca="false">F19/C19</f>
        <v>41.6247500196078</v>
      </c>
      <c r="N19" s="64" t="n">
        <v>29.3725712045852</v>
      </c>
      <c r="O19" s="54" t="n">
        <v>0.962217020140569</v>
      </c>
      <c r="P19" s="54" t="n">
        <v>1</v>
      </c>
    </row>
    <row r="20" customFormat="false" ht="15" hidden="false" customHeight="false" outlineLevel="0" collapsed="false">
      <c r="A20" s="18" t="s">
        <v>201</v>
      </c>
      <c r="B20" s="49" t="n">
        <v>46113</v>
      </c>
      <c r="C20" s="64" t="n">
        <v>15800</v>
      </c>
      <c r="D20" s="64" t="n">
        <v>17013.37879396</v>
      </c>
      <c r="E20" s="64" t="n">
        <v>14503.7717091408</v>
      </c>
      <c r="F20" s="65" t="n">
        <v>659595.8328</v>
      </c>
      <c r="G20" s="65" t="n">
        <v>641828</v>
      </c>
      <c r="H20" s="65" t="n">
        <v>1301423.8328</v>
      </c>
      <c r="I20" s="66" t="n">
        <f aca="false">F20+G20</f>
        <v>1301423.8328</v>
      </c>
      <c r="J20" s="66" t="n">
        <f aca="false">ROUND(I20-H20,4)</f>
        <v>0</v>
      </c>
      <c r="K20" s="65" t="n">
        <v>10645866.042</v>
      </c>
      <c r="L20" s="78" t="n">
        <f aca="false">I20/K20</f>
        <v>0.122246872886211</v>
      </c>
      <c r="M20" s="52" t="n">
        <f aca="false">F20/C20</f>
        <v>41.7465716962025</v>
      </c>
      <c r="N20" s="64" t="n">
        <v>29.4377456398637</v>
      </c>
      <c r="O20" s="54" t="n">
        <v>0.962298606260911</v>
      </c>
      <c r="P20" s="54" t="n">
        <v>1</v>
      </c>
    </row>
    <row r="21" customFormat="false" ht="15" hidden="false" customHeight="false" outlineLevel="0" collapsed="false">
      <c r="A21" s="18" t="s">
        <v>201</v>
      </c>
      <c r="B21" s="49" t="n">
        <v>46143</v>
      </c>
      <c r="C21" s="64" t="n">
        <v>16600</v>
      </c>
      <c r="D21" s="64" t="n">
        <v>17908.73678896</v>
      </c>
      <c r="E21" s="64" t="n">
        <v>15321.533291645</v>
      </c>
      <c r="F21" s="65" t="n">
        <v>705747.6821</v>
      </c>
      <c r="G21" s="65" t="n">
        <v>645051.875</v>
      </c>
      <c r="H21" s="65" t="n">
        <v>1350799.5571</v>
      </c>
      <c r="I21" s="66" t="n">
        <f aca="false">F21+G21</f>
        <v>1350799.5571</v>
      </c>
      <c r="J21" s="66" t="n">
        <f aca="false">ROUND(I21-H21,4)</f>
        <v>0</v>
      </c>
      <c r="K21" s="65" t="n">
        <v>11233018.393</v>
      </c>
      <c r="L21" s="78" t="n">
        <f aca="false">I21/K21</f>
        <v>0.120252590162388</v>
      </c>
      <c r="M21" s="52" t="n">
        <f aca="false">F21/C21</f>
        <v>42.5149206084337</v>
      </c>
      <c r="N21" s="64" t="n">
        <v>29.9721365739776</v>
      </c>
      <c r="O21" s="54" t="n">
        <v>0.961914617268353</v>
      </c>
      <c r="P21" s="54" t="n">
        <v>1</v>
      </c>
    </row>
    <row r="22" customFormat="false" ht="15" hidden="false" customHeight="false" outlineLevel="0" collapsed="false">
      <c r="A22" s="18" t="s">
        <v>201</v>
      </c>
      <c r="B22" s="49" t="n">
        <v>46174</v>
      </c>
      <c r="C22" s="64" t="n">
        <v>17200</v>
      </c>
      <c r="D22" s="64" t="n">
        <v>18583.6150764</v>
      </c>
      <c r="E22" s="64" t="n">
        <v>15931.7635532743</v>
      </c>
      <c r="F22" s="65" t="n">
        <v>740538.9147</v>
      </c>
      <c r="G22" s="65" t="n">
        <v>647525.75</v>
      </c>
      <c r="H22" s="65" t="n">
        <v>1388064.6647</v>
      </c>
      <c r="I22" s="66" t="n">
        <f aca="false">F22+G22</f>
        <v>1388064.6647</v>
      </c>
      <c r="J22" s="66" t="n">
        <f aca="false">ROUND(I22-H22,4)</f>
        <v>0</v>
      </c>
      <c r="K22" s="65" t="n">
        <v>11676307.29</v>
      </c>
      <c r="L22" s="78" t="n">
        <f aca="false">I22/K22</f>
        <v>0.118878737106276</v>
      </c>
      <c r="M22" s="52" t="n">
        <f aca="false">F22/C22</f>
        <v>43.0545880639535</v>
      </c>
      <c r="N22" s="64" t="n">
        <v>30.3428995257365</v>
      </c>
      <c r="O22" s="54" t="n">
        <v>0.961696863999411</v>
      </c>
      <c r="P22" s="54" t="n">
        <v>1</v>
      </c>
    </row>
    <row r="23" customFormat="false" ht="15" hidden="false" customHeight="false" outlineLevel="0" collapsed="false">
      <c r="A23" s="18" t="s">
        <v>201</v>
      </c>
      <c r="B23" s="49" t="n">
        <v>46204</v>
      </c>
      <c r="C23" s="64" t="n">
        <v>18000</v>
      </c>
      <c r="D23" s="64" t="n">
        <v>19500.043446</v>
      </c>
      <c r="E23" s="64" t="n">
        <v>16808.2021175472</v>
      </c>
      <c r="F23" s="65" t="n">
        <v>803529.9959</v>
      </c>
      <c r="G23" s="65" t="n">
        <v>650004.125</v>
      </c>
      <c r="H23" s="65" t="n">
        <v>1453534.1209</v>
      </c>
      <c r="I23" s="66" t="n">
        <f aca="false">F23+G23</f>
        <v>1453534.1209</v>
      </c>
      <c r="J23" s="66" t="n">
        <f aca="false">ROUND(I23-H23,4)</f>
        <v>0</v>
      </c>
      <c r="K23" s="65" t="n">
        <v>12268490.85</v>
      </c>
      <c r="L23" s="78" t="n">
        <f aca="false">I23/K23</f>
        <v>0.118477010634116</v>
      </c>
      <c r="M23" s="52" t="n">
        <f aca="false">F23/C23</f>
        <v>44.6405553277778</v>
      </c>
      <c r="N23" s="64" t="n">
        <v>31.6336315034817</v>
      </c>
      <c r="O23" s="54" t="n">
        <v>0.957699927261719</v>
      </c>
      <c r="P23" s="54" t="n">
        <v>0.995</v>
      </c>
    </row>
    <row r="24" customFormat="false" ht="15" hidden="false" customHeight="false" outlineLevel="0" collapsed="false">
      <c r="A24" s="18" t="s">
        <v>201</v>
      </c>
      <c r="B24" s="49" t="n">
        <v>46235</v>
      </c>
      <c r="C24" s="64" t="n">
        <v>20300</v>
      </c>
      <c r="D24" s="64" t="n">
        <v>22879.1353</v>
      </c>
      <c r="E24" s="64" t="n">
        <v>20135.8390341136</v>
      </c>
      <c r="F24" s="65" t="n">
        <v>1262886.9975</v>
      </c>
      <c r="G24" s="65" t="n">
        <v>654005</v>
      </c>
      <c r="H24" s="65" t="n">
        <v>1916891.9975</v>
      </c>
      <c r="I24" s="66" t="n">
        <f aca="false">F24+G24</f>
        <v>1916891.9975</v>
      </c>
      <c r="J24" s="66" t="n">
        <f aca="false">ROUND(I24-H24,4)</f>
        <v>0</v>
      </c>
      <c r="K24" s="65" t="n">
        <v>13571805.555</v>
      </c>
      <c r="L24" s="78" t="n">
        <f aca="false">I24/K24</f>
        <v>0.141240750151611</v>
      </c>
      <c r="M24" s="52" t="n">
        <f aca="false">F24/C24</f>
        <v>62.2111821428572</v>
      </c>
      <c r="N24" s="64" t="n">
        <v>45.2492017074833</v>
      </c>
      <c r="O24" s="54" t="n">
        <v>0.96397242651841</v>
      </c>
      <c r="P24" s="54" t="n">
        <v>0.92</v>
      </c>
    </row>
    <row r="25" customFormat="false" ht="15" hidden="false" customHeight="false" outlineLevel="0" collapsed="false">
      <c r="A25" s="18" t="s">
        <v>204</v>
      </c>
      <c r="B25" s="49" t="n">
        <v>46266</v>
      </c>
      <c r="C25" s="64" t="n">
        <v>17200</v>
      </c>
      <c r="D25" s="64" t="n">
        <v>18931.2144</v>
      </c>
      <c r="E25" s="64" t="n">
        <v>16257.2932556544</v>
      </c>
      <c r="F25" s="65" t="n">
        <v>899609.0285</v>
      </c>
      <c r="G25" s="65" t="n">
        <v>655592</v>
      </c>
      <c r="H25" s="65" t="n">
        <v>1555201.0285</v>
      </c>
      <c r="I25" s="66" t="n">
        <f aca="false">F25+G25</f>
        <v>1555201.0285</v>
      </c>
      <c r="J25" s="66" t="n">
        <f aca="false">ROUND(I25-H25,4)</f>
        <v>0</v>
      </c>
      <c r="K25" s="65" t="n">
        <v>11692518.72</v>
      </c>
      <c r="L25" s="78" t="n">
        <f aca="false">I25/K25</f>
        <v>0.133008213691361</v>
      </c>
      <c r="M25" s="52" t="n">
        <f aca="false">F25/C25</f>
        <v>52.302850494186</v>
      </c>
      <c r="N25" s="64" t="n">
        <v>37.7795259187354</v>
      </c>
      <c r="O25" s="54" t="n">
        <v>0.966143571483085</v>
      </c>
      <c r="P25" s="54"/>
    </row>
    <row r="26" customFormat="false" ht="15" hidden="false" customHeight="false" outlineLevel="0" collapsed="false">
      <c r="A26" s="18" t="s">
        <v>204</v>
      </c>
      <c r="B26" s="49" t="n">
        <v>46296</v>
      </c>
      <c r="C26" s="64" t="n">
        <v>19500</v>
      </c>
      <c r="D26" s="64" t="n">
        <v>21381.867</v>
      </c>
      <c r="E26" s="64" t="n">
        <v>18682.050664967</v>
      </c>
      <c r="F26" s="65" t="n">
        <v>1011496.4262</v>
      </c>
      <c r="G26" s="65" t="n">
        <v>654065</v>
      </c>
      <c r="H26" s="65" t="n">
        <v>1665561.4262</v>
      </c>
      <c r="I26" s="66" t="n">
        <f aca="false">F26+G26</f>
        <v>1665561.4262</v>
      </c>
      <c r="J26" s="66" t="n">
        <f aca="false">ROUND(I26-H26,4)</f>
        <v>0</v>
      </c>
      <c r="K26" s="65" t="n">
        <v>13223028</v>
      </c>
      <c r="L26" s="78" t="n">
        <f aca="false">I26/K26</f>
        <v>0.125959154453882</v>
      </c>
      <c r="M26" s="52" t="n">
        <f aca="false">F26/C26</f>
        <v>51.8716116</v>
      </c>
      <c r="N26" s="64" t="n">
        <v>37.0027527874803</v>
      </c>
      <c r="O26" s="54" t="n">
        <v>0.96435407587373</v>
      </c>
      <c r="P26" s="54"/>
    </row>
    <row r="27" customFormat="false" ht="15" hidden="false" customHeight="false" outlineLevel="0" collapsed="false">
      <c r="A27" s="18" t="s">
        <v>204</v>
      </c>
      <c r="B27" s="49" t="n">
        <v>46327</v>
      </c>
      <c r="C27" s="64" t="n">
        <v>24800</v>
      </c>
      <c r="D27" s="64" t="n">
        <v>27279.7024</v>
      </c>
      <c r="E27" s="64" t="n">
        <v>24099.4958571108</v>
      </c>
      <c r="F27" s="65" t="n">
        <v>1280144.3787</v>
      </c>
      <c r="G27" s="65" t="n">
        <v>652538</v>
      </c>
      <c r="H27" s="65" t="n">
        <v>1932682.3787</v>
      </c>
      <c r="I27" s="66" t="n">
        <f aca="false">F27+G27</f>
        <v>1932682.3787</v>
      </c>
      <c r="J27" s="66" t="n">
        <f aca="false">ROUND(I27-H27,4)</f>
        <v>0</v>
      </c>
      <c r="K27" s="65" t="n">
        <v>16773410.56</v>
      </c>
      <c r="L27" s="78" t="n">
        <f aca="false">I27/K27</f>
        <v>0.115222981741645</v>
      </c>
      <c r="M27" s="52" t="n">
        <f aca="false">F27/C27</f>
        <v>51.6187249475806</v>
      </c>
      <c r="N27" s="64" t="n">
        <v>36.633308510841</v>
      </c>
      <c r="O27" s="54" t="n">
        <v>0.962244798452347</v>
      </c>
      <c r="P27" s="54"/>
    </row>
    <row r="28" customFormat="false" ht="15" hidden="false" customHeight="false" outlineLevel="0" collapsed="false">
      <c r="A28" s="18" t="s">
        <v>204</v>
      </c>
      <c r="B28" s="49" t="n">
        <v>46357</v>
      </c>
      <c r="C28" s="64" t="n">
        <v>28600</v>
      </c>
      <c r="D28" s="64" t="n">
        <v>31491.1168</v>
      </c>
      <c r="E28" s="64" t="n">
        <v>27984.4628006029</v>
      </c>
      <c r="F28" s="65" t="n">
        <v>1455636.848</v>
      </c>
      <c r="G28" s="65" t="n">
        <v>651011</v>
      </c>
      <c r="H28" s="65" t="n">
        <v>2106647.848</v>
      </c>
      <c r="I28" s="66" t="n">
        <f aca="false">F28+G28</f>
        <v>2106647.848</v>
      </c>
      <c r="J28" s="66" t="n">
        <f aca="false">ROUND(I28-H28,4)</f>
        <v>0</v>
      </c>
      <c r="K28" s="65" t="n">
        <v>19271572.32</v>
      </c>
      <c r="L28" s="78" t="n">
        <f aca="false">I28/K28</f>
        <v>0.109313750482815</v>
      </c>
      <c r="M28" s="52" t="n">
        <f aca="false">F28/C28</f>
        <v>50.8963932867133</v>
      </c>
      <c r="N28" s="64" t="n">
        <v>35.6726698894565</v>
      </c>
      <c r="O28" s="54" t="n">
        <v>0.960520387108024</v>
      </c>
      <c r="P28" s="54"/>
    </row>
    <row r="29" customFormat="false" ht="15" hidden="false" customHeight="false" outlineLevel="0" collapsed="false">
      <c r="A29" s="18" t="s">
        <v>2130</v>
      </c>
      <c r="B29" s="49" t="n">
        <v>46266</v>
      </c>
      <c r="C29" s="64" t="n">
        <v>17200</v>
      </c>
      <c r="D29" s="64" t="n">
        <v>18931.2144</v>
      </c>
      <c r="E29" s="64" t="n">
        <v>16257.2932556544</v>
      </c>
      <c r="F29" s="65" t="n">
        <v>899609.0285</v>
      </c>
      <c r="G29" s="65" t="n">
        <v>655592</v>
      </c>
      <c r="H29" s="65" t="n">
        <v>1555201.0285</v>
      </c>
      <c r="I29" s="66" t="n">
        <f aca="false">F29+G29</f>
        <v>1555201.0285</v>
      </c>
      <c r="J29" s="66" t="n">
        <f aca="false">ROUND(I29-H29,4)</f>
        <v>0</v>
      </c>
      <c r="K29" s="65" t="n">
        <v>11692518.72</v>
      </c>
      <c r="L29" s="78" t="n">
        <f aca="false">I29/K29</f>
        <v>0.133008213691361</v>
      </c>
      <c r="M29" s="52" t="n">
        <f aca="false">F29/C29</f>
        <v>52.302850494186</v>
      </c>
      <c r="N29" s="64" t="n">
        <v>37.7795259187354</v>
      </c>
      <c r="O29" s="54" t="n">
        <v>0.966143571483085</v>
      </c>
      <c r="P29" s="54"/>
    </row>
    <row r="30" customFormat="false" ht="15" hidden="false" customHeight="false" outlineLevel="0" collapsed="false">
      <c r="A30" s="18" t="s">
        <v>2130</v>
      </c>
      <c r="B30" s="49" t="n">
        <v>46296</v>
      </c>
      <c r="C30" s="64" t="n">
        <v>19500</v>
      </c>
      <c r="D30" s="64" t="n">
        <v>21381.867</v>
      </c>
      <c r="E30" s="64" t="n">
        <v>18682.050664967</v>
      </c>
      <c r="F30" s="65" t="n">
        <v>1011496.4262</v>
      </c>
      <c r="G30" s="65" t="n">
        <v>654065</v>
      </c>
      <c r="H30" s="65" t="n">
        <v>1665561.4262</v>
      </c>
      <c r="I30" s="66" t="n">
        <f aca="false">F30+G30</f>
        <v>1665561.4262</v>
      </c>
      <c r="J30" s="66" t="n">
        <f aca="false">ROUND(I30-H30,4)</f>
        <v>0</v>
      </c>
      <c r="K30" s="65" t="n">
        <v>13223028</v>
      </c>
      <c r="L30" s="78" t="n">
        <f aca="false">I30/K30</f>
        <v>0.125959154453882</v>
      </c>
      <c r="M30" s="52" t="n">
        <f aca="false">F30/C30</f>
        <v>51.8716116</v>
      </c>
      <c r="N30" s="64" t="n">
        <v>37.0027527874803</v>
      </c>
      <c r="O30" s="54" t="n">
        <v>0.96435407587373</v>
      </c>
      <c r="P30" s="54"/>
    </row>
    <row r="31" customFormat="false" ht="15" hidden="false" customHeight="false" outlineLevel="0" collapsed="false">
      <c r="A31" s="18" t="s">
        <v>2130</v>
      </c>
      <c r="B31" s="49" t="n">
        <v>46327</v>
      </c>
      <c r="C31" s="64" t="n">
        <v>24800</v>
      </c>
      <c r="D31" s="64" t="n">
        <v>27279.7024</v>
      </c>
      <c r="E31" s="64" t="n">
        <v>24099.4958571108</v>
      </c>
      <c r="F31" s="65" t="n">
        <v>1280144.3787</v>
      </c>
      <c r="G31" s="65" t="n">
        <v>652538</v>
      </c>
      <c r="H31" s="65" t="n">
        <v>1932682.3787</v>
      </c>
      <c r="I31" s="66" t="n">
        <f aca="false">F31+G31</f>
        <v>1932682.3787</v>
      </c>
      <c r="J31" s="66" t="n">
        <f aca="false">ROUND(I31-H31,4)</f>
        <v>0</v>
      </c>
      <c r="K31" s="65" t="n">
        <v>16773410.56</v>
      </c>
      <c r="L31" s="78" t="n">
        <f aca="false">I31/K31</f>
        <v>0.115222981741645</v>
      </c>
      <c r="M31" s="52" t="n">
        <f aca="false">F31/C31</f>
        <v>51.6187249475806</v>
      </c>
      <c r="N31" s="64" t="n">
        <v>36.633308510841</v>
      </c>
      <c r="O31" s="54" t="n">
        <v>0.962244798452347</v>
      </c>
      <c r="P31" s="54"/>
    </row>
    <row r="32" customFormat="false" ht="15" hidden="false" customHeight="false" outlineLevel="0" collapsed="false">
      <c r="A32" s="18" t="s">
        <v>2130</v>
      </c>
      <c r="B32" s="49" t="n">
        <v>46357</v>
      </c>
      <c r="C32" s="64" t="n">
        <v>28600</v>
      </c>
      <c r="D32" s="64" t="n">
        <v>31491.1168</v>
      </c>
      <c r="E32" s="64" t="n">
        <v>27984.4628006029</v>
      </c>
      <c r="F32" s="65" t="n">
        <v>1455636.848</v>
      </c>
      <c r="G32" s="65" t="n">
        <v>651011</v>
      </c>
      <c r="H32" s="65" t="n">
        <v>2106647.848</v>
      </c>
      <c r="I32" s="66" t="n">
        <f aca="false">F32+G32</f>
        <v>2106647.848</v>
      </c>
      <c r="J32" s="66" t="n">
        <f aca="false">ROUND(I32-H32,4)</f>
        <v>0</v>
      </c>
      <c r="K32" s="65" t="n">
        <v>19271572.32</v>
      </c>
      <c r="L32" s="78" t="n">
        <f aca="false">I32/K32</f>
        <v>0.109313750482815</v>
      </c>
      <c r="M32" s="52" t="n">
        <f aca="false">F32/C32</f>
        <v>50.8963932867133</v>
      </c>
      <c r="N32" s="64" t="n">
        <v>35.6726698894565</v>
      </c>
      <c r="O32" s="54" t="n">
        <v>0.960520387108024</v>
      </c>
      <c r="P32" s="54"/>
    </row>
    <row r="33" customFormat="false" ht="15" hidden="false" customHeight="false" outlineLevel="0" collapsed="false">
      <c r="A33" s="18" t="s">
        <v>2131</v>
      </c>
      <c r="B33" s="49" t="n">
        <v>46266</v>
      </c>
      <c r="C33" s="64" t="n">
        <v>17784.8</v>
      </c>
      <c r="D33" s="64" t="n">
        <v>19626.65856</v>
      </c>
      <c r="E33" s="64" t="n">
        <v>16942.4575748198</v>
      </c>
      <c r="F33" s="65" t="n">
        <v>952142.7975</v>
      </c>
      <c r="G33" s="65" t="n">
        <v>655592</v>
      </c>
      <c r="H33" s="65" t="n">
        <v>1607734.7975</v>
      </c>
      <c r="I33" s="66" t="n">
        <f aca="false">F33+G33</f>
        <v>1607734.7975</v>
      </c>
      <c r="J33" s="66" t="n">
        <f aca="false">ROUND(I33-H33,4)</f>
        <v>0</v>
      </c>
      <c r="K33" s="65" t="n">
        <v>12099188.64</v>
      </c>
      <c r="L33" s="78" t="n">
        <f aca="false">I33/K33</f>
        <v>0.132879554599621</v>
      </c>
      <c r="M33" s="52" t="n">
        <f aca="false">F33/C33</f>
        <v>53.5368852896856</v>
      </c>
      <c r="N33" s="64" t="n">
        <v>38.6711662595921</v>
      </c>
      <c r="O33" s="54" t="n">
        <v>0.965963006486459</v>
      </c>
      <c r="P33" s="54"/>
    </row>
    <row r="34" customFormat="false" ht="15" hidden="false" customHeight="false" outlineLevel="0" collapsed="false">
      <c r="A34" s="18" t="s">
        <v>2131</v>
      </c>
      <c r="B34" s="49" t="n">
        <v>46296</v>
      </c>
      <c r="C34" s="64" t="n">
        <v>20202</v>
      </c>
      <c r="D34" s="64" t="n">
        <v>22203.207</v>
      </c>
      <c r="E34" s="64" t="n">
        <v>19505.9652255037</v>
      </c>
      <c r="F34" s="65" t="n">
        <v>1071520.6991</v>
      </c>
      <c r="G34" s="65" t="n">
        <v>654065</v>
      </c>
      <c r="H34" s="65" t="n">
        <v>1725585.6991</v>
      </c>
      <c r="I34" s="66" t="n">
        <f aca="false">F34+G34</f>
        <v>1725585.6991</v>
      </c>
      <c r="J34" s="66" t="n">
        <f aca="false">ROUND(I34-H34,4)</f>
        <v>0</v>
      </c>
      <c r="K34" s="65" t="n">
        <v>13708531.2</v>
      </c>
      <c r="L34" s="78" t="n">
        <f aca="false">I34/K34</f>
        <v>0.125876775120882</v>
      </c>
      <c r="M34" s="52" t="n">
        <f aca="false">F34/C34</f>
        <v>53.0403276457777</v>
      </c>
      <c r="N34" s="64" t="n">
        <v>37.8242153061879</v>
      </c>
      <c r="O34" s="54" t="n">
        <v>0.964072919423937</v>
      </c>
      <c r="P34" s="54"/>
    </row>
    <row r="35" customFormat="false" ht="15" hidden="false" customHeight="false" outlineLevel="0" collapsed="false">
      <c r="A35" s="18" t="s">
        <v>2131</v>
      </c>
      <c r="B35" s="49" t="n">
        <v>46327</v>
      </c>
      <c r="C35" s="64" t="n">
        <v>25767.2</v>
      </c>
      <c r="D35" s="64" t="n">
        <v>28411.3264</v>
      </c>
      <c r="E35" s="64" t="n">
        <v>25243.6203660699</v>
      </c>
      <c r="F35" s="65" t="n">
        <v>1359002.9259</v>
      </c>
      <c r="G35" s="65" t="n">
        <v>652538</v>
      </c>
      <c r="H35" s="65" t="n">
        <v>2011540.9259</v>
      </c>
      <c r="I35" s="66" t="n">
        <f aca="false">F35+G35</f>
        <v>2011540.9259</v>
      </c>
      <c r="J35" s="66" t="n">
        <f aca="false">ROUND(I35-H35,4)</f>
        <v>0</v>
      </c>
      <c r="K35" s="65" t="n">
        <v>17438650.72</v>
      </c>
      <c r="L35" s="78" t="n">
        <f aca="false">I35/K35</f>
        <v>0.115349573668163</v>
      </c>
      <c r="M35" s="52" t="n">
        <f aca="false">F35/C35</f>
        <v>52.7415833268652</v>
      </c>
      <c r="N35" s="64" t="n">
        <v>37.3870467373921</v>
      </c>
      <c r="O35" s="54" t="n">
        <v>0.961860136010433</v>
      </c>
      <c r="P35" s="54"/>
    </row>
    <row r="36" customFormat="false" ht="15" hidden="false" customHeight="false" outlineLevel="0" collapsed="false">
      <c r="A36" s="18" t="s">
        <v>2131</v>
      </c>
      <c r="B36" s="49" t="n">
        <v>46357</v>
      </c>
      <c r="C36" s="64" t="n">
        <v>29744</v>
      </c>
      <c r="D36" s="64" t="n">
        <v>32829.5968</v>
      </c>
      <c r="E36" s="64" t="n">
        <v>29346.9945709192</v>
      </c>
      <c r="F36" s="65" t="n">
        <v>1545602.8558</v>
      </c>
      <c r="G36" s="65" t="n">
        <v>651011</v>
      </c>
      <c r="H36" s="65" t="n">
        <v>2196613.8558</v>
      </c>
      <c r="I36" s="66" t="n">
        <f aca="false">F36+G36</f>
        <v>2196613.8558</v>
      </c>
      <c r="J36" s="66" t="n">
        <f aca="false">ROUND(I36-H36,4)</f>
        <v>0</v>
      </c>
      <c r="K36" s="65" t="n">
        <v>20054068.32</v>
      </c>
      <c r="L36" s="78" t="n">
        <f aca="false">I36/K36</f>
        <v>0.109534575266671</v>
      </c>
      <c r="M36" s="52" t="n">
        <f aca="false">F36/C36</f>
        <v>51.9635172068316</v>
      </c>
      <c r="N36" s="64" t="n">
        <v>36.3636795321053</v>
      </c>
      <c r="O36" s="54" t="n">
        <v>0.960047433199058</v>
      </c>
      <c r="P36" s="54"/>
    </row>
    <row r="37" customFormat="false" ht="15" hidden="false" customHeight="false" outlineLevel="0" collapsed="false">
      <c r="A37" s="18" t="s">
        <v>2132</v>
      </c>
      <c r="B37" s="49" t="n">
        <v>46266</v>
      </c>
      <c r="C37" s="64" t="n">
        <v>17200</v>
      </c>
      <c r="D37" s="64" t="n">
        <v>18931.2144</v>
      </c>
      <c r="E37" s="64" t="n">
        <v>16257.2932556544</v>
      </c>
      <c r="F37" s="65" t="n">
        <v>899609.0285</v>
      </c>
      <c r="G37" s="65" t="n">
        <v>655592</v>
      </c>
      <c r="H37" s="65" t="n">
        <v>1555201.0285</v>
      </c>
      <c r="I37" s="66" t="n">
        <f aca="false">F37+G37</f>
        <v>1555201.0285</v>
      </c>
      <c r="J37" s="66" t="n">
        <f aca="false">ROUND(I37-H37,4)</f>
        <v>0</v>
      </c>
      <c r="K37" s="65" t="n">
        <v>11692518.72</v>
      </c>
      <c r="L37" s="78" t="n">
        <f aca="false">I37/K37</f>
        <v>0.133008213691361</v>
      </c>
      <c r="M37" s="52" t="n">
        <f aca="false">F37/C37</f>
        <v>52.302850494186</v>
      </c>
      <c r="N37" s="64" t="n">
        <v>37.7795259187354</v>
      </c>
      <c r="O37" s="54" t="n">
        <v>0.966143571483085</v>
      </c>
      <c r="P37" s="54"/>
    </row>
    <row r="38" customFormat="false" ht="15" hidden="false" customHeight="false" outlineLevel="0" collapsed="false">
      <c r="A38" s="18" t="s">
        <v>2132</v>
      </c>
      <c r="B38" s="49" t="n">
        <v>46296</v>
      </c>
      <c r="C38" s="64" t="n">
        <v>19500</v>
      </c>
      <c r="D38" s="64" t="n">
        <v>21247.083</v>
      </c>
      <c r="E38" s="64" t="n">
        <v>18629.4525891552</v>
      </c>
      <c r="F38" s="65" t="n">
        <v>977599.0864</v>
      </c>
      <c r="G38" s="65" t="n">
        <v>654065</v>
      </c>
      <c r="H38" s="65" t="n">
        <v>1631664.0864</v>
      </c>
      <c r="I38" s="66" t="n">
        <f aca="false">F38+G38</f>
        <v>1631664.0864</v>
      </c>
      <c r="J38" s="66" t="n">
        <f aca="false">ROUND(I38-H38,4)</f>
        <v>0</v>
      </c>
      <c r="K38" s="65" t="n">
        <v>13223028</v>
      </c>
      <c r="L38" s="78" t="n">
        <f aca="false">I38/K38</f>
        <v>0.123395646322461</v>
      </c>
      <c r="M38" s="52" t="n">
        <f aca="false">F38/C38</f>
        <v>50.1332864820513</v>
      </c>
      <c r="N38" s="64" t="n">
        <v>35.319181912188</v>
      </c>
      <c r="O38" s="54" t="n">
        <v>0.962363401780847</v>
      </c>
      <c r="P38" s="54"/>
    </row>
    <row r="39" customFormat="false" ht="15" hidden="false" customHeight="false" outlineLevel="0" collapsed="false">
      <c r="A39" s="18" t="s">
        <v>2132</v>
      </c>
      <c r="B39" s="49" t="n">
        <v>46327</v>
      </c>
      <c r="C39" s="64" t="n">
        <v>24800</v>
      </c>
      <c r="D39" s="64" t="n">
        <v>26908.2976</v>
      </c>
      <c r="E39" s="64" t="n">
        <v>23886.988028768</v>
      </c>
      <c r="F39" s="65" t="n">
        <v>1209306.6629</v>
      </c>
      <c r="G39" s="65" t="n">
        <v>652538</v>
      </c>
      <c r="H39" s="65" t="n">
        <v>1861844.6629</v>
      </c>
      <c r="I39" s="66" t="n">
        <f aca="false">F39+G39</f>
        <v>1861844.6629</v>
      </c>
      <c r="J39" s="66" t="n">
        <f aca="false">ROUND(I39-H39,4)</f>
        <v>0</v>
      </c>
      <c r="K39" s="65" t="n">
        <v>16773410.56</v>
      </c>
      <c r="L39" s="78" t="n">
        <f aca="false">I39/K39</f>
        <v>0.110999766937083</v>
      </c>
      <c r="M39" s="52" t="n">
        <f aca="false">F39/C39</f>
        <v>48.7623654395161</v>
      </c>
      <c r="N39" s="64" t="n">
        <v>34.0660412881208</v>
      </c>
      <c r="O39" s="54" t="n">
        <v>0.959199111235636</v>
      </c>
      <c r="P39" s="54"/>
    </row>
    <row r="40" customFormat="false" ht="15" hidden="false" customHeight="false" outlineLevel="0" collapsed="false">
      <c r="A40" s="18" t="s">
        <v>2132</v>
      </c>
      <c r="B40" s="49" t="n">
        <v>46357</v>
      </c>
      <c r="C40" s="64" t="n">
        <v>28600</v>
      </c>
      <c r="D40" s="64" t="n">
        <v>31051.8208</v>
      </c>
      <c r="E40" s="64" t="n">
        <v>27671.1309881178</v>
      </c>
      <c r="F40" s="65" t="n">
        <v>1392017.4789</v>
      </c>
      <c r="G40" s="65" t="n">
        <v>651011</v>
      </c>
      <c r="H40" s="65" t="n">
        <v>2043028.4789</v>
      </c>
      <c r="I40" s="66" t="n">
        <f aca="false">F40+G40</f>
        <v>2043028.4789</v>
      </c>
      <c r="J40" s="66" t="n">
        <f aca="false">ROUND(I40-H40,4)</f>
        <v>0</v>
      </c>
      <c r="K40" s="65" t="n">
        <v>19271572.32</v>
      </c>
      <c r="L40" s="78" t="n">
        <f aca="false">I40/K40</f>
        <v>0.106012547651846</v>
      </c>
      <c r="M40" s="52" t="n">
        <f aca="false">F40/C40</f>
        <v>48.6719398216783</v>
      </c>
      <c r="N40" s="64" t="n">
        <v>33.8548925068761</v>
      </c>
      <c r="O40" s="54" t="n">
        <v>0.958427457337381</v>
      </c>
      <c r="P40" s="54"/>
    </row>
    <row r="41" customFormat="false" ht="15" hidden="false" customHeight="false" outlineLevel="0" collapsed="false">
      <c r="A41" s="18" t="s">
        <v>2133</v>
      </c>
      <c r="B41" s="49" t="n">
        <v>46023</v>
      </c>
      <c r="C41" s="64" t="n">
        <v>13850</v>
      </c>
      <c r="D41" s="64" t="n">
        <v>14848.320465</v>
      </c>
      <c r="E41" s="64" t="n">
        <v>12590.9987427498</v>
      </c>
      <c r="F41" s="65" t="n">
        <v>558784.2145</v>
      </c>
      <c r="G41" s="65" t="n">
        <v>634450.25</v>
      </c>
      <c r="H41" s="65" t="n">
        <v>1193234.4645</v>
      </c>
      <c r="I41" s="66" t="n">
        <f aca="false">F41+G41</f>
        <v>1193234.4645</v>
      </c>
      <c r="J41" s="66" t="n">
        <f aca="false">ROUND(I41-H41,4)</f>
        <v>0</v>
      </c>
      <c r="K41" s="65" t="n">
        <v>9247852.3345</v>
      </c>
      <c r="L41" s="78" t="n">
        <f aca="false">I41/K41</f>
        <v>0.129028278279112</v>
      </c>
      <c r="M41" s="52" t="n">
        <f aca="false">F41/C41</f>
        <v>40.3454306498195</v>
      </c>
      <c r="N41" s="64" t="n">
        <v>28.4721835555484</v>
      </c>
      <c r="O41" s="54" t="n">
        <v>0.962878322484805</v>
      </c>
      <c r="P41" s="54" t="n">
        <v>1</v>
      </c>
    </row>
    <row r="42" customFormat="false" ht="15" hidden="false" customHeight="false" outlineLevel="0" collapsed="false">
      <c r="A42" s="18" t="s">
        <v>2133</v>
      </c>
      <c r="B42" s="49" t="n">
        <v>46054</v>
      </c>
      <c r="C42" s="64" t="n">
        <v>13680</v>
      </c>
      <c r="D42" s="64" t="n">
        <v>14684.119225776</v>
      </c>
      <c r="E42" s="64" t="n">
        <v>12460.6421103318</v>
      </c>
      <c r="F42" s="65" t="n">
        <v>553302.694</v>
      </c>
      <c r="G42" s="65" t="n">
        <v>633896</v>
      </c>
      <c r="H42" s="65" t="n">
        <v>1187198.694</v>
      </c>
      <c r="I42" s="66" t="n">
        <f aca="false">F42+G42</f>
        <v>1187198.694</v>
      </c>
      <c r="J42" s="66" t="n">
        <f aca="false">ROUND(I42-H42,4)</f>
        <v>0</v>
      </c>
      <c r="K42" s="65" t="n">
        <v>9112571.6688</v>
      </c>
      <c r="L42" s="78" t="n">
        <f aca="false">I42/K42</f>
        <v>0.130281410906735</v>
      </c>
      <c r="M42" s="52" t="n">
        <f aca="false">F42/C42</f>
        <v>40.4461033625731</v>
      </c>
      <c r="N42" s="64" t="n">
        <v>28.5296520321613</v>
      </c>
      <c r="O42" s="54" t="n">
        <v>0.962793600809901</v>
      </c>
      <c r="P42" s="54" t="n">
        <v>1</v>
      </c>
    </row>
    <row r="43" customFormat="false" ht="15" hidden="false" customHeight="false" outlineLevel="0" collapsed="false">
      <c r="A43" s="18" t="s">
        <v>2133</v>
      </c>
      <c r="B43" s="49" t="n">
        <v>46082</v>
      </c>
      <c r="C43" s="64" t="n">
        <v>15300</v>
      </c>
      <c r="D43" s="64" t="n">
        <v>16461.50923386</v>
      </c>
      <c r="E43" s="64" t="n">
        <v>14044.3329437659</v>
      </c>
      <c r="F43" s="65" t="n">
        <v>636858.6753</v>
      </c>
      <c r="G43" s="65" t="n">
        <v>639364.25</v>
      </c>
      <c r="H43" s="65" t="n">
        <v>1276222.9253</v>
      </c>
      <c r="I43" s="66" t="n">
        <f aca="false">F43+G43</f>
        <v>1276222.9253</v>
      </c>
      <c r="J43" s="66" t="n">
        <f aca="false">ROUND(I43-H43,4)</f>
        <v>0</v>
      </c>
      <c r="K43" s="65" t="n">
        <v>10281897.279</v>
      </c>
      <c r="L43" s="78" t="n">
        <f aca="false">I43/K43</f>
        <v>0.124123290738042</v>
      </c>
      <c r="M43" s="52" t="n">
        <f aca="false">F43/C43</f>
        <v>41.6247500196078</v>
      </c>
      <c r="N43" s="64" t="n">
        <v>29.3725712045852</v>
      </c>
      <c r="O43" s="54" t="n">
        <v>0.962217020140569</v>
      </c>
      <c r="P43" s="54" t="n">
        <v>1</v>
      </c>
    </row>
    <row r="44" customFormat="false" ht="15" hidden="false" customHeight="false" outlineLevel="0" collapsed="false">
      <c r="A44" s="18" t="s">
        <v>2133</v>
      </c>
      <c r="B44" s="49" t="n">
        <v>46113</v>
      </c>
      <c r="C44" s="64" t="n">
        <v>15800</v>
      </c>
      <c r="D44" s="64" t="n">
        <v>17013.37879396</v>
      </c>
      <c r="E44" s="64" t="n">
        <v>14503.7717091408</v>
      </c>
      <c r="F44" s="65" t="n">
        <v>659595.8328</v>
      </c>
      <c r="G44" s="65" t="n">
        <v>641828</v>
      </c>
      <c r="H44" s="65" t="n">
        <v>1301423.8328</v>
      </c>
      <c r="I44" s="66" t="n">
        <f aca="false">F44+G44</f>
        <v>1301423.8328</v>
      </c>
      <c r="J44" s="66" t="n">
        <f aca="false">ROUND(I44-H44,4)</f>
        <v>0</v>
      </c>
      <c r="K44" s="65" t="n">
        <v>10645866.042</v>
      </c>
      <c r="L44" s="78" t="n">
        <f aca="false">I44/K44</f>
        <v>0.122246872886211</v>
      </c>
      <c r="M44" s="52" t="n">
        <f aca="false">F44/C44</f>
        <v>41.7465716962025</v>
      </c>
      <c r="N44" s="64" t="n">
        <v>29.4377456398637</v>
      </c>
      <c r="O44" s="54" t="n">
        <v>0.962298606260911</v>
      </c>
      <c r="P44" s="54" t="n">
        <v>1</v>
      </c>
    </row>
    <row r="45" customFormat="false" ht="15" hidden="false" customHeight="false" outlineLevel="0" collapsed="false">
      <c r="A45" s="18" t="s">
        <v>2133</v>
      </c>
      <c r="B45" s="49" t="n">
        <v>46143</v>
      </c>
      <c r="C45" s="64" t="n">
        <v>16600</v>
      </c>
      <c r="D45" s="64" t="n">
        <v>17908.73678896</v>
      </c>
      <c r="E45" s="64" t="n">
        <v>15321.533291645</v>
      </c>
      <c r="F45" s="65" t="n">
        <v>705747.6821</v>
      </c>
      <c r="G45" s="65" t="n">
        <v>645051.875</v>
      </c>
      <c r="H45" s="65" t="n">
        <v>1350799.5571</v>
      </c>
      <c r="I45" s="66" t="n">
        <f aca="false">F45+G45</f>
        <v>1350799.5571</v>
      </c>
      <c r="J45" s="66" t="n">
        <f aca="false">ROUND(I45-H45,4)</f>
        <v>0</v>
      </c>
      <c r="K45" s="65" t="n">
        <v>11233018.393</v>
      </c>
      <c r="L45" s="78" t="n">
        <f aca="false">I45/K45</f>
        <v>0.120252590162388</v>
      </c>
      <c r="M45" s="52" t="n">
        <f aca="false">F45/C45</f>
        <v>42.5149206084337</v>
      </c>
      <c r="N45" s="64" t="n">
        <v>29.9721365739776</v>
      </c>
      <c r="O45" s="54" t="n">
        <v>0.961914617268353</v>
      </c>
      <c r="P45" s="54" t="n">
        <v>1</v>
      </c>
    </row>
    <row r="46" customFormat="false" ht="15" hidden="false" customHeight="false" outlineLevel="0" collapsed="false">
      <c r="A46" s="18" t="s">
        <v>2133</v>
      </c>
      <c r="B46" s="49" t="n">
        <v>46174</v>
      </c>
      <c r="C46" s="64" t="n">
        <v>17200</v>
      </c>
      <c r="D46" s="64" t="n">
        <v>18583.6150764</v>
      </c>
      <c r="E46" s="64" t="n">
        <v>15931.7635532743</v>
      </c>
      <c r="F46" s="65" t="n">
        <v>740538.9147</v>
      </c>
      <c r="G46" s="65" t="n">
        <v>647525.75</v>
      </c>
      <c r="H46" s="65" t="n">
        <v>1388064.6647</v>
      </c>
      <c r="I46" s="66" t="n">
        <f aca="false">F46+G46</f>
        <v>1388064.6647</v>
      </c>
      <c r="J46" s="66" t="n">
        <f aca="false">ROUND(I46-H46,4)</f>
        <v>0</v>
      </c>
      <c r="K46" s="65" t="n">
        <v>11676307.29</v>
      </c>
      <c r="L46" s="78" t="n">
        <f aca="false">I46/K46</f>
        <v>0.118878737106276</v>
      </c>
      <c r="M46" s="52" t="n">
        <f aca="false">F46/C46</f>
        <v>43.0545880639535</v>
      </c>
      <c r="N46" s="64" t="n">
        <v>30.3428995257365</v>
      </c>
      <c r="O46" s="54" t="n">
        <v>0.961696863999411</v>
      </c>
      <c r="P46" s="54" t="n">
        <v>1</v>
      </c>
    </row>
    <row r="47" customFormat="false" ht="15" hidden="false" customHeight="false" outlineLevel="0" collapsed="false">
      <c r="A47" s="18" t="s">
        <v>2133</v>
      </c>
      <c r="B47" s="49" t="n">
        <v>46204</v>
      </c>
      <c r="C47" s="64" t="n">
        <v>18000</v>
      </c>
      <c r="D47" s="64" t="n">
        <v>19500.043446</v>
      </c>
      <c r="E47" s="64" t="n">
        <v>16808.2021175472</v>
      </c>
      <c r="F47" s="65" t="n">
        <v>803529.9959</v>
      </c>
      <c r="G47" s="65" t="n">
        <v>650004.125</v>
      </c>
      <c r="H47" s="65" t="n">
        <v>1453534.1209</v>
      </c>
      <c r="I47" s="66" t="n">
        <f aca="false">F47+G47</f>
        <v>1453534.1209</v>
      </c>
      <c r="J47" s="66" t="n">
        <f aca="false">ROUND(I47-H47,4)</f>
        <v>0</v>
      </c>
      <c r="K47" s="65" t="n">
        <v>12268490.85</v>
      </c>
      <c r="L47" s="78" t="n">
        <f aca="false">I47/K47</f>
        <v>0.118477010634116</v>
      </c>
      <c r="M47" s="52" t="n">
        <f aca="false">F47/C47</f>
        <v>44.6405553277778</v>
      </c>
      <c r="N47" s="64" t="n">
        <v>31.6336315034817</v>
      </c>
      <c r="O47" s="54" t="n">
        <v>0.957699927261719</v>
      </c>
      <c r="P47" s="54" t="n">
        <v>0.995</v>
      </c>
    </row>
    <row r="48" customFormat="false" ht="15" hidden="false" customHeight="false" outlineLevel="0" collapsed="false">
      <c r="A48" s="18" t="s">
        <v>2133</v>
      </c>
      <c r="B48" s="49" t="n">
        <v>46235</v>
      </c>
      <c r="C48" s="64" t="n">
        <v>20300</v>
      </c>
      <c r="D48" s="64" t="n">
        <v>22879.1353</v>
      </c>
      <c r="E48" s="64" t="n">
        <v>20135.8390341136</v>
      </c>
      <c r="F48" s="65" t="n">
        <v>1262886.9975</v>
      </c>
      <c r="G48" s="65" t="n">
        <v>654005</v>
      </c>
      <c r="H48" s="65" t="n">
        <v>1916891.9975</v>
      </c>
      <c r="I48" s="66" t="n">
        <f aca="false">F48+G48</f>
        <v>1916891.9975</v>
      </c>
      <c r="J48" s="66" t="n">
        <f aca="false">ROUND(I48-H48,4)</f>
        <v>0</v>
      </c>
      <c r="K48" s="65" t="n">
        <v>13571805.555</v>
      </c>
      <c r="L48" s="78" t="n">
        <f aca="false">I48/K48</f>
        <v>0.141240750151611</v>
      </c>
      <c r="M48" s="52" t="n">
        <f aca="false">F48/C48</f>
        <v>62.2111821428572</v>
      </c>
      <c r="N48" s="64" t="n">
        <v>45.2492017074833</v>
      </c>
      <c r="O48" s="54" t="n">
        <v>0.96397242651841</v>
      </c>
      <c r="P48" s="54" t="n">
        <v>0.92</v>
      </c>
    </row>
    <row r="49" customFormat="false" ht="15" hidden="false" customHeight="false" outlineLevel="0" collapsed="false">
      <c r="A49" s="18" t="s">
        <v>2133</v>
      </c>
      <c r="B49" s="49" t="n">
        <v>46266</v>
      </c>
      <c r="C49" s="64" t="n">
        <v>17200</v>
      </c>
      <c r="D49" s="64" t="n">
        <v>18931.2144</v>
      </c>
      <c r="E49" s="64" t="n">
        <v>16257.2932556544</v>
      </c>
      <c r="F49" s="65" t="n">
        <v>899609.0285</v>
      </c>
      <c r="G49" s="65" t="n">
        <v>655592</v>
      </c>
      <c r="H49" s="65" t="n">
        <v>1555201.0285</v>
      </c>
      <c r="I49" s="66" t="n">
        <f aca="false">F49+G49</f>
        <v>1555201.0285</v>
      </c>
      <c r="J49" s="66" t="n">
        <f aca="false">ROUND(I49-H49,4)</f>
        <v>0</v>
      </c>
      <c r="K49" s="65" t="n">
        <v>11692518.72</v>
      </c>
      <c r="L49" s="78" t="n">
        <f aca="false">I49/K49</f>
        <v>0.133008213691361</v>
      </c>
      <c r="M49" s="52" t="n">
        <f aca="false">F49/C49</f>
        <v>52.302850494186</v>
      </c>
      <c r="N49" s="64" t="n">
        <v>37.7795259187354</v>
      </c>
      <c r="O49" s="54" t="n">
        <v>0.966143571483085</v>
      </c>
      <c r="P49" s="54"/>
    </row>
    <row r="50" customFormat="false" ht="15" hidden="false" customHeight="false" outlineLevel="0" collapsed="false">
      <c r="A50" s="18" t="s">
        <v>2133</v>
      </c>
      <c r="B50" s="49" t="n">
        <v>46296</v>
      </c>
      <c r="C50" s="64" t="n">
        <v>19500</v>
      </c>
      <c r="D50" s="64" t="n">
        <v>21381.867</v>
      </c>
      <c r="E50" s="64" t="n">
        <v>18682.050664967</v>
      </c>
      <c r="F50" s="65" t="n">
        <v>1011496.4262</v>
      </c>
      <c r="G50" s="65" t="n">
        <v>654065</v>
      </c>
      <c r="H50" s="65" t="n">
        <v>1665561.4262</v>
      </c>
      <c r="I50" s="66" t="n">
        <f aca="false">F50+G50</f>
        <v>1665561.4262</v>
      </c>
      <c r="J50" s="66" t="n">
        <f aca="false">ROUND(I50-H50,4)</f>
        <v>0</v>
      </c>
      <c r="K50" s="65" t="n">
        <v>13223028</v>
      </c>
      <c r="L50" s="78" t="n">
        <f aca="false">I50/K50</f>
        <v>0.125959154453882</v>
      </c>
      <c r="M50" s="52" t="n">
        <f aca="false">F50/C50</f>
        <v>51.8716116</v>
      </c>
      <c r="N50" s="64" t="n">
        <v>37.0027527874803</v>
      </c>
      <c r="O50" s="54" t="n">
        <v>0.96435407587373</v>
      </c>
      <c r="P50" s="54"/>
    </row>
    <row r="51" customFormat="false" ht="15" hidden="false" customHeight="false" outlineLevel="0" collapsed="false">
      <c r="A51" s="18" t="s">
        <v>2133</v>
      </c>
      <c r="B51" s="49" t="n">
        <v>46327</v>
      </c>
      <c r="C51" s="64" t="n">
        <v>24800</v>
      </c>
      <c r="D51" s="64" t="n">
        <v>27279.7024</v>
      </c>
      <c r="E51" s="64" t="n">
        <v>24099.4958571108</v>
      </c>
      <c r="F51" s="65" t="n">
        <v>1280144.3787</v>
      </c>
      <c r="G51" s="65" t="n">
        <v>652538</v>
      </c>
      <c r="H51" s="65" t="n">
        <v>1932682.3787</v>
      </c>
      <c r="I51" s="66" t="n">
        <f aca="false">F51+G51</f>
        <v>1932682.3787</v>
      </c>
      <c r="J51" s="66" t="n">
        <f aca="false">ROUND(I51-H51,4)</f>
        <v>0</v>
      </c>
      <c r="K51" s="65" t="n">
        <v>16773410.56</v>
      </c>
      <c r="L51" s="78" t="n">
        <f aca="false">I51/K51</f>
        <v>0.115222981741645</v>
      </c>
      <c r="M51" s="52" t="n">
        <f aca="false">F51/C51</f>
        <v>51.6187249475806</v>
      </c>
      <c r="N51" s="64" t="n">
        <v>36.633308510841</v>
      </c>
      <c r="O51" s="54" t="n">
        <v>0.962244798452347</v>
      </c>
      <c r="P51" s="54"/>
    </row>
    <row r="52" customFormat="false" ht="15" hidden="false" customHeight="false" outlineLevel="0" collapsed="false">
      <c r="A52" s="21" t="s">
        <v>2133</v>
      </c>
      <c r="B52" s="55" t="n">
        <v>46357</v>
      </c>
      <c r="C52" s="67" t="n">
        <v>28600</v>
      </c>
      <c r="D52" s="67" t="n">
        <v>31491.1168</v>
      </c>
      <c r="E52" s="67" t="n">
        <v>27984.4628006029</v>
      </c>
      <c r="F52" s="68" t="n">
        <v>1455636.848</v>
      </c>
      <c r="G52" s="68" t="n">
        <v>651011</v>
      </c>
      <c r="H52" s="68" t="n">
        <v>2106647.848</v>
      </c>
      <c r="I52" s="69" t="n">
        <f aca="false">F52+G52</f>
        <v>2106647.848</v>
      </c>
      <c r="J52" s="69" t="n">
        <f aca="false">ROUND(I52-H52,4)</f>
        <v>0</v>
      </c>
      <c r="K52" s="68" t="n">
        <v>19271572.32</v>
      </c>
      <c r="L52" s="79" t="n">
        <f aca="false">I52/K52</f>
        <v>0.109313750482815</v>
      </c>
      <c r="M52" s="58" t="n">
        <f aca="false">F52/C52</f>
        <v>50.8963932867133</v>
      </c>
      <c r="N52" s="67" t="n">
        <v>35.6726698894565</v>
      </c>
      <c r="O52" s="60" t="n">
        <v>0.960520387108024</v>
      </c>
      <c r="P52" s="60"/>
    </row>
  </sheetData>
  <mergeCells count="2">
    <mergeCell ref="A1:P1"/>
    <mergeCell ref="A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3" min="1" style="0" width="17"/>
    <col collapsed="false" customWidth="true" hidden="false" outlineLevel="0" max="14" min="14" style="0" width="25"/>
  </cols>
  <sheetData>
    <row r="1" customFormat="false" ht="32" hidden="false" customHeight="true" outlineLevel="0" collapsed="false">
      <c r="A1" s="24" t="s">
        <v>2134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28" hidden="false" customHeight="true" outlineLevel="0" collapsed="false">
      <c r="A2" s="2" t="s">
        <v>2135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7" t="s">
        <v>2121</v>
      </c>
      <c r="B4" s="12" t="s">
        <v>137</v>
      </c>
      <c r="C4" s="12" t="s">
        <v>139</v>
      </c>
      <c r="D4" s="12" t="s">
        <v>2122</v>
      </c>
      <c r="E4" s="12" t="s">
        <v>149</v>
      </c>
      <c r="F4" s="12" t="s">
        <v>187</v>
      </c>
      <c r="G4" s="12" t="s">
        <v>2126</v>
      </c>
      <c r="H4" s="12" t="s">
        <v>2136</v>
      </c>
      <c r="I4" s="12" t="s">
        <v>2137</v>
      </c>
      <c r="J4" s="12" t="s">
        <v>2138</v>
      </c>
      <c r="K4" s="12" t="s">
        <v>2116</v>
      </c>
      <c r="L4" s="12" t="s">
        <v>2117</v>
      </c>
      <c r="M4" s="12" t="s">
        <v>2139</v>
      </c>
      <c r="N4" s="13" t="s">
        <v>2035</v>
      </c>
    </row>
    <row r="5" customFormat="false" ht="15" hidden="false" customHeight="false" outlineLevel="0" collapsed="false">
      <c r="A5" s="15" t="s">
        <v>194</v>
      </c>
      <c r="B5" s="43" t="n">
        <v>46023</v>
      </c>
      <c r="C5" s="15" t="s">
        <v>99</v>
      </c>
      <c r="D5" s="61" t="n">
        <v>5880</v>
      </c>
      <c r="E5" s="61" t="n">
        <v>6179.292</v>
      </c>
      <c r="F5" s="61" t="n">
        <v>184576.2696</v>
      </c>
      <c r="G5" s="61" t="n">
        <v>3760848</v>
      </c>
      <c r="H5" s="48" t="n">
        <v>0.0490783646585366</v>
      </c>
      <c r="I5" s="48" t="n">
        <v>0</v>
      </c>
      <c r="J5" s="48" t="n">
        <v>0</v>
      </c>
      <c r="K5" s="48" t="n">
        <v>0.96935683699686</v>
      </c>
      <c r="L5" s="48" t="n">
        <v>1</v>
      </c>
      <c r="M5" s="46" t="n">
        <f aca="false">F5/D5</f>
        <v>31.3905220408163</v>
      </c>
      <c r="N5" s="15"/>
    </row>
    <row r="6" customFormat="false" ht="15" hidden="false" customHeight="false" outlineLevel="0" collapsed="false">
      <c r="A6" s="18" t="s">
        <v>194</v>
      </c>
      <c r="B6" s="49" t="n">
        <v>46023</v>
      </c>
      <c r="C6" s="18" t="s">
        <v>113</v>
      </c>
      <c r="D6" s="64" t="n">
        <v>4480</v>
      </c>
      <c r="E6" s="64" t="n">
        <v>4748.8</v>
      </c>
      <c r="F6" s="64" t="n">
        <v>134148.8398</v>
      </c>
      <c r="G6" s="64" t="n">
        <v>3005184</v>
      </c>
      <c r="H6" s="54" t="n">
        <v>0.0446391434883721</v>
      </c>
      <c r="I6" s="54" t="n">
        <v>0</v>
      </c>
      <c r="J6" s="54" t="n">
        <v>0</v>
      </c>
      <c r="K6" s="54" t="n">
        <v>0.9688</v>
      </c>
      <c r="L6" s="54" t="n">
        <v>1</v>
      </c>
      <c r="M6" s="52" t="n">
        <f aca="false">F6/D6</f>
        <v>29.9439374553571</v>
      </c>
      <c r="N6" s="18"/>
    </row>
    <row r="7" customFormat="false" ht="15" hidden="false" customHeight="false" outlineLevel="0" collapsed="false">
      <c r="A7" s="18" t="s">
        <v>194</v>
      </c>
      <c r="B7" s="49" t="n">
        <v>46023</v>
      </c>
      <c r="C7" s="18" t="s">
        <v>119</v>
      </c>
      <c r="D7" s="64" t="n">
        <v>3640</v>
      </c>
      <c r="E7" s="64" t="n">
        <v>4081.168</v>
      </c>
      <c r="F7" s="64" t="n">
        <v>240519.8692</v>
      </c>
      <c r="G7" s="64" t="n">
        <v>2555280</v>
      </c>
      <c r="H7" s="54" t="n">
        <v>0.0941266198762393</v>
      </c>
      <c r="I7" s="54" t="n">
        <v>0.136924723510524</v>
      </c>
      <c r="J7" s="54" t="n">
        <v>0.0287691758829825</v>
      </c>
      <c r="K7" s="54" t="n">
        <v>0.941099236532287</v>
      </c>
      <c r="L7" s="54" t="n">
        <v>1</v>
      </c>
      <c r="M7" s="52" t="n">
        <f aca="false">F7/D7</f>
        <v>66.0768871428572</v>
      </c>
      <c r="N7" s="18"/>
    </row>
    <row r="8" customFormat="false" ht="15" hidden="false" customHeight="false" outlineLevel="0" collapsed="false">
      <c r="A8" s="18" t="s">
        <v>194</v>
      </c>
      <c r="B8" s="49" t="n">
        <v>46054</v>
      </c>
      <c r="C8" s="18" t="s">
        <v>99</v>
      </c>
      <c r="D8" s="64" t="n">
        <v>5670</v>
      </c>
      <c r="E8" s="64" t="n">
        <v>5958.603</v>
      </c>
      <c r="F8" s="64" t="n">
        <v>177984.2599</v>
      </c>
      <c r="G8" s="64" t="n">
        <v>3626532</v>
      </c>
      <c r="H8" s="54" t="n">
        <v>0.0490783646585366</v>
      </c>
      <c r="I8" s="54" t="n">
        <v>0</v>
      </c>
      <c r="J8" s="54" t="n">
        <v>0</v>
      </c>
      <c r="K8" s="54" t="n">
        <v>0.96935683699686</v>
      </c>
      <c r="L8" s="54" t="n">
        <v>1</v>
      </c>
      <c r="M8" s="52" t="n">
        <f aca="false">F8/D8</f>
        <v>31.3905220282187</v>
      </c>
      <c r="N8" s="18"/>
    </row>
    <row r="9" customFormat="false" ht="15" hidden="false" customHeight="false" outlineLevel="0" collapsed="false">
      <c r="A9" s="18" t="s">
        <v>194</v>
      </c>
      <c r="B9" s="49" t="n">
        <v>46054</v>
      </c>
      <c r="C9" s="18" t="s">
        <v>113</v>
      </c>
      <c r="D9" s="64" t="n">
        <v>4320</v>
      </c>
      <c r="E9" s="64" t="n">
        <v>4579.2</v>
      </c>
      <c r="F9" s="64" t="n">
        <v>129357.8098</v>
      </c>
      <c r="G9" s="64" t="n">
        <v>2897856</v>
      </c>
      <c r="H9" s="54" t="n">
        <v>0.0446391434883721</v>
      </c>
      <c r="I9" s="54" t="n">
        <v>0</v>
      </c>
      <c r="J9" s="54" t="n">
        <v>0</v>
      </c>
      <c r="K9" s="54" t="n">
        <v>0.9688</v>
      </c>
      <c r="L9" s="54" t="n">
        <v>1</v>
      </c>
      <c r="M9" s="52" t="n">
        <f aca="false">F9/D9</f>
        <v>29.9439374537037</v>
      </c>
      <c r="N9" s="18"/>
    </row>
    <row r="10" customFormat="false" ht="15" hidden="false" customHeight="false" outlineLevel="0" collapsed="false">
      <c r="A10" s="18" t="s">
        <v>194</v>
      </c>
      <c r="B10" s="49" t="n">
        <v>46054</v>
      </c>
      <c r="C10" s="18" t="s">
        <v>119</v>
      </c>
      <c r="D10" s="64" t="n">
        <v>3510</v>
      </c>
      <c r="E10" s="64" t="n">
        <v>3935.412</v>
      </c>
      <c r="F10" s="64" t="n">
        <v>231929.8739</v>
      </c>
      <c r="G10" s="64" t="n">
        <v>2464020</v>
      </c>
      <c r="H10" s="54" t="n">
        <v>0.0941266198762393</v>
      </c>
      <c r="I10" s="54" t="n">
        <v>0.136924723510524</v>
      </c>
      <c r="J10" s="54" t="n">
        <v>0.0287691758829825</v>
      </c>
      <c r="K10" s="54" t="n">
        <v>0.941099236532287</v>
      </c>
      <c r="L10" s="54" t="n">
        <v>1</v>
      </c>
      <c r="M10" s="52" t="n">
        <f aca="false">F10/D10</f>
        <v>66.0768871509972</v>
      </c>
      <c r="N10" s="18"/>
    </row>
    <row r="11" customFormat="false" ht="15" hidden="false" customHeight="false" outlineLevel="0" collapsed="false">
      <c r="A11" s="18" t="s">
        <v>194</v>
      </c>
      <c r="B11" s="49" t="n">
        <v>46082</v>
      </c>
      <c r="C11" s="18" t="s">
        <v>99</v>
      </c>
      <c r="D11" s="64" t="n">
        <v>6000</v>
      </c>
      <c r="E11" s="64" t="n">
        <v>6305.4</v>
      </c>
      <c r="F11" s="64" t="n">
        <v>188343.1322</v>
      </c>
      <c r="G11" s="64" t="n">
        <v>3837600</v>
      </c>
      <c r="H11" s="54" t="n">
        <v>0.0490783646585366</v>
      </c>
      <c r="I11" s="54" t="n">
        <v>0</v>
      </c>
      <c r="J11" s="54" t="n">
        <v>0</v>
      </c>
      <c r="K11" s="54" t="n">
        <v>0.96935683699686</v>
      </c>
      <c r="L11" s="54" t="n">
        <v>1</v>
      </c>
      <c r="M11" s="52" t="n">
        <f aca="false">F11/D11</f>
        <v>31.3905220333333</v>
      </c>
      <c r="N11" s="18"/>
    </row>
    <row r="12" customFormat="false" ht="15" hidden="false" customHeight="false" outlineLevel="0" collapsed="false">
      <c r="A12" s="18" t="s">
        <v>194</v>
      </c>
      <c r="B12" s="49" t="n">
        <v>46082</v>
      </c>
      <c r="C12" s="18" t="s">
        <v>113</v>
      </c>
      <c r="D12" s="64" t="n">
        <v>4800</v>
      </c>
      <c r="E12" s="64" t="n">
        <v>5088</v>
      </c>
      <c r="F12" s="64" t="n">
        <v>143730.8998</v>
      </c>
      <c r="G12" s="64" t="n">
        <v>3219840</v>
      </c>
      <c r="H12" s="54" t="n">
        <v>0.0446391434883721</v>
      </c>
      <c r="I12" s="54" t="n">
        <v>0</v>
      </c>
      <c r="J12" s="54" t="n">
        <v>0</v>
      </c>
      <c r="K12" s="54" t="n">
        <v>0.9688</v>
      </c>
      <c r="L12" s="54" t="n">
        <v>1</v>
      </c>
      <c r="M12" s="52" t="n">
        <f aca="false">F12/D12</f>
        <v>29.9439374583333</v>
      </c>
      <c r="N12" s="18"/>
    </row>
    <row r="13" customFormat="false" ht="15" hidden="false" customHeight="false" outlineLevel="0" collapsed="false">
      <c r="A13" s="18" t="s">
        <v>194</v>
      </c>
      <c r="B13" s="49" t="n">
        <v>46082</v>
      </c>
      <c r="C13" s="18" t="s">
        <v>119</v>
      </c>
      <c r="D13" s="64" t="n">
        <v>4200</v>
      </c>
      <c r="E13" s="64" t="n">
        <v>4709.04</v>
      </c>
      <c r="F13" s="64" t="n">
        <v>277522.926</v>
      </c>
      <c r="G13" s="64" t="n">
        <v>2948400</v>
      </c>
      <c r="H13" s="54" t="n">
        <v>0.0941266198762393</v>
      </c>
      <c r="I13" s="54" t="n">
        <v>0.136924723510524</v>
      </c>
      <c r="J13" s="54" t="n">
        <v>0.0287691758829825</v>
      </c>
      <c r="K13" s="54" t="n">
        <v>0.941099236532287</v>
      </c>
      <c r="L13" s="54" t="n">
        <v>1</v>
      </c>
      <c r="M13" s="52" t="n">
        <f aca="false">F13/D13</f>
        <v>66.0768871428571</v>
      </c>
      <c r="N13" s="18"/>
    </row>
    <row r="14" customFormat="false" ht="15" hidden="false" customHeight="false" outlineLevel="0" collapsed="false">
      <c r="A14" s="18" t="s">
        <v>194</v>
      </c>
      <c r="B14" s="49" t="n">
        <v>46113</v>
      </c>
      <c r="C14" s="18" t="s">
        <v>99</v>
      </c>
      <c r="D14" s="64" t="n">
        <v>6200</v>
      </c>
      <c r="E14" s="64" t="n">
        <v>6515.58</v>
      </c>
      <c r="F14" s="64" t="n">
        <v>194621.2366</v>
      </c>
      <c r="G14" s="64" t="n">
        <v>3965520</v>
      </c>
      <c r="H14" s="54" t="n">
        <v>0.0490783646585366</v>
      </c>
      <c r="I14" s="54" t="n">
        <v>0</v>
      </c>
      <c r="J14" s="54" t="n">
        <v>0</v>
      </c>
      <c r="K14" s="54" t="n">
        <v>0.96935683699686</v>
      </c>
      <c r="L14" s="54" t="n">
        <v>1</v>
      </c>
      <c r="M14" s="52" t="n">
        <f aca="false">F14/D14</f>
        <v>31.3905220322581</v>
      </c>
      <c r="N14" s="18"/>
    </row>
    <row r="15" customFormat="false" ht="15" hidden="false" customHeight="false" outlineLevel="0" collapsed="false">
      <c r="A15" s="18" t="s">
        <v>194</v>
      </c>
      <c r="B15" s="49" t="n">
        <v>46113</v>
      </c>
      <c r="C15" s="18" t="s">
        <v>113</v>
      </c>
      <c r="D15" s="64" t="n">
        <v>4960</v>
      </c>
      <c r="E15" s="64" t="n">
        <v>5257.6</v>
      </c>
      <c r="F15" s="64" t="n">
        <v>148521.9298</v>
      </c>
      <c r="G15" s="64" t="n">
        <v>3327168</v>
      </c>
      <c r="H15" s="54" t="n">
        <v>0.0446391434883721</v>
      </c>
      <c r="I15" s="54" t="n">
        <v>0</v>
      </c>
      <c r="J15" s="54" t="n">
        <v>0</v>
      </c>
      <c r="K15" s="54" t="n">
        <v>0.9688</v>
      </c>
      <c r="L15" s="54" t="n">
        <v>1</v>
      </c>
      <c r="M15" s="52" t="n">
        <f aca="false">F15/D15</f>
        <v>29.9439374596774</v>
      </c>
      <c r="N15" s="18"/>
    </row>
    <row r="16" customFormat="false" ht="15" hidden="false" customHeight="false" outlineLevel="0" collapsed="false">
      <c r="A16" s="18" t="s">
        <v>194</v>
      </c>
      <c r="B16" s="49" t="n">
        <v>46113</v>
      </c>
      <c r="C16" s="18" t="s">
        <v>119</v>
      </c>
      <c r="D16" s="64" t="n">
        <v>4340</v>
      </c>
      <c r="E16" s="64" t="n">
        <v>4866.008</v>
      </c>
      <c r="F16" s="64" t="n">
        <v>286773.6902</v>
      </c>
      <c r="G16" s="64" t="n">
        <v>3046680</v>
      </c>
      <c r="H16" s="54" t="n">
        <v>0.0941266198762393</v>
      </c>
      <c r="I16" s="54" t="n">
        <v>0.136924723510524</v>
      </c>
      <c r="J16" s="54" t="n">
        <v>0.0287691758829825</v>
      </c>
      <c r="K16" s="54" t="n">
        <v>0.941099236532287</v>
      </c>
      <c r="L16" s="54" t="n">
        <v>1</v>
      </c>
      <c r="M16" s="52" t="n">
        <f aca="false">F16/D16</f>
        <v>66.0768871428572</v>
      </c>
      <c r="N16" s="18"/>
    </row>
    <row r="17" customFormat="false" ht="15" hidden="false" customHeight="false" outlineLevel="0" collapsed="false">
      <c r="A17" s="18" t="s">
        <v>194</v>
      </c>
      <c r="B17" s="49" t="n">
        <v>46143</v>
      </c>
      <c r="C17" s="18" t="s">
        <v>99</v>
      </c>
      <c r="D17" s="64" t="n">
        <v>6240</v>
      </c>
      <c r="E17" s="64" t="n">
        <v>6557.616</v>
      </c>
      <c r="F17" s="64" t="n">
        <v>195876.8575</v>
      </c>
      <c r="G17" s="64" t="n">
        <v>3991104</v>
      </c>
      <c r="H17" s="54" t="n">
        <v>0.0490783646585366</v>
      </c>
      <c r="I17" s="54" t="n">
        <v>0</v>
      </c>
      <c r="J17" s="54" t="n">
        <v>0</v>
      </c>
      <c r="K17" s="54" t="n">
        <v>0.96935683699686</v>
      </c>
      <c r="L17" s="54" t="n">
        <v>1</v>
      </c>
      <c r="M17" s="52" t="n">
        <f aca="false">F17/D17</f>
        <v>31.3905220352564</v>
      </c>
      <c r="N17" s="18"/>
    </row>
    <row r="18" customFormat="false" ht="15" hidden="false" customHeight="false" outlineLevel="0" collapsed="false">
      <c r="A18" s="18" t="s">
        <v>194</v>
      </c>
      <c r="B18" s="49" t="n">
        <v>46143</v>
      </c>
      <c r="C18" s="18" t="s">
        <v>113</v>
      </c>
      <c r="D18" s="64" t="n">
        <v>5120</v>
      </c>
      <c r="E18" s="64" t="n">
        <v>5427.2</v>
      </c>
      <c r="F18" s="64" t="n">
        <v>153312.9598</v>
      </c>
      <c r="G18" s="64" t="n">
        <v>3434496</v>
      </c>
      <c r="H18" s="54" t="n">
        <v>0.0446391434883721</v>
      </c>
      <c r="I18" s="54" t="n">
        <v>0</v>
      </c>
      <c r="J18" s="54" t="n">
        <v>0</v>
      </c>
      <c r="K18" s="54" t="n">
        <v>0.9688</v>
      </c>
      <c r="L18" s="54" t="n">
        <v>1</v>
      </c>
      <c r="M18" s="52" t="n">
        <f aca="false">F18/D18</f>
        <v>29.9439374609375</v>
      </c>
      <c r="N18" s="18"/>
    </row>
    <row r="19" customFormat="false" ht="15" hidden="false" customHeight="false" outlineLevel="0" collapsed="false">
      <c r="A19" s="18" t="s">
        <v>194</v>
      </c>
      <c r="B19" s="49" t="n">
        <v>46143</v>
      </c>
      <c r="C19" s="18" t="s">
        <v>119</v>
      </c>
      <c r="D19" s="64" t="n">
        <v>4640</v>
      </c>
      <c r="E19" s="64" t="n">
        <v>5202.368</v>
      </c>
      <c r="F19" s="64" t="n">
        <v>306596.7564</v>
      </c>
      <c r="G19" s="64" t="n">
        <v>3257280</v>
      </c>
      <c r="H19" s="54" t="n">
        <v>0.0941266198762393</v>
      </c>
      <c r="I19" s="54" t="n">
        <v>0.136924723510524</v>
      </c>
      <c r="J19" s="54" t="n">
        <v>0.0287691758829825</v>
      </c>
      <c r="K19" s="54" t="n">
        <v>0.941099236532287</v>
      </c>
      <c r="L19" s="54" t="n">
        <v>1</v>
      </c>
      <c r="M19" s="52" t="n">
        <f aca="false">F19/D19</f>
        <v>66.0768871551724</v>
      </c>
      <c r="N19" s="18"/>
    </row>
    <row r="20" customFormat="false" ht="15" hidden="false" customHeight="false" outlineLevel="0" collapsed="false">
      <c r="A20" s="18" t="s">
        <v>194</v>
      </c>
      <c r="B20" s="49" t="n">
        <v>46174</v>
      </c>
      <c r="C20" s="18" t="s">
        <v>99</v>
      </c>
      <c r="D20" s="64" t="n">
        <v>6435</v>
      </c>
      <c r="E20" s="64" t="n">
        <v>6762.5415</v>
      </c>
      <c r="F20" s="64" t="n">
        <v>201998.0093</v>
      </c>
      <c r="G20" s="64" t="n">
        <v>4115826</v>
      </c>
      <c r="H20" s="54" t="n">
        <v>0.0490783646585366</v>
      </c>
      <c r="I20" s="54" t="n">
        <v>0</v>
      </c>
      <c r="J20" s="54" t="n">
        <v>0</v>
      </c>
      <c r="K20" s="54" t="n">
        <v>0.96935683699686</v>
      </c>
      <c r="L20" s="54" t="n">
        <v>1</v>
      </c>
      <c r="M20" s="52" t="n">
        <f aca="false">F20/D20</f>
        <v>31.390522035742</v>
      </c>
      <c r="N20" s="18"/>
    </row>
    <row r="21" customFormat="false" ht="15" hidden="false" customHeight="false" outlineLevel="0" collapsed="false">
      <c r="A21" s="18" t="s">
        <v>194</v>
      </c>
      <c r="B21" s="49" t="n">
        <v>46174</v>
      </c>
      <c r="C21" s="18" t="s">
        <v>113</v>
      </c>
      <c r="D21" s="64" t="n">
        <v>5280</v>
      </c>
      <c r="E21" s="64" t="n">
        <v>5596.8</v>
      </c>
      <c r="F21" s="64" t="n">
        <v>158103.9897</v>
      </c>
      <c r="G21" s="64" t="n">
        <v>3541824</v>
      </c>
      <c r="H21" s="54" t="n">
        <v>0.0446391434883721</v>
      </c>
      <c r="I21" s="54" t="n">
        <v>0</v>
      </c>
      <c r="J21" s="54" t="n">
        <v>0</v>
      </c>
      <c r="K21" s="54" t="n">
        <v>0.9688</v>
      </c>
      <c r="L21" s="54" t="n">
        <v>1</v>
      </c>
      <c r="M21" s="52" t="n">
        <f aca="false">F21/D21</f>
        <v>29.9439374431818</v>
      </c>
      <c r="N21" s="18"/>
    </row>
    <row r="22" customFormat="false" ht="15" hidden="false" customHeight="false" outlineLevel="0" collapsed="false">
      <c r="A22" s="18" t="s">
        <v>194</v>
      </c>
      <c r="B22" s="49" t="n">
        <v>46174</v>
      </c>
      <c r="C22" s="18" t="s">
        <v>119</v>
      </c>
      <c r="D22" s="64" t="n">
        <v>4785</v>
      </c>
      <c r="E22" s="64" t="n">
        <v>5364.942</v>
      </c>
      <c r="F22" s="64" t="n">
        <v>316177.905</v>
      </c>
      <c r="G22" s="64" t="n">
        <v>3359070</v>
      </c>
      <c r="H22" s="54" t="n">
        <v>0.0941266198762393</v>
      </c>
      <c r="I22" s="54" t="n">
        <v>0.136924723510524</v>
      </c>
      <c r="J22" s="54" t="n">
        <v>0.0287691758829825</v>
      </c>
      <c r="K22" s="54" t="n">
        <v>0.941099236532287</v>
      </c>
      <c r="L22" s="54" t="n">
        <v>1</v>
      </c>
      <c r="M22" s="52" t="n">
        <f aca="false">F22/D22</f>
        <v>66.0768871473354</v>
      </c>
      <c r="N22" s="18"/>
    </row>
    <row r="23" customFormat="false" ht="15" hidden="false" customHeight="false" outlineLevel="0" collapsed="false">
      <c r="A23" s="18" t="s">
        <v>194</v>
      </c>
      <c r="B23" s="49" t="n">
        <v>46204</v>
      </c>
      <c r="C23" s="18" t="s">
        <v>99</v>
      </c>
      <c r="D23" s="64" t="n">
        <v>6460</v>
      </c>
      <c r="E23" s="64" t="n">
        <v>6788.814</v>
      </c>
      <c r="F23" s="64" t="n">
        <v>202782.7723</v>
      </c>
      <c r="G23" s="64" t="n">
        <v>4131816</v>
      </c>
      <c r="H23" s="54" t="n">
        <v>0.0490783646585366</v>
      </c>
      <c r="I23" s="54" t="n">
        <v>0</v>
      </c>
      <c r="J23" s="54" t="n">
        <v>0</v>
      </c>
      <c r="K23" s="54" t="n">
        <v>0.96935683699686</v>
      </c>
      <c r="L23" s="54" t="n">
        <v>1</v>
      </c>
      <c r="M23" s="52" t="n">
        <f aca="false">F23/D23</f>
        <v>31.3905220278638</v>
      </c>
      <c r="N23" s="18"/>
    </row>
    <row r="24" customFormat="false" ht="15" hidden="false" customHeight="false" outlineLevel="0" collapsed="false">
      <c r="A24" s="18" t="s">
        <v>194</v>
      </c>
      <c r="B24" s="49" t="n">
        <v>46204</v>
      </c>
      <c r="C24" s="18" t="s">
        <v>113</v>
      </c>
      <c r="D24" s="64" t="n">
        <v>5440</v>
      </c>
      <c r="E24" s="64" t="n">
        <v>5766.4</v>
      </c>
      <c r="F24" s="64" t="n">
        <v>162895.0197</v>
      </c>
      <c r="G24" s="64" t="n">
        <v>3649152</v>
      </c>
      <c r="H24" s="54" t="n">
        <v>0.0446391434883721</v>
      </c>
      <c r="I24" s="54" t="n">
        <v>0</v>
      </c>
      <c r="J24" s="54" t="n">
        <v>0</v>
      </c>
      <c r="K24" s="54" t="n">
        <v>0.9688</v>
      </c>
      <c r="L24" s="54" t="n">
        <v>1</v>
      </c>
      <c r="M24" s="52" t="n">
        <f aca="false">F24/D24</f>
        <v>29.9439374448529</v>
      </c>
      <c r="N24" s="18"/>
    </row>
    <row r="25" customFormat="false" ht="15" hidden="false" customHeight="false" outlineLevel="0" collapsed="false">
      <c r="A25" s="18" t="s">
        <v>194</v>
      </c>
      <c r="B25" s="49" t="n">
        <v>46204</v>
      </c>
      <c r="C25" s="18" t="s">
        <v>119</v>
      </c>
      <c r="D25" s="64" t="n">
        <v>5100</v>
      </c>
      <c r="E25" s="64" t="n">
        <v>5718.12</v>
      </c>
      <c r="F25" s="64" t="n">
        <v>336992.1245</v>
      </c>
      <c r="G25" s="64" t="n">
        <v>3580200</v>
      </c>
      <c r="H25" s="54" t="n">
        <v>0.0941266198762393</v>
      </c>
      <c r="I25" s="54" t="n">
        <v>0.136924723510524</v>
      </c>
      <c r="J25" s="54" t="n">
        <v>0.0287691758829825</v>
      </c>
      <c r="K25" s="54" t="n">
        <v>0.941099236532287</v>
      </c>
      <c r="L25" s="54" t="n">
        <v>1</v>
      </c>
      <c r="M25" s="52" t="n">
        <f aca="false">F25/D25</f>
        <v>66.0768871568627</v>
      </c>
      <c r="N25" s="18"/>
    </row>
    <row r="26" customFormat="false" ht="15" hidden="false" customHeight="false" outlineLevel="0" collapsed="false">
      <c r="A26" s="18" t="s">
        <v>194</v>
      </c>
      <c r="B26" s="49" t="n">
        <v>46235</v>
      </c>
      <c r="C26" s="18" t="s">
        <v>99</v>
      </c>
      <c r="D26" s="64" t="n">
        <v>6080</v>
      </c>
      <c r="E26" s="64" t="n">
        <v>6389.472</v>
      </c>
      <c r="F26" s="64" t="n">
        <v>190854.374</v>
      </c>
      <c r="G26" s="64" t="n">
        <v>3888768</v>
      </c>
      <c r="H26" s="54" t="n">
        <v>0.0490783646585366</v>
      </c>
      <c r="I26" s="54" t="n">
        <v>0</v>
      </c>
      <c r="J26" s="54" t="n">
        <v>0</v>
      </c>
      <c r="K26" s="54" t="n">
        <v>0.96935683699686</v>
      </c>
      <c r="L26" s="54" t="n">
        <v>1</v>
      </c>
      <c r="M26" s="52" t="n">
        <f aca="false">F26/D26</f>
        <v>31.3905220394737</v>
      </c>
      <c r="N26" s="18"/>
    </row>
    <row r="27" customFormat="false" ht="15" hidden="false" customHeight="false" outlineLevel="0" collapsed="false">
      <c r="A27" s="18" t="s">
        <v>194</v>
      </c>
      <c r="B27" s="49" t="n">
        <v>46235</v>
      </c>
      <c r="C27" s="18" t="s">
        <v>113</v>
      </c>
      <c r="D27" s="64" t="n">
        <v>5120</v>
      </c>
      <c r="E27" s="64" t="n">
        <v>5427.2</v>
      </c>
      <c r="F27" s="64" t="n">
        <v>153312.9598</v>
      </c>
      <c r="G27" s="64" t="n">
        <v>3434496</v>
      </c>
      <c r="H27" s="54" t="n">
        <v>0.0446391434883721</v>
      </c>
      <c r="I27" s="54" t="n">
        <v>0</v>
      </c>
      <c r="J27" s="54" t="n">
        <v>0</v>
      </c>
      <c r="K27" s="54" t="n">
        <v>0.9688</v>
      </c>
      <c r="L27" s="54" t="n">
        <v>1</v>
      </c>
      <c r="M27" s="52" t="n">
        <f aca="false">F27/D27</f>
        <v>29.9439374609375</v>
      </c>
      <c r="N27" s="18"/>
    </row>
    <row r="28" customFormat="false" ht="15" hidden="false" customHeight="false" outlineLevel="0" collapsed="false">
      <c r="A28" s="18" t="s">
        <v>194</v>
      </c>
      <c r="B28" s="49" t="n">
        <v>46235</v>
      </c>
      <c r="C28" s="18" t="s">
        <v>119</v>
      </c>
      <c r="D28" s="64" t="n">
        <v>4800</v>
      </c>
      <c r="E28" s="64" t="n">
        <v>5381.76</v>
      </c>
      <c r="F28" s="64" t="n">
        <v>317169.0583</v>
      </c>
      <c r="G28" s="64" t="n">
        <v>3369600</v>
      </c>
      <c r="H28" s="54" t="n">
        <v>0.0941266198762393</v>
      </c>
      <c r="I28" s="54" t="n">
        <v>0.136924723510524</v>
      </c>
      <c r="J28" s="54" t="n">
        <v>0.0287691758829825</v>
      </c>
      <c r="K28" s="54" t="n">
        <v>0.941099236532287</v>
      </c>
      <c r="L28" s="54" t="n">
        <v>1</v>
      </c>
      <c r="M28" s="52" t="n">
        <f aca="false">F28/D28</f>
        <v>66.0768871458333</v>
      </c>
      <c r="N28" s="20" t="s">
        <v>2140</v>
      </c>
    </row>
    <row r="29" customFormat="false" ht="15" hidden="false" customHeight="false" outlineLevel="0" collapsed="false">
      <c r="A29" s="18" t="s">
        <v>194</v>
      </c>
      <c r="B29" s="49" t="n">
        <v>46266</v>
      </c>
      <c r="C29" s="18" t="s">
        <v>99</v>
      </c>
      <c r="D29" s="64" t="n">
        <v>6080</v>
      </c>
      <c r="E29" s="64" t="n">
        <v>6389.472</v>
      </c>
      <c r="F29" s="64" t="n">
        <v>190854.374</v>
      </c>
      <c r="G29" s="64" t="n">
        <v>3888768</v>
      </c>
      <c r="H29" s="54" t="n">
        <v>0.0490783646585366</v>
      </c>
      <c r="I29" s="54" t="n">
        <v>0</v>
      </c>
      <c r="J29" s="54" t="n">
        <v>0</v>
      </c>
      <c r="K29" s="54" t="n">
        <v>0.96935683699686</v>
      </c>
      <c r="L29" s="54" t="n">
        <v>1</v>
      </c>
      <c r="M29" s="52" t="n">
        <f aca="false">F29/D29</f>
        <v>31.3905220394737</v>
      </c>
      <c r="N29" s="18"/>
    </row>
    <row r="30" customFormat="false" ht="15" hidden="false" customHeight="false" outlineLevel="0" collapsed="false">
      <c r="A30" s="18" t="s">
        <v>194</v>
      </c>
      <c r="B30" s="49" t="n">
        <v>46266</v>
      </c>
      <c r="C30" s="18" t="s">
        <v>113</v>
      </c>
      <c r="D30" s="64" t="n">
        <v>4960</v>
      </c>
      <c r="E30" s="64" t="n">
        <v>5257.6</v>
      </c>
      <c r="F30" s="64" t="n">
        <v>148521.9298</v>
      </c>
      <c r="G30" s="64" t="n">
        <v>3327168</v>
      </c>
      <c r="H30" s="54" t="n">
        <v>0.0446391434883721</v>
      </c>
      <c r="I30" s="54" t="n">
        <v>0</v>
      </c>
      <c r="J30" s="54" t="n">
        <v>0</v>
      </c>
      <c r="K30" s="54" t="n">
        <v>0.9688</v>
      </c>
      <c r="L30" s="54" t="n">
        <v>1</v>
      </c>
      <c r="M30" s="52" t="n">
        <f aca="false">F30/D30</f>
        <v>29.9439374596774</v>
      </c>
      <c r="N30" s="18"/>
    </row>
    <row r="31" customFormat="false" ht="15" hidden="false" customHeight="false" outlineLevel="0" collapsed="false">
      <c r="A31" s="18" t="s">
        <v>194</v>
      </c>
      <c r="B31" s="49" t="n">
        <v>46266</v>
      </c>
      <c r="C31" s="18" t="s">
        <v>119</v>
      </c>
      <c r="D31" s="64" t="n">
        <v>4960</v>
      </c>
      <c r="E31" s="64" t="n">
        <v>5561.152</v>
      </c>
      <c r="F31" s="64" t="n">
        <v>327741.3603</v>
      </c>
      <c r="G31" s="64" t="n">
        <v>3481920</v>
      </c>
      <c r="H31" s="54" t="n">
        <v>0.0941266198762393</v>
      </c>
      <c r="I31" s="54" t="n">
        <v>0.136924723510524</v>
      </c>
      <c r="J31" s="54" t="n">
        <v>0.0287691758829825</v>
      </c>
      <c r="K31" s="54" t="n">
        <v>0.941099236532287</v>
      </c>
      <c r="L31" s="54" t="n">
        <v>1</v>
      </c>
      <c r="M31" s="52" t="n">
        <f aca="false">F31/D31</f>
        <v>66.0768871572581</v>
      </c>
      <c r="N31" s="18"/>
    </row>
    <row r="32" customFormat="false" ht="15" hidden="false" customHeight="false" outlineLevel="0" collapsed="false">
      <c r="A32" s="18" t="s">
        <v>194</v>
      </c>
      <c r="B32" s="49" t="n">
        <v>46296</v>
      </c>
      <c r="C32" s="18" t="s">
        <v>99</v>
      </c>
      <c r="D32" s="64" t="n">
        <v>6480</v>
      </c>
      <c r="E32" s="64" t="n">
        <v>6809.832</v>
      </c>
      <c r="F32" s="64" t="n">
        <v>204528.4295</v>
      </c>
      <c r="G32" s="64" t="n">
        <v>4144608</v>
      </c>
      <c r="H32" s="54" t="n">
        <v>0.0493480757417073</v>
      </c>
      <c r="I32" s="54" t="n">
        <v>0</v>
      </c>
      <c r="J32" s="54" t="n">
        <v>0</v>
      </c>
      <c r="K32" s="54" t="n">
        <v>0.96935683699686</v>
      </c>
      <c r="L32" s="54" t="n">
        <v>1</v>
      </c>
      <c r="M32" s="52" t="n">
        <f aca="false">F32/D32</f>
        <v>31.5630292438272</v>
      </c>
      <c r="N32" s="18"/>
    </row>
    <row r="33" customFormat="false" ht="15" hidden="false" customHeight="false" outlineLevel="0" collapsed="false">
      <c r="A33" s="18" t="s">
        <v>194</v>
      </c>
      <c r="B33" s="49" t="n">
        <v>46296</v>
      </c>
      <c r="C33" s="18" t="s">
        <v>113</v>
      </c>
      <c r="D33" s="64" t="n">
        <v>5580</v>
      </c>
      <c r="E33" s="64" t="n">
        <v>5914.8</v>
      </c>
      <c r="F33" s="64" t="n">
        <v>168031.413</v>
      </c>
      <c r="G33" s="64" t="n">
        <v>3743064</v>
      </c>
      <c r="H33" s="54" t="n">
        <v>0.0448914079581395</v>
      </c>
      <c r="I33" s="54" t="n">
        <v>0</v>
      </c>
      <c r="J33" s="54" t="n">
        <v>0</v>
      </c>
      <c r="K33" s="54" t="n">
        <v>0.9688</v>
      </c>
      <c r="L33" s="54" t="n">
        <v>1</v>
      </c>
      <c r="M33" s="52" t="n">
        <f aca="false">F33/D33</f>
        <v>30.1131564516129</v>
      </c>
      <c r="N33" s="18"/>
    </row>
    <row r="34" customFormat="false" ht="15" hidden="false" customHeight="false" outlineLevel="0" collapsed="false">
      <c r="A34" s="18" t="s">
        <v>194</v>
      </c>
      <c r="B34" s="49" t="n">
        <v>46296</v>
      </c>
      <c r="C34" s="18" t="s">
        <v>119</v>
      </c>
      <c r="D34" s="64" t="n">
        <v>5940</v>
      </c>
      <c r="E34" s="64" t="n">
        <v>6659.928</v>
      </c>
      <c r="F34" s="64" t="n">
        <v>395427.9938</v>
      </c>
      <c r="G34" s="64" t="n">
        <v>4169880</v>
      </c>
      <c r="H34" s="54" t="n">
        <v>0.094829585934147</v>
      </c>
      <c r="I34" s="54" t="n">
        <v>0.136924723510524</v>
      </c>
      <c r="J34" s="54" t="n">
        <v>0.0287691758829825</v>
      </c>
      <c r="K34" s="54" t="n">
        <v>0.941099236532287</v>
      </c>
      <c r="L34" s="54" t="n">
        <v>1</v>
      </c>
      <c r="M34" s="52" t="n">
        <f aca="false">F34/D34</f>
        <v>66.5703693265993</v>
      </c>
      <c r="N34" s="18"/>
    </row>
    <row r="35" customFormat="false" ht="15" hidden="false" customHeight="false" outlineLevel="0" collapsed="false">
      <c r="A35" s="18" t="s">
        <v>194</v>
      </c>
      <c r="B35" s="49" t="n">
        <v>46327</v>
      </c>
      <c r="C35" s="18" t="s">
        <v>99</v>
      </c>
      <c r="D35" s="64" t="n">
        <v>7480</v>
      </c>
      <c r="E35" s="64" t="n">
        <v>7860.732</v>
      </c>
      <c r="F35" s="64" t="n">
        <v>236091.4587</v>
      </c>
      <c r="G35" s="64" t="n">
        <v>4927734.24</v>
      </c>
      <c r="H35" s="54" t="n">
        <v>0.0479107531472887</v>
      </c>
      <c r="I35" s="54" t="n">
        <v>0</v>
      </c>
      <c r="J35" s="54" t="n">
        <v>0</v>
      </c>
      <c r="K35" s="54" t="n">
        <v>0.96935683699686</v>
      </c>
      <c r="L35" s="54" t="n">
        <v>1</v>
      </c>
      <c r="M35" s="52" t="n">
        <f aca="false">F35/D35</f>
        <v>31.5630292379679</v>
      </c>
      <c r="N35" s="18"/>
    </row>
    <row r="36" customFormat="false" ht="15" hidden="false" customHeight="false" outlineLevel="0" collapsed="false">
      <c r="A36" s="18" t="s">
        <v>194</v>
      </c>
      <c r="B36" s="49" t="n">
        <v>46327</v>
      </c>
      <c r="C36" s="18" t="s">
        <v>113</v>
      </c>
      <c r="D36" s="64" t="n">
        <v>6600</v>
      </c>
      <c r="E36" s="64" t="n">
        <v>6996</v>
      </c>
      <c r="F36" s="64" t="n">
        <v>198746.8326</v>
      </c>
      <c r="G36" s="64" t="n">
        <v>4560098.4</v>
      </c>
      <c r="H36" s="54" t="n">
        <v>0.0435838912214947</v>
      </c>
      <c r="I36" s="54" t="n">
        <v>0</v>
      </c>
      <c r="J36" s="54" t="n">
        <v>0</v>
      </c>
      <c r="K36" s="54" t="n">
        <v>0.9688</v>
      </c>
      <c r="L36" s="54" t="n">
        <v>1</v>
      </c>
      <c r="M36" s="52" t="n">
        <f aca="false">F36/D36</f>
        <v>30.1131564545455</v>
      </c>
      <c r="N36" s="18"/>
    </row>
    <row r="37" customFormat="false" ht="15" hidden="false" customHeight="false" outlineLevel="0" collapsed="false">
      <c r="A37" s="18" t="s">
        <v>194</v>
      </c>
      <c r="B37" s="49" t="n">
        <v>46327</v>
      </c>
      <c r="C37" s="18" t="s">
        <v>119</v>
      </c>
      <c r="D37" s="64" t="n">
        <v>7920</v>
      </c>
      <c r="E37" s="64" t="n">
        <v>8879.904</v>
      </c>
      <c r="F37" s="64" t="n">
        <v>527237.3251</v>
      </c>
      <c r="G37" s="64" t="n">
        <v>5726635.2</v>
      </c>
      <c r="H37" s="54" t="n">
        <v>0.092067559159366</v>
      </c>
      <c r="I37" s="54" t="n">
        <v>0.136924723510524</v>
      </c>
      <c r="J37" s="54" t="n">
        <v>0.0287691758829825</v>
      </c>
      <c r="K37" s="54" t="n">
        <v>0.941099236532287</v>
      </c>
      <c r="L37" s="54" t="n">
        <v>1</v>
      </c>
      <c r="M37" s="52" t="n">
        <f aca="false">F37/D37</f>
        <v>66.5703693308081</v>
      </c>
      <c r="N37" s="18"/>
    </row>
    <row r="38" customFormat="false" ht="15" hidden="false" customHeight="false" outlineLevel="0" collapsed="false">
      <c r="A38" s="18" t="s">
        <v>194</v>
      </c>
      <c r="B38" s="49" t="n">
        <v>46357</v>
      </c>
      <c r="C38" s="18" t="s">
        <v>99</v>
      </c>
      <c r="D38" s="64" t="n">
        <v>8840</v>
      </c>
      <c r="E38" s="64" t="n">
        <v>9289.956</v>
      </c>
      <c r="F38" s="64" t="n">
        <v>279017.1785</v>
      </c>
      <c r="G38" s="64" t="n">
        <v>5823685.92</v>
      </c>
      <c r="H38" s="54" t="n">
        <v>0.0479107531472887</v>
      </c>
      <c r="I38" s="54" t="n">
        <v>0</v>
      </c>
      <c r="J38" s="54" t="n">
        <v>0</v>
      </c>
      <c r="K38" s="54" t="n">
        <v>0.96935683699686</v>
      </c>
      <c r="L38" s="54" t="n">
        <v>1</v>
      </c>
      <c r="M38" s="52" t="n">
        <f aca="false">F38/D38</f>
        <v>31.5630292420814</v>
      </c>
      <c r="N38" s="18"/>
    </row>
    <row r="39" customFormat="false" ht="15" hidden="false" customHeight="false" outlineLevel="0" collapsed="false">
      <c r="A39" s="18" t="s">
        <v>194</v>
      </c>
      <c r="B39" s="49" t="n">
        <v>46357</v>
      </c>
      <c r="C39" s="18" t="s">
        <v>113</v>
      </c>
      <c r="D39" s="64" t="n">
        <v>7540</v>
      </c>
      <c r="E39" s="64" t="n">
        <v>7992.4</v>
      </c>
      <c r="F39" s="64" t="n">
        <v>227053.1997</v>
      </c>
      <c r="G39" s="64" t="n">
        <v>5209566.96</v>
      </c>
      <c r="H39" s="54" t="n">
        <v>0.0435838912214947</v>
      </c>
      <c r="I39" s="54" t="n">
        <v>0</v>
      </c>
      <c r="J39" s="54" t="n">
        <v>0</v>
      </c>
      <c r="K39" s="54" t="n">
        <v>0.9688</v>
      </c>
      <c r="L39" s="54" t="n">
        <v>1</v>
      </c>
      <c r="M39" s="52" t="n">
        <f aca="false">F39/D39</f>
        <v>30.1131564588859</v>
      </c>
      <c r="N39" s="18"/>
    </row>
    <row r="40" customFormat="false" ht="15" hidden="false" customHeight="false" outlineLevel="0" collapsed="false">
      <c r="A40" s="18" t="s">
        <v>194</v>
      </c>
      <c r="B40" s="49" t="n">
        <v>46357</v>
      </c>
      <c r="C40" s="18" t="s">
        <v>119</v>
      </c>
      <c r="D40" s="64" t="n">
        <v>9620</v>
      </c>
      <c r="E40" s="64" t="n">
        <v>10785.944</v>
      </c>
      <c r="F40" s="64" t="n">
        <v>640406.9529</v>
      </c>
      <c r="G40" s="64" t="n">
        <v>6955837.2</v>
      </c>
      <c r="H40" s="54" t="n">
        <v>0.092067559159366</v>
      </c>
      <c r="I40" s="54" t="n">
        <v>0.136924723510524</v>
      </c>
      <c r="J40" s="54" t="n">
        <v>0.0287691758829825</v>
      </c>
      <c r="K40" s="54" t="n">
        <v>0.941099236532287</v>
      </c>
      <c r="L40" s="54" t="n">
        <v>1</v>
      </c>
      <c r="M40" s="52" t="n">
        <f aca="false">F40/D40</f>
        <v>66.5703693243243</v>
      </c>
      <c r="N40" s="18"/>
    </row>
    <row r="41" customFormat="false" ht="15" hidden="false" customHeight="false" outlineLevel="0" collapsed="false">
      <c r="A41" s="18" t="s">
        <v>201</v>
      </c>
      <c r="B41" s="49" t="n">
        <v>46023</v>
      </c>
      <c r="C41" s="18" t="s">
        <v>99</v>
      </c>
      <c r="D41" s="64" t="n">
        <v>5830.85</v>
      </c>
      <c r="E41" s="64" t="n">
        <v>6127.640265</v>
      </c>
      <c r="F41" s="64" t="n">
        <v>183473.451</v>
      </c>
      <c r="G41" s="64" t="n">
        <v>3765213.079</v>
      </c>
      <c r="H41" s="54" t="n">
        <v>0.0487285705202573</v>
      </c>
      <c r="I41" s="54" t="n">
        <v>0</v>
      </c>
      <c r="J41" s="54" t="n">
        <v>0</v>
      </c>
      <c r="K41" s="54" t="n">
        <v>0.97035683699686</v>
      </c>
      <c r="L41" s="54" t="n">
        <v>1</v>
      </c>
      <c r="M41" s="52" t="n">
        <f aca="false">F41/D41</f>
        <v>31.4659871202312</v>
      </c>
      <c r="N41" s="18"/>
    </row>
    <row r="42" customFormat="false" ht="15" hidden="false" customHeight="false" outlineLevel="0" collapsed="false">
      <c r="A42" s="18" t="s">
        <v>201</v>
      </c>
      <c r="B42" s="49" t="n">
        <v>46023</v>
      </c>
      <c r="C42" s="18" t="s">
        <v>113</v>
      </c>
      <c r="D42" s="64" t="n">
        <v>4418.15</v>
      </c>
      <c r="E42" s="64" t="n">
        <v>4683.239</v>
      </c>
      <c r="F42" s="64" t="n">
        <v>132624.0686</v>
      </c>
      <c r="G42" s="64" t="n">
        <v>2973282.4055</v>
      </c>
      <c r="H42" s="54" t="n">
        <v>0.0446052713677731</v>
      </c>
      <c r="I42" s="54" t="n">
        <v>0</v>
      </c>
      <c r="J42" s="54" t="n">
        <v>0</v>
      </c>
      <c r="K42" s="54" t="n">
        <v>0.9698</v>
      </c>
      <c r="L42" s="54" t="n">
        <v>1</v>
      </c>
      <c r="M42" s="52" t="n">
        <f aca="false">F42/D42</f>
        <v>30.0180094836074</v>
      </c>
      <c r="N42" s="18"/>
    </row>
    <row r="43" customFormat="false" ht="15" hidden="false" customHeight="false" outlineLevel="0" collapsed="false">
      <c r="A43" s="18" t="s">
        <v>201</v>
      </c>
      <c r="B43" s="49" t="n">
        <v>46023</v>
      </c>
      <c r="C43" s="18" t="s">
        <v>119</v>
      </c>
      <c r="D43" s="64" t="n">
        <v>3601</v>
      </c>
      <c r="E43" s="64" t="n">
        <v>4037.4412</v>
      </c>
      <c r="F43" s="64" t="n">
        <v>242686.6949</v>
      </c>
      <c r="G43" s="64" t="n">
        <v>2509356.85</v>
      </c>
      <c r="H43" s="54" t="n">
        <v>0.096712707458171</v>
      </c>
      <c r="I43" s="54" t="n">
        <v>0.165693899393507</v>
      </c>
      <c r="J43" s="54" t="n">
        <v>0.03835890117731</v>
      </c>
      <c r="K43" s="54" t="n">
        <v>0.943499336425259</v>
      </c>
      <c r="L43" s="54" t="n">
        <v>1</v>
      </c>
      <c r="M43" s="52" t="n">
        <f aca="false">F43/D43</f>
        <v>67.3942501805054</v>
      </c>
      <c r="N43" s="18"/>
    </row>
    <row r="44" customFormat="false" ht="15" hidden="false" customHeight="false" outlineLevel="0" collapsed="false">
      <c r="A44" s="18" t="s">
        <v>201</v>
      </c>
      <c r="B44" s="49" t="n">
        <v>46054</v>
      </c>
      <c r="C44" s="18" t="s">
        <v>99</v>
      </c>
      <c r="D44" s="64" t="n">
        <v>5663.52</v>
      </c>
      <c r="E44" s="64" t="n">
        <v>5957.744961168</v>
      </c>
      <c r="F44" s="64" t="n">
        <v>178232.8737</v>
      </c>
      <c r="G44" s="64" t="n">
        <v>3647759.9616</v>
      </c>
      <c r="H44" s="54" t="n">
        <v>0.0488609106951839</v>
      </c>
      <c r="I44" s="54" t="n">
        <v>0</v>
      </c>
      <c r="J44" s="54" t="n">
        <v>0</v>
      </c>
      <c r="K44" s="54" t="n">
        <v>0.97035683699686</v>
      </c>
      <c r="L44" s="54" t="n">
        <v>1</v>
      </c>
      <c r="M44" s="52" t="n">
        <f aca="false">F44/D44</f>
        <v>31.4703353568099</v>
      </c>
      <c r="N44" s="18"/>
    </row>
    <row r="45" customFormat="false" ht="15" hidden="false" customHeight="false" outlineLevel="0" collapsed="false">
      <c r="A45" s="18" t="s">
        <v>201</v>
      </c>
      <c r="B45" s="49" t="n">
        <v>46054</v>
      </c>
      <c r="C45" s="18" t="s">
        <v>113</v>
      </c>
      <c r="D45" s="64" t="n">
        <v>4418.64</v>
      </c>
      <c r="E45" s="64" t="n">
        <v>4688.4421584</v>
      </c>
      <c r="F45" s="64" t="n">
        <v>132655.7804</v>
      </c>
      <c r="G45" s="64" t="n">
        <v>2965967.9136</v>
      </c>
      <c r="H45" s="54" t="n">
        <v>0.0447259661237544</v>
      </c>
      <c r="I45" s="54" t="n">
        <v>0</v>
      </c>
      <c r="J45" s="54" t="n">
        <v>0</v>
      </c>
      <c r="K45" s="54" t="n">
        <v>0.9698</v>
      </c>
      <c r="L45" s="54" t="n">
        <v>1</v>
      </c>
      <c r="M45" s="52" t="n">
        <f aca="false">F45/D45</f>
        <v>30.0218574946137</v>
      </c>
      <c r="N45" s="18"/>
    </row>
    <row r="46" customFormat="false" ht="15" hidden="false" customHeight="false" outlineLevel="0" collapsed="false">
      <c r="A46" s="18" t="s">
        <v>201</v>
      </c>
      <c r="B46" s="49" t="n">
        <v>46054</v>
      </c>
      <c r="C46" s="18" t="s">
        <v>119</v>
      </c>
      <c r="D46" s="64" t="n">
        <v>3597.84</v>
      </c>
      <c r="E46" s="64" t="n">
        <v>4037.932106208</v>
      </c>
      <c r="F46" s="64" t="n">
        <v>242414.0398</v>
      </c>
      <c r="G46" s="64" t="n">
        <v>2498843.7936</v>
      </c>
      <c r="H46" s="54" t="n">
        <v>0.0970104815829209</v>
      </c>
      <c r="I46" s="54" t="n">
        <v>0.165693899393507</v>
      </c>
      <c r="J46" s="54" t="n">
        <v>0.03835890117731</v>
      </c>
      <c r="K46" s="54" t="n">
        <v>0.943499336425259</v>
      </c>
      <c r="L46" s="54" t="n">
        <v>1</v>
      </c>
      <c r="M46" s="52" t="n">
        <f aca="false">F46/D46</f>
        <v>67.377659873702</v>
      </c>
      <c r="N46" s="18"/>
    </row>
    <row r="47" customFormat="false" ht="15" hidden="false" customHeight="false" outlineLevel="0" collapsed="false">
      <c r="A47" s="18" t="s">
        <v>201</v>
      </c>
      <c r="B47" s="49" t="n">
        <v>46082</v>
      </c>
      <c r="C47" s="18" t="s">
        <v>99</v>
      </c>
      <c r="D47" s="64" t="n">
        <v>6074.1</v>
      </c>
      <c r="E47" s="64" t="n">
        <v>6396.03823338</v>
      </c>
      <c r="F47" s="64" t="n">
        <v>193154.2739</v>
      </c>
      <c r="G47" s="64" t="n">
        <v>3942455.346</v>
      </c>
      <c r="H47" s="54" t="n">
        <v>0.0489933954753347</v>
      </c>
      <c r="I47" s="54" t="n">
        <v>0</v>
      </c>
      <c r="J47" s="54" t="n">
        <v>0</v>
      </c>
      <c r="K47" s="54" t="n">
        <v>0.97035683699686</v>
      </c>
      <c r="L47" s="54" t="n">
        <v>1</v>
      </c>
      <c r="M47" s="52" t="n">
        <f aca="false">F47/D47</f>
        <v>31.7996532655044</v>
      </c>
      <c r="N47" s="18"/>
    </row>
    <row r="48" customFormat="false" ht="15" hidden="false" customHeight="false" outlineLevel="0" collapsed="false">
      <c r="A48" s="18" t="s">
        <v>201</v>
      </c>
      <c r="B48" s="49" t="n">
        <v>46082</v>
      </c>
      <c r="C48" s="18" t="s">
        <v>113</v>
      </c>
      <c r="D48" s="64" t="n">
        <v>4880.7</v>
      </c>
      <c r="E48" s="64" t="n">
        <v>5183.889084</v>
      </c>
      <c r="F48" s="64" t="n">
        <v>148059.5185</v>
      </c>
      <c r="G48" s="64" t="n">
        <v>3301451.901</v>
      </c>
      <c r="H48" s="54" t="n">
        <v>0.0448467895157494</v>
      </c>
      <c r="I48" s="54" t="n">
        <v>0</v>
      </c>
      <c r="J48" s="54" t="n">
        <v>0</v>
      </c>
      <c r="K48" s="54" t="n">
        <v>0.9698</v>
      </c>
      <c r="L48" s="54" t="n">
        <v>1</v>
      </c>
      <c r="M48" s="52" t="n">
        <f aca="false">F48/D48</f>
        <v>30.3357138320323</v>
      </c>
      <c r="N48" s="18"/>
    </row>
    <row r="49" customFormat="false" ht="15" hidden="false" customHeight="false" outlineLevel="0" collapsed="false">
      <c r="A49" s="18" t="s">
        <v>201</v>
      </c>
      <c r="B49" s="49" t="n">
        <v>46082</v>
      </c>
      <c r="C49" s="18" t="s">
        <v>119</v>
      </c>
      <c r="D49" s="64" t="n">
        <v>4345.2</v>
      </c>
      <c r="E49" s="64" t="n">
        <v>4881.58191648</v>
      </c>
      <c r="F49" s="64" t="n">
        <v>295644.8828</v>
      </c>
      <c r="G49" s="64" t="n">
        <v>3037990.032</v>
      </c>
      <c r="H49" s="54" t="n">
        <v>0.0973159489415789</v>
      </c>
      <c r="I49" s="54" t="n">
        <v>0.165693899393507</v>
      </c>
      <c r="J49" s="54" t="n">
        <v>0.03835890117731</v>
      </c>
      <c r="K49" s="54" t="n">
        <v>0.943499336425259</v>
      </c>
      <c r="L49" s="54" t="n">
        <v>1</v>
      </c>
      <c r="M49" s="52" t="n">
        <f aca="false">F49/D49</f>
        <v>68.0394188529872</v>
      </c>
      <c r="N49" s="18"/>
    </row>
    <row r="50" customFormat="false" ht="15" hidden="false" customHeight="false" outlineLevel="0" collapsed="false">
      <c r="A50" s="18" t="s">
        <v>201</v>
      </c>
      <c r="B50" s="49" t="n">
        <v>46113</v>
      </c>
      <c r="C50" s="18" t="s">
        <v>99</v>
      </c>
      <c r="D50" s="64" t="n">
        <v>6288.4</v>
      </c>
      <c r="E50" s="64" t="n">
        <v>6628.30499868</v>
      </c>
      <c r="F50" s="64" t="n">
        <v>201023.087</v>
      </c>
      <c r="G50" s="64" t="n">
        <v>4091987.648</v>
      </c>
      <c r="H50" s="54" t="n">
        <v>0.0491260248896599</v>
      </c>
      <c r="I50" s="54" t="n">
        <v>0</v>
      </c>
      <c r="J50" s="54" t="n">
        <v>0</v>
      </c>
      <c r="K50" s="54" t="n">
        <v>0.97035683699686</v>
      </c>
      <c r="L50" s="54" t="n">
        <v>1</v>
      </c>
      <c r="M50" s="52" t="n">
        <f aca="false">F50/D50</f>
        <v>31.9672869092297</v>
      </c>
      <c r="N50" s="18"/>
    </row>
    <row r="51" customFormat="false" ht="15" hidden="false" customHeight="false" outlineLevel="0" collapsed="false">
      <c r="A51" s="18" t="s">
        <v>201</v>
      </c>
      <c r="B51" s="49" t="n">
        <v>46113</v>
      </c>
      <c r="C51" s="18" t="s">
        <v>113</v>
      </c>
      <c r="D51" s="64" t="n">
        <v>5071.8</v>
      </c>
      <c r="E51" s="64" t="n">
        <v>5392.236324</v>
      </c>
      <c r="F51" s="64" t="n">
        <v>154666.1823</v>
      </c>
      <c r="G51" s="64" t="n">
        <v>3439491.888</v>
      </c>
      <c r="H51" s="54" t="n">
        <v>0.0449677415586178</v>
      </c>
      <c r="I51" s="54" t="n">
        <v>0</v>
      </c>
      <c r="J51" s="54" t="n">
        <v>0</v>
      </c>
      <c r="K51" s="54" t="n">
        <v>0.9698</v>
      </c>
      <c r="L51" s="54" t="n">
        <v>1</v>
      </c>
      <c r="M51" s="52" t="n">
        <f aca="false">F51/D51</f>
        <v>30.4953236129185</v>
      </c>
      <c r="N51" s="18"/>
    </row>
    <row r="52" customFormat="false" ht="15" hidden="false" customHeight="false" outlineLevel="0" collapsed="false">
      <c r="A52" s="18" t="s">
        <v>201</v>
      </c>
      <c r="B52" s="49" t="n">
        <v>46113</v>
      </c>
      <c r="C52" s="18" t="s">
        <v>119</v>
      </c>
      <c r="D52" s="64" t="n">
        <v>4439.8</v>
      </c>
      <c r="E52" s="64" t="n">
        <v>4992.83747128</v>
      </c>
      <c r="F52" s="64" t="n">
        <v>303906.5635</v>
      </c>
      <c r="G52" s="64" t="n">
        <v>3114386.506</v>
      </c>
      <c r="H52" s="54" t="n">
        <v>0.0975815181792696</v>
      </c>
      <c r="I52" s="54" t="n">
        <v>0.165693899393507</v>
      </c>
      <c r="J52" s="54" t="n">
        <v>0.03835890117731</v>
      </c>
      <c r="K52" s="54" t="n">
        <v>0.943499336425259</v>
      </c>
      <c r="L52" s="54" t="n">
        <v>1</v>
      </c>
      <c r="M52" s="52" t="n">
        <f aca="false">F52/D52</f>
        <v>68.4505075679085</v>
      </c>
      <c r="N52" s="18"/>
    </row>
    <row r="53" customFormat="false" ht="15" hidden="false" customHeight="false" outlineLevel="0" collapsed="false">
      <c r="A53" s="18" t="s">
        <v>201</v>
      </c>
      <c r="B53" s="49" t="n">
        <v>46143</v>
      </c>
      <c r="C53" s="18" t="s">
        <v>99</v>
      </c>
      <c r="D53" s="64" t="n">
        <v>6407.6</v>
      </c>
      <c r="E53" s="64" t="n">
        <v>6760.68182736</v>
      </c>
      <c r="F53" s="64" t="n">
        <v>206173.1167</v>
      </c>
      <c r="G53" s="64" t="n">
        <v>4185508.396</v>
      </c>
      <c r="H53" s="54" t="n">
        <v>0.0492587989671098</v>
      </c>
      <c r="I53" s="54" t="n">
        <v>0</v>
      </c>
      <c r="J53" s="54" t="n">
        <v>0</v>
      </c>
      <c r="K53" s="54" t="n">
        <v>0.97035683699686</v>
      </c>
      <c r="L53" s="54" t="n">
        <v>1</v>
      </c>
      <c r="M53" s="52" t="n">
        <f aca="false">F53/D53</f>
        <v>32.1763400805294</v>
      </c>
      <c r="N53" s="18"/>
    </row>
    <row r="54" customFormat="false" ht="15" hidden="false" customHeight="false" outlineLevel="0" collapsed="false">
      <c r="A54" s="18" t="s">
        <v>201</v>
      </c>
      <c r="B54" s="49" t="n">
        <v>46143</v>
      </c>
      <c r="C54" s="18" t="s">
        <v>113</v>
      </c>
      <c r="D54" s="64" t="n">
        <v>5295.4</v>
      </c>
      <c r="E54" s="64" t="n">
        <v>5635.576496</v>
      </c>
      <c r="F54" s="64" t="n">
        <v>162539.3439</v>
      </c>
      <c r="G54" s="64" t="n">
        <v>3604870.027</v>
      </c>
      <c r="H54" s="54" t="n">
        <v>0.0450888222672193</v>
      </c>
      <c r="I54" s="54" t="n">
        <v>0</v>
      </c>
      <c r="J54" s="54" t="n">
        <v>0</v>
      </c>
      <c r="K54" s="54" t="n">
        <v>0.9698</v>
      </c>
      <c r="L54" s="54" t="n">
        <v>1</v>
      </c>
      <c r="M54" s="52" t="n">
        <f aca="false">F54/D54</f>
        <v>30.6944411942441</v>
      </c>
      <c r="N54" s="18"/>
    </row>
    <row r="55" customFormat="false" ht="15" hidden="false" customHeight="false" outlineLevel="0" collapsed="false">
      <c r="A55" s="18" t="s">
        <v>201</v>
      </c>
      <c r="B55" s="49" t="n">
        <v>46143</v>
      </c>
      <c r="C55" s="18" t="s">
        <v>119</v>
      </c>
      <c r="D55" s="64" t="n">
        <v>4897</v>
      </c>
      <c r="E55" s="64" t="n">
        <v>5512.4784656</v>
      </c>
      <c r="F55" s="64" t="n">
        <v>337035.2215</v>
      </c>
      <c r="G55" s="64" t="n">
        <v>3442639.97</v>
      </c>
      <c r="H55" s="54" t="n">
        <v>0.0979002232081939</v>
      </c>
      <c r="I55" s="54" t="n">
        <v>0.165693899393507</v>
      </c>
      <c r="J55" s="54" t="n">
        <v>0.03835890117731</v>
      </c>
      <c r="K55" s="54" t="n">
        <v>0.943499336425259</v>
      </c>
      <c r="L55" s="54" t="n">
        <v>1</v>
      </c>
      <c r="M55" s="52" t="n">
        <f aca="false">F55/D55</f>
        <v>68.824835919951</v>
      </c>
      <c r="N55" s="18"/>
    </row>
    <row r="56" customFormat="false" ht="15" hidden="false" customHeight="false" outlineLevel="0" collapsed="false">
      <c r="A56" s="18" t="s">
        <v>201</v>
      </c>
      <c r="B56" s="49" t="n">
        <v>46174</v>
      </c>
      <c r="C56" s="18" t="s">
        <v>99</v>
      </c>
      <c r="D56" s="64" t="n">
        <v>6570.4</v>
      </c>
      <c r="E56" s="64" t="n">
        <v>6939.3575268</v>
      </c>
      <c r="F56" s="64" t="n">
        <v>212520.6011</v>
      </c>
      <c r="G56" s="64" t="n">
        <v>4302757.848</v>
      </c>
      <c r="H56" s="54" t="n">
        <v>0.0493917177366346</v>
      </c>
      <c r="I56" s="54" t="n">
        <v>0</v>
      </c>
      <c r="J56" s="54" t="n">
        <v>0</v>
      </c>
      <c r="K56" s="54" t="n">
        <v>0.97035683699686</v>
      </c>
      <c r="L56" s="54" t="n">
        <v>1</v>
      </c>
      <c r="M56" s="52" t="n">
        <f aca="false">F56/D56</f>
        <v>32.3451541915256</v>
      </c>
      <c r="N56" s="18"/>
    </row>
    <row r="57" customFormat="false" ht="15" hidden="false" customHeight="false" outlineLevel="0" collapsed="false">
      <c r="A57" s="18" t="s">
        <v>201</v>
      </c>
      <c r="B57" s="49" t="n">
        <v>46174</v>
      </c>
      <c r="C57" s="18" t="s">
        <v>113</v>
      </c>
      <c r="D57" s="64" t="n">
        <v>5418</v>
      </c>
      <c r="E57" s="64" t="n">
        <v>5771.7954</v>
      </c>
      <c r="F57" s="64" t="n">
        <v>167173.3027</v>
      </c>
      <c r="G57" s="64" t="n">
        <v>3697703.73</v>
      </c>
      <c r="H57" s="54" t="n">
        <v>0.0452100316564137</v>
      </c>
      <c r="I57" s="54" t="n">
        <v>0</v>
      </c>
      <c r="J57" s="54" t="n">
        <v>0</v>
      </c>
      <c r="K57" s="54" t="n">
        <v>0.9698</v>
      </c>
      <c r="L57" s="54" t="n">
        <v>1</v>
      </c>
      <c r="M57" s="52" t="n">
        <f aca="false">F57/D57</f>
        <v>30.8551684569952</v>
      </c>
      <c r="N57" s="18"/>
    </row>
    <row r="58" customFormat="false" ht="15" hidden="false" customHeight="false" outlineLevel="0" collapsed="false">
      <c r="A58" s="18" t="s">
        <v>201</v>
      </c>
      <c r="B58" s="49" t="n">
        <v>46174</v>
      </c>
      <c r="C58" s="18" t="s">
        <v>119</v>
      </c>
      <c r="D58" s="64" t="n">
        <v>5211.6</v>
      </c>
      <c r="E58" s="64" t="n">
        <v>5872.4621496</v>
      </c>
      <c r="F58" s="64" t="n">
        <v>360845.0109</v>
      </c>
      <c r="G58" s="64" t="n">
        <v>3675845.712</v>
      </c>
      <c r="H58" s="54" t="n">
        <v>0.0981665279780102</v>
      </c>
      <c r="I58" s="54" t="n">
        <v>0.165693899393507</v>
      </c>
      <c r="J58" s="54" t="n">
        <v>0.03835890117731</v>
      </c>
      <c r="K58" s="54" t="n">
        <v>0.943499336425259</v>
      </c>
      <c r="L58" s="54" t="n">
        <v>1</v>
      </c>
      <c r="M58" s="52" t="n">
        <f aca="false">F58/D58</f>
        <v>69.2388155077136</v>
      </c>
      <c r="N58" s="18"/>
    </row>
    <row r="59" customFormat="false" ht="15" hidden="false" customHeight="false" outlineLevel="0" collapsed="false">
      <c r="A59" s="18" t="s">
        <v>201</v>
      </c>
      <c r="B59" s="49" t="n">
        <v>46204</v>
      </c>
      <c r="C59" s="18" t="s">
        <v>99</v>
      </c>
      <c r="D59" s="64" t="n">
        <v>6570</v>
      </c>
      <c r="E59" s="64" t="n">
        <v>6945.839478</v>
      </c>
      <c r="F59" s="64" t="n">
        <v>213620.2953</v>
      </c>
      <c r="G59" s="64" t="n">
        <v>4313402.1</v>
      </c>
      <c r="H59" s="54" t="n">
        <v>0.0495247812271847</v>
      </c>
      <c r="I59" s="54" t="n">
        <v>0</v>
      </c>
      <c r="J59" s="54" t="n">
        <v>0</v>
      </c>
      <c r="K59" s="54" t="n">
        <v>0.96635683699686</v>
      </c>
      <c r="L59" s="54" t="n">
        <v>0.995</v>
      </c>
      <c r="M59" s="52" t="n">
        <f aca="false">F59/D59</f>
        <v>32.5145046118722</v>
      </c>
      <c r="N59" s="18"/>
    </row>
    <row r="60" customFormat="false" ht="15" hidden="false" customHeight="false" outlineLevel="0" collapsed="false">
      <c r="A60" s="18" t="s">
        <v>201</v>
      </c>
      <c r="B60" s="49" t="n">
        <v>46204</v>
      </c>
      <c r="C60" s="18" t="s">
        <v>113</v>
      </c>
      <c r="D60" s="64" t="n">
        <v>5490</v>
      </c>
      <c r="E60" s="64" t="n">
        <v>5854.3164</v>
      </c>
      <c r="F60" s="64" t="n">
        <v>170280.0533</v>
      </c>
      <c r="G60" s="64" t="n">
        <v>3756340.35</v>
      </c>
      <c r="H60" s="54" t="n">
        <v>0.0453313697410606</v>
      </c>
      <c r="I60" s="54" t="n">
        <v>0</v>
      </c>
      <c r="J60" s="54" t="n">
        <v>0</v>
      </c>
      <c r="K60" s="54" t="n">
        <v>0.9658</v>
      </c>
      <c r="L60" s="54" t="n">
        <v>0.995</v>
      </c>
      <c r="M60" s="52" t="n">
        <f aca="false">F60/D60</f>
        <v>31.016403151184</v>
      </c>
      <c r="N60" s="18"/>
    </row>
    <row r="61" customFormat="false" ht="15" hidden="false" customHeight="false" outlineLevel="0" collapsed="false">
      <c r="A61" s="18" t="s">
        <v>201</v>
      </c>
      <c r="B61" s="49" t="n">
        <v>46204</v>
      </c>
      <c r="C61" s="18" t="s">
        <v>119</v>
      </c>
      <c r="D61" s="64" t="n">
        <v>5940</v>
      </c>
      <c r="E61" s="64" t="n">
        <v>6699.887568</v>
      </c>
      <c r="F61" s="64" t="n">
        <v>419629.6473</v>
      </c>
      <c r="G61" s="64" t="n">
        <v>4198748.4</v>
      </c>
      <c r="H61" s="54" t="n">
        <v>0.0999416033810992</v>
      </c>
      <c r="I61" s="54" t="n">
        <v>0.204052800570817</v>
      </c>
      <c r="J61" s="54" t="n">
        <v>0.057538351765965</v>
      </c>
      <c r="K61" s="54" t="n">
        <v>0.941647434891188</v>
      </c>
      <c r="L61" s="54" t="n">
        <v>0.995</v>
      </c>
      <c r="M61" s="52" t="n">
        <f aca="false">F61/D61</f>
        <v>70.6447217676768</v>
      </c>
      <c r="N61" s="18"/>
    </row>
    <row r="62" customFormat="false" ht="15" hidden="false" customHeight="false" outlineLevel="0" collapsed="false">
      <c r="A62" s="18" t="s">
        <v>201</v>
      </c>
      <c r="B62" s="49" t="n">
        <v>46235</v>
      </c>
      <c r="C62" s="18" t="s">
        <v>99</v>
      </c>
      <c r="D62" s="64" t="n">
        <v>6293</v>
      </c>
      <c r="E62" s="64" t="n">
        <v>6613.3137</v>
      </c>
      <c r="F62" s="64" t="n">
        <v>213842.6625</v>
      </c>
      <c r="G62" s="64" t="n">
        <v>4152436.05</v>
      </c>
      <c r="H62" s="54" t="n">
        <v>0.0514981230104897</v>
      </c>
      <c r="I62" s="54" t="n">
        <v>0</v>
      </c>
      <c r="J62" s="54" t="n">
        <v>0</v>
      </c>
      <c r="K62" s="54" t="n">
        <v>0.96635683699686</v>
      </c>
      <c r="L62" s="54" t="n">
        <v>0.92</v>
      </c>
      <c r="M62" s="52" t="n">
        <f aca="false">F62/D62</f>
        <v>33.9810364690926</v>
      </c>
      <c r="N62" s="18"/>
    </row>
    <row r="63" customFormat="false" ht="15" hidden="false" customHeight="false" outlineLevel="0" collapsed="false">
      <c r="A63" s="18" t="s">
        <v>201</v>
      </c>
      <c r="B63" s="49" t="n">
        <v>46235</v>
      </c>
      <c r="C63" s="18" t="s">
        <v>113</v>
      </c>
      <c r="D63" s="64" t="n">
        <v>5075</v>
      </c>
      <c r="E63" s="64" t="n">
        <v>5379.5</v>
      </c>
      <c r="F63" s="64" t="n">
        <v>157401.0536</v>
      </c>
      <c r="G63" s="64" t="n">
        <v>3489950.625</v>
      </c>
      <c r="H63" s="54" t="n">
        <v>0.0451012264836143</v>
      </c>
      <c r="I63" s="54" t="n">
        <v>0</v>
      </c>
      <c r="J63" s="54" t="n">
        <v>0</v>
      </c>
      <c r="K63" s="54" t="n">
        <v>0.9658</v>
      </c>
      <c r="L63" s="54" t="n">
        <v>0.92</v>
      </c>
      <c r="M63" s="52" t="n">
        <f aca="false">F63/D63</f>
        <v>31.0149859310345</v>
      </c>
      <c r="N63" s="18"/>
    </row>
    <row r="64" customFormat="false" ht="15" hidden="false" customHeight="false" outlineLevel="0" collapsed="false">
      <c r="A64" s="18" t="s">
        <v>201</v>
      </c>
      <c r="B64" s="49" t="n">
        <v>46235</v>
      </c>
      <c r="C64" s="18" t="s">
        <v>119</v>
      </c>
      <c r="D64" s="64" t="n">
        <v>8932</v>
      </c>
      <c r="E64" s="64" t="n">
        <v>10886.3216</v>
      </c>
      <c r="F64" s="64" t="n">
        <v>891643.2815</v>
      </c>
      <c r="G64" s="64" t="n">
        <v>5929418.88</v>
      </c>
      <c r="H64" s="54" t="n">
        <v>0.150376166625843</v>
      </c>
      <c r="I64" s="54" t="n">
        <v>0.660165736790286</v>
      </c>
      <c r="J64" s="54" t="n">
        <v>0.388382015096817</v>
      </c>
      <c r="K64" s="54" t="n">
        <v>0.961620825402035</v>
      </c>
      <c r="L64" s="54" t="n">
        <v>0.92</v>
      </c>
      <c r="M64" s="52" t="n">
        <f aca="false">F64/D64</f>
        <v>99.8257144536498</v>
      </c>
      <c r="N64" s="20" t="s">
        <v>2140</v>
      </c>
    </row>
    <row r="65" customFormat="false" ht="15" hidden="false" customHeight="false" outlineLevel="0" collapsed="false">
      <c r="A65" s="18" t="s">
        <v>204</v>
      </c>
      <c r="B65" s="49" t="n">
        <v>46266</v>
      </c>
      <c r="C65" s="18" t="s">
        <v>99</v>
      </c>
      <c r="D65" s="64" t="n">
        <v>6192</v>
      </c>
      <c r="E65" s="64" t="n">
        <v>6507.1728</v>
      </c>
      <c r="F65" s="64" t="n">
        <v>211813.5682</v>
      </c>
      <c r="G65" s="64" t="n">
        <v>4070373.12</v>
      </c>
      <c r="H65" s="54" t="n">
        <v>0.0520378751320362</v>
      </c>
      <c r="I65" s="54" t="n">
        <v>0</v>
      </c>
      <c r="J65" s="54" t="n">
        <v>0</v>
      </c>
      <c r="K65" s="54" t="n">
        <v>0.96935683699686</v>
      </c>
      <c r="L65" s="54"/>
      <c r="M65" s="52" t="n">
        <f aca="false">F65/D65</f>
        <v>34.2076176033592</v>
      </c>
      <c r="N65" s="18"/>
    </row>
    <row r="66" customFormat="false" ht="15" hidden="false" customHeight="false" outlineLevel="0" collapsed="false">
      <c r="A66" s="18" t="s">
        <v>204</v>
      </c>
      <c r="B66" s="49" t="n">
        <v>46266</v>
      </c>
      <c r="C66" s="18" t="s">
        <v>113</v>
      </c>
      <c r="D66" s="64" t="n">
        <v>5160</v>
      </c>
      <c r="E66" s="64" t="n">
        <v>5469.6</v>
      </c>
      <c r="F66" s="64" t="n">
        <v>162457.7703</v>
      </c>
      <c r="G66" s="64" t="n">
        <v>3555446.4</v>
      </c>
      <c r="H66" s="54" t="n">
        <v>0.0456926506676897</v>
      </c>
      <c r="I66" s="54" t="n">
        <v>0</v>
      </c>
      <c r="J66" s="54" t="n">
        <v>0</v>
      </c>
      <c r="K66" s="54" t="n">
        <v>0.9688</v>
      </c>
      <c r="L66" s="54"/>
      <c r="M66" s="52" t="n">
        <f aca="false">F66/D66</f>
        <v>31.4840640116279</v>
      </c>
      <c r="N66" s="18"/>
    </row>
    <row r="67" customFormat="false" ht="15" hidden="false" customHeight="false" outlineLevel="0" collapsed="false">
      <c r="A67" s="18" t="s">
        <v>204</v>
      </c>
      <c r="B67" s="49" t="n">
        <v>46266</v>
      </c>
      <c r="C67" s="18" t="s">
        <v>119</v>
      </c>
      <c r="D67" s="64" t="n">
        <v>5848</v>
      </c>
      <c r="E67" s="64" t="n">
        <v>6954.4416</v>
      </c>
      <c r="F67" s="64" t="n">
        <v>525337.69</v>
      </c>
      <c r="G67" s="64" t="n">
        <v>4066699.2</v>
      </c>
      <c r="H67" s="54" t="n">
        <v>0.129180365744674</v>
      </c>
      <c r="I67" s="54" t="n">
        <v>0.548496468213925</v>
      </c>
      <c r="J67" s="54" t="n">
        <v>0.268980827447023</v>
      </c>
      <c r="K67" s="54" t="n">
        <v>0.96104770938446</v>
      </c>
      <c r="L67" s="54"/>
      <c r="M67" s="52" t="n">
        <f aca="false">F67/D67</f>
        <v>89.8320263337893</v>
      </c>
      <c r="N67" s="18"/>
    </row>
    <row r="68" customFormat="false" ht="15" hidden="false" customHeight="false" outlineLevel="0" collapsed="false">
      <c r="A68" s="18" t="s">
        <v>204</v>
      </c>
      <c r="B68" s="49" t="n">
        <v>46296</v>
      </c>
      <c r="C68" s="18" t="s">
        <v>99</v>
      </c>
      <c r="D68" s="64" t="n">
        <v>6630</v>
      </c>
      <c r="E68" s="64" t="n">
        <v>6967.467</v>
      </c>
      <c r="F68" s="64" t="n">
        <v>226498.422</v>
      </c>
      <c r="G68" s="64" t="n">
        <v>4347291</v>
      </c>
      <c r="H68" s="54" t="n">
        <v>0.0521010491298715</v>
      </c>
      <c r="I68" s="54" t="n">
        <v>0</v>
      </c>
      <c r="J68" s="54" t="n">
        <v>0</v>
      </c>
      <c r="K68" s="54" t="n">
        <v>0.96935683699686</v>
      </c>
      <c r="L68" s="54"/>
      <c r="M68" s="52" t="n">
        <f aca="false">F68/D68</f>
        <v>34.162657918552</v>
      </c>
      <c r="N68" s="18"/>
    </row>
    <row r="69" customFormat="false" ht="15" hidden="false" customHeight="false" outlineLevel="0" collapsed="false">
      <c r="A69" s="18" t="s">
        <v>204</v>
      </c>
      <c r="B69" s="49" t="n">
        <v>46296</v>
      </c>
      <c r="C69" s="18" t="s">
        <v>113</v>
      </c>
      <c r="D69" s="64" t="n">
        <v>5850</v>
      </c>
      <c r="E69" s="64" t="n">
        <v>6201</v>
      </c>
      <c r="F69" s="64" t="n">
        <v>184755.2756</v>
      </c>
      <c r="G69" s="64" t="n">
        <v>4020705</v>
      </c>
      <c r="H69" s="54" t="n">
        <v>0.0459509652069528</v>
      </c>
      <c r="I69" s="54" t="n">
        <v>0</v>
      </c>
      <c r="J69" s="54" t="n">
        <v>0</v>
      </c>
      <c r="K69" s="54" t="n">
        <v>0.9688</v>
      </c>
      <c r="L69" s="54"/>
      <c r="M69" s="52" t="n">
        <f aca="false">F69/D69</f>
        <v>31.5820983931624</v>
      </c>
      <c r="N69" s="18"/>
    </row>
    <row r="70" customFormat="false" ht="15" hidden="false" customHeight="false" outlineLevel="0" collapsed="false">
      <c r="A70" s="18" t="s">
        <v>204</v>
      </c>
      <c r="B70" s="49" t="n">
        <v>46296</v>
      </c>
      <c r="C70" s="18" t="s">
        <v>119</v>
      </c>
      <c r="D70" s="64" t="n">
        <v>7020</v>
      </c>
      <c r="E70" s="64" t="n">
        <v>8213.4</v>
      </c>
      <c r="F70" s="64" t="n">
        <v>600242.7287</v>
      </c>
      <c r="G70" s="64" t="n">
        <v>4855032</v>
      </c>
      <c r="H70" s="54" t="n">
        <v>0.12363311481559</v>
      </c>
      <c r="I70" s="54" t="n">
        <v>0.4624</v>
      </c>
      <c r="J70" s="54" t="n">
        <v>0.192</v>
      </c>
      <c r="K70" s="54" t="n">
        <v>0.9567536</v>
      </c>
      <c r="L70" s="54"/>
      <c r="M70" s="52" t="n">
        <f aca="false">F70/D70</f>
        <v>85.5046622079772</v>
      </c>
      <c r="N70" s="18"/>
    </row>
    <row r="71" customFormat="false" ht="15" hidden="false" customHeight="false" outlineLevel="0" collapsed="false">
      <c r="A71" s="18" t="s">
        <v>204</v>
      </c>
      <c r="B71" s="49" t="n">
        <v>46327</v>
      </c>
      <c r="C71" s="18" t="s">
        <v>99</v>
      </c>
      <c r="D71" s="64" t="n">
        <v>7936</v>
      </c>
      <c r="E71" s="64" t="n">
        <v>8339.9424</v>
      </c>
      <c r="F71" s="64" t="n">
        <v>264995.4887</v>
      </c>
      <c r="G71" s="64" t="n">
        <v>5190461.44</v>
      </c>
      <c r="H71" s="54" t="n">
        <v>0.0510543218034322</v>
      </c>
      <c r="I71" s="54" t="n">
        <v>0</v>
      </c>
      <c r="J71" s="54" t="n">
        <v>0</v>
      </c>
      <c r="K71" s="54" t="n">
        <v>0.96935683699686</v>
      </c>
      <c r="L71" s="54"/>
      <c r="M71" s="52" t="n">
        <f aca="false">F71/D71</f>
        <v>33.3915686365927</v>
      </c>
      <c r="N71" s="18"/>
    </row>
    <row r="72" customFormat="false" ht="15" hidden="false" customHeight="false" outlineLevel="0" collapsed="false">
      <c r="A72" s="18" t="s">
        <v>204</v>
      </c>
      <c r="B72" s="49" t="n">
        <v>46327</v>
      </c>
      <c r="C72" s="18" t="s">
        <v>113</v>
      </c>
      <c r="D72" s="64" t="n">
        <v>7192</v>
      </c>
      <c r="E72" s="64" t="n">
        <v>7623.52</v>
      </c>
      <c r="F72" s="64" t="n">
        <v>226563.4175</v>
      </c>
      <c r="G72" s="64" t="n">
        <v>4930547.52</v>
      </c>
      <c r="H72" s="54" t="n">
        <v>0.0459509652069528</v>
      </c>
      <c r="I72" s="54" t="n">
        <v>0</v>
      </c>
      <c r="J72" s="54" t="n">
        <v>0</v>
      </c>
      <c r="K72" s="54" t="n">
        <v>0.9688</v>
      </c>
      <c r="L72" s="54"/>
      <c r="M72" s="52" t="n">
        <f aca="false">F72/D72</f>
        <v>31.5021437013348</v>
      </c>
      <c r="N72" s="18"/>
    </row>
    <row r="73" customFormat="false" ht="15" hidden="false" customHeight="false" outlineLevel="0" collapsed="false">
      <c r="A73" s="18" t="s">
        <v>204</v>
      </c>
      <c r="B73" s="49" t="n">
        <v>46327</v>
      </c>
      <c r="C73" s="18" t="s">
        <v>119</v>
      </c>
      <c r="D73" s="64" t="n">
        <v>9672</v>
      </c>
      <c r="E73" s="64" t="n">
        <v>11316.24</v>
      </c>
      <c r="F73" s="64" t="n">
        <v>788585.4725</v>
      </c>
      <c r="G73" s="64" t="n">
        <v>6652401.6</v>
      </c>
      <c r="H73" s="54" t="n">
        <v>0.118541471166836</v>
      </c>
      <c r="I73" s="54" t="n">
        <v>0.376</v>
      </c>
      <c r="J73" s="54" t="n">
        <v>0.1248</v>
      </c>
      <c r="K73" s="54" t="n">
        <v>0.9525872</v>
      </c>
      <c r="L73" s="54"/>
      <c r="M73" s="52" t="n">
        <f aca="false">F73/D73</f>
        <v>81.5328238730356</v>
      </c>
      <c r="N73" s="18"/>
    </row>
    <row r="74" customFormat="false" ht="15" hidden="false" customHeight="false" outlineLevel="0" collapsed="false">
      <c r="A74" s="18" t="s">
        <v>204</v>
      </c>
      <c r="B74" s="49" t="n">
        <v>46357</v>
      </c>
      <c r="C74" s="18" t="s">
        <v>99</v>
      </c>
      <c r="D74" s="64" t="n">
        <v>9152</v>
      </c>
      <c r="E74" s="64" t="n">
        <v>9617.8368</v>
      </c>
      <c r="F74" s="64" t="n">
        <v>304347.88</v>
      </c>
      <c r="G74" s="64" t="n">
        <v>5970581.76</v>
      </c>
      <c r="H74" s="54" t="n">
        <v>0.0509745770497097</v>
      </c>
      <c r="I74" s="54" t="n">
        <v>0</v>
      </c>
      <c r="J74" s="54" t="n">
        <v>0</v>
      </c>
      <c r="K74" s="54" t="n">
        <v>0.96935683699686</v>
      </c>
      <c r="L74" s="54"/>
      <c r="M74" s="52" t="n">
        <f aca="false">F74/D74</f>
        <v>33.2547945804196</v>
      </c>
      <c r="N74" s="18"/>
    </row>
    <row r="75" customFormat="false" ht="15" hidden="false" customHeight="false" outlineLevel="0" collapsed="false">
      <c r="A75" s="18" t="s">
        <v>204</v>
      </c>
      <c r="B75" s="49" t="n">
        <v>46357</v>
      </c>
      <c r="C75" s="18" t="s">
        <v>113</v>
      </c>
      <c r="D75" s="64" t="n">
        <v>8008</v>
      </c>
      <c r="E75" s="64" t="n">
        <v>8488.48</v>
      </c>
      <c r="F75" s="64" t="n">
        <v>251628.8897</v>
      </c>
      <c r="G75" s="64" t="n">
        <v>5476030.56</v>
      </c>
      <c r="H75" s="54" t="n">
        <v>0.0459509652069528</v>
      </c>
      <c r="I75" s="54" t="n">
        <v>0</v>
      </c>
      <c r="J75" s="54" t="n">
        <v>0</v>
      </c>
      <c r="K75" s="54" t="n">
        <v>0.9688</v>
      </c>
      <c r="L75" s="54"/>
      <c r="M75" s="52" t="n">
        <f aca="false">F75/D75</f>
        <v>31.4221890234765</v>
      </c>
      <c r="N75" s="18"/>
    </row>
    <row r="76" customFormat="false" ht="15" hidden="false" customHeight="false" outlineLevel="0" collapsed="false">
      <c r="A76" s="18" t="s">
        <v>204</v>
      </c>
      <c r="B76" s="49" t="n">
        <v>46357</v>
      </c>
      <c r="C76" s="18" t="s">
        <v>119</v>
      </c>
      <c r="D76" s="64" t="n">
        <v>11440</v>
      </c>
      <c r="E76" s="64" t="n">
        <v>13384.8</v>
      </c>
      <c r="F76" s="64" t="n">
        <v>899660.0783</v>
      </c>
      <c r="G76" s="64" t="n">
        <v>7824960</v>
      </c>
      <c r="H76" s="54" t="n">
        <v>0.114973121688781</v>
      </c>
      <c r="I76" s="54" t="n">
        <v>0.2992</v>
      </c>
      <c r="J76" s="54" t="n">
        <v>0.0768</v>
      </c>
      <c r="K76" s="54" t="n">
        <v>0.94892</v>
      </c>
      <c r="L76" s="54"/>
      <c r="M76" s="52" t="n">
        <f aca="false">F76/D76</f>
        <v>78.641615236014</v>
      </c>
      <c r="N76" s="18"/>
    </row>
    <row r="77" customFormat="false" ht="15" hidden="false" customHeight="false" outlineLevel="0" collapsed="false">
      <c r="A77" s="18" t="s">
        <v>2130</v>
      </c>
      <c r="B77" s="49" t="n">
        <v>46266</v>
      </c>
      <c r="C77" s="18" t="s">
        <v>99</v>
      </c>
      <c r="D77" s="64" t="n">
        <v>6192</v>
      </c>
      <c r="E77" s="64" t="n">
        <v>6507.1728</v>
      </c>
      <c r="F77" s="64" t="n">
        <v>211813.5682</v>
      </c>
      <c r="G77" s="64" t="n">
        <v>4070373.12</v>
      </c>
      <c r="H77" s="54" t="n">
        <v>0.0520378751320362</v>
      </c>
      <c r="I77" s="54" t="n">
        <v>0</v>
      </c>
      <c r="J77" s="54" t="n">
        <v>0</v>
      </c>
      <c r="K77" s="54" t="n">
        <v>0.96935683699686</v>
      </c>
      <c r="L77" s="54"/>
      <c r="M77" s="52" t="n">
        <f aca="false">F77/D77</f>
        <v>34.2076176033592</v>
      </c>
      <c r="N77" s="18"/>
    </row>
    <row r="78" customFormat="false" ht="15" hidden="false" customHeight="false" outlineLevel="0" collapsed="false">
      <c r="A78" s="18" t="s">
        <v>2130</v>
      </c>
      <c r="B78" s="49" t="n">
        <v>46266</v>
      </c>
      <c r="C78" s="18" t="s">
        <v>113</v>
      </c>
      <c r="D78" s="64" t="n">
        <v>5160</v>
      </c>
      <c r="E78" s="64" t="n">
        <v>5469.6</v>
      </c>
      <c r="F78" s="64" t="n">
        <v>162457.7703</v>
      </c>
      <c r="G78" s="64" t="n">
        <v>3555446.4</v>
      </c>
      <c r="H78" s="54" t="n">
        <v>0.0456926506676897</v>
      </c>
      <c r="I78" s="54" t="n">
        <v>0</v>
      </c>
      <c r="J78" s="54" t="n">
        <v>0</v>
      </c>
      <c r="K78" s="54" t="n">
        <v>0.9688</v>
      </c>
      <c r="L78" s="54"/>
      <c r="M78" s="52" t="n">
        <f aca="false">F78/D78</f>
        <v>31.4840640116279</v>
      </c>
      <c r="N78" s="18"/>
    </row>
    <row r="79" customFormat="false" ht="15" hidden="false" customHeight="false" outlineLevel="0" collapsed="false">
      <c r="A79" s="18" t="s">
        <v>2130</v>
      </c>
      <c r="B79" s="49" t="n">
        <v>46266</v>
      </c>
      <c r="C79" s="18" t="s">
        <v>119</v>
      </c>
      <c r="D79" s="64" t="n">
        <v>5848</v>
      </c>
      <c r="E79" s="64" t="n">
        <v>6954.4416</v>
      </c>
      <c r="F79" s="64" t="n">
        <v>525337.69</v>
      </c>
      <c r="G79" s="64" t="n">
        <v>4066699.2</v>
      </c>
      <c r="H79" s="54" t="n">
        <v>0.129180365744674</v>
      </c>
      <c r="I79" s="54" t="n">
        <v>0.548496468213925</v>
      </c>
      <c r="J79" s="54" t="n">
        <v>0.268980827447023</v>
      </c>
      <c r="K79" s="54" t="n">
        <v>0.96104770938446</v>
      </c>
      <c r="L79" s="54"/>
      <c r="M79" s="52" t="n">
        <f aca="false">F79/D79</f>
        <v>89.8320263337893</v>
      </c>
      <c r="N79" s="18"/>
    </row>
    <row r="80" customFormat="false" ht="15" hidden="false" customHeight="false" outlineLevel="0" collapsed="false">
      <c r="A80" s="18" t="s">
        <v>2130</v>
      </c>
      <c r="B80" s="49" t="n">
        <v>46296</v>
      </c>
      <c r="C80" s="18" t="s">
        <v>99</v>
      </c>
      <c r="D80" s="64" t="n">
        <v>6630</v>
      </c>
      <c r="E80" s="64" t="n">
        <v>6967.467</v>
      </c>
      <c r="F80" s="64" t="n">
        <v>226498.422</v>
      </c>
      <c r="G80" s="64" t="n">
        <v>4347291</v>
      </c>
      <c r="H80" s="54" t="n">
        <v>0.0521010491298715</v>
      </c>
      <c r="I80" s="54" t="n">
        <v>0</v>
      </c>
      <c r="J80" s="54" t="n">
        <v>0</v>
      </c>
      <c r="K80" s="54" t="n">
        <v>0.96935683699686</v>
      </c>
      <c r="L80" s="54"/>
      <c r="M80" s="52" t="n">
        <f aca="false">F80/D80</f>
        <v>34.162657918552</v>
      </c>
      <c r="N80" s="18"/>
    </row>
    <row r="81" customFormat="false" ht="15" hidden="false" customHeight="false" outlineLevel="0" collapsed="false">
      <c r="A81" s="18" t="s">
        <v>2130</v>
      </c>
      <c r="B81" s="49" t="n">
        <v>46296</v>
      </c>
      <c r="C81" s="18" t="s">
        <v>113</v>
      </c>
      <c r="D81" s="64" t="n">
        <v>5850</v>
      </c>
      <c r="E81" s="64" t="n">
        <v>6201</v>
      </c>
      <c r="F81" s="64" t="n">
        <v>184755.2756</v>
      </c>
      <c r="G81" s="64" t="n">
        <v>4020705</v>
      </c>
      <c r="H81" s="54" t="n">
        <v>0.0459509652069528</v>
      </c>
      <c r="I81" s="54" t="n">
        <v>0</v>
      </c>
      <c r="J81" s="54" t="n">
        <v>0</v>
      </c>
      <c r="K81" s="54" t="n">
        <v>0.9688</v>
      </c>
      <c r="L81" s="54"/>
      <c r="M81" s="52" t="n">
        <f aca="false">F81/D81</f>
        <v>31.5820983931624</v>
      </c>
      <c r="N81" s="18"/>
    </row>
    <row r="82" customFormat="false" ht="15" hidden="false" customHeight="false" outlineLevel="0" collapsed="false">
      <c r="A82" s="18" t="s">
        <v>2130</v>
      </c>
      <c r="B82" s="49" t="n">
        <v>46296</v>
      </c>
      <c r="C82" s="18" t="s">
        <v>119</v>
      </c>
      <c r="D82" s="64" t="n">
        <v>7020</v>
      </c>
      <c r="E82" s="64" t="n">
        <v>8213.4</v>
      </c>
      <c r="F82" s="64" t="n">
        <v>600242.7287</v>
      </c>
      <c r="G82" s="64" t="n">
        <v>4855032</v>
      </c>
      <c r="H82" s="54" t="n">
        <v>0.12363311481559</v>
      </c>
      <c r="I82" s="54" t="n">
        <v>0.4624</v>
      </c>
      <c r="J82" s="54" t="n">
        <v>0.192</v>
      </c>
      <c r="K82" s="54" t="n">
        <v>0.9567536</v>
      </c>
      <c r="L82" s="54"/>
      <c r="M82" s="52" t="n">
        <f aca="false">F82/D82</f>
        <v>85.5046622079772</v>
      </c>
      <c r="N82" s="18"/>
    </row>
    <row r="83" customFormat="false" ht="15" hidden="false" customHeight="false" outlineLevel="0" collapsed="false">
      <c r="A83" s="18" t="s">
        <v>2130</v>
      </c>
      <c r="B83" s="49" t="n">
        <v>46327</v>
      </c>
      <c r="C83" s="18" t="s">
        <v>99</v>
      </c>
      <c r="D83" s="64" t="n">
        <v>7936</v>
      </c>
      <c r="E83" s="64" t="n">
        <v>8339.9424</v>
      </c>
      <c r="F83" s="64" t="n">
        <v>264995.4887</v>
      </c>
      <c r="G83" s="64" t="n">
        <v>5190461.44</v>
      </c>
      <c r="H83" s="54" t="n">
        <v>0.0510543218034322</v>
      </c>
      <c r="I83" s="54" t="n">
        <v>0</v>
      </c>
      <c r="J83" s="54" t="n">
        <v>0</v>
      </c>
      <c r="K83" s="54" t="n">
        <v>0.96935683699686</v>
      </c>
      <c r="L83" s="54"/>
      <c r="M83" s="52" t="n">
        <f aca="false">F83/D83</f>
        <v>33.3915686365927</v>
      </c>
      <c r="N83" s="18"/>
    </row>
    <row r="84" customFormat="false" ht="15" hidden="false" customHeight="false" outlineLevel="0" collapsed="false">
      <c r="A84" s="18" t="s">
        <v>2130</v>
      </c>
      <c r="B84" s="49" t="n">
        <v>46327</v>
      </c>
      <c r="C84" s="18" t="s">
        <v>113</v>
      </c>
      <c r="D84" s="64" t="n">
        <v>7192</v>
      </c>
      <c r="E84" s="64" t="n">
        <v>7623.52</v>
      </c>
      <c r="F84" s="64" t="n">
        <v>226563.4175</v>
      </c>
      <c r="G84" s="64" t="n">
        <v>4930547.52</v>
      </c>
      <c r="H84" s="54" t="n">
        <v>0.0459509652069528</v>
      </c>
      <c r="I84" s="54" t="n">
        <v>0</v>
      </c>
      <c r="J84" s="54" t="n">
        <v>0</v>
      </c>
      <c r="K84" s="54" t="n">
        <v>0.9688</v>
      </c>
      <c r="L84" s="54"/>
      <c r="M84" s="52" t="n">
        <f aca="false">F84/D84</f>
        <v>31.5021437013348</v>
      </c>
      <c r="N84" s="18"/>
    </row>
    <row r="85" customFormat="false" ht="15" hidden="false" customHeight="false" outlineLevel="0" collapsed="false">
      <c r="A85" s="18" t="s">
        <v>2130</v>
      </c>
      <c r="B85" s="49" t="n">
        <v>46327</v>
      </c>
      <c r="C85" s="18" t="s">
        <v>119</v>
      </c>
      <c r="D85" s="64" t="n">
        <v>9672</v>
      </c>
      <c r="E85" s="64" t="n">
        <v>11316.24</v>
      </c>
      <c r="F85" s="64" t="n">
        <v>788585.4725</v>
      </c>
      <c r="G85" s="64" t="n">
        <v>6652401.6</v>
      </c>
      <c r="H85" s="54" t="n">
        <v>0.118541471166836</v>
      </c>
      <c r="I85" s="54" t="n">
        <v>0.376</v>
      </c>
      <c r="J85" s="54" t="n">
        <v>0.1248</v>
      </c>
      <c r="K85" s="54" t="n">
        <v>0.9525872</v>
      </c>
      <c r="L85" s="54"/>
      <c r="M85" s="52" t="n">
        <f aca="false">F85/D85</f>
        <v>81.5328238730356</v>
      </c>
      <c r="N85" s="18"/>
    </row>
    <row r="86" customFormat="false" ht="15" hidden="false" customHeight="false" outlineLevel="0" collapsed="false">
      <c r="A86" s="18" t="s">
        <v>2130</v>
      </c>
      <c r="B86" s="49" t="n">
        <v>46357</v>
      </c>
      <c r="C86" s="18" t="s">
        <v>99</v>
      </c>
      <c r="D86" s="64" t="n">
        <v>9152</v>
      </c>
      <c r="E86" s="64" t="n">
        <v>9617.8368</v>
      </c>
      <c r="F86" s="64" t="n">
        <v>304347.88</v>
      </c>
      <c r="G86" s="64" t="n">
        <v>5970581.76</v>
      </c>
      <c r="H86" s="54" t="n">
        <v>0.0509745770497097</v>
      </c>
      <c r="I86" s="54" t="n">
        <v>0</v>
      </c>
      <c r="J86" s="54" t="n">
        <v>0</v>
      </c>
      <c r="K86" s="54" t="n">
        <v>0.96935683699686</v>
      </c>
      <c r="L86" s="54"/>
      <c r="M86" s="52" t="n">
        <f aca="false">F86/D86</f>
        <v>33.2547945804196</v>
      </c>
      <c r="N86" s="18"/>
    </row>
    <row r="87" customFormat="false" ht="15" hidden="false" customHeight="false" outlineLevel="0" collapsed="false">
      <c r="A87" s="18" t="s">
        <v>2130</v>
      </c>
      <c r="B87" s="49" t="n">
        <v>46357</v>
      </c>
      <c r="C87" s="18" t="s">
        <v>113</v>
      </c>
      <c r="D87" s="64" t="n">
        <v>8008</v>
      </c>
      <c r="E87" s="64" t="n">
        <v>8488.48</v>
      </c>
      <c r="F87" s="64" t="n">
        <v>251628.8897</v>
      </c>
      <c r="G87" s="64" t="n">
        <v>5476030.56</v>
      </c>
      <c r="H87" s="54" t="n">
        <v>0.0459509652069528</v>
      </c>
      <c r="I87" s="54" t="n">
        <v>0</v>
      </c>
      <c r="J87" s="54" t="n">
        <v>0</v>
      </c>
      <c r="K87" s="54" t="n">
        <v>0.9688</v>
      </c>
      <c r="L87" s="54"/>
      <c r="M87" s="52" t="n">
        <f aca="false">F87/D87</f>
        <v>31.4221890234765</v>
      </c>
      <c r="N87" s="18"/>
    </row>
    <row r="88" customFormat="false" ht="15" hidden="false" customHeight="false" outlineLevel="0" collapsed="false">
      <c r="A88" s="18" t="s">
        <v>2130</v>
      </c>
      <c r="B88" s="49" t="n">
        <v>46357</v>
      </c>
      <c r="C88" s="18" t="s">
        <v>119</v>
      </c>
      <c r="D88" s="64" t="n">
        <v>11440</v>
      </c>
      <c r="E88" s="64" t="n">
        <v>13384.8</v>
      </c>
      <c r="F88" s="64" t="n">
        <v>899660.0783</v>
      </c>
      <c r="G88" s="64" t="n">
        <v>7824960</v>
      </c>
      <c r="H88" s="54" t="n">
        <v>0.114973121688781</v>
      </c>
      <c r="I88" s="54" t="n">
        <v>0.2992</v>
      </c>
      <c r="J88" s="54" t="n">
        <v>0.0768</v>
      </c>
      <c r="K88" s="54" t="n">
        <v>0.94892</v>
      </c>
      <c r="L88" s="54"/>
      <c r="M88" s="52" t="n">
        <f aca="false">F88/D88</f>
        <v>78.641615236014</v>
      </c>
      <c r="N88" s="18"/>
    </row>
    <row r="89" customFormat="false" ht="15" hidden="false" customHeight="false" outlineLevel="0" collapsed="false">
      <c r="A89" s="18" t="s">
        <v>2131</v>
      </c>
      <c r="B89" s="49" t="n">
        <v>46266</v>
      </c>
      <c r="C89" s="18" t="s">
        <v>99</v>
      </c>
      <c r="D89" s="64" t="n">
        <v>6192</v>
      </c>
      <c r="E89" s="64" t="n">
        <v>6507.1728</v>
      </c>
      <c r="F89" s="64" t="n">
        <v>211813.5682</v>
      </c>
      <c r="G89" s="64" t="n">
        <v>4070373.12</v>
      </c>
      <c r="H89" s="54" t="n">
        <v>0.0520378751320362</v>
      </c>
      <c r="I89" s="54" t="n">
        <v>0</v>
      </c>
      <c r="J89" s="54" t="n">
        <v>0</v>
      </c>
      <c r="K89" s="54" t="n">
        <v>0.96935683699686</v>
      </c>
      <c r="L89" s="54"/>
      <c r="M89" s="52" t="n">
        <f aca="false">F89/D89</f>
        <v>34.2076176033592</v>
      </c>
      <c r="N89" s="18"/>
    </row>
    <row r="90" customFormat="false" ht="15" hidden="false" customHeight="false" outlineLevel="0" collapsed="false">
      <c r="A90" s="18" t="s">
        <v>2131</v>
      </c>
      <c r="B90" s="49" t="n">
        <v>46266</v>
      </c>
      <c r="C90" s="18" t="s">
        <v>113</v>
      </c>
      <c r="D90" s="64" t="n">
        <v>5160</v>
      </c>
      <c r="E90" s="64" t="n">
        <v>5469.6</v>
      </c>
      <c r="F90" s="64" t="n">
        <v>162457.7703</v>
      </c>
      <c r="G90" s="64" t="n">
        <v>3555446.4</v>
      </c>
      <c r="H90" s="54" t="n">
        <v>0.0456926506676897</v>
      </c>
      <c r="I90" s="54" t="n">
        <v>0</v>
      </c>
      <c r="J90" s="54" t="n">
        <v>0</v>
      </c>
      <c r="K90" s="54" t="n">
        <v>0.9688</v>
      </c>
      <c r="L90" s="54"/>
      <c r="M90" s="52" t="n">
        <f aca="false">F90/D90</f>
        <v>31.4840640116279</v>
      </c>
      <c r="N90" s="18"/>
    </row>
    <row r="91" customFormat="false" ht="15" hidden="false" customHeight="false" outlineLevel="0" collapsed="false">
      <c r="A91" s="18" t="s">
        <v>2131</v>
      </c>
      <c r="B91" s="49" t="n">
        <v>46266</v>
      </c>
      <c r="C91" s="18" t="s">
        <v>119</v>
      </c>
      <c r="D91" s="64" t="n">
        <v>6432.8</v>
      </c>
      <c r="E91" s="64" t="n">
        <v>7649.88576</v>
      </c>
      <c r="F91" s="64" t="n">
        <v>577871.459</v>
      </c>
      <c r="G91" s="64" t="n">
        <v>4473369.12</v>
      </c>
      <c r="H91" s="54" t="n">
        <v>0.129180365744674</v>
      </c>
      <c r="I91" s="54" t="n">
        <v>0.548496468213925</v>
      </c>
      <c r="J91" s="54" t="n">
        <v>0.268980827447023</v>
      </c>
      <c r="K91" s="54" t="n">
        <v>0.96104770938446</v>
      </c>
      <c r="L91" s="54"/>
      <c r="M91" s="52" t="n">
        <f aca="false">F91/D91</f>
        <v>89.8320263337893</v>
      </c>
      <c r="N91" s="18"/>
    </row>
    <row r="92" customFormat="false" ht="15" hidden="false" customHeight="false" outlineLevel="0" collapsed="false">
      <c r="A92" s="18" t="s">
        <v>2131</v>
      </c>
      <c r="B92" s="49" t="n">
        <v>46296</v>
      </c>
      <c r="C92" s="18" t="s">
        <v>99</v>
      </c>
      <c r="D92" s="64" t="n">
        <v>6630</v>
      </c>
      <c r="E92" s="64" t="n">
        <v>6967.467</v>
      </c>
      <c r="F92" s="64" t="n">
        <v>226498.422</v>
      </c>
      <c r="G92" s="64" t="n">
        <v>4347291</v>
      </c>
      <c r="H92" s="54" t="n">
        <v>0.0521010491298715</v>
      </c>
      <c r="I92" s="54" t="n">
        <v>0</v>
      </c>
      <c r="J92" s="54" t="n">
        <v>0</v>
      </c>
      <c r="K92" s="54" t="n">
        <v>0.96935683699686</v>
      </c>
      <c r="L92" s="54"/>
      <c r="M92" s="52" t="n">
        <f aca="false">F92/D92</f>
        <v>34.162657918552</v>
      </c>
      <c r="N92" s="18"/>
    </row>
    <row r="93" customFormat="false" ht="15" hidden="false" customHeight="false" outlineLevel="0" collapsed="false">
      <c r="A93" s="18" t="s">
        <v>2131</v>
      </c>
      <c r="B93" s="49" t="n">
        <v>46296</v>
      </c>
      <c r="C93" s="18" t="s">
        <v>113</v>
      </c>
      <c r="D93" s="64" t="n">
        <v>5850</v>
      </c>
      <c r="E93" s="64" t="n">
        <v>6201</v>
      </c>
      <c r="F93" s="64" t="n">
        <v>184755.2756</v>
      </c>
      <c r="G93" s="64" t="n">
        <v>4020705</v>
      </c>
      <c r="H93" s="54" t="n">
        <v>0.0459509652069528</v>
      </c>
      <c r="I93" s="54" t="n">
        <v>0</v>
      </c>
      <c r="J93" s="54" t="n">
        <v>0</v>
      </c>
      <c r="K93" s="54" t="n">
        <v>0.9688</v>
      </c>
      <c r="L93" s="54"/>
      <c r="M93" s="52" t="n">
        <f aca="false">F93/D93</f>
        <v>31.5820983931624</v>
      </c>
      <c r="N93" s="18"/>
    </row>
    <row r="94" customFormat="false" ht="15" hidden="false" customHeight="false" outlineLevel="0" collapsed="false">
      <c r="A94" s="18" t="s">
        <v>2131</v>
      </c>
      <c r="B94" s="49" t="n">
        <v>46296</v>
      </c>
      <c r="C94" s="18" t="s">
        <v>119</v>
      </c>
      <c r="D94" s="64" t="n">
        <v>7722</v>
      </c>
      <c r="E94" s="64" t="n">
        <v>9034.74</v>
      </c>
      <c r="F94" s="64" t="n">
        <v>660267.0016</v>
      </c>
      <c r="G94" s="64" t="n">
        <v>5340535.2</v>
      </c>
      <c r="H94" s="54" t="n">
        <v>0.12363311481559</v>
      </c>
      <c r="I94" s="54" t="n">
        <v>0.4624</v>
      </c>
      <c r="J94" s="54" t="n">
        <v>0.192</v>
      </c>
      <c r="K94" s="54" t="n">
        <v>0.9567536</v>
      </c>
      <c r="L94" s="54"/>
      <c r="M94" s="52" t="n">
        <f aca="false">F94/D94</f>
        <v>85.5046622118622</v>
      </c>
      <c r="N94" s="18"/>
    </row>
    <row r="95" customFormat="false" ht="15" hidden="false" customHeight="false" outlineLevel="0" collapsed="false">
      <c r="A95" s="18" t="s">
        <v>2131</v>
      </c>
      <c r="B95" s="49" t="n">
        <v>46327</v>
      </c>
      <c r="C95" s="18" t="s">
        <v>99</v>
      </c>
      <c r="D95" s="64" t="n">
        <v>7936</v>
      </c>
      <c r="E95" s="64" t="n">
        <v>8339.9424</v>
      </c>
      <c r="F95" s="64" t="n">
        <v>264995.4887</v>
      </c>
      <c r="G95" s="64" t="n">
        <v>5190461.44</v>
      </c>
      <c r="H95" s="54" t="n">
        <v>0.0510543218034322</v>
      </c>
      <c r="I95" s="54" t="n">
        <v>0</v>
      </c>
      <c r="J95" s="54" t="n">
        <v>0</v>
      </c>
      <c r="K95" s="54" t="n">
        <v>0.96935683699686</v>
      </c>
      <c r="L95" s="54"/>
      <c r="M95" s="52" t="n">
        <f aca="false">F95/D95</f>
        <v>33.3915686365927</v>
      </c>
      <c r="N95" s="18"/>
    </row>
    <row r="96" customFormat="false" ht="15" hidden="false" customHeight="false" outlineLevel="0" collapsed="false">
      <c r="A96" s="18" t="s">
        <v>2131</v>
      </c>
      <c r="B96" s="49" t="n">
        <v>46327</v>
      </c>
      <c r="C96" s="18" t="s">
        <v>113</v>
      </c>
      <c r="D96" s="64" t="n">
        <v>7192</v>
      </c>
      <c r="E96" s="64" t="n">
        <v>7623.52</v>
      </c>
      <c r="F96" s="64" t="n">
        <v>226563.4175</v>
      </c>
      <c r="G96" s="64" t="n">
        <v>4930547.52</v>
      </c>
      <c r="H96" s="54" t="n">
        <v>0.0459509652069528</v>
      </c>
      <c r="I96" s="54" t="n">
        <v>0</v>
      </c>
      <c r="J96" s="54" t="n">
        <v>0</v>
      </c>
      <c r="K96" s="54" t="n">
        <v>0.9688</v>
      </c>
      <c r="L96" s="54"/>
      <c r="M96" s="52" t="n">
        <f aca="false">F96/D96</f>
        <v>31.5021437013348</v>
      </c>
      <c r="N96" s="18"/>
    </row>
    <row r="97" customFormat="false" ht="15" hidden="false" customHeight="false" outlineLevel="0" collapsed="false">
      <c r="A97" s="18" t="s">
        <v>2131</v>
      </c>
      <c r="B97" s="49" t="n">
        <v>46327</v>
      </c>
      <c r="C97" s="18" t="s">
        <v>119</v>
      </c>
      <c r="D97" s="64" t="n">
        <v>10639.2</v>
      </c>
      <c r="E97" s="64" t="n">
        <v>12447.864</v>
      </c>
      <c r="F97" s="64" t="n">
        <v>867444.0197</v>
      </c>
      <c r="G97" s="64" t="n">
        <v>7317641.76</v>
      </c>
      <c r="H97" s="54" t="n">
        <v>0.118541471166836</v>
      </c>
      <c r="I97" s="54" t="n">
        <v>0.376</v>
      </c>
      <c r="J97" s="54" t="n">
        <v>0.1248</v>
      </c>
      <c r="K97" s="54" t="n">
        <v>0.9525872</v>
      </c>
      <c r="L97" s="54"/>
      <c r="M97" s="52" t="n">
        <f aca="false">F97/D97</f>
        <v>81.532823868336</v>
      </c>
      <c r="N97" s="18"/>
    </row>
    <row r="98" customFormat="false" ht="15" hidden="false" customHeight="false" outlineLevel="0" collapsed="false">
      <c r="A98" s="18" t="s">
        <v>2131</v>
      </c>
      <c r="B98" s="49" t="n">
        <v>46357</v>
      </c>
      <c r="C98" s="18" t="s">
        <v>99</v>
      </c>
      <c r="D98" s="64" t="n">
        <v>9152</v>
      </c>
      <c r="E98" s="64" t="n">
        <v>9617.8368</v>
      </c>
      <c r="F98" s="64" t="n">
        <v>304347.88</v>
      </c>
      <c r="G98" s="64" t="n">
        <v>5970581.76</v>
      </c>
      <c r="H98" s="54" t="n">
        <v>0.0509745770497097</v>
      </c>
      <c r="I98" s="54" t="n">
        <v>0</v>
      </c>
      <c r="J98" s="54" t="n">
        <v>0</v>
      </c>
      <c r="K98" s="54" t="n">
        <v>0.96935683699686</v>
      </c>
      <c r="L98" s="54"/>
      <c r="M98" s="52" t="n">
        <f aca="false">F98/D98</f>
        <v>33.2547945804196</v>
      </c>
      <c r="N98" s="18"/>
    </row>
    <row r="99" customFormat="false" ht="15" hidden="false" customHeight="false" outlineLevel="0" collapsed="false">
      <c r="A99" s="18" t="s">
        <v>2131</v>
      </c>
      <c r="B99" s="49" t="n">
        <v>46357</v>
      </c>
      <c r="C99" s="18" t="s">
        <v>113</v>
      </c>
      <c r="D99" s="64" t="n">
        <v>8008</v>
      </c>
      <c r="E99" s="64" t="n">
        <v>8488.48</v>
      </c>
      <c r="F99" s="64" t="n">
        <v>251628.8897</v>
      </c>
      <c r="G99" s="64" t="n">
        <v>5476030.56</v>
      </c>
      <c r="H99" s="54" t="n">
        <v>0.0459509652069528</v>
      </c>
      <c r="I99" s="54" t="n">
        <v>0</v>
      </c>
      <c r="J99" s="54" t="n">
        <v>0</v>
      </c>
      <c r="K99" s="54" t="n">
        <v>0.9688</v>
      </c>
      <c r="L99" s="54"/>
      <c r="M99" s="52" t="n">
        <f aca="false">F99/D99</f>
        <v>31.4221890234765</v>
      </c>
      <c r="N99" s="18"/>
    </row>
    <row r="100" customFormat="false" ht="15" hidden="false" customHeight="false" outlineLevel="0" collapsed="false">
      <c r="A100" s="18" t="s">
        <v>2131</v>
      </c>
      <c r="B100" s="49" t="n">
        <v>46357</v>
      </c>
      <c r="C100" s="18" t="s">
        <v>119</v>
      </c>
      <c r="D100" s="64" t="n">
        <v>12584</v>
      </c>
      <c r="E100" s="64" t="n">
        <v>14723.28</v>
      </c>
      <c r="F100" s="64" t="n">
        <v>989626.0861</v>
      </c>
      <c r="G100" s="64" t="n">
        <v>8607456</v>
      </c>
      <c r="H100" s="54" t="n">
        <v>0.114973121688781</v>
      </c>
      <c r="I100" s="54" t="n">
        <v>0.2992</v>
      </c>
      <c r="J100" s="54" t="n">
        <v>0.0768</v>
      </c>
      <c r="K100" s="54" t="n">
        <v>0.94892</v>
      </c>
      <c r="L100" s="54"/>
      <c r="M100" s="52" t="n">
        <f aca="false">F100/D100</f>
        <v>78.64161523363</v>
      </c>
      <c r="N100" s="18"/>
    </row>
    <row r="101" customFormat="false" ht="15" hidden="false" customHeight="false" outlineLevel="0" collapsed="false">
      <c r="A101" s="18" t="s">
        <v>2132</v>
      </c>
      <c r="B101" s="49" t="n">
        <v>46266</v>
      </c>
      <c r="C101" s="18" t="s">
        <v>99</v>
      </c>
      <c r="D101" s="64" t="n">
        <v>6192</v>
      </c>
      <c r="E101" s="64" t="n">
        <v>6507.1728</v>
      </c>
      <c r="F101" s="64" t="n">
        <v>211813.5682</v>
      </c>
      <c r="G101" s="64" t="n">
        <v>4070373.12</v>
      </c>
      <c r="H101" s="54" t="n">
        <v>0.0520378751320362</v>
      </c>
      <c r="I101" s="54" t="n">
        <v>0</v>
      </c>
      <c r="J101" s="54" t="n">
        <v>0</v>
      </c>
      <c r="K101" s="54" t="n">
        <v>0.96935683699686</v>
      </c>
      <c r="L101" s="54"/>
      <c r="M101" s="52" t="n">
        <f aca="false">F101/D101</f>
        <v>34.2076176033592</v>
      </c>
      <c r="N101" s="18"/>
    </row>
    <row r="102" customFormat="false" ht="15" hidden="false" customHeight="false" outlineLevel="0" collapsed="false">
      <c r="A102" s="18" t="s">
        <v>2132</v>
      </c>
      <c r="B102" s="49" t="n">
        <v>46266</v>
      </c>
      <c r="C102" s="18" t="s">
        <v>113</v>
      </c>
      <c r="D102" s="64" t="n">
        <v>5160</v>
      </c>
      <c r="E102" s="64" t="n">
        <v>5469.6</v>
      </c>
      <c r="F102" s="64" t="n">
        <v>162457.7703</v>
      </c>
      <c r="G102" s="64" t="n">
        <v>3555446.4</v>
      </c>
      <c r="H102" s="54" t="n">
        <v>0.0456926506676897</v>
      </c>
      <c r="I102" s="54" t="n">
        <v>0</v>
      </c>
      <c r="J102" s="54" t="n">
        <v>0</v>
      </c>
      <c r="K102" s="54" t="n">
        <v>0.9688</v>
      </c>
      <c r="L102" s="54"/>
      <c r="M102" s="52" t="n">
        <f aca="false">F102/D102</f>
        <v>31.4840640116279</v>
      </c>
      <c r="N102" s="18"/>
    </row>
    <row r="103" customFormat="false" ht="15" hidden="false" customHeight="false" outlineLevel="0" collapsed="false">
      <c r="A103" s="18" t="s">
        <v>2132</v>
      </c>
      <c r="B103" s="49" t="n">
        <v>46266</v>
      </c>
      <c r="C103" s="18" t="s">
        <v>119</v>
      </c>
      <c r="D103" s="64" t="n">
        <v>5848</v>
      </c>
      <c r="E103" s="64" t="n">
        <v>6954.4416</v>
      </c>
      <c r="F103" s="64" t="n">
        <v>525337.69</v>
      </c>
      <c r="G103" s="64" t="n">
        <v>4066699.2</v>
      </c>
      <c r="H103" s="54" t="n">
        <v>0.129180365744674</v>
      </c>
      <c r="I103" s="54" t="n">
        <v>0.548496468213925</v>
      </c>
      <c r="J103" s="54" t="n">
        <v>0.268980827447023</v>
      </c>
      <c r="K103" s="54" t="n">
        <v>0.96104770938446</v>
      </c>
      <c r="L103" s="54"/>
      <c r="M103" s="52" t="n">
        <f aca="false">F103/D103</f>
        <v>89.8320263337893</v>
      </c>
      <c r="N103" s="18"/>
    </row>
    <row r="104" customFormat="false" ht="15" hidden="false" customHeight="false" outlineLevel="0" collapsed="false">
      <c r="A104" s="18" t="s">
        <v>2132</v>
      </c>
      <c r="B104" s="49" t="n">
        <v>46296</v>
      </c>
      <c r="C104" s="18" t="s">
        <v>99</v>
      </c>
      <c r="D104" s="64" t="n">
        <v>6630</v>
      </c>
      <c r="E104" s="64" t="n">
        <v>6967.467</v>
      </c>
      <c r="F104" s="64" t="n">
        <v>226498.422</v>
      </c>
      <c r="G104" s="64" t="n">
        <v>4347291</v>
      </c>
      <c r="H104" s="54" t="n">
        <v>0.0521010491298715</v>
      </c>
      <c r="I104" s="54" t="n">
        <v>0</v>
      </c>
      <c r="J104" s="54" t="n">
        <v>0</v>
      </c>
      <c r="K104" s="54" t="n">
        <v>0.96935683699686</v>
      </c>
      <c r="L104" s="54"/>
      <c r="M104" s="52" t="n">
        <f aca="false">F104/D104</f>
        <v>34.162657918552</v>
      </c>
      <c r="N104" s="18"/>
    </row>
    <row r="105" customFormat="false" ht="15" hidden="false" customHeight="false" outlineLevel="0" collapsed="false">
      <c r="A105" s="18" t="s">
        <v>2132</v>
      </c>
      <c r="B105" s="49" t="n">
        <v>46296</v>
      </c>
      <c r="C105" s="18" t="s">
        <v>113</v>
      </c>
      <c r="D105" s="64" t="n">
        <v>5850</v>
      </c>
      <c r="E105" s="64" t="n">
        <v>6201</v>
      </c>
      <c r="F105" s="64" t="n">
        <v>184755.2756</v>
      </c>
      <c r="G105" s="64" t="n">
        <v>4020705</v>
      </c>
      <c r="H105" s="54" t="n">
        <v>0.0459509652069528</v>
      </c>
      <c r="I105" s="54" t="n">
        <v>0</v>
      </c>
      <c r="J105" s="54" t="n">
        <v>0</v>
      </c>
      <c r="K105" s="54" t="n">
        <v>0.9688</v>
      </c>
      <c r="L105" s="54"/>
      <c r="M105" s="52" t="n">
        <f aca="false">F105/D105</f>
        <v>31.5820983931624</v>
      </c>
      <c r="N105" s="18"/>
    </row>
    <row r="106" customFormat="false" ht="15" hidden="false" customHeight="false" outlineLevel="0" collapsed="false">
      <c r="A106" s="18" t="s">
        <v>2132</v>
      </c>
      <c r="B106" s="49" t="n">
        <v>46296</v>
      </c>
      <c r="C106" s="18" t="s">
        <v>119</v>
      </c>
      <c r="D106" s="64" t="n">
        <v>7020</v>
      </c>
      <c r="E106" s="64" t="n">
        <v>8078.616</v>
      </c>
      <c r="F106" s="64" t="n">
        <v>566345.3889</v>
      </c>
      <c r="G106" s="64" t="n">
        <v>4855032</v>
      </c>
      <c r="H106" s="54" t="n">
        <v>0.116651216482203</v>
      </c>
      <c r="I106" s="54" t="n">
        <v>0.347653806047967</v>
      </c>
      <c r="J106" s="54" t="n">
        <v>0.115119916579771</v>
      </c>
      <c r="K106" s="54" t="n">
        <v>0.951391240875912</v>
      </c>
      <c r="L106" s="54"/>
      <c r="M106" s="52" t="n">
        <f aca="false">F106/D106</f>
        <v>80.6759813247863</v>
      </c>
      <c r="N106" s="18"/>
    </row>
    <row r="107" customFormat="false" ht="15" hidden="false" customHeight="false" outlineLevel="0" collapsed="false">
      <c r="A107" s="18" t="s">
        <v>2132</v>
      </c>
      <c r="B107" s="49" t="n">
        <v>46327</v>
      </c>
      <c r="C107" s="18" t="s">
        <v>99</v>
      </c>
      <c r="D107" s="64" t="n">
        <v>7936</v>
      </c>
      <c r="E107" s="64" t="n">
        <v>8339.9424</v>
      </c>
      <c r="F107" s="64" t="n">
        <v>264995.4887</v>
      </c>
      <c r="G107" s="64" t="n">
        <v>5190461.44</v>
      </c>
      <c r="H107" s="54" t="n">
        <v>0.0510543218034322</v>
      </c>
      <c r="I107" s="54" t="n">
        <v>0</v>
      </c>
      <c r="J107" s="54" t="n">
        <v>0</v>
      </c>
      <c r="K107" s="54" t="n">
        <v>0.96935683699686</v>
      </c>
      <c r="L107" s="54"/>
      <c r="M107" s="52" t="n">
        <f aca="false">F107/D107</f>
        <v>33.3915686365927</v>
      </c>
      <c r="N107" s="18"/>
    </row>
    <row r="108" customFormat="false" ht="15" hidden="false" customHeight="false" outlineLevel="0" collapsed="false">
      <c r="A108" s="18" t="s">
        <v>2132</v>
      </c>
      <c r="B108" s="49" t="n">
        <v>46327</v>
      </c>
      <c r="C108" s="18" t="s">
        <v>113</v>
      </c>
      <c r="D108" s="64" t="n">
        <v>7192</v>
      </c>
      <c r="E108" s="64" t="n">
        <v>7623.52</v>
      </c>
      <c r="F108" s="64" t="n">
        <v>226563.4175</v>
      </c>
      <c r="G108" s="64" t="n">
        <v>4930547.52</v>
      </c>
      <c r="H108" s="54" t="n">
        <v>0.0459509652069528</v>
      </c>
      <c r="I108" s="54" t="n">
        <v>0</v>
      </c>
      <c r="J108" s="54" t="n">
        <v>0</v>
      </c>
      <c r="K108" s="54" t="n">
        <v>0.9688</v>
      </c>
      <c r="L108" s="54"/>
      <c r="M108" s="52" t="n">
        <f aca="false">F108/D108</f>
        <v>31.5021437013348</v>
      </c>
      <c r="N108" s="18"/>
    </row>
    <row r="109" customFormat="false" ht="15" hidden="false" customHeight="false" outlineLevel="0" collapsed="false">
      <c r="A109" s="18" t="s">
        <v>2132</v>
      </c>
      <c r="B109" s="49" t="n">
        <v>46327</v>
      </c>
      <c r="C109" s="18" t="s">
        <v>119</v>
      </c>
      <c r="D109" s="64" t="n">
        <v>9672</v>
      </c>
      <c r="E109" s="64" t="n">
        <v>10944.8352</v>
      </c>
      <c r="F109" s="64" t="n">
        <v>717747.7567</v>
      </c>
      <c r="G109" s="64" t="n">
        <v>6652401.6</v>
      </c>
      <c r="H109" s="54" t="n">
        <v>0.107893028687103</v>
      </c>
      <c r="I109" s="54" t="n">
        <v>0.204326617179215</v>
      </c>
      <c r="J109" s="54" t="n">
        <v>0.0383457051961824</v>
      </c>
      <c r="K109" s="54" t="n">
        <v>0.944771537645811</v>
      </c>
      <c r="L109" s="54"/>
      <c r="M109" s="52" t="n">
        <f aca="false">F109/D109</f>
        <v>74.2088251344086</v>
      </c>
      <c r="N109" s="18"/>
    </row>
    <row r="110" customFormat="false" ht="15" hidden="false" customHeight="false" outlineLevel="0" collapsed="false">
      <c r="A110" s="18" t="s">
        <v>2132</v>
      </c>
      <c r="B110" s="49" t="n">
        <v>46357</v>
      </c>
      <c r="C110" s="18" t="s">
        <v>99</v>
      </c>
      <c r="D110" s="64" t="n">
        <v>9152</v>
      </c>
      <c r="E110" s="64" t="n">
        <v>9617.8368</v>
      </c>
      <c r="F110" s="64" t="n">
        <v>304347.88</v>
      </c>
      <c r="G110" s="64" t="n">
        <v>5970581.76</v>
      </c>
      <c r="H110" s="54" t="n">
        <v>0.0509745770497097</v>
      </c>
      <c r="I110" s="54" t="n">
        <v>0</v>
      </c>
      <c r="J110" s="54" t="n">
        <v>0</v>
      </c>
      <c r="K110" s="54" t="n">
        <v>0.96935683699686</v>
      </c>
      <c r="L110" s="54"/>
      <c r="M110" s="52" t="n">
        <f aca="false">F110/D110</f>
        <v>33.2547945804196</v>
      </c>
      <c r="N110" s="18"/>
    </row>
    <row r="111" customFormat="false" ht="15" hidden="false" customHeight="false" outlineLevel="0" collapsed="false">
      <c r="A111" s="18" t="s">
        <v>2132</v>
      </c>
      <c r="B111" s="49" t="n">
        <v>46357</v>
      </c>
      <c r="C111" s="18" t="s">
        <v>113</v>
      </c>
      <c r="D111" s="64" t="n">
        <v>8008</v>
      </c>
      <c r="E111" s="64" t="n">
        <v>8488.48</v>
      </c>
      <c r="F111" s="64" t="n">
        <v>251628.8897</v>
      </c>
      <c r="G111" s="64" t="n">
        <v>5476030.56</v>
      </c>
      <c r="H111" s="54" t="n">
        <v>0.0459509652069528</v>
      </c>
      <c r="I111" s="54" t="n">
        <v>0</v>
      </c>
      <c r="J111" s="54" t="n">
        <v>0</v>
      </c>
      <c r="K111" s="54" t="n">
        <v>0.9688</v>
      </c>
      <c r="L111" s="54"/>
      <c r="M111" s="52" t="n">
        <f aca="false">F111/D111</f>
        <v>31.4221890234765</v>
      </c>
      <c r="N111" s="18"/>
    </row>
    <row r="112" customFormat="false" ht="15" hidden="false" customHeight="false" outlineLevel="0" collapsed="false">
      <c r="A112" s="18" t="s">
        <v>2132</v>
      </c>
      <c r="B112" s="49" t="n">
        <v>46357</v>
      </c>
      <c r="C112" s="18" t="s">
        <v>119</v>
      </c>
      <c r="D112" s="64" t="n">
        <v>11440</v>
      </c>
      <c r="E112" s="64" t="n">
        <v>12945.504</v>
      </c>
      <c r="F112" s="64" t="n">
        <v>836040.7093</v>
      </c>
      <c r="G112" s="64" t="n">
        <v>7824960</v>
      </c>
      <c r="H112" s="54" t="n">
        <v>0.106842809324971</v>
      </c>
      <c r="I112" s="54" t="n">
        <v>0.175567338282078</v>
      </c>
      <c r="J112" s="54" t="n">
        <v>0.0383457051961824</v>
      </c>
      <c r="K112" s="54" t="n">
        <v>0.943506129374337</v>
      </c>
      <c r="L112" s="54"/>
      <c r="M112" s="52" t="n">
        <f aca="false">F112/D112</f>
        <v>73.0804815821678</v>
      </c>
      <c r="N112" s="18"/>
    </row>
    <row r="113" customFormat="false" ht="15" hidden="false" customHeight="false" outlineLevel="0" collapsed="false">
      <c r="A113" s="18" t="s">
        <v>2133</v>
      </c>
      <c r="B113" s="49" t="n">
        <v>46023</v>
      </c>
      <c r="C113" s="18" t="s">
        <v>99</v>
      </c>
      <c r="D113" s="64" t="n">
        <v>5830.85</v>
      </c>
      <c r="E113" s="64" t="n">
        <v>6127.640265</v>
      </c>
      <c r="F113" s="64" t="n">
        <v>183473.451</v>
      </c>
      <c r="G113" s="64" t="n">
        <v>3765213.079</v>
      </c>
      <c r="H113" s="54" t="n">
        <v>0.0487285705202573</v>
      </c>
      <c r="I113" s="54" t="n">
        <v>0</v>
      </c>
      <c r="J113" s="54" t="n">
        <v>0</v>
      </c>
      <c r="K113" s="54" t="n">
        <v>0.97035683699686</v>
      </c>
      <c r="L113" s="54" t="n">
        <v>1</v>
      </c>
      <c r="M113" s="52" t="n">
        <f aca="false">F113/D113</f>
        <v>31.4659871202312</v>
      </c>
      <c r="N113" s="18"/>
    </row>
    <row r="114" customFormat="false" ht="15" hidden="false" customHeight="false" outlineLevel="0" collapsed="false">
      <c r="A114" s="18" t="s">
        <v>2133</v>
      </c>
      <c r="B114" s="49" t="n">
        <v>46023</v>
      </c>
      <c r="C114" s="18" t="s">
        <v>113</v>
      </c>
      <c r="D114" s="64" t="n">
        <v>4418.15</v>
      </c>
      <c r="E114" s="64" t="n">
        <v>4683.239</v>
      </c>
      <c r="F114" s="64" t="n">
        <v>132624.0686</v>
      </c>
      <c r="G114" s="64" t="n">
        <v>2973282.4055</v>
      </c>
      <c r="H114" s="54" t="n">
        <v>0.0446052713677731</v>
      </c>
      <c r="I114" s="54" t="n">
        <v>0</v>
      </c>
      <c r="J114" s="54" t="n">
        <v>0</v>
      </c>
      <c r="K114" s="54" t="n">
        <v>0.9698</v>
      </c>
      <c r="L114" s="54" t="n">
        <v>1</v>
      </c>
      <c r="M114" s="52" t="n">
        <f aca="false">F114/D114</f>
        <v>30.0180094836074</v>
      </c>
      <c r="N114" s="18"/>
    </row>
    <row r="115" customFormat="false" ht="15" hidden="false" customHeight="false" outlineLevel="0" collapsed="false">
      <c r="A115" s="18" t="s">
        <v>2133</v>
      </c>
      <c r="B115" s="49" t="n">
        <v>46023</v>
      </c>
      <c r="C115" s="18" t="s">
        <v>119</v>
      </c>
      <c r="D115" s="64" t="n">
        <v>3601</v>
      </c>
      <c r="E115" s="64" t="n">
        <v>4037.4412</v>
      </c>
      <c r="F115" s="64" t="n">
        <v>242686.6949</v>
      </c>
      <c r="G115" s="64" t="n">
        <v>2509356.85</v>
      </c>
      <c r="H115" s="54" t="n">
        <v>0.096712707458171</v>
      </c>
      <c r="I115" s="54" t="n">
        <v>0.165693899393507</v>
      </c>
      <c r="J115" s="54" t="n">
        <v>0.03835890117731</v>
      </c>
      <c r="K115" s="54" t="n">
        <v>0.943499336425259</v>
      </c>
      <c r="L115" s="54" t="n">
        <v>1</v>
      </c>
      <c r="M115" s="52" t="n">
        <f aca="false">F115/D115</f>
        <v>67.3942501805054</v>
      </c>
      <c r="N115" s="18"/>
    </row>
    <row r="116" customFormat="false" ht="15" hidden="false" customHeight="false" outlineLevel="0" collapsed="false">
      <c r="A116" s="18" t="s">
        <v>2133</v>
      </c>
      <c r="B116" s="49" t="n">
        <v>46054</v>
      </c>
      <c r="C116" s="18" t="s">
        <v>99</v>
      </c>
      <c r="D116" s="64" t="n">
        <v>5663.52</v>
      </c>
      <c r="E116" s="64" t="n">
        <v>5957.744961168</v>
      </c>
      <c r="F116" s="64" t="n">
        <v>178232.8737</v>
      </c>
      <c r="G116" s="64" t="n">
        <v>3647759.9616</v>
      </c>
      <c r="H116" s="54" t="n">
        <v>0.0488609106951839</v>
      </c>
      <c r="I116" s="54" t="n">
        <v>0</v>
      </c>
      <c r="J116" s="54" t="n">
        <v>0</v>
      </c>
      <c r="K116" s="54" t="n">
        <v>0.97035683699686</v>
      </c>
      <c r="L116" s="54" t="n">
        <v>1</v>
      </c>
      <c r="M116" s="52" t="n">
        <f aca="false">F116/D116</f>
        <v>31.4703353568099</v>
      </c>
      <c r="N116" s="18"/>
    </row>
    <row r="117" customFormat="false" ht="15" hidden="false" customHeight="false" outlineLevel="0" collapsed="false">
      <c r="A117" s="18" t="s">
        <v>2133</v>
      </c>
      <c r="B117" s="49" t="n">
        <v>46054</v>
      </c>
      <c r="C117" s="18" t="s">
        <v>113</v>
      </c>
      <c r="D117" s="64" t="n">
        <v>4418.64</v>
      </c>
      <c r="E117" s="64" t="n">
        <v>4688.4421584</v>
      </c>
      <c r="F117" s="64" t="n">
        <v>132655.7804</v>
      </c>
      <c r="G117" s="64" t="n">
        <v>2965967.9136</v>
      </c>
      <c r="H117" s="54" t="n">
        <v>0.0447259661237544</v>
      </c>
      <c r="I117" s="54" t="n">
        <v>0</v>
      </c>
      <c r="J117" s="54" t="n">
        <v>0</v>
      </c>
      <c r="K117" s="54" t="n">
        <v>0.9698</v>
      </c>
      <c r="L117" s="54" t="n">
        <v>1</v>
      </c>
      <c r="M117" s="52" t="n">
        <f aca="false">F117/D117</f>
        <v>30.0218574946137</v>
      </c>
      <c r="N117" s="18"/>
    </row>
    <row r="118" customFormat="false" ht="15" hidden="false" customHeight="false" outlineLevel="0" collapsed="false">
      <c r="A118" s="18" t="s">
        <v>2133</v>
      </c>
      <c r="B118" s="49" t="n">
        <v>46054</v>
      </c>
      <c r="C118" s="18" t="s">
        <v>119</v>
      </c>
      <c r="D118" s="64" t="n">
        <v>3597.84</v>
      </c>
      <c r="E118" s="64" t="n">
        <v>4037.932106208</v>
      </c>
      <c r="F118" s="64" t="n">
        <v>242414.0398</v>
      </c>
      <c r="G118" s="64" t="n">
        <v>2498843.7936</v>
      </c>
      <c r="H118" s="54" t="n">
        <v>0.0970104815829209</v>
      </c>
      <c r="I118" s="54" t="n">
        <v>0.165693899393507</v>
      </c>
      <c r="J118" s="54" t="n">
        <v>0.03835890117731</v>
      </c>
      <c r="K118" s="54" t="n">
        <v>0.943499336425259</v>
      </c>
      <c r="L118" s="54" t="n">
        <v>1</v>
      </c>
      <c r="M118" s="52" t="n">
        <f aca="false">F118/D118</f>
        <v>67.377659873702</v>
      </c>
      <c r="N118" s="18"/>
    </row>
    <row r="119" customFormat="false" ht="15" hidden="false" customHeight="false" outlineLevel="0" collapsed="false">
      <c r="A119" s="18" t="s">
        <v>2133</v>
      </c>
      <c r="B119" s="49" t="n">
        <v>46082</v>
      </c>
      <c r="C119" s="18" t="s">
        <v>99</v>
      </c>
      <c r="D119" s="64" t="n">
        <v>6074.1</v>
      </c>
      <c r="E119" s="64" t="n">
        <v>6396.03823338</v>
      </c>
      <c r="F119" s="64" t="n">
        <v>193154.2739</v>
      </c>
      <c r="G119" s="64" t="n">
        <v>3942455.346</v>
      </c>
      <c r="H119" s="54" t="n">
        <v>0.0489933954753347</v>
      </c>
      <c r="I119" s="54" t="n">
        <v>0</v>
      </c>
      <c r="J119" s="54" t="n">
        <v>0</v>
      </c>
      <c r="K119" s="54" t="n">
        <v>0.97035683699686</v>
      </c>
      <c r="L119" s="54" t="n">
        <v>1</v>
      </c>
      <c r="M119" s="52" t="n">
        <f aca="false">F119/D119</f>
        <v>31.7996532655044</v>
      </c>
      <c r="N119" s="18"/>
    </row>
    <row r="120" customFormat="false" ht="15" hidden="false" customHeight="false" outlineLevel="0" collapsed="false">
      <c r="A120" s="18" t="s">
        <v>2133</v>
      </c>
      <c r="B120" s="49" t="n">
        <v>46082</v>
      </c>
      <c r="C120" s="18" t="s">
        <v>113</v>
      </c>
      <c r="D120" s="64" t="n">
        <v>4880.7</v>
      </c>
      <c r="E120" s="64" t="n">
        <v>5183.889084</v>
      </c>
      <c r="F120" s="64" t="n">
        <v>148059.5185</v>
      </c>
      <c r="G120" s="64" t="n">
        <v>3301451.901</v>
      </c>
      <c r="H120" s="54" t="n">
        <v>0.0448467895157494</v>
      </c>
      <c r="I120" s="54" t="n">
        <v>0</v>
      </c>
      <c r="J120" s="54" t="n">
        <v>0</v>
      </c>
      <c r="K120" s="54" t="n">
        <v>0.9698</v>
      </c>
      <c r="L120" s="54" t="n">
        <v>1</v>
      </c>
      <c r="M120" s="52" t="n">
        <f aca="false">F120/D120</f>
        <v>30.3357138320323</v>
      </c>
      <c r="N120" s="18"/>
    </row>
    <row r="121" customFormat="false" ht="15" hidden="false" customHeight="false" outlineLevel="0" collapsed="false">
      <c r="A121" s="18" t="s">
        <v>2133</v>
      </c>
      <c r="B121" s="49" t="n">
        <v>46082</v>
      </c>
      <c r="C121" s="18" t="s">
        <v>119</v>
      </c>
      <c r="D121" s="64" t="n">
        <v>4345.2</v>
      </c>
      <c r="E121" s="64" t="n">
        <v>4881.58191648</v>
      </c>
      <c r="F121" s="64" t="n">
        <v>295644.8828</v>
      </c>
      <c r="G121" s="64" t="n">
        <v>3037990.032</v>
      </c>
      <c r="H121" s="54" t="n">
        <v>0.0973159489415789</v>
      </c>
      <c r="I121" s="54" t="n">
        <v>0.165693899393507</v>
      </c>
      <c r="J121" s="54" t="n">
        <v>0.03835890117731</v>
      </c>
      <c r="K121" s="54" t="n">
        <v>0.943499336425259</v>
      </c>
      <c r="L121" s="54" t="n">
        <v>1</v>
      </c>
      <c r="M121" s="52" t="n">
        <f aca="false">F121/D121</f>
        <v>68.0394188529872</v>
      </c>
      <c r="N121" s="18"/>
    </row>
    <row r="122" customFormat="false" ht="15" hidden="false" customHeight="false" outlineLevel="0" collapsed="false">
      <c r="A122" s="18" t="s">
        <v>2133</v>
      </c>
      <c r="B122" s="49" t="n">
        <v>46113</v>
      </c>
      <c r="C122" s="18" t="s">
        <v>99</v>
      </c>
      <c r="D122" s="64" t="n">
        <v>6288.4</v>
      </c>
      <c r="E122" s="64" t="n">
        <v>6628.30499868</v>
      </c>
      <c r="F122" s="64" t="n">
        <v>201023.087</v>
      </c>
      <c r="G122" s="64" t="n">
        <v>4091987.648</v>
      </c>
      <c r="H122" s="54" t="n">
        <v>0.0491260248896599</v>
      </c>
      <c r="I122" s="54" t="n">
        <v>0</v>
      </c>
      <c r="J122" s="54" t="n">
        <v>0</v>
      </c>
      <c r="K122" s="54" t="n">
        <v>0.97035683699686</v>
      </c>
      <c r="L122" s="54" t="n">
        <v>1</v>
      </c>
      <c r="M122" s="52" t="n">
        <f aca="false">F122/D122</f>
        <v>31.9672869092297</v>
      </c>
      <c r="N122" s="18"/>
    </row>
    <row r="123" customFormat="false" ht="15" hidden="false" customHeight="false" outlineLevel="0" collapsed="false">
      <c r="A123" s="18" t="s">
        <v>2133</v>
      </c>
      <c r="B123" s="49" t="n">
        <v>46113</v>
      </c>
      <c r="C123" s="18" t="s">
        <v>113</v>
      </c>
      <c r="D123" s="64" t="n">
        <v>5071.8</v>
      </c>
      <c r="E123" s="64" t="n">
        <v>5392.236324</v>
      </c>
      <c r="F123" s="64" t="n">
        <v>154666.1823</v>
      </c>
      <c r="G123" s="64" t="n">
        <v>3439491.888</v>
      </c>
      <c r="H123" s="54" t="n">
        <v>0.0449677415586178</v>
      </c>
      <c r="I123" s="54" t="n">
        <v>0</v>
      </c>
      <c r="J123" s="54" t="n">
        <v>0</v>
      </c>
      <c r="K123" s="54" t="n">
        <v>0.9698</v>
      </c>
      <c r="L123" s="54" t="n">
        <v>1</v>
      </c>
      <c r="M123" s="52" t="n">
        <f aca="false">F123/D123</f>
        <v>30.4953236129185</v>
      </c>
      <c r="N123" s="18"/>
    </row>
    <row r="124" customFormat="false" ht="15" hidden="false" customHeight="false" outlineLevel="0" collapsed="false">
      <c r="A124" s="18" t="s">
        <v>2133</v>
      </c>
      <c r="B124" s="49" t="n">
        <v>46113</v>
      </c>
      <c r="C124" s="18" t="s">
        <v>119</v>
      </c>
      <c r="D124" s="64" t="n">
        <v>4439.8</v>
      </c>
      <c r="E124" s="64" t="n">
        <v>4992.83747128</v>
      </c>
      <c r="F124" s="64" t="n">
        <v>303906.5635</v>
      </c>
      <c r="G124" s="64" t="n">
        <v>3114386.506</v>
      </c>
      <c r="H124" s="54" t="n">
        <v>0.0975815181792696</v>
      </c>
      <c r="I124" s="54" t="n">
        <v>0.165693899393507</v>
      </c>
      <c r="J124" s="54" t="n">
        <v>0.03835890117731</v>
      </c>
      <c r="K124" s="54" t="n">
        <v>0.943499336425259</v>
      </c>
      <c r="L124" s="54" t="n">
        <v>1</v>
      </c>
      <c r="M124" s="52" t="n">
        <f aca="false">F124/D124</f>
        <v>68.4505075679085</v>
      </c>
      <c r="N124" s="18"/>
    </row>
    <row r="125" customFormat="false" ht="15" hidden="false" customHeight="false" outlineLevel="0" collapsed="false">
      <c r="A125" s="18" t="s">
        <v>2133</v>
      </c>
      <c r="B125" s="49" t="n">
        <v>46143</v>
      </c>
      <c r="C125" s="18" t="s">
        <v>99</v>
      </c>
      <c r="D125" s="64" t="n">
        <v>6407.6</v>
      </c>
      <c r="E125" s="64" t="n">
        <v>6760.68182736</v>
      </c>
      <c r="F125" s="64" t="n">
        <v>206173.1167</v>
      </c>
      <c r="G125" s="64" t="n">
        <v>4185508.396</v>
      </c>
      <c r="H125" s="54" t="n">
        <v>0.0492587989671098</v>
      </c>
      <c r="I125" s="54" t="n">
        <v>0</v>
      </c>
      <c r="J125" s="54" t="n">
        <v>0</v>
      </c>
      <c r="K125" s="54" t="n">
        <v>0.97035683699686</v>
      </c>
      <c r="L125" s="54" t="n">
        <v>1</v>
      </c>
      <c r="M125" s="52" t="n">
        <f aca="false">F125/D125</f>
        <v>32.1763400805294</v>
      </c>
      <c r="N125" s="18"/>
    </row>
    <row r="126" customFormat="false" ht="15" hidden="false" customHeight="false" outlineLevel="0" collapsed="false">
      <c r="A126" s="18" t="s">
        <v>2133</v>
      </c>
      <c r="B126" s="49" t="n">
        <v>46143</v>
      </c>
      <c r="C126" s="18" t="s">
        <v>113</v>
      </c>
      <c r="D126" s="64" t="n">
        <v>5295.4</v>
      </c>
      <c r="E126" s="64" t="n">
        <v>5635.576496</v>
      </c>
      <c r="F126" s="64" t="n">
        <v>162539.3439</v>
      </c>
      <c r="G126" s="64" t="n">
        <v>3604870.027</v>
      </c>
      <c r="H126" s="54" t="n">
        <v>0.0450888222672193</v>
      </c>
      <c r="I126" s="54" t="n">
        <v>0</v>
      </c>
      <c r="J126" s="54" t="n">
        <v>0</v>
      </c>
      <c r="K126" s="54" t="n">
        <v>0.9698</v>
      </c>
      <c r="L126" s="54" t="n">
        <v>1</v>
      </c>
      <c r="M126" s="52" t="n">
        <f aca="false">F126/D126</f>
        <v>30.6944411942441</v>
      </c>
      <c r="N126" s="18"/>
    </row>
    <row r="127" customFormat="false" ht="15" hidden="false" customHeight="false" outlineLevel="0" collapsed="false">
      <c r="A127" s="18" t="s">
        <v>2133</v>
      </c>
      <c r="B127" s="49" t="n">
        <v>46143</v>
      </c>
      <c r="C127" s="18" t="s">
        <v>119</v>
      </c>
      <c r="D127" s="64" t="n">
        <v>4897</v>
      </c>
      <c r="E127" s="64" t="n">
        <v>5512.4784656</v>
      </c>
      <c r="F127" s="64" t="n">
        <v>337035.2215</v>
      </c>
      <c r="G127" s="64" t="n">
        <v>3442639.97</v>
      </c>
      <c r="H127" s="54" t="n">
        <v>0.0979002232081939</v>
      </c>
      <c r="I127" s="54" t="n">
        <v>0.165693899393507</v>
      </c>
      <c r="J127" s="54" t="n">
        <v>0.03835890117731</v>
      </c>
      <c r="K127" s="54" t="n">
        <v>0.943499336425259</v>
      </c>
      <c r="L127" s="54" t="n">
        <v>1</v>
      </c>
      <c r="M127" s="52" t="n">
        <f aca="false">F127/D127</f>
        <v>68.824835919951</v>
      </c>
      <c r="N127" s="18"/>
    </row>
    <row r="128" customFormat="false" ht="15" hidden="false" customHeight="false" outlineLevel="0" collapsed="false">
      <c r="A128" s="18" t="s">
        <v>2133</v>
      </c>
      <c r="B128" s="49" t="n">
        <v>46174</v>
      </c>
      <c r="C128" s="18" t="s">
        <v>99</v>
      </c>
      <c r="D128" s="64" t="n">
        <v>6570.4</v>
      </c>
      <c r="E128" s="64" t="n">
        <v>6939.3575268</v>
      </c>
      <c r="F128" s="64" t="n">
        <v>212520.6011</v>
      </c>
      <c r="G128" s="64" t="n">
        <v>4302757.848</v>
      </c>
      <c r="H128" s="54" t="n">
        <v>0.0493917177366346</v>
      </c>
      <c r="I128" s="54" t="n">
        <v>0</v>
      </c>
      <c r="J128" s="54" t="n">
        <v>0</v>
      </c>
      <c r="K128" s="54" t="n">
        <v>0.97035683699686</v>
      </c>
      <c r="L128" s="54" t="n">
        <v>1</v>
      </c>
      <c r="M128" s="52" t="n">
        <f aca="false">F128/D128</f>
        <v>32.3451541915256</v>
      </c>
      <c r="N128" s="18"/>
    </row>
    <row r="129" customFormat="false" ht="15" hidden="false" customHeight="false" outlineLevel="0" collapsed="false">
      <c r="A129" s="18" t="s">
        <v>2133</v>
      </c>
      <c r="B129" s="49" t="n">
        <v>46174</v>
      </c>
      <c r="C129" s="18" t="s">
        <v>113</v>
      </c>
      <c r="D129" s="64" t="n">
        <v>5418</v>
      </c>
      <c r="E129" s="64" t="n">
        <v>5771.7954</v>
      </c>
      <c r="F129" s="64" t="n">
        <v>167173.3027</v>
      </c>
      <c r="G129" s="64" t="n">
        <v>3697703.73</v>
      </c>
      <c r="H129" s="54" t="n">
        <v>0.0452100316564137</v>
      </c>
      <c r="I129" s="54" t="n">
        <v>0</v>
      </c>
      <c r="J129" s="54" t="n">
        <v>0</v>
      </c>
      <c r="K129" s="54" t="n">
        <v>0.9698</v>
      </c>
      <c r="L129" s="54" t="n">
        <v>1</v>
      </c>
      <c r="M129" s="52" t="n">
        <f aca="false">F129/D129</f>
        <v>30.8551684569952</v>
      </c>
      <c r="N129" s="18"/>
    </row>
    <row r="130" customFormat="false" ht="15" hidden="false" customHeight="false" outlineLevel="0" collapsed="false">
      <c r="A130" s="18" t="s">
        <v>2133</v>
      </c>
      <c r="B130" s="49" t="n">
        <v>46174</v>
      </c>
      <c r="C130" s="18" t="s">
        <v>119</v>
      </c>
      <c r="D130" s="64" t="n">
        <v>5211.6</v>
      </c>
      <c r="E130" s="64" t="n">
        <v>5872.4621496</v>
      </c>
      <c r="F130" s="64" t="n">
        <v>360845.0109</v>
      </c>
      <c r="G130" s="64" t="n">
        <v>3675845.712</v>
      </c>
      <c r="H130" s="54" t="n">
        <v>0.0981665279780102</v>
      </c>
      <c r="I130" s="54" t="n">
        <v>0.165693899393507</v>
      </c>
      <c r="J130" s="54" t="n">
        <v>0.03835890117731</v>
      </c>
      <c r="K130" s="54" t="n">
        <v>0.943499336425259</v>
      </c>
      <c r="L130" s="54" t="n">
        <v>1</v>
      </c>
      <c r="M130" s="52" t="n">
        <f aca="false">F130/D130</f>
        <v>69.2388155077136</v>
      </c>
      <c r="N130" s="18"/>
    </row>
    <row r="131" customFormat="false" ht="15" hidden="false" customHeight="false" outlineLevel="0" collapsed="false">
      <c r="A131" s="18" t="s">
        <v>2133</v>
      </c>
      <c r="B131" s="49" t="n">
        <v>46204</v>
      </c>
      <c r="C131" s="18" t="s">
        <v>99</v>
      </c>
      <c r="D131" s="64" t="n">
        <v>6570</v>
      </c>
      <c r="E131" s="64" t="n">
        <v>6945.839478</v>
      </c>
      <c r="F131" s="64" t="n">
        <v>213620.2953</v>
      </c>
      <c r="G131" s="64" t="n">
        <v>4313402.1</v>
      </c>
      <c r="H131" s="54" t="n">
        <v>0.0495247812271847</v>
      </c>
      <c r="I131" s="54" t="n">
        <v>0</v>
      </c>
      <c r="J131" s="54" t="n">
        <v>0</v>
      </c>
      <c r="K131" s="54" t="n">
        <v>0.96635683699686</v>
      </c>
      <c r="L131" s="54" t="n">
        <v>0.995</v>
      </c>
      <c r="M131" s="52" t="n">
        <f aca="false">F131/D131</f>
        <v>32.5145046118722</v>
      </c>
      <c r="N131" s="18"/>
    </row>
    <row r="132" customFormat="false" ht="15" hidden="false" customHeight="false" outlineLevel="0" collapsed="false">
      <c r="A132" s="18" t="s">
        <v>2133</v>
      </c>
      <c r="B132" s="49" t="n">
        <v>46204</v>
      </c>
      <c r="C132" s="18" t="s">
        <v>113</v>
      </c>
      <c r="D132" s="64" t="n">
        <v>5490</v>
      </c>
      <c r="E132" s="64" t="n">
        <v>5854.3164</v>
      </c>
      <c r="F132" s="64" t="n">
        <v>170280.0533</v>
      </c>
      <c r="G132" s="64" t="n">
        <v>3756340.35</v>
      </c>
      <c r="H132" s="54" t="n">
        <v>0.0453313697410606</v>
      </c>
      <c r="I132" s="54" t="n">
        <v>0</v>
      </c>
      <c r="J132" s="54" t="n">
        <v>0</v>
      </c>
      <c r="K132" s="54" t="n">
        <v>0.9658</v>
      </c>
      <c r="L132" s="54" t="n">
        <v>0.995</v>
      </c>
      <c r="M132" s="52" t="n">
        <f aca="false">F132/D132</f>
        <v>31.016403151184</v>
      </c>
      <c r="N132" s="18"/>
    </row>
    <row r="133" customFormat="false" ht="15" hidden="false" customHeight="false" outlineLevel="0" collapsed="false">
      <c r="A133" s="18" t="s">
        <v>2133</v>
      </c>
      <c r="B133" s="49" t="n">
        <v>46204</v>
      </c>
      <c r="C133" s="18" t="s">
        <v>119</v>
      </c>
      <c r="D133" s="64" t="n">
        <v>5940</v>
      </c>
      <c r="E133" s="64" t="n">
        <v>6699.887568</v>
      </c>
      <c r="F133" s="64" t="n">
        <v>419629.6473</v>
      </c>
      <c r="G133" s="64" t="n">
        <v>4198748.4</v>
      </c>
      <c r="H133" s="54" t="n">
        <v>0.0999416033810992</v>
      </c>
      <c r="I133" s="54" t="n">
        <v>0.204052800570817</v>
      </c>
      <c r="J133" s="54" t="n">
        <v>0.057538351765965</v>
      </c>
      <c r="K133" s="54" t="n">
        <v>0.941647434891188</v>
      </c>
      <c r="L133" s="54" t="n">
        <v>0.995</v>
      </c>
      <c r="M133" s="52" t="n">
        <f aca="false">F133/D133</f>
        <v>70.6447217676768</v>
      </c>
      <c r="N133" s="18"/>
    </row>
    <row r="134" customFormat="false" ht="15" hidden="false" customHeight="false" outlineLevel="0" collapsed="false">
      <c r="A134" s="18" t="s">
        <v>2133</v>
      </c>
      <c r="B134" s="49" t="n">
        <v>46235</v>
      </c>
      <c r="C134" s="18" t="s">
        <v>99</v>
      </c>
      <c r="D134" s="64" t="n">
        <v>6293</v>
      </c>
      <c r="E134" s="64" t="n">
        <v>6613.3137</v>
      </c>
      <c r="F134" s="64" t="n">
        <v>213842.6625</v>
      </c>
      <c r="G134" s="64" t="n">
        <v>4152436.05</v>
      </c>
      <c r="H134" s="54" t="n">
        <v>0.0514981230104897</v>
      </c>
      <c r="I134" s="54" t="n">
        <v>0</v>
      </c>
      <c r="J134" s="54" t="n">
        <v>0</v>
      </c>
      <c r="K134" s="54" t="n">
        <v>0.96635683699686</v>
      </c>
      <c r="L134" s="54" t="n">
        <v>0.92</v>
      </c>
      <c r="M134" s="52" t="n">
        <f aca="false">F134/D134</f>
        <v>33.9810364690926</v>
      </c>
      <c r="N134" s="18"/>
    </row>
    <row r="135" customFormat="false" ht="15" hidden="false" customHeight="false" outlineLevel="0" collapsed="false">
      <c r="A135" s="18" t="s">
        <v>2133</v>
      </c>
      <c r="B135" s="49" t="n">
        <v>46235</v>
      </c>
      <c r="C135" s="18" t="s">
        <v>113</v>
      </c>
      <c r="D135" s="64" t="n">
        <v>5075</v>
      </c>
      <c r="E135" s="64" t="n">
        <v>5379.5</v>
      </c>
      <c r="F135" s="64" t="n">
        <v>157401.0536</v>
      </c>
      <c r="G135" s="64" t="n">
        <v>3489950.625</v>
      </c>
      <c r="H135" s="54" t="n">
        <v>0.0451012264836143</v>
      </c>
      <c r="I135" s="54" t="n">
        <v>0</v>
      </c>
      <c r="J135" s="54" t="n">
        <v>0</v>
      </c>
      <c r="K135" s="54" t="n">
        <v>0.9658</v>
      </c>
      <c r="L135" s="54" t="n">
        <v>0.92</v>
      </c>
      <c r="M135" s="52" t="n">
        <f aca="false">F135/D135</f>
        <v>31.0149859310345</v>
      </c>
      <c r="N135" s="18"/>
    </row>
    <row r="136" customFormat="false" ht="15" hidden="false" customHeight="false" outlineLevel="0" collapsed="false">
      <c r="A136" s="18" t="s">
        <v>2133</v>
      </c>
      <c r="B136" s="49" t="n">
        <v>46235</v>
      </c>
      <c r="C136" s="18" t="s">
        <v>119</v>
      </c>
      <c r="D136" s="64" t="n">
        <v>8932</v>
      </c>
      <c r="E136" s="64" t="n">
        <v>10886.3216</v>
      </c>
      <c r="F136" s="64" t="n">
        <v>891643.2815</v>
      </c>
      <c r="G136" s="64" t="n">
        <v>5929418.88</v>
      </c>
      <c r="H136" s="54" t="n">
        <v>0.150376166625843</v>
      </c>
      <c r="I136" s="54" t="n">
        <v>0.660165736790286</v>
      </c>
      <c r="J136" s="54" t="n">
        <v>0.388382015096817</v>
      </c>
      <c r="K136" s="54" t="n">
        <v>0.961620825402035</v>
      </c>
      <c r="L136" s="54" t="n">
        <v>0.92</v>
      </c>
      <c r="M136" s="52" t="n">
        <f aca="false">F136/D136</f>
        <v>99.8257144536498</v>
      </c>
      <c r="N136" s="20" t="s">
        <v>2140</v>
      </c>
    </row>
    <row r="137" customFormat="false" ht="15" hidden="false" customHeight="false" outlineLevel="0" collapsed="false">
      <c r="A137" s="18" t="s">
        <v>2133</v>
      </c>
      <c r="B137" s="49" t="n">
        <v>46266</v>
      </c>
      <c r="C137" s="18" t="s">
        <v>99</v>
      </c>
      <c r="D137" s="64" t="n">
        <v>6192</v>
      </c>
      <c r="E137" s="64" t="n">
        <v>6507.1728</v>
      </c>
      <c r="F137" s="64" t="n">
        <v>211813.5682</v>
      </c>
      <c r="G137" s="64" t="n">
        <v>4070373.12</v>
      </c>
      <c r="H137" s="54" t="n">
        <v>0.0520378751320362</v>
      </c>
      <c r="I137" s="54" t="n">
        <v>0</v>
      </c>
      <c r="J137" s="54" t="n">
        <v>0</v>
      </c>
      <c r="K137" s="54" t="n">
        <v>0.96935683699686</v>
      </c>
      <c r="L137" s="54"/>
      <c r="M137" s="52" t="n">
        <f aca="false">F137/D137</f>
        <v>34.2076176033592</v>
      </c>
      <c r="N137" s="18"/>
    </row>
    <row r="138" customFormat="false" ht="15" hidden="false" customHeight="false" outlineLevel="0" collapsed="false">
      <c r="A138" s="18" t="s">
        <v>2133</v>
      </c>
      <c r="B138" s="49" t="n">
        <v>46266</v>
      </c>
      <c r="C138" s="18" t="s">
        <v>113</v>
      </c>
      <c r="D138" s="64" t="n">
        <v>5160</v>
      </c>
      <c r="E138" s="64" t="n">
        <v>5469.6</v>
      </c>
      <c r="F138" s="64" t="n">
        <v>162457.7703</v>
      </c>
      <c r="G138" s="64" t="n">
        <v>3555446.4</v>
      </c>
      <c r="H138" s="54" t="n">
        <v>0.0456926506676897</v>
      </c>
      <c r="I138" s="54" t="n">
        <v>0</v>
      </c>
      <c r="J138" s="54" t="n">
        <v>0</v>
      </c>
      <c r="K138" s="54" t="n">
        <v>0.9688</v>
      </c>
      <c r="L138" s="54"/>
      <c r="M138" s="52" t="n">
        <f aca="false">F138/D138</f>
        <v>31.4840640116279</v>
      </c>
      <c r="N138" s="18"/>
    </row>
    <row r="139" customFormat="false" ht="15" hidden="false" customHeight="false" outlineLevel="0" collapsed="false">
      <c r="A139" s="18" t="s">
        <v>2133</v>
      </c>
      <c r="B139" s="49" t="n">
        <v>46266</v>
      </c>
      <c r="C139" s="18" t="s">
        <v>119</v>
      </c>
      <c r="D139" s="64" t="n">
        <v>5848</v>
      </c>
      <c r="E139" s="64" t="n">
        <v>6954.4416</v>
      </c>
      <c r="F139" s="64" t="n">
        <v>525337.69</v>
      </c>
      <c r="G139" s="64" t="n">
        <v>4066699.2</v>
      </c>
      <c r="H139" s="54" t="n">
        <v>0.129180365744674</v>
      </c>
      <c r="I139" s="54" t="n">
        <v>0.548496468213925</v>
      </c>
      <c r="J139" s="54" t="n">
        <v>0.268980827447023</v>
      </c>
      <c r="K139" s="54" t="n">
        <v>0.96104770938446</v>
      </c>
      <c r="L139" s="54"/>
      <c r="M139" s="52" t="n">
        <f aca="false">F139/D139</f>
        <v>89.8320263337893</v>
      </c>
      <c r="N139" s="18"/>
    </row>
    <row r="140" customFormat="false" ht="15" hidden="false" customHeight="false" outlineLevel="0" collapsed="false">
      <c r="A140" s="18" t="s">
        <v>2133</v>
      </c>
      <c r="B140" s="49" t="n">
        <v>46296</v>
      </c>
      <c r="C140" s="18" t="s">
        <v>99</v>
      </c>
      <c r="D140" s="64" t="n">
        <v>6630</v>
      </c>
      <c r="E140" s="64" t="n">
        <v>6967.467</v>
      </c>
      <c r="F140" s="64" t="n">
        <v>226498.422</v>
      </c>
      <c r="G140" s="64" t="n">
        <v>4347291</v>
      </c>
      <c r="H140" s="54" t="n">
        <v>0.0521010491298715</v>
      </c>
      <c r="I140" s="54" t="n">
        <v>0</v>
      </c>
      <c r="J140" s="54" t="n">
        <v>0</v>
      </c>
      <c r="K140" s="54" t="n">
        <v>0.96935683699686</v>
      </c>
      <c r="L140" s="54"/>
      <c r="M140" s="52" t="n">
        <f aca="false">F140/D140</f>
        <v>34.162657918552</v>
      </c>
      <c r="N140" s="18"/>
    </row>
    <row r="141" customFormat="false" ht="15" hidden="false" customHeight="false" outlineLevel="0" collapsed="false">
      <c r="A141" s="18" t="s">
        <v>2133</v>
      </c>
      <c r="B141" s="49" t="n">
        <v>46296</v>
      </c>
      <c r="C141" s="18" t="s">
        <v>113</v>
      </c>
      <c r="D141" s="64" t="n">
        <v>5850</v>
      </c>
      <c r="E141" s="64" t="n">
        <v>6201</v>
      </c>
      <c r="F141" s="64" t="n">
        <v>184755.2756</v>
      </c>
      <c r="G141" s="64" t="n">
        <v>4020705</v>
      </c>
      <c r="H141" s="54" t="n">
        <v>0.0459509652069528</v>
      </c>
      <c r="I141" s="54" t="n">
        <v>0</v>
      </c>
      <c r="J141" s="54" t="n">
        <v>0</v>
      </c>
      <c r="K141" s="54" t="n">
        <v>0.9688</v>
      </c>
      <c r="L141" s="54"/>
      <c r="M141" s="52" t="n">
        <f aca="false">F141/D141</f>
        <v>31.5820983931624</v>
      </c>
      <c r="N141" s="18"/>
    </row>
    <row r="142" customFormat="false" ht="15" hidden="false" customHeight="false" outlineLevel="0" collapsed="false">
      <c r="A142" s="18" t="s">
        <v>2133</v>
      </c>
      <c r="B142" s="49" t="n">
        <v>46296</v>
      </c>
      <c r="C142" s="18" t="s">
        <v>119</v>
      </c>
      <c r="D142" s="64" t="n">
        <v>7020</v>
      </c>
      <c r="E142" s="64" t="n">
        <v>8213.4</v>
      </c>
      <c r="F142" s="64" t="n">
        <v>600242.7287</v>
      </c>
      <c r="G142" s="64" t="n">
        <v>4855032</v>
      </c>
      <c r="H142" s="54" t="n">
        <v>0.12363311481559</v>
      </c>
      <c r="I142" s="54" t="n">
        <v>0.4624</v>
      </c>
      <c r="J142" s="54" t="n">
        <v>0.192</v>
      </c>
      <c r="K142" s="54" t="n">
        <v>0.9567536</v>
      </c>
      <c r="L142" s="54"/>
      <c r="M142" s="52" t="n">
        <f aca="false">F142/D142</f>
        <v>85.5046622079772</v>
      </c>
      <c r="N142" s="18"/>
    </row>
    <row r="143" customFormat="false" ht="15" hidden="false" customHeight="false" outlineLevel="0" collapsed="false">
      <c r="A143" s="18" t="s">
        <v>2133</v>
      </c>
      <c r="B143" s="49" t="n">
        <v>46327</v>
      </c>
      <c r="C143" s="18" t="s">
        <v>99</v>
      </c>
      <c r="D143" s="64" t="n">
        <v>7936</v>
      </c>
      <c r="E143" s="64" t="n">
        <v>8339.9424</v>
      </c>
      <c r="F143" s="64" t="n">
        <v>264995.4887</v>
      </c>
      <c r="G143" s="64" t="n">
        <v>5190461.44</v>
      </c>
      <c r="H143" s="54" t="n">
        <v>0.0510543218034322</v>
      </c>
      <c r="I143" s="54" t="n">
        <v>0</v>
      </c>
      <c r="J143" s="54" t="n">
        <v>0</v>
      </c>
      <c r="K143" s="54" t="n">
        <v>0.96935683699686</v>
      </c>
      <c r="L143" s="54"/>
      <c r="M143" s="52" t="n">
        <f aca="false">F143/D143</f>
        <v>33.3915686365927</v>
      </c>
      <c r="N143" s="18"/>
    </row>
    <row r="144" customFormat="false" ht="15" hidden="false" customHeight="false" outlineLevel="0" collapsed="false">
      <c r="A144" s="18" t="s">
        <v>2133</v>
      </c>
      <c r="B144" s="49" t="n">
        <v>46327</v>
      </c>
      <c r="C144" s="18" t="s">
        <v>113</v>
      </c>
      <c r="D144" s="64" t="n">
        <v>7192</v>
      </c>
      <c r="E144" s="64" t="n">
        <v>7623.52</v>
      </c>
      <c r="F144" s="64" t="n">
        <v>226563.4175</v>
      </c>
      <c r="G144" s="64" t="n">
        <v>4930547.52</v>
      </c>
      <c r="H144" s="54" t="n">
        <v>0.0459509652069528</v>
      </c>
      <c r="I144" s="54" t="n">
        <v>0</v>
      </c>
      <c r="J144" s="54" t="n">
        <v>0</v>
      </c>
      <c r="K144" s="54" t="n">
        <v>0.9688</v>
      </c>
      <c r="L144" s="54"/>
      <c r="M144" s="52" t="n">
        <f aca="false">F144/D144</f>
        <v>31.5021437013348</v>
      </c>
      <c r="N144" s="18"/>
    </row>
    <row r="145" customFormat="false" ht="15" hidden="false" customHeight="false" outlineLevel="0" collapsed="false">
      <c r="A145" s="18" t="s">
        <v>2133</v>
      </c>
      <c r="B145" s="49" t="n">
        <v>46327</v>
      </c>
      <c r="C145" s="18" t="s">
        <v>119</v>
      </c>
      <c r="D145" s="64" t="n">
        <v>9672</v>
      </c>
      <c r="E145" s="64" t="n">
        <v>11316.24</v>
      </c>
      <c r="F145" s="64" t="n">
        <v>788585.4725</v>
      </c>
      <c r="G145" s="64" t="n">
        <v>6652401.6</v>
      </c>
      <c r="H145" s="54" t="n">
        <v>0.118541471166836</v>
      </c>
      <c r="I145" s="54" t="n">
        <v>0.376</v>
      </c>
      <c r="J145" s="54" t="n">
        <v>0.1248</v>
      </c>
      <c r="K145" s="54" t="n">
        <v>0.9525872</v>
      </c>
      <c r="L145" s="54"/>
      <c r="M145" s="52" t="n">
        <f aca="false">F145/D145</f>
        <v>81.5328238730356</v>
      </c>
      <c r="N145" s="18"/>
    </row>
    <row r="146" customFormat="false" ht="15" hidden="false" customHeight="false" outlineLevel="0" collapsed="false">
      <c r="A146" s="18" t="s">
        <v>2133</v>
      </c>
      <c r="B146" s="49" t="n">
        <v>46357</v>
      </c>
      <c r="C146" s="18" t="s">
        <v>99</v>
      </c>
      <c r="D146" s="64" t="n">
        <v>9152</v>
      </c>
      <c r="E146" s="64" t="n">
        <v>9617.8368</v>
      </c>
      <c r="F146" s="64" t="n">
        <v>304347.88</v>
      </c>
      <c r="G146" s="64" t="n">
        <v>5970581.76</v>
      </c>
      <c r="H146" s="54" t="n">
        <v>0.0509745770497097</v>
      </c>
      <c r="I146" s="54" t="n">
        <v>0</v>
      </c>
      <c r="J146" s="54" t="n">
        <v>0</v>
      </c>
      <c r="K146" s="54" t="n">
        <v>0.96935683699686</v>
      </c>
      <c r="L146" s="54"/>
      <c r="M146" s="52" t="n">
        <f aca="false">F146/D146</f>
        <v>33.2547945804196</v>
      </c>
      <c r="N146" s="18"/>
    </row>
    <row r="147" customFormat="false" ht="15" hidden="false" customHeight="false" outlineLevel="0" collapsed="false">
      <c r="A147" s="18" t="s">
        <v>2133</v>
      </c>
      <c r="B147" s="49" t="n">
        <v>46357</v>
      </c>
      <c r="C147" s="18" t="s">
        <v>113</v>
      </c>
      <c r="D147" s="64" t="n">
        <v>8008</v>
      </c>
      <c r="E147" s="64" t="n">
        <v>8488.48</v>
      </c>
      <c r="F147" s="64" t="n">
        <v>251628.8897</v>
      </c>
      <c r="G147" s="64" t="n">
        <v>5476030.56</v>
      </c>
      <c r="H147" s="54" t="n">
        <v>0.0459509652069528</v>
      </c>
      <c r="I147" s="54" t="n">
        <v>0</v>
      </c>
      <c r="J147" s="54" t="n">
        <v>0</v>
      </c>
      <c r="K147" s="54" t="n">
        <v>0.9688</v>
      </c>
      <c r="L147" s="54"/>
      <c r="M147" s="52" t="n">
        <f aca="false">F147/D147</f>
        <v>31.4221890234765</v>
      </c>
      <c r="N147" s="18"/>
    </row>
    <row r="148" customFormat="false" ht="15" hidden="false" customHeight="false" outlineLevel="0" collapsed="false">
      <c r="A148" s="21" t="s">
        <v>2133</v>
      </c>
      <c r="B148" s="55" t="n">
        <v>46357</v>
      </c>
      <c r="C148" s="21" t="s">
        <v>119</v>
      </c>
      <c r="D148" s="67" t="n">
        <v>11440</v>
      </c>
      <c r="E148" s="67" t="n">
        <v>13384.8</v>
      </c>
      <c r="F148" s="67" t="n">
        <v>899660.0783</v>
      </c>
      <c r="G148" s="67" t="n">
        <v>7824960</v>
      </c>
      <c r="H148" s="60" t="n">
        <v>0.114973121688781</v>
      </c>
      <c r="I148" s="60" t="n">
        <v>0.2992</v>
      </c>
      <c r="J148" s="60" t="n">
        <v>0.0768</v>
      </c>
      <c r="K148" s="60" t="n">
        <v>0.94892</v>
      </c>
      <c r="L148" s="60"/>
      <c r="M148" s="58" t="n">
        <f aca="false">F148/D148</f>
        <v>78.641615236014</v>
      </c>
      <c r="N148" s="21"/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26"/>
    <col collapsed="false" customWidth="true" hidden="false" outlineLevel="0" max="19" min="7" style="0" width="18"/>
  </cols>
  <sheetData>
    <row r="1" customFormat="false" ht="32" hidden="false" customHeight="true" outlineLevel="0" collapsed="false">
      <c r="A1" s="24" t="s">
        <v>2141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customFormat="false" ht="28" hidden="false" customHeight="true" outlineLevel="0" collapsed="false">
      <c r="A2" s="2" t="s">
        <v>2142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0" hidden="false" customHeight="true" outlineLevel="0" collapsed="false">
      <c r="A4" s="37" t="s">
        <v>2143</v>
      </c>
      <c r="B4" s="12" t="s">
        <v>137</v>
      </c>
      <c r="C4" s="12" t="s">
        <v>2144</v>
      </c>
      <c r="D4" s="12" t="s">
        <v>2145</v>
      </c>
      <c r="E4" s="12" t="s">
        <v>139</v>
      </c>
      <c r="F4" s="12" t="s">
        <v>223</v>
      </c>
      <c r="G4" s="12" t="s">
        <v>224</v>
      </c>
      <c r="H4" s="12" t="s">
        <v>2146</v>
      </c>
      <c r="I4" s="12" t="s">
        <v>2147</v>
      </c>
      <c r="J4" s="13" t="s">
        <v>2148</v>
      </c>
      <c r="K4" s="37" t="s">
        <v>2143</v>
      </c>
      <c r="L4" s="12" t="s">
        <v>137</v>
      </c>
      <c r="M4" s="12" t="s">
        <v>2149</v>
      </c>
      <c r="N4" s="12" t="s">
        <v>2150</v>
      </c>
      <c r="O4" s="12" t="s">
        <v>2151</v>
      </c>
      <c r="P4" s="12" t="s">
        <v>2152</v>
      </c>
      <c r="Q4" s="12" t="s">
        <v>2153</v>
      </c>
      <c r="R4" s="12" t="s">
        <v>2154</v>
      </c>
      <c r="S4" s="13" t="s">
        <v>2155</v>
      </c>
    </row>
    <row r="5" customFormat="false" ht="15" hidden="false" customHeight="false" outlineLevel="0" collapsed="false">
      <c r="A5" s="15" t="s">
        <v>2156</v>
      </c>
      <c r="B5" s="43" t="n">
        <v>46023</v>
      </c>
      <c r="C5" s="15" t="s">
        <v>2157</v>
      </c>
      <c r="D5" s="15" t="s">
        <v>2158</v>
      </c>
      <c r="E5" s="15" t="s">
        <v>2159</v>
      </c>
      <c r="F5" s="15" t="s">
        <v>2160</v>
      </c>
      <c r="G5" s="62" t="n">
        <v>90.5051</v>
      </c>
      <c r="H5" s="62" t="n">
        <v>0.759354156953857</v>
      </c>
      <c r="I5" s="48" t="n">
        <v>6.55583639487969E-005</v>
      </c>
      <c r="J5" s="15" t="b">
        <f aca="false">FALSE()</f>
        <v>0</v>
      </c>
      <c r="K5" s="15" t="s">
        <v>2156</v>
      </c>
      <c r="L5" s="43" t="n">
        <v>46023</v>
      </c>
      <c r="M5" s="80" t="n">
        <v>-460.764055238008</v>
      </c>
      <c r="N5" s="80" t="n">
        <v>-460.764055238008</v>
      </c>
      <c r="O5" s="80" t="n">
        <v>0</v>
      </c>
      <c r="P5" s="80" t="n">
        <v>-460.764055238008</v>
      </c>
      <c r="Q5" s="80" t="n">
        <v>0</v>
      </c>
      <c r="R5" s="15" t="str">
        <f aca="false">IF(ABS(O5)&lt;0.0001,"PASS","FAIL")</f>
        <v>PASS</v>
      </c>
      <c r="S5" s="15" t="str">
        <f aca="false">IF(ABS(Q5)&lt;0.0001,"PASS","FAIL")</f>
        <v>PASS</v>
      </c>
    </row>
    <row r="6" customFormat="false" ht="15" hidden="false" customHeight="false" outlineLevel="0" collapsed="false">
      <c r="A6" s="18" t="s">
        <v>2156</v>
      </c>
      <c r="B6" s="49" t="n">
        <v>46023</v>
      </c>
      <c r="C6" s="18" t="s">
        <v>2157</v>
      </c>
      <c r="D6" s="18" t="s">
        <v>2158</v>
      </c>
      <c r="E6" s="18" t="s">
        <v>99</v>
      </c>
      <c r="F6" s="18" t="s">
        <v>2161</v>
      </c>
      <c r="G6" s="65" t="n">
        <v>32.485</v>
      </c>
      <c r="H6" s="65"/>
      <c r="I6" s="54"/>
      <c r="J6" s="18"/>
      <c r="K6" s="18" t="s">
        <v>2156</v>
      </c>
      <c r="L6" s="49" t="n">
        <v>46054</v>
      </c>
      <c r="M6" s="81" t="n">
        <v>14030.7503247069</v>
      </c>
      <c r="N6" s="81" t="n">
        <v>14030.7503247069</v>
      </c>
      <c r="O6" s="81" t="n">
        <v>0</v>
      </c>
      <c r="P6" s="81" t="n">
        <v>14030.7503247069</v>
      </c>
      <c r="Q6" s="81" t="n">
        <v>0</v>
      </c>
      <c r="R6" s="18" t="str">
        <f aca="false">IF(ABS(O6)&lt;0.0001,"PASS","FAIL")</f>
        <v>PASS</v>
      </c>
      <c r="S6" s="18" t="str">
        <f aca="false">IF(ABS(Q6)&lt;0.0001,"PASS","FAIL")</f>
        <v>PASS</v>
      </c>
    </row>
    <row r="7" customFormat="false" ht="15" hidden="false" customHeight="false" outlineLevel="0" collapsed="false">
      <c r="A7" s="18" t="s">
        <v>2156</v>
      </c>
      <c r="B7" s="49" t="n">
        <v>46023</v>
      </c>
      <c r="C7" s="18" t="s">
        <v>2157</v>
      </c>
      <c r="D7" s="18" t="s">
        <v>2158</v>
      </c>
      <c r="E7" s="18" t="s">
        <v>113</v>
      </c>
      <c r="F7" s="18" t="s">
        <v>2162</v>
      </c>
      <c r="G7" s="65" t="n">
        <v>25.2892</v>
      </c>
      <c r="H7" s="65"/>
      <c r="I7" s="54"/>
      <c r="J7" s="18"/>
      <c r="K7" s="18" t="s">
        <v>2156</v>
      </c>
      <c r="L7" s="49" t="n">
        <v>46082</v>
      </c>
      <c r="M7" s="81" t="n">
        <v>27261.7172237768</v>
      </c>
      <c r="N7" s="81" t="n">
        <v>27261.7172237768</v>
      </c>
      <c r="O7" s="81" t="n">
        <v>0</v>
      </c>
      <c r="P7" s="81" t="n">
        <v>27261.7172237768</v>
      </c>
      <c r="Q7" s="81" t="n">
        <v>0</v>
      </c>
      <c r="R7" s="18" t="str">
        <f aca="false">IF(ABS(O7)&lt;0.0001,"PASS","FAIL")</f>
        <v>PASS</v>
      </c>
      <c r="S7" s="18" t="str">
        <f aca="false">IF(ABS(Q7)&lt;0.0001,"PASS","FAIL")</f>
        <v>PASS</v>
      </c>
    </row>
    <row r="8" customFormat="false" ht="15" hidden="false" customHeight="false" outlineLevel="0" collapsed="false">
      <c r="A8" s="18" t="s">
        <v>2156</v>
      </c>
      <c r="B8" s="49" t="n">
        <v>46023</v>
      </c>
      <c r="C8" s="18" t="s">
        <v>2157</v>
      </c>
      <c r="D8" s="18" t="s">
        <v>2158</v>
      </c>
      <c r="E8" s="18" t="s">
        <v>119</v>
      </c>
      <c r="F8" s="18" t="s">
        <v>2163</v>
      </c>
      <c r="G8" s="65" t="n">
        <v>32.7309</v>
      </c>
      <c r="H8" s="65"/>
      <c r="I8" s="54"/>
      <c r="J8" s="18"/>
      <c r="K8" s="18" t="s">
        <v>2156</v>
      </c>
      <c r="L8" s="49" t="n">
        <v>46113</v>
      </c>
      <c r="M8" s="81" t="n">
        <v>29678.9761817052</v>
      </c>
      <c r="N8" s="81" t="n">
        <v>29678.9761817052</v>
      </c>
      <c r="O8" s="81" t="n">
        <v>0</v>
      </c>
      <c r="P8" s="81" t="n">
        <v>29678.9761817052</v>
      </c>
      <c r="Q8" s="81" t="n">
        <v>0</v>
      </c>
      <c r="R8" s="18" t="str">
        <f aca="false">IF(ABS(O8)&lt;0.0001,"PASS","FAIL")</f>
        <v>PASS</v>
      </c>
      <c r="S8" s="18" t="str">
        <f aca="false">IF(ABS(Q8)&lt;0.0001,"PASS","FAIL")</f>
        <v>PASS</v>
      </c>
    </row>
    <row r="9" customFormat="false" ht="15" hidden="false" customHeight="false" outlineLevel="0" collapsed="false">
      <c r="A9" s="18" t="s">
        <v>2156</v>
      </c>
      <c r="B9" s="49" t="n">
        <v>46023</v>
      </c>
      <c r="C9" s="18" t="s">
        <v>2157</v>
      </c>
      <c r="D9" s="18" t="s">
        <v>222</v>
      </c>
      <c r="E9" s="18" t="s">
        <v>2159</v>
      </c>
      <c r="F9" s="18" t="s">
        <v>2164</v>
      </c>
      <c r="G9" s="65" t="n">
        <v>80.4842</v>
      </c>
      <c r="H9" s="65" t="n">
        <v>7.63821132792664</v>
      </c>
      <c r="I9" s="54" t="n">
        <v>0.000659440175007123</v>
      </c>
      <c r="J9" s="18" t="b">
        <f aca="false">FALSE()</f>
        <v>0</v>
      </c>
      <c r="K9" s="18" t="s">
        <v>2156</v>
      </c>
      <c r="L9" s="49" t="n">
        <v>46143</v>
      </c>
      <c r="M9" s="81" t="n">
        <v>49961.1084391322</v>
      </c>
      <c r="N9" s="81" t="n">
        <v>49961.1084391322</v>
      </c>
      <c r="O9" s="81" t="n">
        <v>0</v>
      </c>
      <c r="P9" s="81" t="n">
        <v>49961.1084391322</v>
      </c>
      <c r="Q9" s="81" t="n">
        <v>0</v>
      </c>
      <c r="R9" s="18" t="str">
        <f aca="false">IF(ABS(O9)&lt;0.0001,"PASS","FAIL")</f>
        <v>PASS</v>
      </c>
      <c r="S9" s="18" t="str">
        <f aca="false">IF(ABS(Q9)&lt;0.0001,"PASS","FAIL")</f>
        <v>PASS</v>
      </c>
    </row>
    <row r="10" customFormat="false" ht="15" hidden="false" customHeight="false" outlineLevel="0" collapsed="false">
      <c r="A10" s="18" t="s">
        <v>2156</v>
      </c>
      <c r="B10" s="49" t="n">
        <v>46023</v>
      </c>
      <c r="C10" s="18" t="s">
        <v>2157</v>
      </c>
      <c r="D10" s="18" t="s">
        <v>222</v>
      </c>
      <c r="E10" s="18" t="s">
        <v>99</v>
      </c>
      <c r="F10" s="18" t="s">
        <v>2165</v>
      </c>
      <c r="G10" s="65" t="n">
        <v>-471.6541</v>
      </c>
      <c r="H10" s="65"/>
      <c r="I10" s="54"/>
      <c r="J10" s="18"/>
      <c r="K10" s="18" t="s">
        <v>2156</v>
      </c>
      <c r="L10" s="49" t="n">
        <v>46174</v>
      </c>
      <c r="M10" s="81" t="n">
        <v>64259.0106634159</v>
      </c>
      <c r="N10" s="81" t="n">
        <v>64259.0106634159</v>
      </c>
      <c r="O10" s="81" t="n">
        <v>0</v>
      </c>
      <c r="P10" s="81" t="n">
        <v>64259.0106634159</v>
      </c>
      <c r="Q10" s="81" t="n">
        <v>0</v>
      </c>
      <c r="R10" s="18" t="str">
        <f aca="false">IF(ABS(O10)&lt;0.0001,"PASS","FAIL")</f>
        <v>PASS</v>
      </c>
      <c r="S10" s="18" t="str">
        <f aca="false">IF(ABS(Q10)&lt;0.0001,"PASS","FAIL")</f>
        <v>PASS</v>
      </c>
    </row>
    <row r="11" customFormat="false" ht="15" hidden="false" customHeight="false" outlineLevel="0" collapsed="false">
      <c r="A11" s="18" t="s">
        <v>2156</v>
      </c>
      <c r="B11" s="49" t="n">
        <v>46023</v>
      </c>
      <c r="C11" s="18" t="s">
        <v>2157</v>
      </c>
      <c r="D11" s="18" t="s">
        <v>222</v>
      </c>
      <c r="E11" s="18" t="s">
        <v>113</v>
      </c>
      <c r="F11" s="18" t="s">
        <v>2166</v>
      </c>
      <c r="G11" s="65" t="n">
        <v>-340.9359</v>
      </c>
      <c r="H11" s="65"/>
      <c r="I11" s="54"/>
      <c r="J11" s="18"/>
      <c r="K11" s="18" t="s">
        <v>2156</v>
      </c>
      <c r="L11" s="49" t="n">
        <v>46204</v>
      </c>
      <c r="M11" s="81" t="n">
        <v>100860.07934655</v>
      </c>
      <c r="N11" s="81" t="n">
        <v>100860.07934655</v>
      </c>
      <c r="O11" s="81" t="n">
        <v>0</v>
      </c>
      <c r="P11" s="81" t="n">
        <v>100860.07934655</v>
      </c>
      <c r="Q11" s="81" t="n">
        <v>0</v>
      </c>
      <c r="R11" s="18" t="str">
        <f aca="false">IF(ABS(O11)&lt;0.0001,"PASS","FAIL")</f>
        <v>PASS</v>
      </c>
      <c r="S11" s="18" t="str">
        <f aca="false">IF(ABS(Q11)&lt;0.0001,"PASS","FAIL")</f>
        <v>PASS</v>
      </c>
    </row>
    <row r="12" customFormat="false" ht="15" hidden="false" customHeight="false" outlineLevel="0" collapsed="false">
      <c r="A12" s="18" t="s">
        <v>2156</v>
      </c>
      <c r="B12" s="49" t="n">
        <v>46023</v>
      </c>
      <c r="C12" s="18" t="s">
        <v>2157</v>
      </c>
      <c r="D12" s="18" t="s">
        <v>222</v>
      </c>
      <c r="E12" s="18" t="s">
        <v>119</v>
      </c>
      <c r="F12" s="18" t="s">
        <v>2167</v>
      </c>
      <c r="G12" s="65" t="n">
        <v>893.0742</v>
      </c>
      <c r="H12" s="65"/>
      <c r="I12" s="54"/>
      <c r="J12" s="18"/>
      <c r="K12" s="18" t="s">
        <v>2156</v>
      </c>
      <c r="L12" s="49" t="n">
        <v>46235</v>
      </c>
      <c r="M12" s="81" t="n">
        <v>601550.605478483</v>
      </c>
      <c r="N12" s="81" t="n">
        <v>601550.605478483</v>
      </c>
      <c r="O12" s="81" t="n">
        <v>0</v>
      </c>
      <c r="P12" s="81" t="n">
        <v>601550.605478483</v>
      </c>
      <c r="Q12" s="81" t="n">
        <v>0</v>
      </c>
      <c r="R12" s="18" t="str">
        <f aca="false">IF(ABS(O12)&lt;0.0001,"PASS","FAIL")</f>
        <v>PASS</v>
      </c>
      <c r="S12" s="18" t="str">
        <f aca="false">IF(ABS(Q12)&lt;0.0001,"PASS","FAIL")</f>
        <v>PASS</v>
      </c>
    </row>
    <row r="13" customFormat="false" ht="15" hidden="false" customHeight="false" outlineLevel="0" collapsed="false">
      <c r="A13" s="18" t="s">
        <v>2156</v>
      </c>
      <c r="B13" s="49" t="n">
        <v>46023</v>
      </c>
      <c r="C13" s="18" t="s">
        <v>2157</v>
      </c>
      <c r="D13" s="18" t="s">
        <v>2168</v>
      </c>
      <c r="E13" s="18" t="s">
        <v>2159</v>
      </c>
      <c r="F13" s="18" t="s">
        <v>2169</v>
      </c>
      <c r="G13" s="65" t="n">
        <v>4208.5951</v>
      </c>
      <c r="H13" s="65" t="n">
        <v>34.9002530360577</v>
      </c>
      <c r="I13" s="54" t="n">
        <v>0.00301309141392112</v>
      </c>
      <c r="J13" s="18" t="b">
        <f aca="false">FALSE()</f>
        <v>0</v>
      </c>
      <c r="K13" s="18" t="s">
        <v>2170</v>
      </c>
      <c r="L13" s="49" t="n">
        <v>46266</v>
      </c>
      <c r="M13" s="81" t="n">
        <v>232491.36449398</v>
      </c>
      <c r="N13" s="81" t="n">
        <v>232491.36449398</v>
      </c>
      <c r="O13" s="81" t="n">
        <v>0</v>
      </c>
      <c r="P13" s="81" t="n">
        <v>232491.36449398</v>
      </c>
      <c r="Q13" s="81" t="n">
        <v>0</v>
      </c>
      <c r="R13" s="18" t="str">
        <f aca="false">IF(ABS(O13)&lt;0.0001,"PASS","FAIL")</f>
        <v>PASS</v>
      </c>
      <c r="S13" s="18" t="str">
        <f aca="false">IF(ABS(Q13)&lt;0.0001,"PASS","FAIL")</f>
        <v>PASS</v>
      </c>
    </row>
    <row r="14" customFormat="false" ht="15" hidden="false" customHeight="false" outlineLevel="0" collapsed="false">
      <c r="A14" s="18" t="s">
        <v>2156</v>
      </c>
      <c r="B14" s="49" t="n">
        <v>46023</v>
      </c>
      <c r="C14" s="18" t="s">
        <v>2157</v>
      </c>
      <c r="D14" s="18" t="s">
        <v>2168</v>
      </c>
      <c r="E14" s="18" t="s">
        <v>99</v>
      </c>
      <c r="F14" s="18" t="s">
        <v>2171</v>
      </c>
      <c r="G14" s="65" t="n">
        <v>937.6906</v>
      </c>
      <c r="H14" s="65"/>
      <c r="I14" s="54"/>
      <c r="J14" s="18"/>
      <c r="K14" s="18" t="s">
        <v>2170</v>
      </c>
      <c r="L14" s="49" t="n">
        <v>46296</v>
      </c>
      <c r="M14" s="81" t="n">
        <v>243508.589888439</v>
      </c>
      <c r="N14" s="81" t="n">
        <v>243508.589888439</v>
      </c>
      <c r="O14" s="81" t="n">
        <v>0</v>
      </c>
      <c r="P14" s="81" t="n">
        <v>243508.589888439</v>
      </c>
      <c r="Q14" s="81" t="n">
        <v>0</v>
      </c>
      <c r="R14" s="18" t="str">
        <f aca="false">IF(ABS(O14)&lt;0.0001,"PASS","FAIL")</f>
        <v>PASS</v>
      </c>
      <c r="S14" s="18" t="str">
        <f aca="false">IF(ABS(Q14)&lt;0.0001,"PASS","FAIL")</f>
        <v>PASS</v>
      </c>
    </row>
    <row r="15" customFormat="false" ht="15" hidden="false" customHeight="false" outlineLevel="0" collapsed="false">
      <c r="A15" s="18" t="s">
        <v>2156</v>
      </c>
      <c r="B15" s="49" t="n">
        <v>46023</v>
      </c>
      <c r="C15" s="18" t="s">
        <v>2157</v>
      </c>
      <c r="D15" s="18" t="s">
        <v>2168</v>
      </c>
      <c r="E15" s="18" t="s">
        <v>113</v>
      </c>
      <c r="F15" s="18" t="s">
        <v>2172</v>
      </c>
      <c r="G15" s="65" t="n">
        <v>-40.9061</v>
      </c>
      <c r="H15" s="65"/>
      <c r="I15" s="54"/>
      <c r="J15" s="18"/>
      <c r="K15" s="18" t="s">
        <v>2170</v>
      </c>
      <c r="L15" s="49" t="n">
        <v>46327</v>
      </c>
      <c r="M15" s="81" t="n">
        <v>318068.762232324</v>
      </c>
      <c r="N15" s="81" t="n">
        <v>318068.762232324</v>
      </c>
      <c r="O15" s="81" t="n">
        <v>0</v>
      </c>
      <c r="P15" s="81" t="n">
        <v>318068.762232324</v>
      </c>
      <c r="Q15" s="81" t="n">
        <v>0</v>
      </c>
      <c r="R15" s="18" t="str">
        <f aca="false">IF(ABS(O15)&lt;0.0001,"PASS","FAIL")</f>
        <v>PASS</v>
      </c>
      <c r="S15" s="18" t="str">
        <f aca="false">IF(ABS(Q15)&lt;0.0001,"PASS","FAIL")</f>
        <v>PASS</v>
      </c>
    </row>
    <row r="16" customFormat="false" ht="15" hidden="false" customHeight="false" outlineLevel="0" collapsed="false">
      <c r="A16" s="18" t="s">
        <v>2156</v>
      </c>
      <c r="B16" s="49" t="n">
        <v>46023</v>
      </c>
      <c r="C16" s="18" t="s">
        <v>2157</v>
      </c>
      <c r="D16" s="18" t="s">
        <v>2168</v>
      </c>
      <c r="E16" s="18" t="s">
        <v>119</v>
      </c>
      <c r="F16" s="18" t="s">
        <v>2173</v>
      </c>
      <c r="G16" s="65" t="n">
        <v>3311.8106</v>
      </c>
      <c r="H16" s="65"/>
      <c r="I16" s="54"/>
      <c r="J16" s="18"/>
      <c r="K16" s="18" t="s">
        <v>2170</v>
      </c>
      <c r="L16" s="49" t="n">
        <v>46357</v>
      </c>
      <c r="M16" s="81" t="n">
        <v>309159.516851215</v>
      </c>
      <c r="N16" s="81" t="n">
        <v>309159.516851215</v>
      </c>
      <c r="O16" s="81" t="n">
        <v>0</v>
      </c>
      <c r="P16" s="81" t="n">
        <v>309159.516851215</v>
      </c>
      <c r="Q16" s="81" t="n">
        <v>0</v>
      </c>
      <c r="R16" s="18" t="str">
        <f aca="false">IF(ABS(O16)&lt;0.0001,"PASS","FAIL")</f>
        <v>PASS</v>
      </c>
      <c r="S16" s="18" t="str">
        <f aca="false">IF(ABS(Q16)&lt;0.0001,"PASS","FAIL")</f>
        <v>PASS</v>
      </c>
    </row>
    <row r="17" customFormat="false" ht="15" hidden="false" customHeight="false" outlineLevel="0" collapsed="false">
      <c r="A17" s="18" t="s">
        <v>2156</v>
      </c>
      <c r="B17" s="49" t="n">
        <v>46023</v>
      </c>
      <c r="C17" s="18" t="s">
        <v>2157</v>
      </c>
      <c r="D17" s="18" t="s">
        <v>2174</v>
      </c>
      <c r="E17" s="18" t="s">
        <v>2159</v>
      </c>
      <c r="F17" s="18" t="s">
        <v>2175</v>
      </c>
      <c r="G17" s="65" t="n">
        <v>1151.5621</v>
      </c>
      <c r="H17" s="65" t="n">
        <v>1.88629026929042</v>
      </c>
      <c r="I17" s="54" t="n">
        <v>0.000162851685020446</v>
      </c>
      <c r="J17" s="18" t="b">
        <f aca="false">FALSE()</f>
        <v>0</v>
      </c>
      <c r="K17" s="18" t="s">
        <v>2176</v>
      </c>
      <c r="L17" s="49" t="n">
        <v>46266</v>
      </c>
      <c r="M17" s="81" t="n">
        <v>0</v>
      </c>
      <c r="N17" s="81" t="n">
        <v>0</v>
      </c>
      <c r="O17" s="81" t="n">
        <v>0</v>
      </c>
      <c r="P17" s="81" t="n">
        <v>0</v>
      </c>
      <c r="Q17" s="81" t="n">
        <v>0</v>
      </c>
      <c r="R17" s="18" t="str">
        <f aca="false">IF(ABS(O17)&lt;0.0001,"PASS","FAIL")</f>
        <v>PASS</v>
      </c>
      <c r="S17" s="18" t="str">
        <f aca="false">IF(ABS(Q17)&lt;0.0001,"PASS","FAIL")</f>
        <v>PASS</v>
      </c>
    </row>
    <row r="18" customFormat="false" ht="15" hidden="false" customHeight="false" outlineLevel="0" collapsed="false">
      <c r="A18" s="18" t="s">
        <v>2156</v>
      </c>
      <c r="B18" s="49" t="n">
        <v>46023</v>
      </c>
      <c r="C18" s="18" t="s">
        <v>2157</v>
      </c>
      <c r="D18" s="18" t="s">
        <v>2174</v>
      </c>
      <c r="E18" s="18" t="s">
        <v>99</v>
      </c>
      <c r="F18" s="18" t="s">
        <v>2177</v>
      </c>
      <c r="G18" s="65" t="n">
        <v>376.2629</v>
      </c>
      <c r="H18" s="65"/>
      <c r="I18" s="54"/>
      <c r="J18" s="18"/>
      <c r="K18" s="18" t="s">
        <v>2176</v>
      </c>
      <c r="L18" s="49" t="n">
        <v>46296</v>
      </c>
      <c r="M18" s="81" t="n">
        <v>-33897.33982934</v>
      </c>
      <c r="N18" s="81" t="n">
        <v>-33897.33982934</v>
      </c>
      <c r="O18" s="81" t="n">
        <v>0</v>
      </c>
      <c r="P18" s="81" t="n">
        <v>-33897.33982934</v>
      </c>
      <c r="Q18" s="81" t="n">
        <v>0</v>
      </c>
      <c r="R18" s="18" t="str">
        <f aca="false">IF(ABS(O18)&lt;0.0001,"PASS","FAIL")</f>
        <v>PASS</v>
      </c>
      <c r="S18" s="18" t="str">
        <f aca="false">IF(ABS(Q18)&lt;0.0001,"PASS","FAIL")</f>
        <v>PASS</v>
      </c>
    </row>
    <row r="19" customFormat="false" ht="15" hidden="false" customHeight="false" outlineLevel="0" collapsed="false">
      <c r="A19" s="18" t="s">
        <v>2156</v>
      </c>
      <c r="B19" s="49" t="n">
        <v>46023</v>
      </c>
      <c r="C19" s="18" t="s">
        <v>2157</v>
      </c>
      <c r="D19" s="18" t="s">
        <v>2174</v>
      </c>
      <c r="E19" s="18" t="s">
        <v>113</v>
      </c>
      <c r="F19" s="18" t="s">
        <v>2178</v>
      </c>
      <c r="G19" s="65" t="n">
        <v>269.0905</v>
      </c>
      <c r="H19" s="65"/>
      <c r="I19" s="54"/>
      <c r="J19" s="18"/>
      <c r="K19" s="18" t="s">
        <v>2176</v>
      </c>
      <c r="L19" s="49" t="n">
        <v>46327</v>
      </c>
      <c r="M19" s="81" t="n">
        <v>-70837.7157896841</v>
      </c>
      <c r="N19" s="81" t="n">
        <v>-70837.7157896841</v>
      </c>
      <c r="O19" s="81" t="n">
        <v>0</v>
      </c>
      <c r="P19" s="81" t="n">
        <v>-70837.7157896841</v>
      </c>
      <c r="Q19" s="81" t="n">
        <v>0</v>
      </c>
      <c r="R19" s="18" t="str">
        <f aca="false">IF(ABS(O19)&lt;0.0001,"PASS","FAIL")</f>
        <v>PASS</v>
      </c>
      <c r="S19" s="18" t="str">
        <f aca="false">IF(ABS(Q19)&lt;0.0001,"PASS","FAIL")</f>
        <v>PASS</v>
      </c>
    </row>
    <row r="20" customFormat="false" ht="15" hidden="false" customHeight="false" outlineLevel="0" collapsed="false">
      <c r="A20" s="18" t="s">
        <v>2156</v>
      </c>
      <c r="B20" s="49" t="n">
        <v>46023</v>
      </c>
      <c r="C20" s="18" t="s">
        <v>2157</v>
      </c>
      <c r="D20" s="18" t="s">
        <v>2174</v>
      </c>
      <c r="E20" s="18" t="s">
        <v>119</v>
      </c>
      <c r="F20" s="18" t="s">
        <v>2179</v>
      </c>
      <c r="G20" s="65" t="n">
        <v>506.2086</v>
      </c>
      <c r="H20" s="65"/>
      <c r="I20" s="54"/>
      <c r="J20" s="18"/>
      <c r="K20" s="18" t="s">
        <v>2176</v>
      </c>
      <c r="L20" s="49" t="n">
        <v>46357</v>
      </c>
      <c r="M20" s="81" t="n">
        <v>-63619.369034325</v>
      </c>
      <c r="N20" s="81" t="n">
        <v>-63619.369034325</v>
      </c>
      <c r="O20" s="81" t="n">
        <v>0</v>
      </c>
      <c r="P20" s="81" t="n">
        <v>-63619.369034325</v>
      </c>
      <c r="Q20" s="81" t="n">
        <v>0</v>
      </c>
      <c r="R20" s="18" t="str">
        <f aca="false">IF(ABS(O20)&lt;0.0001,"PASS","FAIL")</f>
        <v>PASS</v>
      </c>
      <c r="S20" s="18" t="str">
        <f aca="false">IF(ABS(Q20)&lt;0.0001,"PASS","FAIL")</f>
        <v>PASS</v>
      </c>
    </row>
    <row r="21" customFormat="false" ht="15" hidden="false" customHeight="false" outlineLevel="0" collapsed="false">
      <c r="A21" s="18" t="s">
        <v>2156</v>
      </c>
      <c r="B21" s="49" t="n">
        <v>46023</v>
      </c>
      <c r="C21" s="18" t="s">
        <v>2157</v>
      </c>
      <c r="D21" s="18" t="s">
        <v>2180</v>
      </c>
      <c r="E21" s="18" t="s">
        <v>2159</v>
      </c>
      <c r="F21" s="18" t="s">
        <v>2181</v>
      </c>
      <c r="G21" s="65" t="n">
        <v>-5991.9105</v>
      </c>
      <c r="H21" s="65" t="n">
        <v>29.9076861343754</v>
      </c>
      <c r="I21" s="54" t="n">
        <v>0.00258206128788324</v>
      </c>
      <c r="J21" s="18" t="b">
        <f aca="false">FALSE()</f>
        <v>0</v>
      </c>
      <c r="K21" s="18" t="s">
        <v>2182</v>
      </c>
      <c r="L21" s="49" t="n">
        <v>46266</v>
      </c>
      <c r="M21" s="81" t="n">
        <v>52533.7690029572</v>
      </c>
      <c r="N21" s="81" t="n">
        <v>52533.7690029572</v>
      </c>
      <c r="O21" s="81" t="n">
        <v>0</v>
      </c>
      <c r="P21" s="81" t="n">
        <v>52533.7690029572</v>
      </c>
      <c r="Q21" s="81" t="n">
        <v>0</v>
      </c>
      <c r="R21" s="18" t="str">
        <f aca="false">IF(ABS(O21)&lt;0.0001,"PASS","FAIL")</f>
        <v>PASS</v>
      </c>
      <c r="S21" s="18" t="str">
        <f aca="false">IF(ABS(Q21)&lt;0.0001,"PASS","FAIL")</f>
        <v>PASS</v>
      </c>
    </row>
    <row r="22" customFormat="false" ht="15" hidden="false" customHeight="false" outlineLevel="0" collapsed="false">
      <c r="A22" s="18" t="s">
        <v>2156</v>
      </c>
      <c r="B22" s="49" t="n">
        <v>46023</v>
      </c>
      <c r="C22" s="18" t="s">
        <v>2157</v>
      </c>
      <c r="D22" s="18" t="s">
        <v>2180</v>
      </c>
      <c r="E22" s="18" t="s">
        <v>99</v>
      </c>
      <c r="F22" s="18" t="s">
        <v>2183</v>
      </c>
      <c r="G22" s="65" t="n">
        <v>-1977.6029</v>
      </c>
      <c r="H22" s="65"/>
      <c r="I22" s="54"/>
      <c r="J22" s="18"/>
      <c r="K22" s="18" t="s">
        <v>2182</v>
      </c>
      <c r="L22" s="49" t="n">
        <v>46296</v>
      </c>
      <c r="M22" s="81" t="n">
        <v>60024.2728689363</v>
      </c>
      <c r="N22" s="81" t="n">
        <v>60024.2728689363</v>
      </c>
      <c r="O22" s="81" t="n">
        <v>0</v>
      </c>
      <c r="P22" s="81" t="n">
        <v>60024.2728689363</v>
      </c>
      <c r="Q22" s="81" t="n">
        <v>0</v>
      </c>
      <c r="R22" s="18" t="str">
        <f aca="false">IF(ABS(O22)&lt;0.0001,"PASS","FAIL")</f>
        <v>PASS</v>
      </c>
      <c r="S22" s="18" t="str">
        <f aca="false">IF(ABS(Q22)&lt;0.0001,"PASS","FAIL")</f>
        <v>PASS</v>
      </c>
    </row>
    <row r="23" customFormat="false" ht="15" hidden="false" customHeight="false" outlineLevel="0" collapsed="false">
      <c r="A23" s="18" t="s">
        <v>2156</v>
      </c>
      <c r="B23" s="49" t="n">
        <v>46023</v>
      </c>
      <c r="C23" s="18" t="s">
        <v>2157</v>
      </c>
      <c r="D23" s="18" t="s">
        <v>2180</v>
      </c>
      <c r="E23" s="18" t="s">
        <v>113</v>
      </c>
      <c r="F23" s="18" t="s">
        <v>2184</v>
      </c>
      <c r="G23" s="65" t="n">
        <v>-1437.309</v>
      </c>
      <c r="H23" s="65"/>
      <c r="I23" s="54"/>
      <c r="J23" s="18"/>
      <c r="K23" s="18" t="s">
        <v>2182</v>
      </c>
      <c r="L23" s="49" t="n">
        <v>46327</v>
      </c>
      <c r="M23" s="81" t="n">
        <v>78858.5472456613</v>
      </c>
      <c r="N23" s="81" t="n">
        <v>78858.5472456613</v>
      </c>
      <c r="O23" s="81" t="n">
        <v>0</v>
      </c>
      <c r="P23" s="81" t="n">
        <v>78858.5472456613</v>
      </c>
      <c r="Q23" s="81" t="n">
        <v>0</v>
      </c>
      <c r="R23" s="18" t="str">
        <f aca="false">IF(ABS(O23)&lt;0.0001,"PASS","FAIL")</f>
        <v>PASS</v>
      </c>
      <c r="S23" s="18" t="str">
        <f aca="false">IF(ABS(Q23)&lt;0.0001,"PASS","FAIL")</f>
        <v>PASS</v>
      </c>
    </row>
    <row r="24" customFormat="false" ht="15" hidden="false" customHeight="false" outlineLevel="0" collapsed="false">
      <c r="A24" s="18" t="s">
        <v>2156</v>
      </c>
      <c r="B24" s="49" t="n">
        <v>46023</v>
      </c>
      <c r="C24" s="18" t="s">
        <v>2157</v>
      </c>
      <c r="D24" s="18" t="s">
        <v>2180</v>
      </c>
      <c r="E24" s="18" t="s">
        <v>119</v>
      </c>
      <c r="F24" s="18" t="s">
        <v>2185</v>
      </c>
      <c r="G24" s="65" t="n">
        <v>-2576.9986</v>
      </c>
      <c r="H24" s="65"/>
      <c r="I24" s="54"/>
      <c r="J24" s="18"/>
      <c r="K24" s="21" t="s">
        <v>2182</v>
      </c>
      <c r="L24" s="55" t="n">
        <v>46357</v>
      </c>
      <c r="M24" s="82" t="n">
        <v>89966.0078289846</v>
      </c>
      <c r="N24" s="82" t="n">
        <v>89966.0078289846</v>
      </c>
      <c r="O24" s="82" t="n">
        <v>0</v>
      </c>
      <c r="P24" s="82" t="n">
        <v>89966.0078289846</v>
      </c>
      <c r="Q24" s="82" t="n">
        <v>0</v>
      </c>
      <c r="R24" s="21" t="str">
        <f aca="false">IF(ABS(O24)&lt;0.0001,"PASS","FAIL")</f>
        <v>PASS</v>
      </c>
      <c r="S24" s="21" t="str">
        <f aca="false">IF(ABS(Q24)&lt;0.0001,"PASS","FAIL")</f>
        <v>PASS</v>
      </c>
    </row>
    <row r="25" customFormat="false" ht="15" hidden="false" customHeight="false" outlineLevel="0" collapsed="false">
      <c r="A25" s="18" t="s">
        <v>2156</v>
      </c>
      <c r="B25" s="49" t="n">
        <v>46023</v>
      </c>
      <c r="C25" s="18" t="s">
        <v>2186</v>
      </c>
      <c r="D25" s="18" t="s">
        <v>2158</v>
      </c>
      <c r="E25" s="18" t="s">
        <v>2159</v>
      </c>
      <c r="F25" s="18" t="s">
        <v>2187</v>
      </c>
      <c r="G25" s="65" t="n">
        <v>91.2645</v>
      </c>
      <c r="H25" s="65"/>
      <c r="I25" s="54"/>
      <c r="J25" s="18"/>
    </row>
    <row r="26" customFormat="false" ht="15" hidden="false" customHeight="false" outlineLevel="0" collapsed="false">
      <c r="A26" s="18" t="s">
        <v>2156</v>
      </c>
      <c r="B26" s="49" t="n">
        <v>46023</v>
      </c>
      <c r="C26" s="18" t="s">
        <v>2186</v>
      </c>
      <c r="D26" s="18" t="s">
        <v>2158</v>
      </c>
      <c r="E26" s="18" t="s">
        <v>99</v>
      </c>
      <c r="F26" s="18" t="s">
        <v>2188</v>
      </c>
      <c r="G26" s="65" t="n">
        <v>32.6128</v>
      </c>
      <c r="H26" s="65"/>
      <c r="I26" s="54"/>
      <c r="J26" s="18"/>
    </row>
    <row r="27" customFormat="false" ht="15" hidden="false" customHeight="false" outlineLevel="0" collapsed="false">
      <c r="A27" s="18" t="s">
        <v>2156</v>
      </c>
      <c r="B27" s="49" t="n">
        <v>46023</v>
      </c>
      <c r="C27" s="18" t="s">
        <v>2186</v>
      </c>
      <c r="D27" s="18" t="s">
        <v>2158</v>
      </c>
      <c r="E27" s="18" t="s">
        <v>113</v>
      </c>
      <c r="F27" s="18" t="s">
        <v>2189</v>
      </c>
      <c r="G27" s="65" t="n">
        <v>25.4589</v>
      </c>
      <c r="H27" s="65"/>
      <c r="I27" s="54"/>
      <c r="J27" s="18"/>
    </row>
    <row r="28" customFormat="false" ht="15" hidden="false" customHeight="false" outlineLevel="0" collapsed="false">
      <c r="A28" s="18" t="s">
        <v>2156</v>
      </c>
      <c r="B28" s="49" t="n">
        <v>46023</v>
      </c>
      <c r="C28" s="18" t="s">
        <v>2186</v>
      </c>
      <c r="D28" s="18" t="s">
        <v>2158</v>
      </c>
      <c r="E28" s="18" t="s">
        <v>119</v>
      </c>
      <c r="F28" s="18" t="s">
        <v>2190</v>
      </c>
      <c r="G28" s="65" t="n">
        <v>33.1928</v>
      </c>
      <c r="H28" s="65"/>
      <c r="I28" s="54"/>
      <c r="J28" s="18"/>
    </row>
    <row r="29" customFormat="false" ht="15" hidden="false" customHeight="false" outlineLevel="0" collapsed="false">
      <c r="A29" s="18" t="s">
        <v>2156</v>
      </c>
      <c r="B29" s="49" t="n">
        <v>46023</v>
      </c>
      <c r="C29" s="18" t="s">
        <v>2186</v>
      </c>
      <c r="D29" s="18" t="s">
        <v>222</v>
      </c>
      <c r="E29" s="18" t="s">
        <v>2159</v>
      </c>
      <c r="F29" s="18" t="s">
        <v>2191</v>
      </c>
      <c r="G29" s="65" t="n">
        <v>72.846</v>
      </c>
      <c r="H29" s="65"/>
      <c r="I29" s="54"/>
      <c r="J29" s="18"/>
    </row>
    <row r="30" customFormat="false" ht="15" hidden="false" customHeight="false" outlineLevel="0" collapsed="false">
      <c r="A30" s="18" t="s">
        <v>2156</v>
      </c>
      <c r="B30" s="49" t="n">
        <v>46023</v>
      </c>
      <c r="C30" s="18" t="s">
        <v>2186</v>
      </c>
      <c r="D30" s="18" t="s">
        <v>222</v>
      </c>
      <c r="E30" s="18" t="s">
        <v>99</v>
      </c>
      <c r="F30" s="18" t="s">
        <v>2192</v>
      </c>
      <c r="G30" s="65" t="n">
        <v>-472.4686</v>
      </c>
      <c r="H30" s="65"/>
      <c r="I30" s="54"/>
      <c r="J30" s="18"/>
    </row>
    <row r="31" customFormat="false" ht="15" hidden="false" customHeight="false" outlineLevel="0" collapsed="false">
      <c r="A31" s="18" t="s">
        <v>2156</v>
      </c>
      <c r="B31" s="49" t="n">
        <v>46023</v>
      </c>
      <c r="C31" s="18" t="s">
        <v>2186</v>
      </c>
      <c r="D31" s="18" t="s">
        <v>222</v>
      </c>
      <c r="E31" s="18" t="s">
        <v>113</v>
      </c>
      <c r="F31" s="18" t="s">
        <v>2193</v>
      </c>
      <c r="G31" s="65" t="n">
        <v>-342.4549</v>
      </c>
      <c r="H31" s="65"/>
      <c r="I31" s="54"/>
      <c r="J31" s="18"/>
    </row>
    <row r="32" customFormat="false" ht="15" hidden="false" customHeight="false" outlineLevel="0" collapsed="false">
      <c r="A32" s="18" t="s">
        <v>2156</v>
      </c>
      <c r="B32" s="49" t="n">
        <v>46023</v>
      </c>
      <c r="C32" s="18" t="s">
        <v>2186</v>
      </c>
      <c r="D32" s="18" t="s">
        <v>222</v>
      </c>
      <c r="E32" s="18" t="s">
        <v>119</v>
      </c>
      <c r="F32" s="18" t="s">
        <v>2194</v>
      </c>
      <c r="G32" s="65" t="n">
        <v>887.7695</v>
      </c>
      <c r="H32" s="65"/>
      <c r="I32" s="54"/>
      <c r="J32" s="18"/>
    </row>
    <row r="33" customFormat="false" ht="15" hidden="false" customHeight="false" outlineLevel="0" collapsed="false">
      <c r="A33" s="18" t="s">
        <v>2156</v>
      </c>
      <c r="B33" s="49" t="n">
        <v>46023</v>
      </c>
      <c r="C33" s="18" t="s">
        <v>2186</v>
      </c>
      <c r="D33" s="18" t="s">
        <v>2168</v>
      </c>
      <c r="E33" s="18" t="s">
        <v>2159</v>
      </c>
      <c r="F33" s="18" t="s">
        <v>2195</v>
      </c>
      <c r="G33" s="65" t="n">
        <v>4243.4953</v>
      </c>
      <c r="H33" s="65"/>
      <c r="I33" s="54"/>
      <c r="J33" s="18"/>
    </row>
    <row r="34" customFormat="false" ht="15" hidden="false" customHeight="false" outlineLevel="0" collapsed="false">
      <c r="A34" s="18" t="s">
        <v>2156</v>
      </c>
      <c r="B34" s="49" t="n">
        <v>46023</v>
      </c>
      <c r="C34" s="18" t="s">
        <v>2186</v>
      </c>
      <c r="D34" s="18" t="s">
        <v>2168</v>
      </c>
      <c r="E34" s="18" t="s">
        <v>99</v>
      </c>
      <c r="F34" s="18" t="s">
        <v>2196</v>
      </c>
      <c r="G34" s="65" t="n">
        <v>942.5735</v>
      </c>
      <c r="H34" s="65"/>
      <c r="I34" s="54"/>
      <c r="J34" s="18"/>
    </row>
    <row r="35" customFormat="false" ht="15" hidden="false" customHeight="false" outlineLevel="0" collapsed="false">
      <c r="A35" s="18" t="s">
        <v>2156</v>
      </c>
      <c r="B35" s="49" t="n">
        <v>46023</v>
      </c>
      <c r="C35" s="18" t="s">
        <v>2186</v>
      </c>
      <c r="D35" s="18" t="s">
        <v>2168</v>
      </c>
      <c r="E35" s="18" t="s">
        <v>113</v>
      </c>
      <c r="F35" s="18" t="s">
        <v>2197</v>
      </c>
      <c r="G35" s="65" t="n">
        <v>-41.1522</v>
      </c>
      <c r="H35" s="65"/>
      <c r="I35" s="54"/>
      <c r="J35" s="18"/>
    </row>
    <row r="36" customFormat="false" ht="15" hidden="false" customHeight="false" outlineLevel="0" collapsed="false">
      <c r="A36" s="18" t="s">
        <v>2156</v>
      </c>
      <c r="B36" s="49" t="n">
        <v>46023</v>
      </c>
      <c r="C36" s="18" t="s">
        <v>2186</v>
      </c>
      <c r="D36" s="18" t="s">
        <v>2168</v>
      </c>
      <c r="E36" s="18" t="s">
        <v>119</v>
      </c>
      <c r="F36" s="18" t="s">
        <v>2198</v>
      </c>
      <c r="G36" s="65" t="n">
        <v>3342.074</v>
      </c>
      <c r="H36" s="65"/>
      <c r="I36" s="54"/>
      <c r="J36" s="18"/>
    </row>
    <row r="37" customFormat="false" ht="15" hidden="false" customHeight="false" outlineLevel="0" collapsed="false">
      <c r="A37" s="18" t="s">
        <v>2156</v>
      </c>
      <c r="B37" s="49" t="n">
        <v>46023</v>
      </c>
      <c r="C37" s="18" t="s">
        <v>2186</v>
      </c>
      <c r="D37" s="18" t="s">
        <v>2174</v>
      </c>
      <c r="E37" s="18" t="s">
        <v>2159</v>
      </c>
      <c r="F37" s="18" t="s">
        <v>2199</v>
      </c>
      <c r="G37" s="65" t="n">
        <v>1153.4484</v>
      </c>
      <c r="H37" s="65"/>
      <c r="I37" s="54"/>
      <c r="J37" s="18"/>
    </row>
    <row r="38" customFormat="false" ht="15" hidden="false" customHeight="false" outlineLevel="0" collapsed="false">
      <c r="A38" s="18" t="s">
        <v>2156</v>
      </c>
      <c r="B38" s="49" t="n">
        <v>46023</v>
      </c>
      <c r="C38" s="18" t="s">
        <v>2186</v>
      </c>
      <c r="D38" s="18" t="s">
        <v>2174</v>
      </c>
      <c r="E38" s="18" t="s">
        <v>99</v>
      </c>
      <c r="F38" s="18" t="s">
        <v>2200</v>
      </c>
      <c r="G38" s="65" t="n">
        <v>376.8062</v>
      </c>
      <c r="H38" s="65"/>
      <c r="I38" s="54"/>
      <c r="J38" s="18"/>
    </row>
    <row r="39" customFormat="false" ht="15" hidden="false" customHeight="false" outlineLevel="0" collapsed="false">
      <c r="A39" s="18" t="s">
        <v>2156</v>
      </c>
      <c r="B39" s="49" t="n">
        <v>46023</v>
      </c>
      <c r="C39" s="18" t="s">
        <v>2186</v>
      </c>
      <c r="D39" s="18" t="s">
        <v>2174</v>
      </c>
      <c r="E39" s="18" t="s">
        <v>113</v>
      </c>
      <c r="F39" s="18" t="s">
        <v>2201</v>
      </c>
      <c r="G39" s="65" t="n">
        <v>270.2137</v>
      </c>
      <c r="H39" s="65"/>
      <c r="I39" s="54"/>
      <c r="J39" s="18"/>
    </row>
    <row r="40" customFormat="false" ht="15" hidden="false" customHeight="false" outlineLevel="0" collapsed="false">
      <c r="A40" s="18" t="s">
        <v>2156</v>
      </c>
      <c r="B40" s="49" t="n">
        <v>46023</v>
      </c>
      <c r="C40" s="18" t="s">
        <v>2186</v>
      </c>
      <c r="D40" s="18" t="s">
        <v>2174</v>
      </c>
      <c r="E40" s="18" t="s">
        <v>119</v>
      </c>
      <c r="F40" s="18" t="s">
        <v>2202</v>
      </c>
      <c r="G40" s="65" t="n">
        <v>506.4284</v>
      </c>
      <c r="H40" s="65"/>
      <c r="I40" s="54"/>
      <c r="J40" s="18"/>
    </row>
    <row r="41" customFormat="false" ht="15" hidden="false" customHeight="false" outlineLevel="0" collapsed="false">
      <c r="A41" s="18" t="s">
        <v>2156</v>
      </c>
      <c r="B41" s="49" t="n">
        <v>46023</v>
      </c>
      <c r="C41" s="18" t="s">
        <v>2186</v>
      </c>
      <c r="D41" s="18" t="s">
        <v>2180</v>
      </c>
      <c r="E41" s="18" t="s">
        <v>2159</v>
      </c>
      <c r="F41" s="18" t="s">
        <v>2203</v>
      </c>
      <c r="G41" s="65" t="n">
        <v>-6021.8182</v>
      </c>
      <c r="H41" s="65"/>
      <c r="I41" s="54"/>
      <c r="J41" s="18"/>
    </row>
    <row r="42" customFormat="false" ht="15" hidden="false" customHeight="false" outlineLevel="0" collapsed="false">
      <c r="A42" s="18" t="s">
        <v>2156</v>
      </c>
      <c r="B42" s="49" t="n">
        <v>46023</v>
      </c>
      <c r="C42" s="18" t="s">
        <v>2186</v>
      </c>
      <c r="D42" s="18" t="s">
        <v>2180</v>
      </c>
      <c r="E42" s="18" t="s">
        <v>99</v>
      </c>
      <c r="F42" s="18" t="s">
        <v>2204</v>
      </c>
      <c r="G42" s="65" t="n">
        <v>-1982.3425</v>
      </c>
      <c r="H42" s="65"/>
      <c r="I42" s="54"/>
      <c r="J42" s="18"/>
    </row>
    <row r="43" customFormat="false" ht="15" hidden="false" customHeight="false" outlineLevel="0" collapsed="false">
      <c r="A43" s="18" t="s">
        <v>2156</v>
      </c>
      <c r="B43" s="49" t="n">
        <v>46023</v>
      </c>
      <c r="C43" s="18" t="s">
        <v>2186</v>
      </c>
      <c r="D43" s="18" t="s">
        <v>2180</v>
      </c>
      <c r="E43" s="18" t="s">
        <v>113</v>
      </c>
      <c r="F43" s="18" t="s">
        <v>2205</v>
      </c>
      <c r="G43" s="65" t="n">
        <v>-1436.8367</v>
      </c>
      <c r="H43" s="65"/>
      <c r="I43" s="54"/>
      <c r="J43" s="18"/>
    </row>
    <row r="44" customFormat="false" ht="15" hidden="false" customHeight="false" outlineLevel="0" collapsed="false">
      <c r="A44" s="18" t="s">
        <v>2156</v>
      </c>
      <c r="B44" s="49" t="n">
        <v>46023</v>
      </c>
      <c r="C44" s="18" t="s">
        <v>2186</v>
      </c>
      <c r="D44" s="18" t="s">
        <v>2180</v>
      </c>
      <c r="E44" s="18" t="s">
        <v>119</v>
      </c>
      <c r="F44" s="18" t="s">
        <v>2206</v>
      </c>
      <c r="G44" s="65" t="n">
        <v>-2602.639</v>
      </c>
      <c r="H44" s="65"/>
      <c r="I44" s="54"/>
      <c r="J44" s="18"/>
    </row>
    <row r="45" customFormat="false" ht="15" hidden="false" customHeight="false" outlineLevel="0" collapsed="false">
      <c r="A45" s="18" t="s">
        <v>2156</v>
      </c>
      <c r="B45" s="49" t="n">
        <v>46054</v>
      </c>
      <c r="C45" s="18" t="s">
        <v>2157</v>
      </c>
      <c r="D45" s="18" t="s">
        <v>2158</v>
      </c>
      <c r="E45" s="18" t="s">
        <v>2159</v>
      </c>
      <c r="F45" s="18" t="s">
        <v>2207</v>
      </c>
      <c r="G45" s="65" t="n">
        <v>494.8068</v>
      </c>
      <c r="H45" s="65" t="n">
        <v>5.38303912859095</v>
      </c>
      <c r="I45" s="54" t="n">
        <v>0.000317396915089706</v>
      </c>
      <c r="J45" s="18" t="b">
        <f aca="false">FALSE()</f>
        <v>0</v>
      </c>
    </row>
    <row r="46" customFormat="false" ht="15" hidden="false" customHeight="false" outlineLevel="0" collapsed="false">
      <c r="A46" s="18" t="s">
        <v>2156</v>
      </c>
      <c r="B46" s="49" t="n">
        <v>46054</v>
      </c>
      <c r="C46" s="18" t="s">
        <v>2157</v>
      </c>
      <c r="D46" s="18" t="s">
        <v>2158</v>
      </c>
      <c r="E46" s="18" t="s">
        <v>99</v>
      </c>
      <c r="F46" s="18" t="s">
        <v>2208</v>
      </c>
      <c r="G46" s="65" t="n">
        <v>150.7911</v>
      </c>
      <c r="H46" s="65"/>
      <c r="I46" s="54"/>
      <c r="J46" s="18"/>
    </row>
    <row r="47" customFormat="false" ht="15" hidden="false" customHeight="false" outlineLevel="0" collapsed="false">
      <c r="A47" s="18" t="s">
        <v>2156</v>
      </c>
      <c r="B47" s="49" t="n">
        <v>46054</v>
      </c>
      <c r="C47" s="18" t="s">
        <v>2157</v>
      </c>
      <c r="D47" s="18" t="s">
        <v>2158</v>
      </c>
      <c r="E47" s="18" t="s">
        <v>113</v>
      </c>
      <c r="F47" s="18" t="s">
        <v>2209</v>
      </c>
      <c r="G47" s="65" t="n">
        <v>115.6102</v>
      </c>
      <c r="H47" s="65"/>
      <c r="I47" s="54"/>
      <c r="J47" s="18"/>
    </row>
    <row r="48" customFormat="false" ht="15" hidden="false" customHeight="false" outlineLevel="0" collapsed="false">
      <c r="A48" s="18" t="s">
        <v>2156</v>
      </c>
      <c r="B48" s="49" t="n">
        <v>46054</v>
      </c>
      <c r="C48" s="18" t="s">
        <v>2157</v>
      </c>
      <c r="D48" s="18" t="s">
        <v>2158</v>
      </c>
      <c r="E48" s="18" t="s">
        <v>119</v>
      </c>
      <c r="F48" s="18" t="s">
        <v>2210</v>
      </c>
      <c r="G48" s="65" t="n">
        <v>228.4055</v>
      </c>
      <c r="H48" s="65"/>
      <c r="I48" s="54"/>
      <c r="J48" s="18"/>
    </row>
    <row r="49" customFormat="false" ht="15" hidden="false" customHeight="false" outlineLevel="0" collapsed="false">
      <c r="A49" s="18" t="s">
        <v>2156</v>
      </c>
      <c r="B49" s="49" t="n">
        <v>46054</v>
      </c>
      <c r="C49" s="18" t="s">
        <v>2157</v>
      </c>
      <c r="D49" s="18" t="s">
        <v>222</v>
      </c>
      <c r="E49" s="18" t="s">
        <v>2159</v>
      </c>
      <c r="F49" s="18" t="s">
        <v>2211</v>
      </c>
      <c r="G49" s="65" t="n">
        <v>-1472.3098</v>
      </c>
      <c r="H49" s="65" t="n">
        <v>7.70471109431339</v>
      </c>
      <c r="I49" s="54" t="n">
        <v>0.000454288269985625</v>
      </c>
      <c r="J49" s="18" t="b">
        <f aca="false">FALSE()</f>
        <v>0</v>
      </c>
    </row>
    <row r="50" customFormat="false" ht="15" hidden="false" customHeight="false" outlineLevel="0" collapsed="false">
      <c r="A50" s="18" t="s">
        <v>2156</v>
      </c>
      <c r="B50" s="49" t="n">
        <v>46054</v>
      </c>
      <c r="C50" s="18" t="s">
        <v>2157</v>
      </c>
      <c r="D50" s="18" t="s">
        <v>222</v>
      </c>
      <c r="E50" s="18" t="s">
        <v>99</v>
      </c>
      <c r="F50" s="18" t="s">
        <v>2212</v>
      </c>
      <c r="G50" s="65" t="n">
        <v>-918.7262</v>
      </c>
      <c r="H50" s="65"/>
      <c r="I50" s="54"/>
      <c r="J50" s="18"/>
    </row>
    <row r="51" customFormat="false" ht="15" hidden="false" customHeight="false" outlineLevel="0" collapsed="false">
      <c r="A51" s="18" t="s">
        <v>2156</v>
      </c>
      <c r="B51" s="49" t="n">
        <v>46054</v>
      </c>
      <c r="C51" s="18" t="s">
        <v>2157</v>
      </c>
      <c r="D51" s="18" t="s">
        <v>222</v>
      </c>
      <c r="E51" s="18" t="s">
        <v>113</v>
      </c>
      <c r="F51" s="18" t="s">
        <v>2213</v>
      </c>
      <c r="G51" s="65" t="n">
        <v>-683.7927</v>
      </c>
      <c r="H51" s="65"/>
      <c r="I51" s="54"/>
      <c r="J51" s="18"/>
    </row>
    <row r="52" customFormat="false" ht="15" hidden="false" customHeight="false" outlineLevel="0" collapsed="false">
      <c r="A52" s="18" t="s">
        <v>2156</v>
      </c>
      <c r="B52" s="49" t="n">
        <v>46054</v>
      </c>
      <c r="C52" s="18" t="s">
        <v>2157</v>
      </c>
      <c r="D52" s="18" t="s">
        <v>222</v>
      </c>
      <c r="E52" s="18" t="s">
        <v>119</v>
      </c>
      <c r="F52" s="18" t="s">
        <v>2214</v>
      </c>
      <c r="G52" s="65" t="n">
        <v>130.2091</v>
      </c>
      <c r="H52" s="65"/>
      <c r="I52" s="54"/>
      <c r="J52" s="18"/>
    </row>
    <row r="53" customFormat="false" ht="15" hidden="false" customHeight="false" outlineLevel="0" collapsed="false">
      <c r="A53" s="18" t="s">
        <v>2156</v>
      </c>
      <c r="B53" s="49" t="n">
        <v>46054</v>
      </c>
      <c r="C53" s="18" t="s">
        <v>2157</v>
      </c>
      <c r="D53" s="18" t="s">
        <v>2168</v>
      </c>
      <c r="E53" s="18" t="s">
        <v>2159</v>
      </c>
      <c r="F53" s="18" t="s">
        <v>2215</v>
      </c>
      <c r="G53" s="65" t="n">
        <v>5535.4229</v>
      </c>
      <c r="H53" s="65" t="n">
        <v>16.8557648120558</v>
      </c>
      <c r="I53" s="54" t="n">
        <v>0.000993856374628384</v>
      </c>
      <c r="J53" s="18" t="b">
        <f aca="false">FALSE()</f>
        <v>0</v>
      </c>
    </row>
    <row r="54" customFormat="false" ht="15" hidden="false" customHeight="false" outlineLevel="0" collapsed="false">
      <c r="A54" s="18" t="s">
        <v>2156</v>
      </c>
      <c r="B54" s="49" t="n">
        <v>46054</v>
      </c>
      <c r="C54" s="18" t="s">
        <v>2157</v>
      </c>
      <c r="D54" s="18" t="s">
        <v>2168</v>
      </c>
      <c r="E54" s="18" t="s">
        <v>99</v>
      </c>
      <c r="F54" s="18" t="s">
        <v>2216</v>
      </c>
      <c r="G54" s="65" t="n">
        <v>-2088.035</v>
      </c>
      <c r="H54" s="65"/>
      <c r="I54" s="54"/>
      <c r="J54" s="18"/>
    </row>
    <row r="55" customFormat="false" ht="15" hidden="false" customHeight="false" outlineLevel="0" collapsed="false">
      <c r="A55" s="18" t="s">
        <v>2156</v>
      </c>
      <c r="B55" s="49" t="n">
        <v>46054</v>
      </c>
      <c r="C55" s="18" t="s">
        <v>2157</v>
      </c>
      <c r="D55" s="18" t="s">
        <v>2168</v>
      </c>
      <c r="E55" s="18" t="s">
        <v>113</v>
      </c>
      <c r="F55" s="18" t="s">
        <v>2217</v>
      </c>
      <c r="G55" s="65" t="n">
        <v>1602.7581</v>
      </c>
      <c r="H55" s="65"/>
      <c r="I55" s="54"/>
      <c r="J55" s="18"/>
    </row>
    <row r="56" customFormat="false" ht="15" hidden="false" customHeight="false" outlineLevel="0" collapsed="false">
      <c r="A56" s="18" t="s">
        <v>2156</v>
      </c>
      <c r="B56" s="49" t="n">
        <v>46054</v>
      </c>
      <c r="C56" s="18" t="s">
        <v>2157</v>
      </c>
      <c r="D56" s="18" t="s">
        <v>2168</v>
      </c>
      <c r="E56" s="18" t="s">
        <v>119</v>
      </c>
      <c r="F56" s="18" t="s">
        <v>2218</v>
      </c>
      <c r="G56" s="65" t="n">
        <v>6020.6998</v>
      </c>
      <c r="H56" s="65"/>
      <c r="I56" s="54"/>
      <c r="J56" s="18"/>
    </row>
    <row r="57" customFormat="false" ht="15" hidden="false" customHeight="false" outlineLevel="0" collapsed="false">
      <c r="A57" s="18" t="s">
        <v>2156</v>
      </c>
      <c r="B57" s="49" t="n">
        <v>46054</v>
      </c>
      <c r="C57" s="18" t="s">
        <v>2157</v>
      </c>
      <c r="D57" s="18" t="s">
        <v>2174</v>
      </c>
      <c r="E57" s="18" t="s">
        <v>2159</v>
      </c>
      <c r="F57" s="18" t="s">
        <v>2219</v>
      </c>
      <c r="G57" s="65" t="n">
        <v>2282.5378</v>
      </c>
      <c r="H57" s="65" t="n">
        <v>30.3934969191332</v>
      </c>
      <c r="I57" s="54" t="n">
        <v>0.00179207357228453</v>
      </c>
      <c r="J57" s="18" t="b">
        <f aca="false">FALSE()</f>
        <v>0</v>
      </c>
    </row>
    <row r="58" customFormat="false" ht="15" hidden="false" customHeight="false" outlineLevel="0" collapsed="false">
      <c r="A58" s="18" t="s">
        <v>2156</v>
      </c>
      <c r="B58" s="49" t="n">
        <v>46054</v>
      </c>
      <c r="C58" s="18" t="s">
        <v>2157</v>
      </c>
      <c r="D58" s="18" t="s">
        <v>2174</v>
      </c>
      <c r="E58" s="18" t="s">
        <v>99</v>
      </c>
      <c r="F58" s="18" t="s">
        <v>2220</v>
      </c>
      <c r="G58" s="65" t="n">
        <v>731.4604</v>
      </c>
      <c r="H58" s="65"/>
      <c r="I58" s="54"/>
      <c r="J58" s="18"/>
    </row>
    <row r="59" customFormat="false" ht="15" hidden="false" customHeight="false" outlineLevel="0" collapsed="false">
      <c r="A59" s="18" t="s">
        <v>2156</v>
      </c>
      <c r="B59" s="49" t="n">
        <v>46054</v>
      </c>
      <c r="C59" s="18" t="s">
        <v>2157</v>
      </c>
      <c r="D59" s="18" t="s">
        <v>2174</v>
      </c>
      <c r="E59" s="18" t="s">
        <v>113</v>
      </c>
      <c r="F59" s="18" t="s">
        <v>2221</v>
      </c>
      <c r="G59" s="65" t="n">
        <v>538.6242</v>
      </c>
      <c r="H59" s="65"/>
      <c r="I59" s="54"/>
      <c r="J59" s="18"/>
    </row>
    <row r="60" customFormat="false" ht="15" hidden="false" customHeight="false" outlineLevel="0" collapsed="false">
      <c r="A60" s="18" t="s">
        <v>2156</v>
      </c>
      <c r="B60" s="49" t="n">
        <v>46054</v>
      </c>
      <c r="C60" s="18" t="s">
        <v>2157</v>
      </c>
      <c r="D60" s="18" t="s">
        <v>2174</v>
      </c>
      <c r="E60" s="18" t="s">
        <v>119</v>
      </c>
      <c r="F60" s="18" t="s">
        <v>2222</v>
      </c>
      <c r="G60" s="65" t="n">
        <v>1012.4533</v>
      </c>
      <c r="H60" s="65"/>
      <c r="I60" s="54"/>
      <c r="J60" s="18"/>
    </row>
    <row r="61" customFormat="false" ht="15" hidden="false" customHeight="false" outlineLevel="0" collapsed="false">
      <c r="A61" s="18" t="s">
        <v>2156</v>
      </c>
      <c r="B61" s="49" t="n">
        <v>46054</v>
      </c>
      <c r="C61" s="18" t="s">
        <v>2157</v>
      </c>
      <c r="D61" s="18" t="s">
        <v>2180</v>
      </c>
      <c r="E61" s="18" t="s">
        <v>2159</v>
      </c>
      <c r="F61" s="18" t="s">
        <v>2223</v>
      </c>
      <c r="G61" s="65" t="n">
        <v>7190.2926</v>
      </c>
      <c r="H61" s="65" t="n">
        <v>44.9275897654666</v>
      </c>
      <c r="I61" s="54" t="n">
        <v>0.00264903859201699</v>
      </c>
      <c r="J61" s="18" t="b">
        <f aca="false">FALSE()</f>
        <v>0</v>
      </c>
    </row>
    <row r="62" customFormat="false" ht="15" hidden="false" customHeight="false" outlineLevel="0" collapsed="false">
      <c r="A62" s="18" t="s">
        <v>2156</v>
      </c>
      <c r="B62" s="49" t="n">
        <v>46054</v>
      </c>
      <c r="C62" s="18" t="s">
        <v>2157</v>
      </c>
      <c r="D62" s="18" t="s">
        <v>2180</v>
      </c>
      <c r="E62" s="18" t="s">
        <v>99</v>
      </c>
      <c r="F62" s="18" t="s">
        <v>2224</v>
      </c>
      <c r="G62" s="65" t="n">
        <v>2373.1235</v>
      </c>
      <c r="H62" s="65"/>
      <c r="I62" s="54"/>
      <c r="J62" s="18"/>
    </row>
    <row r="63" customFormat="false" ht="15" hidden="false" customHeight="false" outlineLevel="0" collapsed="false">
      <c r="A63" s="18" t="s">
        <v>2156</v>
      </c>
      <c r="B63" s="49" t="n">
        <v>46054</v>
      </c>
      <c r="C63" s="18" t="s">
        <v>2157</v>
      </c>
      <c r="D63" s="18" t="s">
        <v>2180</v>
      </c>
      <c r="E63" s="18" t="s">
        <v>113</v>
      </c>
      <c r="F63" s="18" t="s">
        <v>2225</v>
      </c>
      <c r="G63" s="65" t="n">
        <v>1724.7708</v>
      </c>
      <c r="H63" s="65"/>
      <c r="I63" s="54"/>
      <c r="J63" s="18"/>
    </row>
    <row r="64" customFormat="false" ht="15" hidden="false" customHeight="false" outlineLevel="0" collapsed="false">
      <c r="A64" s="18" t="s">
        <v>2156</v>
      </c>
      <c r="B64" s="49" t="n">
        <v>46054</v>
      </c>
      <c r="C64" s="18" t="s">
        <v>2157</v>
      </c>
      <c r="D64" s="18" t="s">
        <v>2180</v>
      </c>
      <c r="E64" s="18" t="s">
        <v>119</v>
      </c>
      <c r="F64" s="18" t="s">
        <v>2226</v>
      </c>
      <c r="G64" s="65" t="n">
        <v>3092.3983</v>
      </c>
      <c r="H64" s="65"/>
      <c r="I64" s="54"/>
      <c r="J64" s="18"/>
    </row>
    <row r="65" customFormat="false" ht="15" hidden="false" customHeight="false" outlineLevel="0" collapsed="false">
      <c r="A65" s="18" t="s">
        <v>2156</v>
      </c>
      <c r="B65" s="49" t="n">
        <v>46054</v>
      </c>
      <c r="C65" s="18" t="s">
        <v>2186</v>
      </c>
      <c r="D65" s="18" t="s">
        <v>2158</v>
      </c>
      <c r="E65" s="18" t="s">
        <v>2159</v>
      </c>
      <c r="F65" s="18" t="s">
        <v>2227</v>
      </c>
      <c r="G65" s="65" t="n">
        <v>489.4238</v>
      </c>
      <c r="H65" s="65"/>
      <c r="I65" s="54"/>
      <c r="J65" s="18"/>
    </row>
    <row r="66" customFormat="false" ht="15" hidden="false" customHeight="false" outlineLevel="0" collapsed="false">
      <c r="A66" s="18" t="s">
        <v>2156</v>
      </c>
      <c r="B66" s="49" t="n">
        <v>46054</v>
      </c>
      <c r="C66" s="18" t="s">
        <v>2186</v>
      </c>
      <c r="D66" s="18" t="s">
        <v>2158</v>
      </c>
      <c r="E66" s="18" t="s">
        <v>99</v>
      </c>
      <c r="F66" s="18" t="s">
        <v>2228</v>
      </c>
      <c r="G66" s="65" t="n">
        <v>150.5593</v>
      </c>
      <c r="H66" s="65"/>
      <c r="I66" s="54"/>
      <c r="J66" s="18"/>
    </row>
    <row r="67" customFormat="false" ht="15" hidden="false" customHeight="false" outlineLevel="0" collapsed="false">
      <c r="A67" s="18" t="s">
        <v>2156</v>
      </c>
      <c r="B67" s="49" t="n">
        <v>46054</v>
      </c>
      <c r="C67" s="18" t="s">
        <v>2186</v>
      </c>
      <c r="D67" s="18" t="s">
        <v>2158</v>
      </c>
      <c r="E67" s="18" t="s">
        <v>113</v>
      </c>
      <c r="F67" s="18" t="s">
        <v>2229</v>
      </c>
      <c r="G67" s="65" t="n">
        <v>114.0721</v>
      </c>
      <c r="H67" s="65"/>
      <c r="I67" s="54"/>
      <c r="J67" s="18"/>
    </row>
    <row r="68" customFormat="false" ht="15" hidden="false" customHeight="false" outlineLevel="0" collapsed="false">
      <c r="A68" s="18" t="s">
        <v>2156</v>
      </c>
      <c r="B68" s="49" t="n">
        <v>46054</v>
      </c>
      <c r="C68" s="18" t="s">
        <v>2186</v>
      </c>
      <c r="D68" s="18" t="s">
        <v>2158</v>
      </c>
      <c r="E68" s="18" t="s">
        <v>119</v>
      </c>
      <c r="F68" s="18" t="s">
        <v>2230</v>
      </c>
      <c r="G68" s="65" t="n">
        <v>224.7923</v>
      </c>
      <c r="H68" s="65"/>
      <c r="I68" s="54"/>
      <c r="J68" s="18"/>
    </row>
    <row r="69" customFormat="false" ht="15" hidden="false" customHeight="false" outlineLevel="0" collapsed="false">
      <c r="A69" s="18" t="s">
        <v>2156</v>
      </c>
      <c r="B69" s="49" t="n">
        <v>46054</v>
      </c>
      <c r="C69" s="18" t="s">
        <v>2186</v>
      </c>
      <c r="D69" s="18" t="s">
        <v>222</v>
      </c>
      <c r="E69" s="18" t="s">
        <v>2159</v>
      </c>
      <c r="F69" s="18" t="s">
        <v>2231</v>
      </c>
      <c r="G69" s="65" t="n">
        <v>-1464.6051</v>
      </c>
      <c r="H69" s="65"/>
      <c r="I69" s="54"/>
      <c r="J69" s="18"/>
    </row>
    <row r="70" customFormat="false" ht="15" hidden="false" customHeight="false" outlineLevel="0" collapsed="false">
      <c r="A70" s="18" t="s">
        <v>2156</v>
      </c>
      <c r="B70" s="49" t="n">
        <v>46054</v>
      </c>
      <c r="C70" s="18" t="s">
        <v>2186</v>
      </c>
      <c r="D70" s="18" t="s">
        <v>222</v>
      </c>
      <c r="E70" s="18" t="s">
        <v>99</v>
      </c>
      <c r="F70" s="18" t="s">
        <v>2232</v>
      </c>
      <c r="G70" s="65" t="n">
        <v>-915.7547</v>
      </c>
      <c r="H70" s="65"/>
      <c r="I70" s="54"/>
      <c r="J70" s="18"/>
    </row>
    <row r="71" customFormat="false" ht="15" hidden="false" customHeight="false" outlineLevel="0" collapsed="false">
      <c r="A71" s="18" t="s">
        <v>2156</v>
      </c>
      <c r="B71" s="49" t="n">
        <v>46054</v>
      </c>
      <c r="C71" s="18" t="s">
        <v>2186</v>
      </c>
      <c r="D71" s="18" t="s">
        <v>222</v>
      </c>
      <c r="E71" s="18" t="s">
        <v>113</v>
      </c>
      <c r="F71" s="18" t="s">
        <v>2233</v>
      </c>
      <c r="G71" s="65" t="n">
        <v>-673.5505</v>
      </c>
      <c r="H71" s="65"/>
      <c r="I71" s="54"/>
      <c r="J71" s="18"/>
    </row>
    <row r="72" customFormat="false" ht="15" hidden="false" customHeight="false" outlineLevel="0" collapsed="false">
      <c r="A72" s="18" t="s">
        <v>2156</v>
      </c>
      <c r="B72" s="49" t="n">
        <v>46054</v>
      </c>
      <c r="C72" s="18" t="s">
        <v>2186</v>
      </c>
      <c r="D72" s="18" t="s">
        <v>222</v>
      </c>
      <c r="E72" s="18" t="s">
        <v>119</v>
      </c>
      <c r="F72" s="18" t="s">
        <v>2234</v>
      </c>
      <c r="G72" s="65" t="n">
        <v>124.7001</v>
      </c>
      <c r="H72" s="65"/>
      <c r="I72" s="54"/>
      <c r="J72" s="18"/>
    </row>
    <row r="73" customFormat="false" ht="15" hidden="false" customHeight="false" outlineLevel="0" collapsed="false">
      <c r="A73" s="18" t="s">
        <v>2156</v>
      </c>
      <c r="B73" s="49" t="n">
        <v>46054</v>
      </c>
      <c r="C73" s="18" t="s">
        <v>2186</v>
      </c>
      <c r="D73" s="18" t="s">
        <v>2168</v>
      </c>
      <c r="E73" s="18" t="s">
        <v>2159</v>
      </c>
      <c r="F73" s="18" t="s">
        <v>2235</v>
      </c>
      <c r="G73" s="65" t="n">
        <v>5518.5671</v>
      </c>
      <c r="H73" s="65"/>
      <c r="I73" s="54"/>
      <c r="J73" s="18"/>
    </row>
    <row r="74" customFormat="false" ht="15" hidden="false" customHeight="false" outlineLevel="0" collapsed="false">
      <c r="A74" s="18" t="s">
        <v>2156</v>
      </c>
      <c r="B74" s="49" t="n">
        <v>46054</v>
      </c>
      <c r="C74" s="18" t="s">
        <v>2186</v>
      </c>
      <c r="D74" s="18" t="s">
        <v>2168</v>
      </c>
      <c r="E74" s="18" t="s">
        <v>99</v>
      </c>
      <c r="F74" s="18" t="s">
        <v>2236</v>
      </c>
      <c r="G74" s="65" t="n">
        <v>-2074.0349</v>
      </c>
      <c r="H74" s="65"/>
      <c r="I74" s="54"/>
      <c r="J74" s="18"/>
    </row>
    <row r="75" customFormat="false" ht="15" hidden="false" customHeight="false" outlineLevel="0" collapsed="false">
      <c r="A75" s="18" t="s">
        <v>2156</v>
      </c>
      <c r="B75" s="49" t="n">
        <v>46054</v>
      </c>
      <c r="C75" s="18" t="s">
        <v>2186</v>
      </c>
      <c r="D75" s="18" t="s">
        <v>2168</v>
      </c>
      <c r="E75" s="18" t="s">
        <v>113</v>
      </c>
      <c r="F75" s="18" t="s">
        <v>2237</v>
      </c>
      <c r="G75" s="65" t="n">
        <v>1592.0733</v>
      </c>
      <c r="H75" s="65"/>
      <c r="I75" s="54"/>
      <c r="J75" s="18"/>
    </row>
    <row r="76" customFormat="false" ht="15" hidden="false" customHeight="false" outlineLevel="0" collapsed="false">
      <c r="A76" s="18" t="s">
        <v>2156</v>
      </c>
      <c r="B76" s="49" t="n">
        <v>46054</v>
      </c>
      <c r="C76" s="18" t="s">
        <v>2186</v>
      </c>
      <c r="D76" s="18" t="s">
        <v>2168</v>
      </c>
      <c r="E76" s="18" t="s">
        <v>119</v>
      </c>
      <c r="F76" s="18" t="s">
        <v>2238</v>
      </c>
      <c r="G76" s="65" t="n">
        <v>6000.5287</v>
      </c>
      <c r="H76" s="65"/>
      <c r="I76" s="54"/>
      <c r="J76" s="18"/>
    </row>
    <row r="77" customFormat="false" ht="15" hidden="false" customHeight="false" outlineLevel="0" collapsed="false">
      <c r="A77" s="18" t="s">
        <v>2156</v>
      </c>
      <c r="B77" s="49" t="n">
        <v>46054</v>
      </c>
      <c r="C77" s="18" t="s">
        <v>2186</v>
      </c>
      <c r="D77" s="18" t="s">
        <v>2174</v>
      </c>
      <c r="E77" s="18" t="s">
        <v>2159</v>
      </c>
      <c r="F77" s="18" t="s">
        <v>2239</v>
      </c>
      <c r="G77" s="65" t="n">
        <v>2252.1443</v>
      </c>
      <c r="H77" s="65"/>
      <c r="I77" s="54"/>
      <c r="J77" s="18"/>
    </row>
    <row r="78" customFormat="false" ht="15" hidden="false" customHeight="false" outlineLevel="0" collapsed="false">
      <c r="A78" s="18" t="s">
        <v>2156</v>
      </c>
      <c r="B78" s="49" t="n">
        <v>46054</v>
      </c>
      <c r="C78" s="18" t="s">
        <v>2186</v>
      </c>
      <c r="D78" s="18" t="s">
        <v>2174</v>
      </c>
      <c r="E78" s="18" t="s">
        <v>99</v>
      </c>
      <c r="F78" s="18" t="s">
        <v>2240</v>
      </c>
      <c r="G78" s="65" t="n">
        <v>728.6901</v>
      </c>
      <c r="H78" s="65"/>
      <c r="I78" s="54"/>
      <c r="J78" s="18"/>
    </row>
    <row r="79" customFormat="false" ht="15" hidden="false" customHeight="false" outlineLevel="0" collapsed="false">
      <c r="A79" s="18" t="s">
        <v>2156</v>
      </c>
      <c r="B79" s="49" t="n">
        <v>46054</v>
      </c>
      <c r="C79" s="18" t="s">
        <v>2186</v>
      </c>
      <c r="D79" s="18" t="s">
        <v>2174</v>
      </c>
      <c r="E79" s="18" t="s">
        <v>113</v>
      </c>
      <c r="F79" s="18" t="s">
        <v>2241</v>
      </c>
      <c r="G79" s="65" t="n">
        <v>530.248</v>
      </c>
      <c r="H79" s="65"/>
      <c r="I79" s="54"/>
      <c r="J79" s="18"/>
    </row>
    <row r="80" customFormat="false" ht="15" hidden="false" customHeight="false" outlineLevel="0" collapsed="false">
      <c r="A80" s="18" t="s">
        <v>2156</v>
      </c>
      <c r="B80" s="49" t="n">
        <v>46054</v>
      </c>
      <c r="C80" s="18" t="s">
        <v>2186</v>
      </c>
      <c r="D80" s="18" t="s">
        <v>2174</v>
      </c>
      <c r="E80" s="18" t="s">
        <v>119</v>
      </c>
      <c r="F80" s="18" t="s">
        <v>2242</v>
      </c>
      <c r="G80" s="65" t="n">
        <v>993.2062</v>
      </c>
      <c r="H80" s="65"/>
      <c r="I80" s="54"/>
      <c r="J80" s="18"/>
    </row>
    <row r="81" customFormat="false" ht="15" hidden="false" customHeight="false" outlineLevel="0" collapsed="false">
      <c r="A81" s="18" t="s">
        <v>2156</v>
      </c>
      <c r="B81" s="49" t="n">
        <v>46054</v>
      </c>
      <c r="C81" s="18" t="s">
        <v>2186</v>
      </c>
      <c r="D81" s="18" t="s">
        <v>2180</v>
      </c>
      <c r="E81" s="18" t="s">
        <v>2159</v>
      </c>
      <c r="F81" s="18" t="s">
        <v>2243</v>
      </c>
      <c r="G81" s="65" t="n">
        <v>7235.2202</v>
      </c>
      <c r="H81" s="65"/>
      <c r="I81" s="54"/>
      <c r="J81" s="18"/>
    </row>
    <row r="82" customFormat="false" ht="15" hidden="false" customHeight="false" outlineLevel="0" collapsed="false">
      <c r="A82" s="18" t="s">
        <v>2156</v>
      </c>
      <c r="B82" s="49" t="n">
        <v>46054</v>
      </c>
      <c r="C82" s="18" t="s">
        <v>2186</v>
      </c>
      <c r="D82" s="18" t="s">
        <v>2180</v>
      </c>
      <c r="E82" s="18" t="s">
        <v>99</v>
      </c>
      <c r="F82" s="18" t="s">
        <v>2244</v>
      </c>
      <c r="G82" s="65" t="n">
        <v>2359.1538</v>
      </c>
      <c r="H82" s="65"/>
      <c r="I82" s="54"/>
      <c r="J82" s="18"/>
    </row>
    <row r="83" customFormat="false" ht="15" hidden="false" customHeight="false" outlineLevel="0" collapsed="false">
      <c r="A83" s="18" t="s">
        <v>2156</v>
      </c>
      <c r="B83" s="49" t="n">
        <v>46054</v>
      </c>
      <c r="C83" s="18" t="s">
        <v>2186</v>
      </c>
      <c r="D83" s="18" t="s">
        <v>2180</v>
      </c>
      <c r="E83" s="18" t="s">
        <v>113</v>
      </c>
      <c r="F83" s="18" t="s">
        <v>2245</v>
      </c>
      <c r="G83" s="65" t="n">
        <v>1735.1277</v>
      </c>
      <c r="H83" s="65"/>
      <c r="I83" s="54"/>
      <c r="J83" s="18"/>
    </row>
    <row r="84" customFormat="false" ht="15" hidden="false" customHeight="false" outlineLevel="0" collapsed="false">
      <c r="A84" s="18" t="s">
        <v>2156</v>
      </c>
      <c r="B84" s="49" t="n">
        <v>46054</v>
      </c>
      <c r="C84" s="18" t="s">
        <v>2186</v>
      </c>
      <c r="D84" s="18" t="s">
        <v>2180</v>
      </c>
      <c r="E84" s="18" t="s">
        <v>119</v>
      </c>
      <c r="F84" s="18" t="s">
        <v>2246</v>
      </c>
      <c r="G84" s="65" t="n">
        <v>3140.9386</v>
      </c>
      <c r="H84" s="65"/>
      <c r="I84" s="54"/>
      <c r="J84" s="18"/>
    </row>
    <row r="85" customFormat="false" ht="15" hidden="false" customHeight="false" outlineLevel="0" collapsed="false">
      <c r="A85" s="18" t="s">
        <v>2156</v>
      </c>
      <c r="B85" s="49" t="n">
        <v>46082</v>
      </c>
      <c r="C85" s="18" t="s">
        <v>2157</v>
      </c>
      <c r="D85" s="18" t="s">
        <v>2158</v>
      </c>
      <c r="E85" s="18" t="s">
        <v>2159</v>
      </c>
      <c r="F85" s="18" t="s">
        <v>2247</v>
      </c>
      <c r="G85" s="65" t="n">
        <v>1029.2745</v>
      </c>
      <c r="H85" s="65" t="n">
        <v>10.9245147121724</v>
      </c>
      <c r="I85" s="54" t="n">
        <v>0.000400727313782139</v>
      </c>
      <c r="J85" s="18" t="b">
        <f aca="false">FALSE()</f>
        <v>0</v>
      </c>
    </row>
    <row r="86" customFormat="false" ht="15" hidden="false" customHeight="false" outlineLevel="0" collapsed="false">
      <c r="A86" s="18" t="s">
        <v>2156</v>
      </c>
      <c r="B86" s="49" t="n">
        <v>46082</v>
      </c>
      <c r="C86" s="18" t="s">
        <v>2157</v>
      </c>
      <c r="D86" s="18" t="s">
        <v>2158</v>
      </c>
      <c r="E86" s="18" t="s">
        <v>99</v>
      </c>
      <c r="F86" s="18" t="s">
        <v>2248</v>
      </c>
      <c r="G86" s="65" t="n">
        <v>289.6053</v>
      </c>
      <c r="H86" s="65"/>
      <c r="I86" s="54"/>
      <c r="J86" s="18"/>
    </row>
    <row r="87" customFormat="false" ht="15" hidden="false" customHeight="false" outlineLevel="0" collapsed="false">
      <c r="A87" s="18" t="s">
        <v>2156</v>
      </c>
      <c r="B87" s="49" t="n">
        <v>46082</v>
      </c>
      <c r="C87" s="18" t="s">
        <v>2157</v>
      </c>
      <c r="D87" s="18" t="s">
        <v>2158</v>
      </c>
      <c r="E87" s="18" t="s">
        <v>113</v>
      </c>
      <c r="F87" s="18" t="s">
        <v>2249</v>
      </c>
      <c r="G87" s="65" t="n">
        <v>227.4625</v>
      </c>
      <c r="H87" s="65"/>
      <c r="I87" s="54"/>
      <c r="J87" s="18"/>
    </row>
    <row r="88" customFormat="false" ht="15" hidden="false" customHeight="false" outlineLevel="0" collapsed="false">
      <c r="A88" s="18" t="s">
        <v>2156</v>
      </c>
      <c r="B88" s="49" t="n">
        <v>46082</v>
      </c>
      <c r="C88" s="18" t="s">
        <v>2157</v>
      </c>
      <c r="D88" s="18" t="s">
        <v>2158</v>
      </c>
      <c r="E88" s="18" t="s">
        <v>119</v>
      </c>
      <c r="F88" s="18" t="s">
        <v>2250</v>
      </c>
      <c r="G88" s="65" t="n">
        <v>512.2067</v>
      </c>
      <c r="H88" s="65"/>
      <c r="I88" s="54"/>
      <c r="J88" s="18"/>
    </row>
    <row r="89" customFormat="false" ht="15" hidden="false" customHeight="false" outlineLevel="0" collapsed="false">
      <c r="A89" s="18" t="s">
        <v>2156</v>
      </c>
      <c r="B89" s="49" t="n">
        <v>46082</v>
      </c>
      <c r="C89" s="18" t="s">
        <v>2157</v>
      </c>
      <c r="D89" s="18" t="s">
        <v>222</v>
      </c>
      <c r="E89" s="18" t="s">
        <v>2159</v>
      </c>
      <c r="F89" s="18" t="s">
        <v>2251</v>
      </c>
      <c r="G89" s="65" t="n">
        <v>3055.9883</v>
      </c>
      <c r="H89" s="65" t="n">
        <v>73.1414468538631</v>
      </c>
      <c r="I89" s="54" t="n">
        <v>0.00268293615745055</v>
      </c>
      <c r="J89" s="18" t="b">
        <f aca="false">FALSE()</f>
        <v>0</v>
      </c>
    </row>
    <row r="90" customFormat="false" ht="15" hidden="false" customHeight="false" outlineLevel="0" collapsed="false">
      <c r="A90" s="18" t="s">
        <v>2156</v>
      </c>
      <c r="B90" s="49" t="n">
        <v>46082</v>
      </c>
      <c r="C90" s="18" t="s">
        <v>2157</v>
      </c>
      <c r="D90" s="18" t="s">
        <v>222</v>
      </c>
      <c r="E90" s="18" t="s">
        <v>99</v>
      </c>
      <c r="F90" s="18" t="s">
        <v>2252</v>
      </c>
      <c r="G90" s="65" t="n">
        <v>494.0007</v>
      </c>
      <c r="H90" s="65"/>
      <c r="I90" s="54"/>
      <c r="J90" s="18"/>
    </row>
    <row r="91" customFormat="false" ht="15" hidden="false" customHeight="false" outlineLevel="0" collapsed="false">
      <c r="A91" s="18" t="s">
        <v>2156</v>
      </c>
      <c r="B91" s="49" t="n">
        <v>46082</v>
      </c>
      <c r="C91" s="18" t="s">
        <v>2157</v>
      </c>
      <c r="D91" s="18" t="s">
        <v>222</v>
      </c>
      <c r="E91" s="18" t="s">
        <v>113</v>
      </c>
      <c r="F91" s="18" t="s">
        <v>2253</v>
      </c>
      <c r="G91" s="65" t="n">
        <v>378.6688</v>
      </c>
      <c r="H91" s="65"/>
      <c r="I91" s="54"/>
      <c r="J91" s="18"/>
    </row>
    <row r="92" customFormat="false" ht="15" hidden="false" customHeight="false" outlineLevel="0" collapsed="false">
      <c r="A92" s="18" t="s">
        <v>2156</v>
      </c>
      <c r="B92" s="49" t="n">
        <v>46082</v>
      </c>
      <c r="C92" s="18" t="s">
        <v>2157</v>
      </c>
      <c r="D92" s="18" t="s">
        <v>222</v>
      </c>
      <c r="E92" s="18" t="s">
        <v>119</v>
      </c>
      <c r="F92" s="18" t="s">
        <v>2254</v>
      </c>
      <c r="G92" s="65" t="n">
        <v>2183.3187</v>
      </c>
      <c r="H92" s="65"/>
      <c r="I92" s="54"/>
      <c r="J92" s="18"/>
    </row>
    <row r="93" customFormat="false" ht="15" hidden="false" customHeight="false" outlineLevel="0" collapsed="false">
      <c r="A93" s="18" t="s">
        <v>2156</v>
      </c>
      <c r="B93" s="49" t="n">
        <v>46082</v>
      </c>
      <c r="C93" s="18" t="s">
        <v>2157</v>
      </c>
      <c r="D93" s="18" t="s">
        <v>2168</v>
      </c>
      <c r="E93" s="18" t="s">
        <v>2159</v>
      </c>
      <c r="F93" s="18" t="s">
        <v>2255</v>
      </c>
      <c r="G93" s="65" t="n">
        <v>7078.0502</v>
      </c>
      <c r="H93" s="65" t="n">
        <v>9.20788892565238</v>
      </c>
      <c r="I93" s="54" t="n">
        <v>0.000337758947834055</v>
      </c>
      <c r="J93" s="18" t="b">
        <f aca="false">FALSE()</f>
        <v>0</v>
      </c>
    </row>
    <row r="94" customFormat="false" ht="15" hidden="false" customHeight="false" outlineLevel="0" collapsed="false">
      <c r="A94" s="18" t="s">
        <v>2156</v>
      </c>
      <c r="B94" s="49" t="n">
        <v>46082</v>
      </c>
      <c r="C94" s="18" t="s">
        <v>2157</v>
      </c>
      <c r="D94" s="18" t="s">
        <v>2168</v>
      </c>
      <c r="E94" s="18" t="s">
        <v>99</v>
      </c>
      <c r="F94" s="18" t="s">
        <v>2256</v>
      </c>
      <c r="G94" s="65" t="n">
        <v>-916.9119</v>
      </c>
      <c r="H94" s="65"/>
      <c r="I94" s="54"/>
      <c r="J94" s="18"/>
    </row>
    <row r="95" customFormat="false" ht="15" hidden="false" customHeight="false" outlineLevel="0" collapsed="false">
      <c r="A95" s="18" t="s">
        <v>2156</v>
      </c>
      <c r="B95" s="49" t="n">
        <v>46082</v>
      </c>
      <c r="C95" s="18" t="s">
        <v>2157</v>
      </c>
      <c r="D95" s="18" t="s">
        <v>2168</v>
      </c>
      <c r="E95" s="18" t="s">
        <v>113</v>
      </c>
      <c r="F95" s="18" t="s">
        <v>2257</v>
      </c>
      <c r="G95" s="65" t="n">
        <v>-45.1886</v>
      </c>
      <c r="H95" s="65"/>
      <c r="I95" s="54"/>
      <c r="J95" s="18"/>
    </row>
    <row r="96" customFormat="false" ht="15" hidden="false" customHeight="false" outlineLevel="0" collapsed="false">
      <c r="A96" s="18" t="s">
        <v>2156</v>
      </c>
      <c r="B96" s="49" t="n">
        <v>46082</v>
      </c>
      <c r="C96" s="18" t="s">
        <v>2157</v>
      </c>
      <c r="D96" s="18" t="s">
        <v>2168</v>
      </c>
      <c r="E96" s="18" t="s">
        <v>119</v>
      </c>
      <c r="F96" s="18" t="s">
        <v>2258</v>
      </c>
      <c r="G96" s="65" t="n">
        <v>8040.1508</v>
      </c>
      <c r="H96" s="65"/>
      <c r="I96" s="54"/>
      <c r="J96" s="18"/>
    </row>
    <row r="97" customFormat="false" ht="15" hidden="false" customHeight="false" outlineLevel="0" collapsed="false">
      <c r="A97" s="18" t="s">
        <v>2156</v>
      </c>
      <c r="B97" s="49" t="n">
        <v>46082</v>
      </c>
      <c r="C97" s="18" t="s">
        <v>2157</v>
      </c>
      <c r="D97" s="18" t="s">
        <v>2174</v>
      </c>
      <c r="E97" s="18" t="s">
        <v>2159</v>
      </c>
      <c r="F97" s="18" t="s">
        <v>2259</v>
      </c>
      <c r="G97" s="65" t="n">
        <v>3906.4651</v>
      </c>
      <c r="H97" s="65" t="n">
        <v>53.972014979802</v>
      </c>
      <c r="I97" s="54" t="n">
        <v>0.00197977312055491</v>
      </c>
      <c r="J97" s="18" t="b">
        <f aca="false">FALSE()</f>
        <v>0</v>
      </c>
    </row>
    <row r="98" customFormat="false" ht="15" hidden="false" customHeight="false" outlineLevel="0" collapsed="false">
      <c r="A98" s="18" t="s">
        <v>2156</v>
      </c>
      <c r="B98" s="49" t="n">
        <v>46082</v>
      </c>
      <c r="C98" s="18" t="s">
        <v>2157</v>
      </c>
      <c r="D98" s="18" t="s">
        <v>2174</v>
      </c>
      <c r="E98" s="18" t="s">
        <v>99</v>
      </c>
      <c r="F98" s="18" t="s">
        <v>2260</v>
      </c>
      <c r="G98" s="65" t="n">
        <v>1177.585</v>
      </c>
      <c r="H98" s="65"/>
      <c r="I98" s="54"/>
      <c r="J98" s="18"/>
    </row>
    <row r="99" customFormat="false" ht="15" hidden="false" customHeight="false" outlineLevel="0" collapsed="false">
      <c r="A99" s="18" t="s">
        <v>2156</v>
      </c>
      <c r="B99" s="49" t="n">
        <v>46082</v>
      </c>
      <c r="C99" s="18" t="s">
        <v>2157</v>
      </c>
      <c r="D99" s="18" t="s">
        <v>2174</v>
      </c>
      <c r="E99" s="18" t="s">
        <v>113</v>
      </c>
      <c r="F99" s="18" t="s">
        <v>2261</v>
      </c>
      <c r="G99" s="65" t="n">
        <v>893.0581</v>
      </c>
      <c r="H99" s="65"/>
      <c r="I99" s="54"/>
      <c r="J99" s="18"/>
    </row>
    <row r="100" customFormat="false" ht="15" hidden="false" customHeight="false" outlineLevel="0" collapsed="false">
      <c r="A100" s="18" t="s">
        <v>2156</v>
      </c>
      <c r="B100" s="49" t="n">
        <v>46082</v>
      </c>
      <c r="C100" s="18" t="s">
        <v>2157</v>
      </c>
      <c r="D100" s="18" t="s">
        <v>2174</v>
      </c>
      <c r="E100" s="18" t="s">
        <v>119</v>
      </c>
      <c r="F100" s="18" t="s">
        <v>2262</v>
      </c>
      <c r="G100" s="65" t="n">
        <v>1835.8221</v>
      </c>
      <c r="H100" s="65"/>
      <c r="I100" s="54"/>
      <c r="J100" s="18"/>
    </row>
    <row r="101" customFormat="false" ht="15" hidden="false" customHeight="false" outlineLevel="0" collapsed="false">
      <c r="A101" s="18" t="s">
        <v>2156</v>
      </c>
      <c r="B101" s="49" t="n">
        <v>46082</v>
      </c>
      <c r="C101" s="18" t="s">
        <v>2157</v>
      </c>
      <c r="D101" s="18" t="s">
        <v>2180</v>
      </c>
      <c r="E101" s="18" t="s">
        <v>2159</v>
      </c>
      <c r="F101" s="18" t="s">
        <v>2263</v>
      </c>
      <c r="G101" s="65" t="n">
        <v>12191.9392</v>
      </c>
      <c r="H101" s="65" t="n">
        <v>147.24586547149</v>
      </c>
      <c r="I101" s="54" t="n">
        <v>0.00540119553962165</v>
      </c>
      <c r="J101" s="18" t="b">
        <f aca="false">FALSE()</f>
        <v>0</v>
      </c>
    </row>
    <row r="102" customFormat="false" ht="15" hidden="false" customHeight="false" outlineLevel="0" collapsed="false">
      <c r="A102" s="18" t="s">
        <v>2156</v>
      </c>
      <c r="B102" s="49" t="n">
        <v>46082</v>
      </c>
      <c r="C102" s="18" t="s">
        <v>2157</v>
      </c>
      <c r="D102" s="18" t="s">
        <v>2180</v>
      </c>
      <c r="E102" s="18" t="s">
        <v>99</v>
      </c>
      <c r="F102" s="18" t="s">
        <v>2264</v>
      </c>
      <c r="G102" s="65" t="n">
        <v>3766.8626</v>
      </c>
      <c r="H102" s="65"/>
      <c r="I102" s="54"/>
      <c r="J102" s="18"/>
    </row>
    <row r="103" customFormat="false" ht="15" hidden="false" customHeight="false" outlineLevel="0" collapsed="false">
      <c r="A103" s="18" t="s">
        <v>2156</v>
      </c>
      <c r="B103" s="49" t="n">
        <v>46082</v>
      </c>
      <c r="C103" s="18" t="s">
        <v>2157</v>
      </c>
      <c r="D103" s="18" t="s">
        <v>2180</v>
      </c>
      <c r="E103" s="18" t="s">
        <v>113</v>
      </c>
      <c r="F103" s="18" t="s">
        <v>2265</v>
      </c>
      <c r="G103" s="65" t="n">
        <v>2874.618</v>
      </c>
      <c r="H103" s="65"/>
      <c r="I103" s="54"/>
      <c r="J103" s="18"/>
    </row>
    <row r="104" customFormat="false" ht="15" hidden="false" customHeight="false" outlineLevel="0" collapsed="false">
      <c r="A104" s="18" t="s">
        <v>2156</v>
      </c>
      <c r="B104" s="49" t="n">
        <v>46082</v>
      </c>
      <c r="C104" s="18" t="s">
        <v>2157</v>
      </c>
      <c r="D104" s="18" t="s">
        <v>2180</v>
      </c>
      <c r="E104" s="18" t="s">
        <v>119</v>
      </c>
      <c r="F104" s="18" t="s">
        <v>2266</v>
      </c>
      <c r="G104" s="65" t="n">
        <v>5550.4585</v>
      </c>
      <c r="H104" s="65"/>
      <c r="I104" s="54"/>
      <c r="J104" s="18"/>
    </row>
    <row r="105" customFormat="false" ht="15" hidden="false" customHeight="false" outlineLevel="0" collapsed="false">
      <c r="A105" s="18" t="s">
        <v>2156</v>
      </c>
      <c r="B105" s="49" t="n">
        <v>46082</v>
      </c>
      <c r="C105" s="18" t="s">
        <v>2186</v>
      </c>
      <c r="D105" s="18" t="s">
        <v>2158</v>
      </c>
      <c r="E105" s="18" t="s">
        <v>2159</v>
      </c>
      <c r="F105" s="18" t="s">
        <v>2267</v>
      </c>
      <c r="G105" s="65" t="n">
        <v>1018.35</v>
      </c>
      <c r="H105" s="65"/>
      <c r="I105" s="54"/>
      <c r="J105" s="18"/>
    </row>
    <row r="106" customFormat="false" ht="15" hidden="false" customHeight="false" outlineLevel="0" collapsed="false">
      <c r="A106" s="18" t="s">
        <v>2156</v>
      </c>
      <c r="B106" s="49" t="n">
        <v>46082</v>
      </c>
      <c r="C106" s="18" t="s">
        <v>2186</v>
      </c>
      <c r="D106" s="18" t="s">
        <v>2158</v>
      </c>
      <c r="E106" s="18" t="s">
        <v>99</v>
      </c>
      <c r="F106" s="18" t="s">
        <v>2268</v>
      </c>
      <c r="G106" s="65" t="n">
        <v>288.5886</v>
      </c>
      <c r="H106" s="65"/>
      <c r="I106" s="54"/>
      <c r="J106" s="18"/>
    </row>
    <row r="107" customFormat="false" ht="15" hidden="false" customHeight="false" outlineLevel="0" collapsed="false">
      <c r="A107" s="18" t="s">
        <v>2156</v>
      </c>
      <c r="B107" s="49" t="n">
        <v>46082</v>
      </c>
      <c r="C107" s="18" t="s">
        <v>2186</v>
      </c>
      <c r="D107" s="18" t="s">
        <v>2158</v>
      </c>
      <c r="E107" s="18" t="s">
        <v>113</v>
      </c>
      <c r="F107" s="18" t="s">
        <v>2269</v>
      </c>
      <c r="G107" s="65" t="n">
        <v>226.1564</v>
      </c>
      <c r="H107" s="65"/>
      <c r="I107" s="54"/>
      <c r="J107" s="18"/>
    </row>
    <row r="108" customFormat="false" ht="15" hidden="false" customHeight="false" outlineLevel="0" collapsed="false">
      <c r="A108" s="18" t="s">
        <v>2156</v>
      </c>
      <c r="B108" s="49" t="n">
        <v>46082</v>
      </c>
      <c r="C108" s="18" t="s">
        <v>2186</v>
      </c>
      <c r="D108" s="18" t="s">
        <v>2158</v>
      </c>
      <c r="E108" s="18" t="s">
        <v>119</v>
      </c>
      <c r="F108" s="18" t="s">
        <v>2270</v>
      </c>
      <c r="G108" s="65" t="n">
        <v>503.605</v>
      </c>
      <c r="H108" s="65"/>
      <c r="I108" s="54"/>
      <c r="J108" s="18"/>
    </row>
    <row r="109" customFormat="false" ht="15" hidden="false" customHeight="false" outlineLevel="0" collapsed="false">
      <c r="A109" s="18" t="s">
        <v>2156</v>
      </c>
      <c r="B109" s="49" t="n">
        <v>46082</v>
      </c>
      <c r="C109" s="18" t="s">
        <v>2186</v>
      </c>
      <c r="D109" s="18" t="s">
        <v>222</v>
      </c>
      <c r="E109" s="18" t="s">
        <v>2159</v>
      </c>
      <c r="F109" s="18" t="s">
        <v>2271</v>
      </c>
      <c r="G109" s="65" t="n">
        <v>2982.8468</v>
      </c>
      <c r="H109" s="65"/>
      <c r="I109" s="54"/>
      <c r="J109" s="18"/>
    </row>
    <row r="110" customFormat="false" ht="15" hidden="false" customHeight="false" outlineLevel="0" collapsed="false">
      <c r="A110" s="18" t="s">
        <v>2156</v>
      </c>
      <c r="B110" s="49" t="n">
        <v>46082</v>
      </c>
      <c r="C110" s="18" t="s">
        <v>2186</v>
      </c>
      <c r="D110" s="18" t="s">
        <v>222</v>
      </c>
      <c r="E110" s="18" t="s">
        <v>99</v>
      </c>
      <c r="F110" s="18" t="s">
        <v>2272</v>
      </c>
      <c r="G110" s="65" t="n">
        <v>488.4634</v>
      </c>
      <c r="H110" s="65"/>
      <c r="I110" s="54"/>
      <c r="J110" s="18"/>
    </row>
    <row r="111" customFormat="false" ht="15" hidden="false" customHeight="false" outlineLevel="0" collapsed="false">
      <c r="A111" s="18" t="s">
        <v>2156</v>
      </c>
      <c r="B111" s="49" t="n">
        <v>46082</v>
      </c>
      <c r="C111" s="18" t="s">
        <v>2186</v>
      </c>
      <c r="D111" s="18" t="s">
        <v>222</v>
      </c>
      <c r="E111" s="18" t="s">
        <v>113</v>
      </c>
      <c r="F111" s="18" t="s">
        <v>2273</v>
      </c>
      <c r="G111" s="65" t="n">
        <v>373.5953</v>
      </c>
      <c r="H111" s="65"/>
      <c r="I111" s="54"/>
      <c r="J111" s="18"/>
    </row>
    <row r="112" customFormat="false" ht="15" hidden="false" customHeight="false" outlineLevel="0" collapsed="false">
      <c r="A112" s="18" t="s">
        <v>2156</v>
      </c>
      <c r="B112" s="49" t="n">
        <v>46082</v>
      </c>
      <c r="C112" s="18" t="s">
        <v>2186</v>
      </c>
      <c r="D112" s="18" t="s">
        <v>222</v>
      </c>
      <c r="E112" s="18" t="s">
        <v>119</v>
      </c>
      <c r="F112" s="18" t="s">
        <v>2274</v>
      </c>
      <c r="G112" s="65" t="n">
        <v>2120.7882</v>
      </c>
      <c r="H112" s="65"/>
      <c r="I112" s="54"/>
      <c r="J112" s="18"/>
    </row>
    <row r="113" customFormat="false" ht="15" hidden="false" customHeight="false" outlineLevel="0" collapsed="false">
      <c r="A113" s="18" t="s">
        <v>2156</v>
      </c>
      <c r="B113" s="49" t="n">
        <v>46082</v>
      </c>
      <c r="C113" s="18" t="s">
        <v>2186</v>
      </c>
      <c r="D113" s="18" t="s">
        <v>2168</v>
      </c>
      <c r="E113" s="18" t="s">
        <v>2159</v>
      </c>
      <c r="F113" s="18" t="s">
        <v>2275</v>
      </c>
      <c r="G113" s="65" t="n">
        <v>7068.8423</v>
      </c>
      <c r="H113" s="65"/>
      <c r="I113" s="54"/>
      <c r="J113" s="18"/>
    </row>
    <row r="114" customFormat="false" ht="15" hidden="false" customHeight="false" outlineLevel="0" collapsed="false">
      <c r="A114" s="18" t="s">
        <v>2156</v>
      </c>
      <c r="B114" s="49" t="n">
        <v>46082</v>
      </c>
      <c r="C114" s="18" t="s">
        <v>2186</v>
      </c>
      <c r="D114" s="18" t="s">
        <v>2168</v>
      </c>
      <c r="E114" s="18" t="s">
        <v>99</v>
      </c>
      <c r="F114" s="18" t="s">
        <v>2276</v>
      </c>
      <c r="G114" s="65" t="n">
        <v>-912.4301</v>
      </c>
      <c r="H114" s="65"/>
      <c r="I114" s="54"/>
      <c r="J114" s="18"/>
    </row>
    <row r="115" customFormat="false" ht="15" hidden="false" customHeight="false" outlineLevel="0" collapsed="false">
      <c r="A115" s="18" t="s">
        <v>2156</v>
      </c>
      <c r="B115" s="49" t="n">
        <v>46082</v>
      </c>
      <c r="C115" s="18" t="s">
        <v>2186</v>
      </c>
      <c r="D115" s="18" t="s">
        <v>2168</v>
      </c>
      <c r="E115" s="18" t="s">
        <v>113</v>
      </c>
      <c r="F115" s="18" t="s">
        <v>2277</v>
      </c>
      <c r="G115" s="65" t="n">
        <v>-44.869</v>
      </c>
      <c r="H115" s="65"/>
      <c r="I115" s="54"/>
      <c r="J115" s="18"/>
    </row>
    <row r="116" customFormat="false" ht="15" hidden="false" customHeight="false" outlineLevel="0" collapsed="false">
      <c r="A116" s="18" t="s">
        <v>2156</v>
      </c>
      <c r="B116" s="49" t="n">
        <v>46082</v>
      </c>
      <c r="C116" s="18" t="s">
        <v>2186</v>
      </c>
      <c r="D116" s="18" t="s">
        <v>2168</v>
      </c>
      <c r="E116" s="18" t="s">
        <v>119</v>
      </c>
      <c r="F116" s="18" t="s">
        <v>2278</v>
      </c>
      <c r="G116" s="65" t="n">
        <v>8026.1414</v>
      </c>
      <c r="H116" s="65"/>
      <c r="I116" s="54"/>
      <c r="J116" s="18"/>
    </row>
    <row r="117" customFormat="false" ht="15" hidden="false" customHeight="false" outlineLevel="0" collapsed="false">
      <c r="A117" s="18" t="s">
        <v>2156</v>
      </c>
      <c r="B117" s="49" t="n">
        <v>46082</v>
      </c>
      <c r="C117" s="18" t="s">
        <v>2186</v>
      </c>
      <c r="D117" s="18" t="s">
        <v>2174</v>
      </c>
      <c r="E117" s="18" t="s">
        <v>2159</v>
      </c>
      <c r="F117" s="18" t="s">
        <v>2279</v>
      </c>
      <c r="G117" s="65" t="n">
        <v>3852.4931</v>
      </c>
      <c r="H117" s="65"/>
      <c r="I117" s="54"/>
      <c r="J117" s="18"/>
    </row>
    <row r="118" customFormat="false" ht="15" hidden="false" customHeight="false" outlineLevel="0" collapsed="false">
      <c r="A118" s="18" t="s">
        <v>2156</v>
      </c>
      <c r="B118" s="49" t="n">
        <v>46082</v>
      </c>
      <c r="C118" s="18" t="s">
        <v>2186</v>
      </c>
      <c r="D118" s="18" t="s">
        <v>2174</v>
      </c>
      <c r="E118" s="18" t="s">
        <v>99</v>
      </c>
      <c r="F118" s="18" t="s">
        <v>2280</v>
      </c>
      <c r="G118" s="65" t="n">
        <v>1169.4076</v>
      </c>
      <c r="H118" s="65"/>
      <c r="I118" s="54"/>
      <c r="J118" s="18"/>
    </row>
    <row r="119" customFormat="false" ht="15" hidden="false" customHeight="false" outlineLevel="0" collapsed="false">
      <c r="A119" s="18" t="s">
        <v>2156</v>
      </c>
      <c r="B119" s="49" t="n">
        <v>46082</v>
      </c>
      <c r="C119" s="18" t="s">
        <v>2186</v>
      </c>
      <c r="D119" s="18" t="s">
        <v>2174</v>
      </c>
      <c r="E119" s="18" t="s">
        <v>113</v>
      </c>
      <c r="F119" s="18" t="s">
        <v>2281</v>
      </c>
      <c r="G119" s="65" t="n">
        <v>884.8764</v>
      </c>
      <c r="H119" s="65"/>
      <c r="I119" s="54"/>
      <c r="J119" s="18"/>
    </row>
    <row r="120" customFormat="false" ht="15" hidden="false" customHeight="false" outlineLevel="0" collapsed="false">
      <c r="A120" s="18" t="s">
        <v>2156</v>
      </c>
      <c r="B120" s="49" t="n">
        <v>46082</v>
      </c>
      <c r="C120" s="18" t="s">
        <v>2186</v>
      </c>
      <c r="D120" s="18" t="s">
        <v>2174</v>
      </c>
      <c r="E120" s="18" t="s">
        <v>119</v>
      </c>
      <c r="F120" s="18" t="s">
        <v>2282</v>
      </c>
      <c r="G120" s="65" t="n">
        <v>1798.2091</v>
      </c>
      <c r="H120" s="65"/>
      <c r="I120" s="54"/>
      <c r="J120" s="18"/>
    </row>
    <row r="121" customFormat="false" ht="15" hidden="false" customHeight="false" outlineLevel="0" collapsed="false">
      <c r="A121" s="18" t="s">
        <v>2156</v>
      </c>
      <c r="B121" s="49" t="n">
        <v>46082</v>
      </c>
      <c r="C121" s="18" t="s">
        <v>2186</v>
      </c>
      <c r="D121" s="18" t="s">
        <v>2180</v>
      </c>
      <c r="E121" s="18" t="s">
        <v>2159</v>
      </c>
      <c r="F121" s="18" t="s">
        <v>2283</v>
      </c>
      <c r="G121" s="65" t="n">
        <v>12339.185</v>
      </c>
      <c r="H121" s="65"/>
      <c r="I121" s="54"/>
      <c r="J121" s="18"/>
    </row>
    <row r="122" customFormat="false" ht="15" hidden="false" customHeight="false" outlineLevel="0" collapsed="false">
      <c r="A122" s="18" t="s">
        <v>2156</v>
      </c>
      <c r="B122" s="49" t="n">
        <v>46082</v>
      </c>
      <c r="C122" s="18" t="s">
        <v>2186</v>
      </c>
      <c r="D122" s="18" t="s">
        <v>2180</v>
      </c>
      <c r="E122" s="18" t="s">
        <v>99</v>
      </c>
      <c r="F122" s="18" t="s">
        <v>2284</v>
      </c>
      <c r="G122" s="65" t="n">
        <v>3777.1121</v>
      </c>
      <c r="H122" s="65"/>
      <c r="I122" s="54"/>
      <c r="J122" s="18"/>
    </row>
    <row r="123" customFormat="false" ht="15" hidden="false" customHeight="false" outlineLevel="0" collapsed="false">
      <c r="A123" s="18" t="s">
        <v>2156</v>
      </c>
      <c r="B123" s="49" t="n">
        <v>46082</v>
      </c>
      <c r="C123" s="18" t="s">
        <v>2186</v>
      </c>
      <c r="D123" s="18" t="s">
        <v>2180</v>
      </c>
      <c r="E123" s="18" t="s">
        <v>113</v>
      </c>
      <c r="F123" s="18" t="s">
        <v>2285</v>
      </c>
      <c r="G123" s="65" t="n">
        <v>2888.8598</v>
      </c>
      <c r="H123" s="65"/>
      <c r="I123" s="54"/>
      <c r="J123" s="18"/>
    </row>
    <row r="124" customFormat="false" ht="15" hidden="false" customHeight="false" outlineLevel="0" collapsed="false">
      <c r="A124" s="18" t="s">
        <v>2156</v>
      </c>
      <c r="B124" s="49" t="n">
        <v>46082</v>
      </c>
      <c r="C124" s="18" t="s">
        <v>2186</v>
      </c>
      <c r="D124" s="18" t="s">
        <v>2180</v>
      </c>
      <c r="E124" s="18" t="s">
        <v>119</v>
      </c>
      <c r="F124" s="18" t="s">
        <v>2286</v>
      </c>
      <c r="G124" s="65" t="n">
        <v>5673.2131</v>
      </c>
      <c r="H124" s="65"/>
      <c r="I124" s="54"/>
      <c r="J124" s="18"/>
    </row>
    <row r="125" customFormat="false" ht="15" hidden="false" customHeight="false" outlineLevel="0" collapsed="false">
      <c r="A125" s="18" t="s">
        <v>2156</v>
      </c>
      <c r="B125" s="49" t="n">
        <v>46113</v>
      </c>
      <c r="C125" s="18" t="s">
        <v>2157</v>
      </c>
      <c r="D125" s="18" t="s">
        <v>2158</v>
      </c>
      <c r="E125" s="18" t="s">
        <v>2159</v>
      </c>
      <c r="F125" s="18" t="s">
        <v>2287</v>
      </c>
      <c r="G125" s="65" t="n">
        <v>1537.1143</v>
      </c>
      <c r="H125" s="65" t="n">
        <v>9.98173507054268</v>
      </c>
      <c r="I125" s="54" t="n">
        <v>0.000336323430074911</v>
      </c>
      <c r="J125" s="18" t="b">
        <f aca="false">FALSE()</f>
        <v>0</v>
      </c>
    </row>
    <row r="126" customFormat="false" ht="15" hidden="false" customHeight="false" outlineLevel="0" collapsed="false">
      <c r="A126" s="18" t="s">
        <v>2156</v>
      </c>
      <c r="B126" s="49" t="n">
        <v>46113</v>
      </c>
      <c r="C126" s="18" t="s">
        <v>2157</v>
      </c>
      <c r="D126" s="18" t="s">
        <v>2158</v>
      </c>
      <c r="E126" s="18" t="s">
        <v>99</v>
      </c>
      <c r="F126" s="18" t="s">
        <v>2288</v>
      </c>
      <c r="G126" s="65" t="n">
        <v>432.2173</v>
      </c>
      <c r="H126" s="65"/>
      <c r="I126" s="54"/>
      <c r="J126" s="18"/>
    </row>
    <row r="127" customFormat="false" ht="15" hidden="false" customHeight="false" outlineLevel="0" collapsed="false">
      <c r="A127" s="18" t="s">
        <v>2156</v>
      </c>
      <c r="B127" s="49" t="n">
        <v>46113</v>
      </c>
      <c r="C127" s="18" t="s">
        <v>2157</v>
      </c>
      <c r="D127" s="18" t="s">
        <v>2158</v>
      </c>
      <c r="E127" s="18" t="s">
        <v>113</v>
      </c>
      <c r="F127" s="18" t="s">
        <v>2289</v>
      </c>
      <c r="G127" s="65" t="n">
        <v>340.0376</v>
      </c>
      <c r="H127" s="65"/>
      <c r="I127" s="54"/>
      <c r="J127" s="18"/>
    </row>
    <row r="128" customFormat="false" ht="15" hidden="false" customHeight="false" outlineLevel="0" collapsed="false">
      <c r="A128" s="18" t="s">
        <v>2156</v>
      </c>
      <c r="B128" s="49" t="n">
        <v>46113</v>
      </c>
      <c r="C128" s="18" t="s">
        <v>2157</v>
      </c>
      <c r="D128" s="18" t="s">
        <v>2158</v>
      </c>
      <c r="E128" s="18" t="s">
        <v>119</v>
      </c>
      <c r="F128" s="18" t="s">
        <v>2290</v>
      </c>
      <c r="G128" s="65" t="n">
        <v>764.8595</v>
      </c>
      <c r="H128" s="65"/>
      <c r="I128" s="54"/>
      <c r="J128" s="18"/>
    </row>
    <row r="129" customFormat="false" ht="15" hidden="false" customHeight="false" outlineLevel="0" collapsed="false">
      <c r="A129" s="18" t="s">
        <v>2156</v>
      </c>
      <c r="B129" s="49" t="n">
        <v>46113</v>
      </c>
      <c r="C129" s="18" t="s">
        <v>2157</v>
      </c>
      <c r="D129" s="18" t="s">
        <v>222</v>
      </c>
      <c r="E129" s="18" t="s">
        <v>2159</v>
      </c>
      <c r="F129" s="18" t="s">
        <v>2291</v>
      </c>
      <c r="G129" s="65" t="n">
        <v>5001.6976</v>
      </c>
      <c r="H129" s="65" t="n">
        <v>105.363718757889</v>
      </c>
      <c r="I129" s="54" t="n">
        <v>0.00355011298613586</v>
      </c>
      <c r="J129" s="18" t="b">
        <f aca="false">FALSE()</f>
        <v>0</v>
      </c>
    </row>
    <row r="130" customFormat="false" ht="15" hidden="false" customHeight="false" outlineLevel="0" collapsed="false">
      <c r="A130" s="18" t="s">
        <v>2156</v>
      </c>
      <c r="B130" s="49" t="n">
        <v>46113</v>
      </c>
      <c r="C130" s="18" t="s">
        <v>2157</v>
      </c>
      <c r="D130" s="18" t="s">
        <v>222</v>
      </c>
      <c r="E130" s="18" t="s">
        <v>99</v>
      </c>
      <c r="F130" s="18" t="s">
        <v>2292</v>
      </c>
      <c r="G130" s="65" t="n">
        <v>1025.628</v>
      </c>
      <c r="H130" s="65"/>
      <c r="I130" s="54"/>
      <c r="J130" s="18"/>
    </row>
    <row r="131" customFormat="false" ht="15" hidden="false" customHeight="false" outlineLevel="0" collapsed="false">
      <c r="A131" s="18" t="s">
        <v>2156</v>
      </c>
      <c r="B131" s="49" t="n">
        <v>46113</v>
      </c>
      <c r="C131" s="18" t="s">
        <v>2157</v>
      </c>
      <c r="D131" s="18" t="s">
        <v>222</v>
      </c>
      <c r="E131" s="18" t="s">
        <v>113</v>
      </c>
      <c r="F131" s="18" t="s">
        <v>2293</v>
      </c>
      <c r="G131" s="65" t="n">
        <v>789.1132</v>
      </c>
      <c r="H131" s="65"/>
      <c r="I131" s="54"/>
      <c r="J131" s="18"/>
    </row>
    <row r="132" customFormat="false" ht="15" hidden="false" customHeight="false" outlineLevel="0" collapsed="false">
      <c r="A132" s="18" t="s">
        <v>2156</v>
      </c>
      <c r="B132" s="49" t="n">
        <v>46113</v>
      </c>
      <c r="C132" s="18" t="s">
        <v>2157</v>
      </c>
      <c r="D132" s="18" t="s">
        <v>222</v>
      </c>
      <c r="E132" s="18" t="s">
        <v>119</v>
      </c>
      <c r="F132" s="18" t="s">
        <v>2294</v>
      </c>
      <c r="G132" s="65" t="n">
        <v>3186.9565</v>
      </c>
      <c r="H132" s="65"/>
      <c r="I132" s="54"/>
      <c r="J132" s="18"/>
    </row>
    <row r="133" customFormat="false" ht="15" hidden="false" customHeight="false" outlineLevel="0" collapsed="false">
      <c r="A133" s="18" t="s">
        <v>2156</v>
      </c>
      <c r="B133" s="49" t="n">
        <v>46113</v>
      </c>
      <c r="C133" s="18" t="s">
        <v>2157</v>
      </c>
      <c r="D133" s="18" t="s">
        <v>2168</v>
      </c>
      <c r="E133" s="18" t="s">
        <v>2159</v>
      </c>
      <c r="F133" s="18" t="s">
        <v>2295</v>
      </c>
      <c r="G133" s="65" t="n">
        <v>5579.9563</v>
      </c>
      <c r="H133" s="65" t="n">
        <v>9.60854631100495</v>
      </c>
      <c r="I133" s="54" t="n">
        <v>0.000323749251058326</v>
      </c>
      <c r="J133" s="18" t="b">
        <f aca="false">FALSE()</f>
        <v>0</v>
      </c>
    </row>
    <row r="134" customFormat="false" ht="15" hidden="false" customHeight="false" outlineLevel="0" collapsed="false">
      <c r="A134" s="18" t="s">
        <v>2156</v>
      </c>
      <c r="B134" s="49" t="n">
        <v>46113</v>
      </c>
      <c r="C134" s="18" t="s">
        <v>2157</v>
      </c>
      <c r="D134" s="18" t="s">
        <v>2168</v>
      </c>
      <c r="E134" s="18" t="s">
        <v>99</v>
      </c>
      <c r="F134" s="18" t="s">
        <v>2296</v>
      </c>
      <c r="G134" s="65" t="n">
        <v>-449.5433</v>
      </c>
      <c r="H134" s="65"/>
      <c r="I134" s="54"/>
      <c r="J134" s="18"/>
    </row>
    <row r="135" customFormat="false" ht="15" hidden="false" customHeight="false" outlineLevel="0" collapsed="false">
      <c r="A135" s="18" t="s">
        <v>2156</v>
      </c>
      <c r="B135" s="49" t="n">
        <v>46113</v>
      </c>
      <c r="C135" s="18" t="s">
        <v>2157</v>
      </c>
      <c r="D135" s="18" t="s">
        <v>2168</v>
      </c>
      <c r="E135" s="18" t="s">
        <v>113</v>
      </c>
      <c r="F135" s="18" t="s">
        <v>2297</v>
      </c>
      <c r="G135" s="65" t="n">
        <v>902.2367</v>
      </c>
      <c r="H135" s="65"/>
      <c r="I135" s="54"/>
      <c r="J135" s="18"/>
    </row>
    <row r="136" customFormat="false" ht="15" hidden="false" customHeight="false" outlineLevel="0" collapsed="false">
      <c r="A136" s="18" t="s">
        <v>2156</v>
      </c>
      <c r="B136" s="49" t="n">
        <v>46113</v>
      </c>
      <c r="C136" s="18" t="s">
        <v>2157</v>
      </c>
      <c r="D136" s="18" t="s">
        <v>2168</v>
      </c>
      <c r="E136" s="18" t="s">
        <v>119</v>
      </c>
      <c r="F136" s="18" t="s">
        <v>2298</v>
      </c>
      <c r="G136" s="65" t="n">
        <v>5127.2629</v>
      </c>
      <c r="H136" s="65"/>
      <c r="I136" s="54"/>
      <c r="J136" s="18"/>
    </row>
    <row r="137" customFormat="false" ht="15" hidden="false" customHeight="false" outlineLevel="0" collapsed="false">
      <c r="A137" s="18" t="s">
        <v>2156</v>
      </c>
      <c r="B137" s="49" t="n">
        <v>46113</v>
      </c>
      <c r="C137" s="18" t="s">
        <v>2157</v>
      </c>
      <c r="D137" s="18" t="s">
        <v>2174</v>
      </c>
      <c r="E137" s="18" t="s">
        <v>2159</v>
      </c>
      <c r="F137" s="18" t="s">
        <v>2299</v>
      </c>
      <c r="G137" s="65" t="n">
        <v>5368.2687</v>
      </c>
      <c r="H137" s="65" t="n">
        <v>59.6692206699472</v>
      </c>
      <c r="I137" s="54" t="n">
        <v>0.00201048783841569</v>
      </c>
      <c r="J137" s="18" t="b">
        <f aca="false">FALSE()</f>
        <v>0</v>
      </c>
    </row>
    <row r="138" customFormat="false" ht="15" hidden="false" customHeight="false" outlineLevel="0" collapsed="false">
      <c r="A138" s="18" t="s">
        <v>2156</v>
      </c>
      <c r="B138" s="49" t="n">
        <v>46113</v>
      </c>
      <c r="C138" s="18" t="s">
        <v>2157</v>
      </c>
      <c r="D138" s="18" t="s">
        <v>2174</v>
      </c>
      <c r="E138" s="18" t="s">
        <v>99</v>
      </c>
      <c r="F138" s="18" t="s">
        <v>2300</v>
      </c>
      <c r="G138" s="65" t="n">
        <v>1626.6858</v>
      </c>
      <c r="H138" s="65"/>
      <c r="I138" s="54"/>
      <c r="J138" s="18"/>
    </row>
    <row r="139" customFormat="false" ht="15" hidden="false" customHeight="false" outlineLevel="0" collapsed="false">
      <c r="A139" s="18" t="s">
        <v>2156</v>
      </c>
      <c r="B139" s="49" t="n">
        <v>46113</v>
      </c>
      <c r="C139" s="18" t="s">
        <v>2157</v>
      </c>
      <c r="D139" s="18" t="s">
        <v>2174</v>
      </c>
      <c r="E139" s="18" t="s">
        <v>113</v>
      </c>
      <c r="F139" s="18" t="s">
        <v>2301</v>
      </c>
      <c r="G139" s="65" t="n">
        <v>1238.2471</v>
      </c>
      <c r="H139" s="65"/>
      <c r="I139" s="54"/>
      <c r="J139" s="18"/>
    </row>
    <row r="140" customFormat="false" ht="15" hidden="false" customHeight="false" outlineLevel="0" collapsed="false">
      <c r="A140" s="18" t="s">
        <v>2156</v>
      </c>
      <c r="B140" s="49" t="n">
        <v>46113</v>
      </c>
      <c r="C140" s="18" t="s">
        <v>2157</v>
      </c>
      <c r="D140" s="18" t="s">
        <v>2174</v>
      </c>
      <c r="E140" s="18" t="s">
        <v>119</v>
      </c>
      <c r="F140" s="18" t="s">
        <v>2302</v>
      </c>
      <c r="G140" s="65" t="n">
        <v>2503.3358</v>
      </c>
      <c r="H140" s="65"/>
      <c r="I140" s="54"/>
      <c r="J140" s="18"/>
    </row>
    <row r="141" customFormat="false" ht="15" hidden="false" customHeight="false" outlineLevel="0" collapsed="false">
      <c r="A141" s="18" t="s">
        <v>2156</v>
      </c>
      <c r="B141" s="49" t="n">
        <v>46113</v>
      </c>
      <c r="C141" s="18" t="s">
        <v>2157</v>
      </c>
      <c r="D141" s="18" t="s">
        <v>2180</v>
      </c>
      <c r="E141" s="18" t="s">
        <v>2159</v>
      </c>
      <c r="F141" s="18" t="s">
        <v>2263</v>
      </c>
      <c r="G141" s="65" t="n">
        <v>12191.9392</v>
      </c>
      <c r="H141" s="65" t="n">
        <v>165.406128187374</v>
      </c>
      <c r="I141" s="54" t="n">
        <v>0.00557317500356814</v>
      </c>
      <c r="J141" s="18" t="b">
        <f aca="false">FALSE()</f>
        <v>0</v>
      </c>
    </row>
    <row r="142" customFormat="false" ht="15" hidden="false" customHeight="false" outlineLevel="0" collapsed="false">
      <c r="A142" s="18" t="s">
        <v>2156</v>
      </c>
      <c r="B142" s="49" t="n">
        <v>46113</v>
      </c>
      <c r="C142" s="18" t="s">
        <v>2157</v>
      </c>
      <c r="D142" s="18" t="s">
        <v>2180</v>
      </c>
      <c r="E142" s="18" t="s">
        <v>99</v>
      </c>
      <c r="F142" s="18" t="s">
        <v>2264</v>
      </c>
      <c r="G142" s="65" t="n">
        <v>3766.8626</v>
      </c>
      <c r="H142" s="65"/>
      <c r="I142" s="54"/>
      <c r="J142" s="18"/>
    </row>
    <row r="143" customFormat="false" ht="15" hidden="false" customHeight="false" outlineLevel="0" collapsed="false">
      <c r="A143" s="18" t="s">
        <v>2156</v>
      </c>
      <c r="B143" s="49" t="n">
        <v>46113</v>
      </c>
      <c r="C143" s="18" t="s">
        <v>2157</v>
      </c>
      <c r="D143" s="18" t="s">
        <v>2180</v>
      </c>
      <c r="E143" s="18" t="s">
        <v>113</v>
      </c>
      <c r="F143" s="18" t="s">
        <v>2265</v>
      </c>
      <c r="G143" s="65" t="n">
        <v>2874.618</v>
      </c>
      <c r="H143" s="65"/>
      <c r="I143" s="54"/>
      <c r="J143" s="18"/>
    </row>
    <row r="144" customFormat="false" ht="15" hidden="false" customHeight="false" outlineLevel="0" collapsed="false">
      <c r="A144" s="18" t="s">
        <v>2156</v>
      </c>
      <c r="B144" s="49" t="n">
        <v>46113</v>
      </c>
      <c r="C144" s="18" t="s">
        <v>2157</v>
      </c>
      <c r="D144" s="18" t="s">
        <v>2180</v>
      </c>
      <c r="E144" s="18" t="s">
        <v>119</v>
      </c>
      <c r="F144" s="18" t="s">
        <v>2266</v>
      </c>
      <c r="G144" s="65" t="n">
        <v>5550.4585</v>
      </c>
      <c r="H144" s="65"/>
      <c r="I144" s="54"/>
      <c r="J144" s="18"/>
    </row>
    <row r="145" customFormat="false" ht="15" hidden="false" customHeight="false" outlineLevel="0" collapsed="false">
      <c r="A145" s="18" t="s">
        <v>2156</v>
      </c>
      <c r="B145" s="49" t="n">
        <v>46113</v>
      </c>
      <c r="C145" s="18" t="s">
        <v>2186</v>
      </c>
      <c r="D145" s="18" t="s">
        <v>2158</v>
      </c>
      <c r="E145" s="18" t="s">
        <v>2159</v>
      </c>
      <c r="F145" s="18" t="s">
        <v>2303</v>
      </c>
      <c r="G145" s="65" t="n">
        <v>1527.1326</v>
      </c>
      <c r="H145" s="65"/>
      <c r="I145" s="54"/>
      <c r="J145" s="18"/>
    </row>
    <row r="146" customFormat="false" ht="15" hidden="false" customHeight="false" outlineLevel="0" collapsed="false">
      <c r="A146" s="18" t="s">
        <v>2156</v>
      </c>
      <c r="B146" s="49" t="n">
        <v>46113</v>
      </c>
      <c r="C146" s="18" t="s">
        <v>2186</v>
      </c>
      <c r="D146" s="18" t="s">
        <v>2158</v>
      </c>
      <c r="E146" s="18" t="s">
        <v>99</v>
      </c>
      <c r="F146" s="18" t="s">
        <v>2304</v>
      </c>
      <c r="G146" s="65" t="n">
        <v>431.2643</v>
      </c>
      <c r="H146" s="65"/>
      <c r="I146" s="54"/>
      <c r="J146" s="18"/>
    </row>
    <row r="147" customFormat="false" ht="15" hidden="false" customHeight="false" outlineLevel="0" collapsed="false">
      <c r="A147" s="18" t="s">
        <v>2156</v>
      </c>
      <c r="B147" s="49" t="n">
        <v>46113</v>
      </c>
      <c r="C147" s="18" t="s">
        <v>2186</v>
      </c>
      <c r="D147" s="18" t="s">
        <v>2158</v>
      </c>
      <c r="E147" s="18" t="s">
        <v>113</v>
      </c>
      <c r="F147" s="18" t="s">
        <v>2305</v>
      </c>
      <c r="G147" s="65" t="n">
        <v>337.8958</v>
      </c>
      <c r="H147" s="65"/>
      <c r="I147" s="54"/>
      <c r="J147" s="18"/>
    </row>
    <row r="148" customFormat="false" ht="15" hidden="false" customHeight="false" outlineLevel="0" collapsed="false">
      <c r="A148" s="18" t="s">
        <v>2156</v>
      </c>
      <c r="B148" s="49" t="n">
        <v>46113</v>
      </c>
      <c r="C148" s="18" t="s">
        <v>2186</v>
      </c>
      <c r="D148" s="18" t="s">
        <v>2158</v>
      </c>
      <c r="E148" s="18" t="s">
        <v>119</v>
      </c>
      <c r="F148" s="18" t="s">
        <v>2306</v>
      </c>
      <c r="G148" s="65" t="n">
        <v>757.9725</v>
      </c>
      <c r="H148" s="65"/>
      <c r="I148" s="54"/>
      <c r="J148" s="18"/>
    </row>
    <row r="149" customFormat="false" ht="15" hidden="false" customHeight="false" outlineLevel="0" collapsed="false">
      <c r="A149" s="18" t="s">
        <v>2156</v>
      </c>
      <c r="B149" s="49" t="n">
        <v>46113</v>
      </c>
      <c r="C149" s="18" t="s">
        <v>2186</v>
      </c>
      <c r="D149" s="18" t="s">
        <v>222</v>
      </c>
      <c r="E149" s="18" t="s">
        <v>2159</v>
      </c>
      <c r="F149" s="18" t="s">
        <v>2307</v>
      </c>
      <c r="G149" s="65" t="n">
        <v>4896.3339</v>
      </c>
      <c r="H149" s="65"/>
      <c r="I149" s="54"/>
      <c r="J149" s="18"/>
    </row>
    <row r="150" customFormat="false" ht="15" hidden="false" customHeight="false" outlineLevel="0" collapsed="false">
      <c r="A150" s="18" t="s">
        <v>2156</v>
      </c>
      <c r="B150" s="49" t="n">
        <v>46113</v>
      </c>
      <c r="C150" s="18" t="s">
        <v>2186</v>
      </c>
      <c r="D150" s="18" t="s">
        <v>222</v>
      </c>
      <c r="E150" s="18" t="s">
        <v>99</v>
      </c>
      <c r="F150" s="18" t="s">
        <v>2308</v>
      </c>
      <c r="G150" s="65" t="n">
        <v>1011.8172</v>
      </c>
      <c r="H150" s="65"/>
      <c r="I150" s="54"/>
      <c r="J150" s="18"/>
    </row>
    <row r="151" customFormat="false" ht="15" hidden="false" customHeight="false" outlineLevel="0" collapsed="false">
      <c r="A151" s="18" t="s">
        <v>2156</v>
      </c>
      <c r="B151" s="49" t="n">
        <v>46113</v>
      </c>
      <c r="C151" s="18" t="s">
        <v>2186</v>
      </c>
      <c r="D151" s="18" t="s">
        <v>222</v>
      </c>
      <c r="E151" s="18" t="s">
        <v>113</v>
      </c>
      <c r="F151" s="18" t="s">
        <v>2309</v>
      </c>
      <c r="G151" s="65" t="n">
        <v>775.3312</v>
      </c>
      <c r="H151" s="65"/>
      <c r="I151" s="54"/>
      <c r="J151" s="18"/>
    </row>
    <row r="152" customFormat="false" ht="15" hidden="false" customHeight="false" outlineLevel="0" collapsed="false">
      <c r="A152" s="18" t="s">
        <v>2156</v>
      </c>
      <c r="B152" s="49" t="n">
        <v>46113</v>
      </c>
      <c r="C152" s="18" t="s">
        <v>2186</v>
      </c>
      <c r="D152" s="18" t="s">
        <v>222</v>
      </c>
      <c r="E152" s="18" t="s">
        <v>119</v>
      </c>
      <c r="F152" s="18" t="s">
        <v>2310</v>
      </c>
      <c r="G152" s="65" t="n">
        <v>3109.1855</v>
      </c>
      <c r="H152" s="65"/>
      <c r="I152" s="54"/>
      <c r="J152" s="18"/>
    </row>
    <row r="153" customFormat="false" ht="15" hidden="false" customHeight="false" outlineLevel="0" collapsed="false">
      <c r="A153" s="18" t="s">
        <v>2156</v>
      </c>
      <c r="B153" s="49" t="n">
        <v>46113</v>
      </c>
      <c r="C153" s="18" t="s">
        <v>2186</v>
      </c>
      <c r="D153" s="18" t="s">
        <v>2168</v>
      </c>
      <c r="E153" s="18" t="s">
        <v>2159</v>
      </c>
      <c r="F153" s="18" t="s">
        <v>2311</v>
      </c>
      <c r="G153" s="65" t="n">
        <v>5589.5648</v>
      </c>
      <c r="H153" s="65"/>
      <c r="I153" s="54"/>
      <c r="J153" s="18"/>
    </row>
    <row r="154" customFormat="false" ht="15" hidden="false" customHeight="false" outlineLevel="0" collapsed="false">
      <c r="A154" s="18" t="s">
        <v>2156</v>
      </c>
      <c r="B154" s="49" t="n">
        <v>46113</v>
      </c>
      <c r="C154" s="18" t="s">
        <v>2186</v>
      </c>
      <c r="D154" s="18" t="s">
        <v>2168</v>
      </c>
      <c r="E154" s="18" t="s">
        <v>99</v>
      </c>
      <c r="F154" s="18" t="s">
        <v>2312</v>
      </c>
      <c r="G154" s="65" t="n">
        <v>-448.4832</v>
      </c>
      <c r="H154" s="65"/>
      <c r="I154" s="54"/>
      <c r="J154" s="18"/>
    </row>
    <row r="155" customFormat="false" ht="15" hidden="false" customHeight="false" outlineLevel="0" collapsed="false">
      <c r="A155" s="18" t="s">
        <v>2156</v>
      </c>
      <c r="B155" s="49" t="n">
        <v>46113</v>
      </c>
      <c r="C155" s="18" t="s">
        <v>2186</v>
      </c>
      <c r="D155" s="18" t="s">
        <v>2168</v>
      </c>
      <c r="E155" s="18" t="s">
        <v>113</v>
      </c>
      <c r="F155" s="18" t="s">
        <v>2313</v>
      </c>
      <c r="G155" s="65" t="n">
        <v>900.8114</v>
      </c>
      <c r="H155" s="65"/>
      <c r="I155" s="54"/>
      <c r="J155" s="18"/>
    </row>
    <row r="156" customFormat="false" ht="15" hidden="false" customHeight="false" outlineLevel="0" collapsed="false">
      <c r="A156" s="18" t="s">
        <v>2156</v>
      </c>
      <c r="B156" s="49" t="n">
        <v>46113</v>
      </c>
      <c r="C156" s="18" t="s">
        <v>2186</v>
      </c>
      <c r="D156" s="18" t="s">
        <v>2168</v>
      </c>
      <c r="E156" s="18" t="s">
        <v>119</v>
      </c>
      <c r="F156" s="18" t="s">
        <v>2314</v>
      </c>
      <c r="G156" s="65" t="n">
        <v>5137.2367</v>
      </c>
      <c r="H156" s="65"/>
      <c r="I156" s="54"/>
      <c r="J156" s="18"/>
    </row>
    <row r="157" customFormat="false" ht="15" hidden="false" customHeight="false" outlineLevel="0" collapsed="false">
      <c r="A157" s="18" t="s">
        <v>2156</v>
      </c>
      <c r="B157" s="49" t="n">
        <v>46113</v>
      </c>
      <c r="C157" s="18" t="s">
        <v>2186</v>
      </c>
      <c r="D157" s="18" t="s">
        <v>2174</v>
      </c>
      <c r="E157" s="18" t="s">
        <v>2159</v>
      </c>
      <c r="F157" s="18" t="s">
        <v>2315</v>
      </c>
      <c r="G157" s="65" t="n">
        <v>5308.5995</v>
      </c>
      <c r="H157" s="65"/>
      <c r="I157" s="54"/>
      <c r="J157" s="18"/>
    </row>
    <row r="158" customFormat="false" ht="15" hidden="false" customHeight="false" outlineLevel="0" collapsed="false">
      <c r="A158" s="18" t="s">
        <v>2156</v>
      </c>
      <c r="B158" s="49" t="n">
        <v>46113</v>
      </c>
      <c r="C158" s="18" t="s">
        <v>2186</v>
      </c>
      <c r="D158" s="18" t="s">
        <v>2174</v>
      </c>
      <c r="E158" s="18" t="s">
        <v>99</v>
      </c>
      <c r="F158" s="18" t="s">
        <v>2316</v>
      </c>
      <c r="G158" s="65" t="n">
        <v>1615.3982</v>
      </c>
      <c r="H158" s="65"/>
      <c r="I158" s="54"/>
      <c r="J158" s="18"/>
    </row>
    <row r="159" customFormat="false" ht="15" hidden="false" customHeight="false" outlineLevel="0" collapsed="false">
      <c r="A159" s="18" t="s">
        <v>2156</v>
      </c>
      <c r="B159" s="49" t="n">
        <v>46113</v>
      </c>
      <c r="C159" s="18" t="s">
        <v>2186</v>
      </c>
      <c r="D159" s="18" t="s">
        <v>2174</v>
      </c>
      <c r="E159" s="18" t="s">
        <v>113</v>
      </c>
      <c r="F159" s="18" t="s">
        <v>2317</v>
      </c>
      <c r="G159" s="65" t="n">
        <v>1224.6352</v>
      </c>
      <c r="H159" s="65"/>
      <c r="I159" s="54"/>
      <c r="J159" s="18"/>
    </row>
    <row r="160" customFormat="false" ht="15" hidden="false" customHeight="false" outlineLevel="0" collapsed="false">
      <c r="A160" s="18" t="s">
        <v>2156</v>
      </c>
      <c r="B160" s="49" t="n">
        <v>46113</v>
      </c>
      <c r="C160" s="18" t="s">
        <v>2186</v>
      </c>
      <c r="D160" s="18" t="s">
        <v>2174</v>
      </c>
      <c r="E160" s="18" t="s">
        <v>119</v>
      </c>
      <c r="F160" s="18" t="s">
        <v>2318</v>
      </c>
      <c r="G160" s="65" t="n">
        <v>2468.5661</v>
      </c>
      <c r="H160" s="65"/>
      <c r="I160" s="54"/>
      <c r="J160" s="18"/>
    </row>
    <row r="161" customFormat="false" ht="15" hidden="false" customHeight="false" outlineLevel="0" collapsed="false">
      <c r="A161" s="18" t="s">
        <v>2156</v>
      </c>
      <c r="B161" s="49" t="n">
        <v>46113</v>
      </c>
      <c r="C161" s="18" t="s">
        <v>2186</v>
      </c>
      <c r="D161" s="18" t="s">
        <v>2180</v>
      </c>
      <c r="E161" s="18" t="s">
        <v>2159</v>
      </c>
      <c r="F161" s="18" t="s">
        <v>2319</v>
      </c>
      <c r="G161" s="65" t="n">
        <v>12357.3453</v>
      </c>
      <c r="H161" s="65"/>
      <c r="I161" s="54"/>
      <c r="J161" s="18"/>
    </row>
    <row r="162" customFormat="false" ht="15" hidden="false" customHeight="false" outlineLevel="0" collapsed="false">
      <c r="A162" s="18" t="s">
        <v>2156</v>
      </c>
      <c r="B162" s="49" t="n">
        <v>46113</v>
      </c>
      <c r="C162" s="18" t="s">
        <v>2186</v>
      </c>
      <c r="D162" s="18" t="s">
        <v>2180</v>
      </c>
      <c r="E162" s="18" t="s">
        <v>99</v>
      </c>
      <c r="F162" s="18" t="s">
        <v>2320</v>
      </c>
      <c r="G162" s="65" t="n">
        <v>3791.854</v>
      </c>
      <c r="H162" s="65"/>
      <c r="I162" s="54"/>
      <c r="J162" s="18"/>
    </row>
    <row r="163" customFormat="false" ht="15" hidden="false" customHeight="false" outlineLevel="0" collapsed="false">
      <c r="A163" s="18" t="s">
        <v>2156</v>
      </c>
      <c r="B163" s="49" t="n">
        <v>46113</v>
      </c>
      <c r="C163" s="18" t="s">
        <v>2186</v>
      </c>
      <c r="D163" s="18" t="s">
        <v>2180</v>
      </c>
      <c r="E163" s="18" t="s">
        <v>113</v>
      </c>
      <c r="F163" s="18" t="s">
        <v>2321</v>
      </c>
      <c r="G163" s="65" t="n">
        <v>2905.579</v>
      </c>
      <c r="H163" s="65"/>
      <c r="I163" s="54"/>
      <c r="J163" s="18"/>
    </row>
    <row r="164" customFormat="false" ht="15" hidden="false" customHeight="false" outlineLevel="0" collapsed="false">
      <c r="A164" s="18" t="s">
        <v>2156</v>
      </c>
      <c r="B164" s="49" t="n">
        <v>46113</v>
      </c>
      <c r="C164" s="18" t="s">
        <v>2186</v>
      </c>
      <c r="D164" s="18" t="s">
        <v>2180</v>
      </c>
      <c r="E164" s="18" t="s">
        <v>119</v>
      </c>
      <c r="F164" s="18" t="s">
        <v>2322</v>
      </c>
      <c r="G164" s="65" t="n">
        <v>5659.9123</v>
      </c>
      <c r="H164" s="65"/>
      <c r="I164" s="54"/>
      <c r="J164" s="18"/>
    </row>
    <row r="165" customFormat="false" ht="15" hidden="false" customHeight="false" outlineLevel="0" collapsed="false">
      <c r="A165" s="18" t="s">
        <v>2156</v>
      </c>
      <c r="B165" s="49" t="n">
        <v>46143</v>
      </c>
      <c r="C165" s="18" t="s">
        <v>2157</v>
      </c>
      <c r="D165" s="18" t="s">
        <v>2158</v>
      </c>
      <c r="E165" s="18" t="s">
        <v>2159</v>
      </c>
      <c r="F165" s="18" t="s">
        <v>2323</v>
      </c>
      <c r="G165" s="65" t="n">
        <v>2148.576</v>
      </c>
      <c r="H165" s="65" t="n">
        <v>31.5601717497169</v>
      </c>
      <c r="I165" s="54" t="n">
        <v>0.000631694786919446</v>
      </c>
      <c r="J165" s="18" t="b">
        <f aca="false">FALSE()</f>
        <v>0</v>
      </c>
    </row>
    <row r="166" customFormat="false" ht="15" hidden="false" customHeight="false" outlineLevel="0" collapsed="false">
      <c r="A166" s="18" t="s">
        <v>2156</v>
      </c>
      <c r="B166" s="49" t="n">
        <v>46143</v>
      </c>
      <c r="C166" s="18" t="s">
        <v>2157</v>
      </c>
      <c r="D166" s="18" t="s">
        <v>2158</v>
      </c>
      <c r="E166" s="18" t="s">
        <v>99</v>
      </c>
      <c r="F166" s="18" t="s">
        <v>2324</v>
      </c>
      <c r="G166" s="65" t="n">
        <v>575.3142</v>
      </c>
      <c r="H166" s="65"/>
      <c r="I166" s="54"/>
      <c r="J166" s="18"/>
    </row>
    <row r="167" customFormat="false" ht="15" hidden="false" customHeight="false" outlineLevel="0" collapsed="false">
      <c r="A167" s="18" t="s">
        <v>2156</v>
      </c>
      <c r="B167" s="49" t="n">
        <v>46143</v>
      </c>
      <c r="C167" s="18" t="s">
        <v>2157</v>
      </c>
      <c r="D167" s="18" t="s">
        <v>2158</v>
      </c>
      <c r="E167" s="18" t="s">
        <v>113</v>
      </c>
      <c r="F167" s="18" t="s">
        <v>2325</v>
      </c>
      <c r="G167" s="65" t="n">
        <v>463.2682</v>
      </c>
      <c r="H167" s="65"/>
      <c r="I167" s="54"/>
      <c r="J167" s="18"/>
    </row>
    <row r="168" customFormat="false" ht="15" hidden="false" customHeight="false" outlineLevel="0" collapsed="false">
      <c r="A168" s="18" t="s">
        <v>2156</v>
      </c>
      <c r="B168" s="49" t="n">
        <v>46143</v>
      </c>
      <c r="C168" s="18" t="s">
        <v>2157</v>
      </c>
      <c r="D168" s="18" t="s">
        <v>2158</v>
      </c>
      <c r="E168" s="18" t="s">
        <v>119</v>
      </c>
      <c r="F168" s="18" t="s">
        <v>2326</v>
      </c>
      <c r="G168" s="65" t="n">
        <v>1109.9936</v>
      </c>
      <c r="H168" s="65"/>
      <c r="I168" s="54"/>
      <c r="J168" s="18"/>
    </row>
    <row r="169" customFormat="false" ht="15" hidden="false" customHeight="false" outlineLevel="0" collapsed="false">
      <c r="A169" s="18" t="s">
        <v>2156</v>
      </c>
      <c r="B169" s="49" t="n">
        <v>46143</v>
      </c>
      <c r="C169" s="18" t="s">
        <v>2157</v>
      </c>
      <c r="D169" s="18" t="s">
        <v>222</v>
      </c>
      <c r="E169" s="18" t="s">
        <v>2159</v>
      </c>
      <c r="F169" s="18" t="s">
        <v>2327</v>
      </c>
      <c r="G169" s="65" t="n">
        <v>7667.955</v>
      </c>
      <c r="H169" s="65" t="n">
        <v>249.345387664762</v>
      </c>
      <c r="I169" s="54" t="n">
        <v>0.00499078974535844</v>
      </c>
      <c r="J169" s="18" t="b">
        <f aca="false">FALSE()</f>
        <v>0</v>
      </c>
    </row>
    <row r="170" customFormat="false" ht="15" hidden="false" customHeight="false" outlineLevel="0" collapsed="false">
      <c r="A170" s="18" t="s">
        <v>2156</v>
      </c>
      <c r="B170" s="49" t="n">
        <v>46143</v>
      </c>
      <c r="C170" s="18" t="s">
        <v>2157</v>
      </c>
      <c r="D170" s="18" t="s">
        <v>222</v>
      </c>
      <c r="E170" s="18" t="s">
        <v>99</v>
      </c>
      <c r="F170" s="18" t="s">
        <v>2328</v>
      </c>
      <c r="G170" s="65" t="n">
        <v>1833.8143</v>
      </c>
      <c r="H170" s="65"/>
      <c r="I170" s="54"/>
      <c r="J170" s="18"/>
    </row>
    <row r="171" customFormat="false" ht="15" hidden="false" customHeight="false" outlineLevel="0" collapsed="false">
      <c r="A171" s="18" t="s">
        <v>2156</v>
      </c>
      <c r="B171" s="49" t="n">
        <v>46143</v>
      </c>
      <c r="C171" s="18" t="s">
        <v>2157</v>
      </c>
      <c r="D171" s="18" t="s">
        <v>222</v>
      </c>
      <c r="E171" s="18" t="s">
        <v>113</v>
      </c>
      <c r="F171" s="18" t="s">
        <v>2329</v>
      </c>
      <c r="G171" s="65" t="n">
        <v>1445.7121</v>
      </c>
      <c r="H171" s="65"/>
      <c r="I171" s="54"/>
      <c r="J171" s="18"/>
    </row>
    <row r="172" customFormat="false" ht="15" hidden="false" customHeight="false" outlineLevel="0" collapsed="false">
      <c r="A172" s="18" t="s">
        <v>2156</v>
      </c>
      <c r="B172" s="49" t="n">
        <v>46143</v>
      </c>
      <c r="C172" s="18" t="s">
        <v>2157</v>
      </c>
      <c r="D172" s="18" t="s">
        <v>222</v>
      </c>
      <c r="E172" s="18" t="s">
        <v>119</v>
      </c>
      <c r="F172" s="18" t="s">
        <v>2330</v>
      </c>
      <c r="G172" s="65" t="n">
        <v>4388.4287</v>
      </c>
      <c r="H172" s="65"/>
      <c r="I172" s="54"/>
      <c r="J172" s="18"/>
    </row>
    <row r="173" customFormat="false" ht="15" hidden="false" customHeight="false" outlineLevel="0" collapsed="false">
      <c r="A173" s="18" t="s">
        <v>2156</v>
      </c>
      <c r="B173" s="49" t="n">
        <v>46143</v>
      </c>
      <c r="C173" s="18" t="s">
        <v>2157</v>
      </c>
      <c r="D173" s="18" t="s">
        <v>2168</v>
      </c>
      <c r="E173" s="18" t="s">
        <v>2159</v>
      </c>
      <c r="F173" s="18" t="s">
        <v>2331</v>
      </c>
      <c r="G173" s="65" t="n">
        <v>8407.4326</v>
      </c>
      <c r="H173" s="65" t="n">
        <v>30.9957142774787</v>
      </c>
      <c r="I173" s="54" t="n">
        <v>0.000620396849586333</v>
      </c>
      <c r="J173" s="18" t="b">
        <f aca="false">FALSE()</f>
        <v>0</v>
      </c>
    </row>
    <row r="174" customFormat="false" ht="15" hidden="false" customHeight="false" outlineLevel="0" collapsed="false">
      <c r="A174" s="18" t="s">
        <v>2156</v>
      </c>
      <c r="B174" s="49" t="n">
        <v>46143</v>
      </c>
      <c r="C174" s="18" t="s">
        <v>2157</v>
      </c>
      <c r="D174" s="18" t="s">
        <v>2168</v>
      </c>
      <c r="E174" s="18" t="s">
        <v>99</v>
      </c>
      <c r="F174" s="18" t="s">
        <v>2332</v>
      </c>
      <c r="G174" s="65" t="n">
        <v>-1531.6521</v>
      </c>
      <c r="H174" s="65"/>
      <c r="I174" s="54"/>
      <c r="J174" s="18"/>
    </row>
    <row r="175" customFormat="false" ht="15" hidden="false" customHeight="false" outlineLevel="0" collapsed="false">
      <c r="A175" s="18" t="s">
        <v>2156</v>
      </c>
      <c r="B175" s="49" t="n">
        <v>46143</v>
      </c>
      <c r="C175" s="18" t="s">
        <v>2157</v>
      </c>
      <c r="D175" s="18" t="s">
        <v>2168</v>
      </c>
      <c r="E175" s="18" t="s">
        <v>113</v>
      </c>
      <c r="F175" s="18" t="s">
        <v>2333</v>
      </c>
      <c r="G175" s="65" t="n">
        <v>-49.0282</v>
      </c>
      <c r="H175" s="65"/>
      <c r="I175" s="54"/>
      <c r="J175" s="18"/>
    </row>
    <row r="176" customFormat="false" ht="15" hidden="false" customHeight="false" outlineLevel="0" collapsed="false">
      <c r="A176" s="18" t="s">
        <v>2156</v>
      </c>
      <c r="B176" s="49" t="n">
        <v>46143</v>
      </c>
      <c r="C176" s="18" t="s">
        <v>2157</v>
      </c>
      <c r="D176" s="18" t="s">
        <v>2168</v>
      </c>
      <c r="E176" s="18" t="s">
        <v>119</v>
      </c>
      <c r="F176" s="18" t="s">
        <v>2334</v>
      </c>
      <c r="G176" s="65" t="n">
        <v>9988.1129</v>
      </c>
      <c r="H176" s="65"/>
      <c r="I176" s="54"/>
      <c r="J176" s="18"/>
    </row>
    <row r="177" customFormat="false" ht="15" hidden="false" customHeight="false" outlineLevel="0" collapsed="false">
      <c r="A177" s="18" t="s">
        <v>2156</v>
      </c>
      <c r="B177" s="49" t="n">
        <v>46143</v>
      </c>
      <c r="C177" s="18" t="s">
        <v>2157</v>
      </c>
      <c r="D177" s="18" t="s">
        <v>2174</v>
      </c>
      <c r="E177" s="18" t="s">
        <v>2159</v>
      </c>
      <c r="F177" s="18" t="s">
        <v>2335</v>
      </c>
      <c r="G177" s="65" t="n">
        <v>7145.1483</v>
      </c>
      <c r="H177" s="65" t="n">
        <v>144.344293352153</v>
      </c>
      <c r="I177" s="54" t="n">
        <v>0.00288913312497877</v>
      </c>
      <c r="J177" s="18" t="b">
        <f aca="false">FALSE()</f>
        <v>0</v>
      </c>
    </row>
    <row r="178" customFormat="false" ht="15" hidden="false" customHeight="false" outlineLevel="0" collapsed="false">
      <c r="A178" s="18" t="s">
        <v>2156</v>
      </c>
      <c r="B178" s="49" t="n">
        <v>46143</v>
      </c>
      <c r="C178" s="18" t="s">
        <v>2157</v>
      </c>
      <c r="D178" s="18" t="s">
        <v>2174</v>
      </c>
      <c r="E178" s="18" t="s">
        <v>99</v>
      </c>
      <c r="F178" s="18" t="s">
        <v>2336</v>
      </c>
      <c r="G178" s="65" t="n">
        <v>2073.4006</v>
      </c>
      <c r="H178" s="65"/>
      <c r="I178" s="54"/>
      <c r="J178" s="18"/>
    </row>
    <row r="179" customFormat="false" ht="15" hidden="false" customHeight="false" outlineLevel="0" collapsed="false">
      <c r="A179" s="18" t="s">
        <v>2156</v>
      </c>
      <c r="B179" s="49" t="n">
        <v>46143</v>
      </c>
      <c r="C179" s="18" t="s">
        <v>2157</v>
      </c>
      <c r="D179" s="18" t="s">
        <v>2174</v>
      </c>
      <c r="E179" s="18" t="s">
        <v>113</v>
      </c>
      <c r="F179" s="18" t="s">
        <v>2337</v>
      </c>
      <c r="G179" s="65" t="n">
        <v>1617.1961</v>
      </c>
      <c r="H179" s="65"/>
      <c r="I179" s="54"/>
      <c r="J179" s="18"/>
    </row>
    <row r="180" customFormat="false" ht="15" hidden="false" customHeight="false" outlineLevel="0" collapsed="false">
      <c r="A180" s="18" t="s">
        <v>2156</v>
      </c>
      <c r="B180" s="49" t="n">
        <v>46143</v>
      </c>
      <c r="C180" s="18" t="s">
        <v>2157</v>
      </c>
      <c r="D180" s="18" t="s">
        <v>2174</v>
      </c>
      <c r="E180" s="18" t="s">
        <v>119</v>
      </c>
      <c r="F180" s="18" t="s">
        <v>2338</v>
      </c>
      <c r="G180" s="65" t="n">
        <v>3454.5515</v>
      </c>
      <c r="H180" s="65"/>
      <c r="I180" s="54"/>
      <c r="J180" s="18"/>
    </row>
    <row r="181" customFormat="false" ht="15" hidden="false" customHeight="false" outlineLevel="0" collapsed="false">
      <c r="A181" s="18" t="s">
        <v>2156</v>
      </c>
      <c r="B181" s="49" t="n">
        <v>46143</v>
      </c>
      <c r="C181" s="18" t="s">
        <v>2157</v>
      </c>
      <c r="D181" s="18" t="s">
        <v>2180</v>
      </c>
      <c r="E181" s="18" t="s">
        <v>2159</v>
      </c>
      <c r="F181" s="18" t="s">
        <v>2339</v>
      </c>
      <c r="G181" s="65" t="n">
        <v>24591.9965</v>
      </c>
      <c r="H181" s="65" t="n">
        <v>456.245567044111</v>
      </c>
      <c r="I181" s="54" t="n">
        <v>0.00913201450684299</v>
      </c>
      <c r="J181" s="18" t="b">
        <f aca="false">FALSE()</f>
        <v>0</v>
      </c>
    </row>
    <row r="182" customFormat="false" ht="15" hidden="false" customHeight="false" outlineLevel="0" collapsed="false">
      <c r="A182" s="18" t="s">
        <v>2156</v>
      </c>
      <c r="B182" s="49" t="n">
        <v>46143</v>
      </c>
      <c r="C182" s="18" t="s">
        <v>2157</v>
      </c>
      <c r="D182" s="18" t="s">
        <v>2180</v>
      </c>
      <c r="E182" s="18" t="s">
        <v>99</v>
      </c>
      <c r="F182" s="18" t="s">
        <v>2340</v>
      </c>
      <c r="G182" s="65" t="n">
        <v>7345.3822</v>
      </c>
      <c r="H182" s="65"/>
      <c r="I182" s="54"/>
      <c r="J182" s="18"/>
    </row>
    <row r="183" customFormat="false" ht="15" hidden="false" customHeight="false" outlineLevel="0" collapsed="false">
      <c r="A183" s="18" t="s">
        <v>2156</v>
      </c>
      <c r="B183" s="49" t="n">
        <v>46143</v>
      </c>
      <c r="C183" s="18" t="s">
        <v>2157</v>
      </c>
      <c r="D183" s="18" t="s">
        <v>2180</v>
      </c>
      <c r="E183" s="18" t="s">
        <v>113</v>
      </c>
      <c r="F183" s="18" t="s">
        <v>2341</v>
      </c>
      <c r="G183" s="65" t="n">
        <v>5749.236</v>
      </c>
      <c r="H183" s="65"/>
      <c r="I183" s="54"/>
      <c r="J183" s="18"/>
    </row>
    <row r="184" customFormat="false" ht="15" hidden="false" customHeight="false" outlineLevel="0" collapsed="false">
      <c r="A184" s="18" t="s">
        <v>2156</v>
      </c>
      <c r="B184" s="49" t="n">
        <v>46143</v>
      </c>
      <c r="C184" s="18" t="s">
        <v>2157</v>
      </c>
      <c r="D184" s="18" t="s">
        <v>2180</v>
      </c>
      <c r="E184" s="18" t="s">
        <v>119</v>
      </c>
      <c r="F184" s="18" t="s">
        <v>2342</v>
      </c>
      <c r="G184" s="65" t="n">
        <v>11497.3784</v>
      </c>
      <c r="H184" s="65"/>
      <c r="I184" s="54"/>
      <c r="J184" s="18"/>
    </row>
    <row r="185" customFormat="false" ht="15" hidden="false" customHeight="false" outlineLevel="0" collapsed="false">
      <c r="A185" s="18" t="s">
        <v>2156</v>
      </c>
      <c r="B185" s="49" t="n">
        <v>46143</v>
      </c>
      <c r="C185" s="18" t="s">
        <v>2186</v>
      </c>
      <c r="D185" s="18" t="s">
        <v>2158</v>
      </c>
      <c r="E185" s="18" t="s">
        <v>2159</v>
      </c>
      <c r="F185" s="18" t="s">
        <v>2343</v>
      </c>
      <c r="G185" s="65" t="n">
        <v>2117.0158</v>
      </c>
      <c r="H185" s="65"/>
      <c r="I185" s="54"/>
      <c r="J185" s="18"/>
    </row>
    <row r="186" customFormat="false" ht="15" hidden="false" customHeight="false" outlineLevel="0" collapsed="false">
      <c r="A186" s="18" t="s">
        <v>2156</v>
      </c>
      <c r="B186" s="49" t="n">
        <v>46143</v>
      </c>
      <c r="C186" s="18" t="s">
        <v>2186</v>
      </c>
      <c r="D186" s="18" t="s">
        <v>2158</v>
      </c>
      <c r="E186" s="18" t="s">
        <v>99</v>
      </c>
      <c r="F186" s="18" t="s">
        <v>2344</v>
      </c>
      <c r="G186" s="65" t="n">
        <v>572.2577</v>
      </c>
      <c r="H186" s="65"/>
      <c r="I186" s="54"/>
      <c r="J186" s="18"/>
    </row>
    <row r="187" customFormat="false" ht="15" hidden="false" customHeight="false" outlineLevel="0" collapsed="false">
      <c r="A187" s="18" t="s">
        <v>2156</v>
      </c>
      <c r="B187" s="49" t="n">
        <v>46143</v>
      </c>
      <c r="C187" s="18" t="s">
        <v>2186</v>
      </c>
      <c r="D187" s="18" t="s">
        <v>2158</v>
      </c>
      <c r="E187" s="18" t="s">
        <v>113</v>
      </c>
      <c r="F187" s="18" t="s">
        <v>2345</v>
      </c>
      <c r="G187" s="65" t="n">
        <v>459.1265</v>
      </c>
      <c r="H187" s="65"/>
      <c r="I187" s="54"/>
      <c r="J187" s="18"/>
    </row>
    <row r="188" customFormat="false" ht="15" hidden="false" customHeight="false" outlineLevel="0" collapsed="false">
      <c r="A188" s="18" t="s">
        <v>2156</v>
      </c>
      <c r="B188" s="49" t="n">
        <v>46143</v>
      </c>
      <c r="C188" s="18" t="s">
        <v>2186</v>
      </c>
      <c r="D188" s="18" t="s">
        <v>2158</v>
      </c>
      <c r="E188" s="18" t="s">
        <v>119</v>
      </c>
      <c r="F188" s="18" t="s">
        <v>2346</v>
      </c>
      <c r="G188" s="65" t="n">
        <v>1085.6316</v>
      </c>
      <c r="H188" s="65"/>
      <c r="I188" s="54"/>
      <c r="J188" s="18"/>
    </row>
    <row r="189" customFormat="false" ht="15" hidden="false" customHeight="false" outlineLevel="0" collapsed="false">
      <c r="A189" s="18" t="s">
        <v>2156</v>
      </c>
      <c r="B189" s="49" t="n">
        <v>46143</v>
      </c>
      <c r="C189" s="18" t="s">
        <v>2186</v>
      </c>
      <c r="D189" s="18" t="s">
        <v>222</v>
      </c>
      <c r="E189" s="18" t="s">
        <v>2159</v>
      </c>
      <c r="F189" s="18" t="s">
        <v>2347</v>
      </c>
      <c r="G189" s="65" t="n">
        <v>7418.6096</v>
      </c>
      <c r="H189" s="65"/>
      <c r="I189" s="54"/>
      <c r="J189" s="18"/>
    </row>
    <row r="190" customFormat="false" ht="15" hidden="false" customHeight="false" outlineLevel="0" collapsed="false">
      <c r="A190" s="18" t="s">
        <v>2156</v>
      </c>
      <c r="B190" s="49" t="n">
        <v>46143</v>
      </c>
      <c r="C190" s="18" t="s">
        <v>2186</v>
      </c>
      <c r="D190" s="18" t="s">
        <v>222</v>
      </c>
      <c r="E190" s="18" t="s">
        <v>99</v>
      </c>
      <c r="F190" s="18" t="s">
        <v>2348</v>
      </c>
      <c r="G190" s="65" t="n">
        <v>1795.801</v>
      </c>
      <c r="H190" s="65"/>
      <c r="I190" s="54"/>
      <c r="J190" s="18"/>
    </row>
    <row r="191" customFormat="false" ht="15" hidden="false" customHeight="false" outlineLevel="0" collapsed="false">
      <c r="A191" s="18" t="s">
        <v>2156</v>
      </c>
      <c r="B191" s="49" t="n">
        <v>46143</v>
      </c>
      <c r="C191" s="18" t="s">
        <v>2186</v>
      </c>
      <c r="D191" s="18" t="s">
        <v>222</v>
      </c>
      <c r="E191" s="18" t="s">
        <v>113</v>
      </c>
      <c r="F191" s="18" t="s">
        <v>2349</v>
      </c>
      <c r="G191" s="65" t="n">
        <v>1410.6822</v>
      </c>
      <c r="H191" s="65"/>
      <c r="I191" s="54"/>
      <c r="J191" s="18"/>
    </row>
    <row r="192" customFormat="false" ht="15" hidden="false" customHeight="false" outlineLevel="0" collapsed="false">
      <c r="A192" s="18" t="s">
        <v>2156</v>
      </c>
      <c r="B192" s="49" t="n">
        <v>46143</v>
      </c>
      <c r="C192" s="18" t="s">
        <v>2186</v>
      </c>
      <c r="D192" s="18" t="s">
        <v>222</v>
      </c>
      <c r="E192" s="18" t="s">
        <v>119</v>
      </c>
      <c r="F192" s="18" t="s">
        <v>2350</v>
      </c>
      <c r="G192" s="65" t="n">
        <v>4212.1264</v>
      </c>
      <c r="H192" s="65"/>
      <c r="I192" s="54"/>
      <c r="J192" s="18"/>
    </row>
    <row r="193" customFormat="false" ht="15" hidden="false" customHeight="false" outlineLevel="0" collapsed="false">
      <c r="A193" s="18" t="s">
        <v>2156</v>
      </c>
      <c r="B193" s="49" t="n">
        <v>46143</v>
      </c>
      <c r="C193" s="18" t="s">
        <v>2186</v>
      </c>
      <c r="D193" s="18" t="s">
        <v>2168</v>
      </c>
      <c r="E193" s="18" t="s">
        <v>2159</v>
      </c>
      <c r="F193" s="18" t="s">
        <v>2351</v>
      </c>
      <c r="G193" s="65" t="n">
        <v>8376.4369</v>
      </c>
      <c r="H193" s="65"/>
      <c r="I193" s="54"/>
      <c r="J193" s="18"/>
    </row>
    <row r="194" customFormat="false" ht="15" hidden="false" customHeight="false" outlineLevel="0" collapsed="false">
      <c r="A194" s="18" t="s">
        <v>2156</v>
      </c>
      <c r="B194" s="49" t="n">
        <v>46143</v>
      </c>
      <c r="C194" s="18" t="s">
        <v>2186</v>
      </c>
      <c r="D194" s="18" t="s">
        <v>2168</v>
      </c>
      <c r="E194" s="18" t="s">
        <v>99</v>
      </c>
      <c r="F194" s="18" t="s">
        <v>2352</v>
      </c>
      <c r="G194" s="65" t="n">
        <v>-1520.3725</v>
      </c>
      <c r="H194" s="65"/>
      <c r="I194" s="54"/>
      <c r="J194" s="18"/>
    </row>
    <row r="195" customFormat="false" ht="15" hidden="false" customHeight="false" outlineLevel="0" collapsed="false">
      <c r="A195" s="18" t="s">
        <v>2156</v>
      </c>
      <c r="B195" s="49" t="n">
        <v>46143</v>
      </c>
      <c r="C195" s="18" t="s">
        <v>2186</v>
      </c>
      <c r="D195" s="18" t="s">
        <v>2168</v>
      </c>
      <c r="E195" s="18" t="s">
        <v>113</v>
      </c>
      <c r="F195" s="18" t="s">
        <v>2353</v>
      </c>
      <c r="G195" s="65" t="n">
        <v>-48.4096</v>
      </c>
      <c r="H195" s="65"/>
      <c r="I195" s="54"/>
      <c r="J195" s="18"/>
    </row>
    <row r="196" customFormat="false" ht="15" hidden="false" customHeight="false" outlineLevel="0" collapsed="false">
      <c r="A196" s="18" t="s">
        <v>2156</v>
      </c>
      <c r="B196" s="49" t="n">
        <v>46143</v>
      </c>
      <c r="C196" s="18" t="s">
        <v>2186</v>
      </c>
      <c r="D196" s="18" t="s">
        <v>2168</v>
      </c>
      <c r="E196" s="18" t="s">
        <v>119</v>
      </c>
      <c r="F196" s="18" t="s">
        <v>2354</v>
      </c>
      <c r="G196" s="65" t="n">
        <v>9945.219</v>
      </c>
      <c r="H196" s="65"/>
      <c r="I196" s="54"/>
      <c r="J196" s="18"/>
    </row>
    <row r="197" customFormat="false" ht="15" hidden="false" customHeight="false" outlineLevel="0" collapsed="false">
      <c r="A197" s="18" t="s">
        <v>2156</v>
      </c>
      <c r="B197" s="49" t="n">
        <v>46143</v>
      </c>
      <c r="C197" s="18" t="s">
        <v>2186</v>
      </c>
      <c r="D197" s="18" t="s">
        <v>2174</v>
      </c>
      <c r="E197" s="18" t="s">
        <v>2159</v>
      </c>
      <c r="F197" s="18" t="s">
        <v>2355</v>
      </c>
      <c r="G197" s="65" t="n">
        <v>7000.804</v>
      </c>
      <c r="H197" s="65"/>
      <c r="I197" s="54"/>
      <c r="J197" s="18"/>
    </row>
    <row r="198" customFormat="false" ht="15" hidden="false" customHeight="false" outlineLevel="0" collapsed="false">
      <c r="A198" s="18" t="s">
        <v>2156</v>
      </c>
      <c r="B198" s="49" t="n">
        <v>46143</v>
      </c>
      <c r="C198" s="18" t="s">
        <v>2186</v>
      </c>
      <c r="D198" s="18" t="s">
        <v>2174</v>
      </c>
      <c r="E198" s="18" t="s">
        <v>99</v>
      </c>
      <c r="F198" s="18" t="s">
        <v>2356</v>
      </c>
      <c r="G198" s="65" t="n">
        <v>2049.841</v>
      </c>
      <c r="H198" s="65"/>
      <c r="I198" s="54"/>
      <c r="J198" s="18"/>
    </row>
    <row r="199" customFormat="false" ht="15" hidden="false" customHeight="false" outlineLevel="0" collapsed="false">
      <c r="A199" s="18" t="s">
        <v>2156</v>
      </c>
      <c r="B199" s="49" t="n">
        <v>46143</v>
      </c>
      <c r="C199" s="18" t="s">
        <v>2186</v>
      </c>
      <c r="D199" s="18" t="s">
        <v>2174</v>
      </c>
      <c r="E199" s="18" t="s">
        <v>113</v>
      </c>
      <c r="F199" s="18" t="s">
        <v>2357</v>
      </c>
      <c r="G199" s="65" t="n">
        <v>1593.0469</v>
      </c>
      <c r="H199" s="65"/>
      <c r="I199" s="54"/>
      <c r="J199" s="18"/>
    </row>
    <row r="200" customFormat="false" ht="15" hidden="false" customHeight="false" outlineLevel="0" collapsed="false">
      <c r="A200" s="18" t="s">
        <v>2156</v>
      </c>
      <c r="B200" s="49" t="n">
        <v>46143</v>
      </c>
      <c r="C200" s="18" t="s">
        <v>2186</v>
      </c>
      <c r="D200" s="18" t="s">
        <v>2174</v>
      </c>
      <c r="E200" s="18" t="s">
        <v>119</v>
      </c>
      <c r="F200" s="18" t="s">
        <v>2358</v>
      </c>
      <c r="G200" s="65" t="n">
        <v>3357.9161</v>
      </c>
      <c r="H200" s="65"/>
      <c r="I200" s="54"/>
      <c r="J200" s="18"/>
    </row>
    <row r="201" customFormat="false" ht="15" hidden="false" customHeight="false" outlineLevel="0" collapsed="false">
      <c r="A201" s="18" t="s">
        <v>2156</v>
      </c>
      <c r="B201" s="49" t="n">
        <v>46143</v>
      </c>
      <c r="C201" s="18" t="s">
        <v>2186</v>
      </c>
      <c r="D201" s="18" t="s">
        <v>2180</v>
      </c>
      <c r="E201" s="18" t="s">
        <v>2159</v>
      </c>
      <c r="F201" s="18" t="s">
        <v>2359</v>
      </c>
      <c r="G201" s="65" t="n">
        <v>25048.2421</v>
      </c>
      <c r="H201" s="65"/>
      <c r="I201" s="54"/>
      <c r="J201" s="18"/>
    </row>
    <row r="202" customFormat="false" ht="15" hidden="false" customHeight="false" outlineLevel="0" collapsed="false">
      <c r="A202" s="18" t="s">
        <v>2156</v>
      </c>
      <c r="B202" s="49" t="n">
        <v>46143</v>
      </c>
      <c r="C202" s="18" t="s">
        <v>2186</v>
      </c>
      <c r="D202" s="18" t="s">
        <v>2180</v>
      </c>
      <c r="E202" s="18" t="s">
        <v>99</v>
      </c>
      <c r="F202" s="18" t="s">
        <v>2360</v>
      </c>
      <c r="G202" s="65" t="n">
        <v>7398.7318</v>
      </c>
      <c r="H202" s="65"/>
      <c r="I202" s="54"/>
      <c r="J202" s="18"/>
    </row>
    <row r="203" customFormat="false" ht="15" hidden="false" customHeight="false" outlineLevel="0" collapsed="false">
      <c r="A203" s="18" t="s">
        <v>2156</v>
      </c>
      <c r="B203" s="49" t="n">
        <v>46143</v>
      </c>
      <c r="C203" s="18" t="s">
        <v>2186</v>
      </c>
      <c r="D203" s="18" t="s">
        <v>2180</v>
      </c>
      <c r="E203" s="18" t="s">
        <v>113</v>
      </c>
      <c r="F203" s="18" t="s">
        <v>2361</v>
      </c>
      <c r="G203" s="65" t="n">
        <v>5811.9382</v>
      </c>
      <c r="H203" s="65"/>
      <c r="I203" s="54"/>
      <c r="J203" s="18"/>
    </row>
    <row r="204" customFormat="false" ht="15" hidden="false" customHeight="false" outlineLevel="0" collapsed="false">
      <c r="A204" s="18" t="s">
        <v>2156</v>
      </c>
      <c r="B204" s="49" t="n">
        <v>46143</v>
      </c>
      <c r="C204" s="18" t="s">
        <v>2186</v>
      </c>
      <c r="D204" s="18" t="s">
        <v>2180</v>
      </c>
      <c r="E204" s="18" t="s">
        <v>119</v>
      </c>
      <c r="F204" s="18" t="s">
        <v>2362</v>
      </c>
      <c r="G204" s="65" t="n">
        <v>11837.572</v>
      </c>
      <c r="H204" s="65"/>
      <c r="I204" s="54"/>
      <c r="J204" s="18"/>
    </row>
    <row r="205" customFormat="false" ht="15" hidden="false" customHeight="false" outlineLevel="0" collapsed="false">
      <c r="A205" s="18" t="s">
        <v>2156</v>
      </c>
      <c r="B205" s="49" t="n">
        <v>46174</v>
      </c>
      <c r="C205" s="18" t="s">
        <v>2157</v>
      </c>
      <c r="D205" s="18" t="s">
        <v>2158</v>
      </c>
      <c r="E205" s="18" t="s">
        <v>2159</v>
      </c>
      <c r="F205" s="18" t="s">
        <v>2363</v>
      </c>
      <c r="G205" s="65" t="n">
        <v>2777.7889</v>
      </c>
      <c r="H205" s="65" t="n">
        <v>51.8158072675808</v>
      </c>
      <c r="I205" s="54" t="n">
        <v>0.000806358621656787</v>
      </c>
      <c r="J205" s="18" t="b">
        <f aca="false">FALSE()</f>
        <v>0</v>
      </c>
    </row>
    <row r="206" customFormat="false" ht="15" hidden="false" customHeight="false" outlineLevel="0" collapsed="false">
      <c r="A206" s="18" t="s">
        <v>2156</v>
      </c>
      <c r="B206" s="49" t="n">
        <v>46174</v>
      </c>
      <c r="C206" s="18" t="s">
        <v>2157</v>
      </c>
      <c r="D206" s="18" t="s">
        <v>2158</v>
      </c>
      <c r="E206" s="18" t="s">
        <v>99</v>
      </c>
      <c r="F206" s="18" t="s">
        <v>2364</v>
      </c>
      <c r="G206" s="65" t="n">
        <v>728.2629</v>
      </c>
      <c r="H206" s="65"/>
      <c r="I206" s="54"/>
      <c r="J206" s="18"/>
    </row>
    <row r="207" customFormat="false" ht="15" hidden="false" customHeight="false" outlineLevel="0" collapsed="false">
      <c r="A207" s="18" t="s">
        <v>2156</v>
      </c>
      <c r="B207" s="49" t="n">
        <v>46174</v>
      </c>
      <c r="C207" s="18" t="s">
        <v>2157</v>
      </c>
      <c r="D207" s="18" t="s">
        <v>2158</v>
      </c>
      <c r="E207" s="18" t="s">
        <v>113</v>
      </c>
      <c r="F207" s="18" t="s">
        <v>2365</v>
      </c>
      <c r="G207" s="65" t="n">
        <v>584.7392</v>
      </c>
      <c r="H207" s="65"/>
      <c r="I207" s="54"/>
      <c r="J207" s="18"/>
    </row>
    <row r="208" customFormat="false" ht="15" hidden="false" customHeight="false" outlineLevel="0" collapsed="false">
      <c r="A208" s="18" t="s">
        <v>2156</v>
      </c>
      <c r="B208" s="49" t="n">
        <v>46174</v>
      </c>
      <c r="C208" s="18" t="s">
        <v>2157</v>
      </c>
      <c r="D208" s="18" t="s">
        <v>2158</v>
      </c>
      <c r="E208" s="18" t="s">
        <v>119</v>
      </c>
      <c r="F208" s="18" t="s">
        <v>2366</v>
      </c>
      <c r="G208" s="65" t="n">
        <v>1464.7867</v>
      </c>
      <c r="H208" s="65"/>
      <c r="I208" s="54"/>
      <c r="J208" s="18"/>
    </row>
    <row r="209" customFormat="false" ht="15" hidden="false" customHeight="false" outlineLevel="0" collapsed="false">
      <c r="A209" s="18" t="s">
        <v>2156</v>
      </c>
      <c r="B209" s="49" t="n">
        <v>46174</v>
      </c>
      <c r="C209" s="18" t="s">
        <v>2157</v>
      </c>
      <c r="D209" s="18" t="s">
        <v>222</v>
      </c>
      <c r="E209" s="18" t="s">
        <v>2159</v>
      </c>
      <c r="F209" s="18" t="s">
        <v>2367</v>
      </c>
      <c r="G209" s="65" t="n">
        <v>10136.1611</v>
      </c>
      <c r="H209" s="65" t="n">
        <v>413.00036701933</v>
      </c>
      <c r="I209" s="54" t="n">
        <v>0.00642711991291924</v>
      </c>
      <c r="J209" s="18" t="b">
        <f aca="false">FALSE()</f>
        <v>0</v>
      </c>
    </row>
    <row r="210" customFormat="false" ht="15" hidden="false" customHeight="false" outlineLevel="0" collapsed="false">
      <c r="A210" s="18" t="s">
        <v>2156</v>
      </c>
      <c r="B210" s="49" t="n">
        <v>46174</v>
      </c>
      <c r="C210" s="18" t="s">
        <v>2157</v>
      </c>
      <c r="D210" s="18" t="s">
        <v>222</v>
      </c>
      <c r="E210" s="18" t="s">
        <v>99</v>
      </c>
      <c r="F210" s="18" t="s">
        <v>2368</v>
      </c>
      <c r="G210" s="65" t="n">
        <v>2424.1894</v>
      </c>
      <c r="H210" s="65"/>
      <c r="I210" s="54"/>
      <c r="J210" s="18"/>
    </row>
    <row r="211" customFormat="false" ht="15" hidden="false" customHeight="false" outlineLevel="0" collapsed="false">
      <c r="A211" s="18" t="s">
        <v>2156</v>
      </c>
      <c r="B211" s="49" t="n">
        <v>46174</v>
      </c>
      <c r="C211" s="18" t="s">
        <v>2157</v>
      </c>
      <c r="D211" s="18" t="s">
        <v>222</v>
      </c>
      <c r="E211" s="18" t="s">
        <v>113</v>
      </c>
      <c r="F211" s="18" t="s">
        <v>2369</v>
      </c>
      <c r="G211" s="65" t="n">
        <v>1906.9198</v>
      </c>
      <c r="H211" s="65"/>
      <c r="I211" s="54"/>
      <c r="J211" s="18"/>
    </row>
    <row r="212" customFormat="false" ht="15" hidden="false" customHeight="false" outlineLevel="0" collapsed="false">
      <c r="A212" s="18" t="s">
        <v>2156</v>
      </c>
      <c r="B212" s="49" t="n">
        <v>46174</v>
      </c>
      <c r="C212" s="18" t="s">
        <v>2157</v>
      </c>
      <c r="D212" s="18" t="s">
        <v>222</v>
      </c>
      <c r="E212" s="18" t="s">
        <v>119</v>
      </c>
      <c r="F212" s="18" t="s">
        <v>2370</v>
      </c>
      <c r="G212" s="65" t="n">
        <v>5805.052</v>
      </c>
      <c r="H212" s="65"/>
      <c r="I212" s="54"/>
      <c r="J212" s="18"/>
    </row>
    <row r="213" customFormat="false" ht="15" hidden="false" customHeight="false" outlineLevel="0" collapsed="false">
      <c r="A213" s="18" t="s">
        <v>2156</v>
      </c>
      <c r="B213" s="49" t="n">
        <v>46174</v>
      </c>
      <c r="C213" s="18" t="s">
        <v>2157</v>
      </c>
      <c r="D213" s="18" t="s">
        <v>2168</v>
      </c>
      <c r="E213" s="18" t="s">
        <v>2159</v>
      </c>
      <c r="F213" s="18" t="s">
        <v>2371</v>
      </c>
      <c r="G213" s="65" t="n">
        <v>13698.4788</v>
      </c>
      <c r="H213" s="65" t="n">
        <v>31.3464988670949</v>
      </c>
      <c r="I213" s="54" t="n">
        <v>0.000487814837848743</v>
      </c>
      <c r="J213" s="18" t="b">
        <f aca="false">FALSE()</f>
        <v>0</v>
      </c>
    </row>
    <row r="214" customFormat="false" ht="15" hidden="false" customHeight="false" outlineLevel="0" collapsed="false">
      <c r="A214" s="18" t="s">
        <v>2156</v>
      </c>
      <c r="B214" s="49" t="n">
        <v>46174</v>
      </c>
      <c r="C214" s="18" t="s">
        <v>2157</v>
      </c>
      <c r="D214" s="18" t="s">
        <v>2168</v>
      </c>
      <c r="E214" s="18" t="s">
        <v>99</v>
      </c>
      <c r="F214" s="18" t="s">
        <v>2372</v>
      </c>
      <c r="G214" s="65" t="n">
        <v>-3752.6151</v>
      </c>
      <c r="H214" s="65"/>
      <c r="I214" s="54"/>
      <c r="J214" s="18"/>
    </row>
    <row r="215" customFormat="false" ht="15" hidden="false" customHeight="false" outlineLevel="0" collapsed="false">
      <c r="A215" s="18" t="s">
        <v>2156</v>
      </c>
      <c r="B215" s="49" t="n">
        <v>46174</v>
      </c>
      <c r="C215" s="18" t="s">
        <v>2157</v>
      </c>
      <c r="D215" s="18" t="s">
        <v>2168</v>
      </c>
      <c r="E215" s="18" t="s">
        <v>113</v>
      </c>
      <c r="F215" s="18" t="s">
        <v>2373</v>
      </c>
      <c r="G215" s="65" t="n">
        <v>-2116.7643</v>
      </c>
      <c r="H215" s="65"/>
      <c r="I215" s="54"/>
      <c r="J215" s="18"/>
    </row>
    <row r="216" customFormat="false" ht="15" hidden="false" customHeight="false" outlineLevel="0" collapsed="false">
      <c r="A216" s="18" t="s">
        <v>2156</v>
      </c>
      <c r="B216" s="49" t="n">
        <v>46174</v>
      </c>
      <c r="C216" s="18" t="s">
        <v>2157</v>
      </c>
      <c r="D216" s="18" t="s">
        <v>2168</v>
      </c>
      <c r="E216" s="18" t="s">
        <v>119</v>
      </c>
      <c r="F216" s="18" t="s">
        <v>2374</v>
      </c>
      <c r="G216" s="65" t="n">
        <v>19567.8583</v>
      </c>
      <c r="H216" s="65"/>
      <c r="I216" s="54"/>
      <c r="J216" s="18"/>
    </row>
    <row r="217" customFormat="false" ht="15" hidden="false" customHeight="false" outlineLevel="0" collapsed="false">
      <c r="A217" s="18" t="s">
        <v>2156</v>
      </c>
      <c r="B217" s="49" t="n">
        <v>46174</v>
      </c>
      <c r="C217" s="18" t="s">
        <v>2157</v>
      </c>
      <c r="D217" s="18" t="s">
        <v>2174</v>
      </c>
      <c r="E217" s="18" t="s">
        <v>2159</v>
      </c>
      <c r="F217" s="18" t="s">
        <v>2375</v>
      </c>
      <c r="G217" s="65" t="n">
        <v>8955.9192</v>
      </c>
      <c r="H217" s="65" t="n">
        <v>222.858654337977</v>
      </c>
      <c r="I217" s="54" t="n">
        <v>0.00346813080433645</v>
      </c>
      <c r="J217" s="18" t="b">
        <f aca="false">FALSE()</f>
        <v>0</v>
      </c>
    </row>
    <row r="218" customFormat="false" ht="15" hidden="false" customHeight="false" outlineLevel="0" collapsed="false">
      <c r="A218" s="18" t="s">
        <v>2156</v>
      </c>
      <c r="B218" s="49" t="n">
        <v>46174</v>
      </c>
      <c r="C218" s="18" t="s">
        <v>2157</v>
      </c>
      <c r="D218" s="18" t="s">
        <v>2174</v>
      </c>
      <c r="E218" s="18" t="s">
        <v>99</v>
      </c>
      <c r="F218" s="18" t="s">
        <v>2376</v>
      </c>
      <c r="G218" s="65" t="n">
        <v>2553.1422</v>
      </c>
      <c r="H218" s="65"/>
      <c r="I218" s="54"/>
      <c r="J218" s="18"/>
    </row>
    <row r="219" customFormat="false" ht="15" hidden="false" customHeight="false" outlineLevel="0" collapsed="false">
      <c r="A219" s="18" t="s">
        <v>2156</v>
      </c>
      <c r="B219" s="49" t="n">
        <v>46174</v>
      </c>
      <c r="C219" s="18" t="s">
        <v>2157</v>
      </c>
      <c r="D219" s="18" t="s">
        <v>2174</v>
      </c>
      <c r="E219" s="18" t="s">
        <v>113</v>
      </c>
      <c r="F219" s="18" t="s">
        <v>2377</v>
      </c>
      <c r="G219" s="65" t="n">
        <v>1986.9763</v>
      </c>
      <c r="H219" s="65"/>
      <c r="I219" s="54"/>
      <c r="J219" s="18"/>
    </row>
    <row r="220" customFormat="false" ht="15" hidden="false" customHeight="false" outlineLevel="0" collapsed="false">
      <c r="A220" s="18" t="s">
        <v>2156</v>
      </c>
      <c r="B220" s="49" t="n">
        <v>46174</v>
      </c>
      <c r="C220" s="18" t="s">
        <v>2157</v>
      </c>
      <c r="D220" s="18" t="s">
        <v>2174</v>
      </c>
      <c r="E220" s="18" t="s">
        <v>119</v>
      </c>
      <c r="F220" s="18" t="s">
        <v>2378</v>
      </c>
      <c r="G220" s="65" t="n">
        <v>4415.8008</v>
      </c>
      <c r="H220" s="65"/>
      <c r="I220" s="54"/>
      <c r="J220" s="18"/>
    </row>
    <row r="221" customFormat="false" ht="15" hidden="false" customHeight="false" outlineLevel="0" collapsed="false">
      <c r="A221" s="18" t="s">
        <v>2156</v>
      </c>
      <c r="B221" s="49" t="n">
        <v>46174</v>
      </c>
      <c r="C221" s="18" t="s">
        <v>2157</v>
      </c>
      <c r="D221" s="18" t="s">
        <v>2180</v>
      </c>
      <c r="E221" s="18" t="s">
        <v>2159</v>
      </c>
      <c r="F221" s="18" t="s">
        <v>2379</v>
      </c>
      <c r="G221" s="65" t="n">
        <v>28690.6626</v>
      </c>
      <c r="H221" s="65" t="n">
        <v>719.021327491983</v>
      </c>
      <c r="I221" s="54" t="n">
        <v>0.0111894241767612</v>
      </c>
      <c r="J221" s="18" t="b">
        <f aca="false">FALSE()</f>
        <v>0</v>
      </c>
    </row>
    <row r="222" customFormat="false" ht="15" hidden="false" customHeight="false" outlineLevel="0" collapsed="false">
      <c r="A222" s="18" t="s">
        <v>2156</v>
      </c>
      <c r="B222" s="49" t="n">
        <v>46174</v>
      </c>
      <c r="C222" s="18" t="s">
        <v>2157</v>
      </c>
      <c r="D222" s="18" t="s">
        <v>2180</v>
      </c>
      <c r="E222" s="18" t="s">
        <v>99</v>
      </c>
      <c r="F222" s="18" t="s">
        <v>2380</v>
      </c>
      <c r="G222" s="65" t="n">
        <v>8569.6125</v>
      </c>
      <c r="H222" s="65"/>
      <c r="I222" s="54"/>
      <c r="J222" s="18"/>
    </row>
    <row r="223" customFormat="false" ht="15" hidden="false" customHeight="false" outlineLevel="0" collapsed="false">
      <c r="A223" s="18" t="s">
        <v>2156</v>
      </c>
      <c r="B223" s="49" t="n">
        <v>46174</v>
      </c>
      <c r="C223" s="18" t="s">
        <v>2157</v>
      </c>
      <c r="D223" s="18" t="s">
        <v>2180</v>
      </c>
      <c r="E223" s="18" t="s">
        <v>113</v>
      </c>
      <c r="F223" s="18" t="s">
        <v>2381</v>
      </c>
      <c r="G223" s="65" t="n">
        <v>6707.442</v>
      </c>
      <c r="H223" s="65"/>
      <c r="I223" s="54"/>
      <c r="J223" s="18"/>
    </row>
    <row r="224" customFormat="false" ht="15" hidden="false" customHeight="false" outlineLevel="0" collapsed="false">
      <c r="A224" s="18" t="s">
        <v>2156</v>
      </c>
      <c r="B224" s="49" t="n">
        <v>46174</v>
      </c>
      <c r="C224" s="18" t="s">
        <v>2157</v>
      </c>
      <c r="D224" s="18" t="s">
        <v>2180</v>
      </c>
      <c r="E224" s="18" t="s">
        <v>119</v>
      </c>
      <c r="F224" s="18" t="s">
        <v>2382</v>
      </c>
      <c r="G224" s="65" t="n">
        <v>13413.6081</v>
      </c>
      <c r="H224" s="65"/>
      <c r="I224" s="54"/>
      <c r="J224" s="18"/>
    </row>
    <row r="225" customFormat="false" ht="15" hidden="false" customHeight="false" outlineLevel="0" collapsed="false">
      <c r="A225" s="18" t="s">
        <v>2156</v>
      </c>
      <c r="B225" s="49" t="n">
        <v>46174</v>
      </c>
      <c r="C225" s="18" t="s">
        <v>2186</v>
      </c>
      <c r="D225" s="18" t="s">
        <v>2158</v>
      </c>
      <c r="E225" s="18" t="s">
        <v>2159</v>
      </c>
      <c r="F225" s="18" t="s">
        <v>2383</v>
      </c>
      <c r="G225" s="65" t="n">
        <v>2725.9731</v>
      </c>
      <c r="H225" s="65"/>
      <c r="I225" s="54"/>
      <c r="J225" s="18"/>
    </row>
    <row r="226" customFormat="false" ht="15" hidden="false" customHeight="false" outlineLevel="0" collapsed="false">
      <c r="A226" s="18" t="s">
        <v>2156</v>
      </c>
      <c r="B226" s="49" t="n">
        <v>46174</v>
      </c>
      <c r="C226" s="18" t="s">
        <v>2186</v>
      </c>
      <c r="D226" s="18" t="s">
        <v>2158</v>
      </c>
      <c r="E226" s="18" t="s">
        <v>99</v>
      </c>
      <c r="F226" s="18" t="s">
        <v>2384</v>
      </c>
      <c r="G226" s="65" t="n">
        <v>728.1467</v>
      </c>
      <c r="H226" s="65"/>
      <c r="I226" s="54"/>
      <c r="J226" s="18"/>
    </row>
    <row r="227" customFormat="false" ht="15" hidden="false" customHeight="false" outlineLevel="0" collapsed="false">
      <c r="A227" s="18" t="s">
        <v>2156</v>
      </c>
      <c r="B227" s="49" t="n">
        <v>46174</v>
      </c>
      <c r="C227" s="18" t="s">
        <v>2186</v>
      </c>
      <c r="D227" s="18" t="s">
        <v>2158</v>
      </c>
      <c r="E227" s="18" t="s">
        <v>113</v>
      </c>
      <c r="F227" s="18" t="s">
        <v>2385</v>
      </c>
      <c r="G227" s="65" t="n">
        <v>583.1333</v>
      </c>
      <c r="H227" s="65"/>
      <c r="I227" s="54"/>
      <c r="J227" s="18"/>
    </row>
    <row r="228" customFormat="false" ht="15" hidden="false" customHeight="false" outlineLevel="0" collapsed="false">
      <c r="A228" s="18" t="s">
        <v>2156</v>
      </c>
      <c r="B228" s="49" t="n">
        <v>46174</v>
      </c>
      <c r="C228" s="18" t="s">
        <v>2186</v>
      </c>
      <c r="D228" s="18" t="s">
        <v>2158</v>
      </c>
      <c r="E228" s="18" t="s">
        <v>119</v>
      </c>
      <c r="F228" s="18" t="s">
        <v>2386</v>
      </c>
      <c r="G228" s="65" t="n">
        <v>1414.6931</v>
      </c>
      <c r="H228" s="65"/>
      <c r="I228" s="54"/>
      <c r="J228" s="18"/>
    </row>
    <row r="229" customFormat="false" ht="15" hidden="false" customHeight="false" outlineLevel="0" collapsed="false">
      <c r="A229" s="18" t="s">
        <v>2156</v>
      </c>
      <c r="B229" s="49" t="n">
        <v>46174</v>
      </c>
      <c r="C229" s="18" t="s">
        <v>2186</v>
      </c>
      <c r="D229" s="18" t="s">
        <v>222</v>
      </c>
      <c r="E229" s="18" t="s">
        <v>2159</v>
      </c>
      <c r="F229" s="18" t="s">
        <v>2387</v>
      </c>
      <c r="G229" s="65" t="n">
        <v>9723.1608</v>
      </c>
      <c r="H229" s="65"/>
      <c r="I229" s="54"/>
      <c r="J229" s="18"/>
    </row>
    <row r="230" customFormat="false" ht="15" hidden="false" customHeight="false" outlineLevel="0" collapsed="false">
      <c r="A230" s="18" t="s">
        <v>2156</v>
      </c>
      <c r="B230" s="49" t="n">
        <v>46174</v>
      </c>
      <c r="C230" s="18" t="s">
        <v>2186</v>
      </c>
      <c r="D230" s="18" t="s">
        <v>222</v>
      </c>
      <c r="E230" s="18" t="s">
        <v>99</v>
      </c>
      <c r="F230" s="18" t="s">
        <v>2388</v>
      </c>
      <c r="G230" s="65" t="n">
        <v>2377.5978</v>
      </c>
      <c r="H230" s="65"/>
      <c r="I230" s="54"/>
      <c r="J230" s="18"/>
    </row>
    <row r="231" customFormat="false" ht="15" hidden="false" customHeight="false" outlineLevel="0" collapsed="false">
      <c r="A231" s="18" t="s">
        <v>2156</v>
      </c>
      <c r="B231" s="49" t="n">
        <v>46174</v>
      </c>
      <c r="C231" s="18" t="s">
        <v>2186</v>
      </c>
      <c r="D231" s="18" t="s">
        <v>222</v>
      </c>
      <c r="E231" s="18" t="s">
        <v>113</v>
      </c>
      <c r="F231" s="18" t="s">
        <v>2389</v>
      </c>
      <c r="G231" s="65" t="n">
        <v>1865.6108</v>
      </c>
      <c r="H231" s="65"/>
      <c r="I231" s="54"/>
      <c r="J231" s="18"/>
    </row>
    <row r="232" customFormat="false" ht="15" hidden="false" customHeight="false" outlineLevel="0" collapsed="false">
      <c r="A232" s="18" t="s">
        <v>2156</v>
      </c>
      <c r="B232" s="49" t="n">
        <v>46174</v>
      </c>
      <c r="C232" s="18" t="s">
        <v>2186</v>
      </c>
      <c r="D232" s="18" t="s">
        <v>222</v>
      </c>
      <c r="E232" s="18" t="s">
        <v>119</v>
      </c>
      <c r="F232" s="18" t="s">
        <v>2390</v>
      </c>
      <c r="G232" s="65" t="n">
        <v>5479.9522</v>
      </c>
      <c r="H232" s="65"/>
      <c r="I232" s="54"/>
      <c r="J232" s="18"/>
    </row>
    <row r="233" customFormat="false" ht="15" hidden="false" customHeight="false" outlineLevel="0" collapsed="false">
      <c r="A233" s="18" t="s">
        <v>2156</v>
      </c>
      <c r="B233" s="49" t="n">
        <v>46174</v>
      </c>
      <c r="C233" s="18" t="s">
        <v>2186</v>
      </c>
      <c r="D233" s="18" t="s">
        <v>2168</v>
      </c>
      <c r="E233" s="18" t="s">
        <v>2159</v>
      </c>
      <c r="F233" s="18" t="s">
        <v>2391</v>
      </c>
      <c r="G233" s="65" t="n">
        <v>13667.1323</v>
      </c>
      <c r="H233" s="65"/>
      <c r="I233" s="54"/>
      <c r="J233" s="18"/>
    </row>
    <row r="234" customFormat="false" ht="15" hidden="false" customHeight="false" outlineLevel="0" collapsed="false">
      <c r="A234" s="18" t="s">
        <v>2156</v>
      </c>
      <c r="B234" s="49" t="n">
        <v>46174</v>
      </c>
      <c r="C234" s="18" t="s">
        <v>2186</v>
      </c>
      <c r="D234" s="18" t="s">
        <v>2168</v>
      </c>
      <c r="E234" s="18" t="s">
        <v>99</v>
      </c>
      <c r="F234" s="18" t="s">
        <v>2392</v>
      </c>
      <c r="G234" s="65" t="n">
        <v>-3726.6763</v>
      </c>
      <c r="H234" s="65"/>
      <c r="I234" s="54"/>
      <c r="J234" s="18"/>
    </row>
    <row r="235" customFormat="false" ht="15" hidden="false" customHeight="false" outlineLevel="0" collapsed="false">
      <c r="A235" s="18" t="s">
        <v>2156</v>
      </c>
      <c r="B235" s="49" t="n">
        <v>46174</v>
      </c>
      <c r="C235" s="18" t="s">
        <v>2186</v>
      </c>
      <c r="D235" s="18" t="s">
        <v>2168</v>
      </c>
      <c r="E235" s="18" t="s">
        <v>113</v>
      </c>
      <c r="F235" s="18" t="s">
        <v>2393</v>
      </c>
      <c r="G235" s="65" t="n">
        <v>-2101.994</v>
      </c>
      <c r="H235" s="65"/>
      <c r="I235" s="54"/>
      <c r="J235" s="18"/>
    </row>
    <row r="236" customFormat="false" ht="15" hidden="false" customHeight="false" outlineLevel="0" collapsed="false">
      <c r="A236" s="18" t="s">
        <v>2156</v>
      </c>
      <c r="B236" s="49" t="n">
        <v>46174</v>
      </c>
      <c r="C236" s="18" t="s">
        <v>2186</v>
      </c>
      <c r="D236" s="18" t="s">
        <v>2168</v>
      </c>
      <c r="E236" s="18" t="s">
        <v>119</v>
      </c>
      <c r="F236" s="18" t="s">
        <v>2394</v>
      </c>
      <c r="G236" s="65" t="n">
        <v>19495.8026</v>
      </c>
      <c r="H236" s="65"/>
      <c r="I236" s="54"/>
      <c r="J236" s="18"/>
    </row>
    <row r="237" customFormat="false" ht="15" hidden="false" customHeight="false" outlineLevel="0" collapsed="false">
      <c r="A237" s="18" t="s">
        <v>2156</v>
      </c>
      <c r="B237" s="49" t="n">
        <v>46174</v>
      </c>
      <c r="C237" s="18" t="s">
        <v>2186</v>
      </c>
      <c r="D237" s="18" t="s">
        <v>2174</v>
      </c>
      <c r="E237" s="18" t="s">
        <v>2159</v>
      </c>
      <c r="F237" s="18" t="s">
        <v>2395</v>
      </c>
      <c r="G237" s="65" t="n">
        <v>8733.0606</v>
      </c>
      <c r="H237" s="65"/>
      <c r="I237" s="54"/>
      <c r="J237" s="18"/>
    </row>
    <row r="238" customFormat="false" ht="15" hidden="false" customHeight="false" outlineLevel="0" collapsed="false">
      <c r="A238" s="18" t="s">
        <v>2156</v>
      </c>
      <c r="B238" s="49" t="n">
        <v>46174</v>
      </c>
      <c r="C238" s="18" t="s">
        <v>2186</v>
      </c>
      <c r="D238" s="18" t="s">
        <v>2174</v>
      </c>
      <c r="E238" s="18" t="s">
        <v>99</v>
      </c>
      <c r="F238" s="18" t="s">
        <v>2396</v>
      </c>
      <c r="G238" s="65" t="n">
        <v>2533.7964</v>
      </c>
      <c r="H238" s="65"/>
      <c r="I238" s="54"/>
      <c r="J238" s="18"/>
    </row>
    <row r="239" customFormat="false" ht="15" hidden="false" customHeight="false" outlineLevel="0" collapsed="false">
      <c r="A239" s="18" t="s">
        <v>2156</v>
      </c>
      <c r="B239" s="49" t="n">
        <v>46174</v>
      </c>
      <c r="C239" s="18" t="s">
        <v>2186</v>
      </c>
      <c r="D239" s="18" t="s">
        <v>2174</v>
      </c>
      <c r="E239" s="18" t="s">
        <v>113</v>
      </c>
      <c r="F239" s="18" t="s">
        <v>2397</v>
      </c>
      <c r="G239" s="65" t="n">
        <v>1966.9208</v>
      </c>
      <c r="H239" s="65"/>
      <c r="I239" s="54"/>
      <c r="J239" s="18"/>
    </row>
    <row r="240" customFormat="false" ht="15" hidden="false" customHeight="false" outlineLevel="0" collapsed="false">
      <c r="A240" s="18" t="s">
        <v>2156</v>
      </c>
      <c r="B240" s="49" t="n">
        <v>46174</v>
      </c>
      <c r="C240" s="18" t="s">
        <v>2186</v>
      </c>
      <c r="D240" s="18" t="s">
        <v>2174</v>
      </c>
      <c r="E240" s="18" t="s">
        <v>119</v>
      </c>
      <c r="F240" s="18" t="s">
        <v>2398</v>
      </c>
      <c r="G240" s="65" t="n">
        <v>4232.3433</v>
      </c>
      <c r="H240" s="65"/>
      <c r="I240" s="54"/>
      <c r="J240" s="18"/>
    </row>
    <row r="241" customFormat="false" ht="15" hidden="false" customHeight="false" outlineLevel="0" collapsed="false">
      <c r="A241" s="18" t="s">
        <v>2156</v>
      </c>
      <c r="B241" s="49" t="n">
        <v>46174</v>
      </c>
      <c r="C241" s="18" t="s">
        <v>2186</v>
      </c>
      <c r="D241" s="18" t="s">
        <v>2180</v>
      </c>
      <c r="E241" s="18" t="s">
        <v>2159</v>
      </c>
      <c r="F241" s="18" t="s">
        <v>2399</v>
      </c>
      <c r="G241" s="65" t="n">
        <v>29409.6839</v>
      </c>
      <c r="H241" s="65"/>
      <c r="I241" s="54"/>
      <c r="J241" s="18"/>
    </row>
    <row r="242" customFormat="false" ht="15" hidden="false" customHeight="false" outlineLevel="0" collapsed="false">
      <c r="A242" s="18" t="s">
        <v>2156</v>
      </c>
      <c r="B242" s="49" t="n">
        <v>46174</v>
      </c>
      <c r="C242" s="18" t="s">
        <v>2186</v>
      </c>
      <c r="D242" s="18" t="s">
        <v>2180</v>
      </c>
      <c r="E242" s="18" t="s">
        <v>99</v>
      </c>
      <c r="F242" s="18" t="s">
        <v>2400</v>
      </c>
      <c r="G242" s="65" t="n">
        <v>8609.7273</v>
      </c>
      <c r="H242" s="65"/>
      <c r="I242" s="54"/>
      <c r="J242" s="18"/>
    </row>
    <row r="243" customFormat="false" ht="15" hidden="false" customHeight="false" outlineLevel="0" collapsed="false">
      <c r="A243" s="18" t="s">
        <v>2156</v>
      </c>
      <c r="B243" s="49" t="n">
        <v>46174</v>
      </c>
      <c r="C243" s="18" t="s">
        <v>2186</v>
      </c>
      <c r="D243" s="18" t="s">
        <v>2180</v>
      </c>
      <c r="E243" s="18" t="s">
        <v>113</v>
      </c>
      <c r="F243" s="18" t="s">
        <v>2401</v>
      </c>
      <c r="G243" s="65" t="n">
        <v>6755.6419</v>
      </c>
      <c r="H243" s="65"/>
      <c r="I243" s="54"/>
      <c r="J243" s="18"/>
    </row>
    <row r="244" customFormat="false" ht="15" hidden="false" customHeight="false" outlineLevel="0" collapsed="false">
      <c r="A244" s="18" t="s">
        <v>2156</v>
      </c>
      <c r="B244" s="49" t="n">
        <v>46174</v>
      </c>
      <c r="C244" s="18" t="s">
        <v>2186</v>
      </c>
      <c r="D244" s="18" t="s">
        <v>2180</v>
      </c>
      <c r="E244" s="18" t="s">
        <v>119</v>
      </c>
      <c r="F244" s="18" t="s">
        <v>2402</v>
      </c>
      <c r="G244" s="65" t="n">
        <v>14044.3147</v>
      </c>
      <c r="H244" s="65"/>
      <c r="I244" s="54"/>
      <c r="J244" s="18"/>
    </row>
    <row r="245" customFormat="false" ht="15" hidden="false" customHeight="false" outlineLevel="0" collapsed="false">
      <c r="A245" s="18" t="s">
        <v>2156</v>
      </c>
      <c r="B245" s="49" t="n">
        <v>46204</v>
      </c>
      <c r="C245" s="18" t="s">
        <v>2157</v>
      </c>
      <c r="D245" s="18" t="s">
        <v>2158</v>
      </c>
      <c r="E245" s="18" t="s">
        <v>2159</v>
      </c>
      <c r="F245" s="18" t="s">
        <v>2403</v>
      </c>
      <c r="G245" s="65" t="n">
        <v>3598.9732</v>
      </c>
      <c r="H245" s="65" t="n">
        <v>132.26453825813</v>
      </c>
      <c r="I245" s="54" t="n">
        <v>0.00131136658938841</v>
      </c>
      <c r="J245" s="18" t="b">
        <f aca="false">FALSE()</f>
        <v>0</v>
      </c>
    </row>
    <row r="246" customFormat="false" ht="15" hidden="false" customHeight="false" outlineLevel="0" collapsed="false">
      <c r="A246" s="18" t="s">
        <v>2156</v>
      </c>
      <c r="B246" s="49" t="n">
        <v>46204</v>
      </c>
      <c r="C246" s="18" t="s">
        <v>2157</v>
      </c>
      <c r="D246" s="18" t="s">
        <v>2158</v>
      </c>
      <c r="E246" s="18" t="s">
        <v>99</v>
      </c>
      <c r="F246" s="18" t="s">
        <v>2404</v>
      </c>
      <c r="G246" s="65" t="n">
        <v>866.5417</v>
      </c>
      <c r="H246" s="65"/>
      <c r="I246" s="54"/>
      <c r="J246" s="18"/>
    </row>
    <row r="247" customFormat="false" ht="15" hidden="false" customHeight="false" outlineLevel="0" collapsed="false">
      <c r="A247" s="18" t="s">
        <v>2156</v>
      </c>
      <c r="B247" s="49" t="n">
        <v>46204</v>
      </c>
      <c r="C247" s="18" t="s">
        <v>2157</v>
      </c>
      <c r="D247" s="18" t="s">
        <v>2158</v>
      </c>
      <c r="E247" s="18" t="s">
        <v>113</v>
      </c>
      <c r="F247" s="18" t="s">
        <v>2405</v>
      </c>
      <c r="G247" s="65" t="n">
        <v>704.7269</v>
      </c>
      <c r="H247" s="65"/>
      <c r="I247" s="54"/>
      <c r="J247" s="18"/>
    </row>
    <row r="248" customFormat="false" ht="15" hidden="false" customHeight="false" outlineLevel="0" collapsed="false">
      <c r="A248" s="18" t="s">
        <v>2156</v>
      </c>
      <c r="B248" s="49" t="n">
        <v>46204</v>
      </c>
      <c r="C248" s="18" t="s">
        <v>2157</v>
      </c>
      <c r="D248" s="18" t="s">
        <v>2158</v>
      </c>
      <c r="E248" s="18" t="s">
        <v>119</v>
      </c>
      <c r="F248" s="18" t="s">
        <v>2406</v>
      </c>
      <c r="G248" s="65" t="n">
        <v>2027.7046</v>
      </c>
      <c r="H248" s="65"/>
      <c r="I248" s="54"/>
      <c r="J248" s="18"/>
    </row>
    <row r="249" customFormat="false" ht="15" hidden="false" customHeight="false" outlineLevel="0" collapsed="false">
      <c r="A249" s="18" t="s">
        <v>2156</v>
      </c>
      <c r="B249" s="49" t="n">
        <v>46204</v>
      </c>
      <c r="C249" s="18" t="s">
        <v>2157</v>
      </c>
      <c r="D249" s="18" t="s">
        <v>222</v>
      </c>
      <c r="E249" s="18" t="s">
        <v>2159</v>
      </c>
      <c r="F249" s="18" t="s">
        <v>2407</v>
      </c>
      <c r="G249" s="65" t="n">
        <v>13030.1928</v>
      </c>
      <c r="H249" s="65" t="n">
        <v>808.501167010017</v>
      </c>
      <c r="I249" s="54" t="n">
        <v>0.00801606713228972</v>
      </c>
      <c r="J249" s="18" t="b">
        <f aca="false">FALSE()</f>
        <v>0</v>
      </c>
    </row>
    <row r="250" customFormat="false" ht="15" hidden="false" customHeight="false" outlineLevel="0" collapsed="false">
      <c r="A250" s="18" t="s">
        <v>2156</v>
      </c>
      <c r="B250" s="49" t="n">
        <v>46204</v>
      </c>
      <c r="C250" s="18" t="s">
        <v>2157</v>
      </c>
      <c r="D250" s="18" t="s">
        <v>222</v>
      </c>
      <c r="E250" s="18" t="s">
        <v>99</v>
      </c>
      <c r="F250" s="18" t="s">
        <v>2408</v>
      </c>
      <c r="G250" s="65" t="n">
        <v>2970.6994</v>
      </c>
      <c r="H250" s="65"/>
      <c r="I250" s="54"/>
      <c r="J250" s="18"/>
    </row>
    <row r="251" customFormat="false" ht="15" hidden="false" customHeight="false" outlineLevel="0" collapsed="false">
      <c r="A251" s="18" t="s">
        <v>2156</v>
      </c>
      <c r="B251" s="49" t="n">
        <v>46204</v>
      </c>
      <c r="C251" s="18" t="s">
        <v>2157</v>
      </c>
      <c r="D251" s="18" t="s">
        <v>222</v>
      </c>
      <c r="E251" s="18" t="s">
        <v>113</v>
      </c>
      <c r="F251" s="18" t="s">
        <v>2409</v>
      </c>
      <c r="G251" s="65" t="n">
        <v>2367.9906</v>
      </c>
      <c r="H251" s="65"/>
      <c r="I251" s="54"/>
      <c r="J251" s="18"/>
    </row>
    <row r="252" customFormat="false" ht="15" hidden="false" customHeight="false" outlineLevel="0" collapsed="false">
      <c r="A252" s="18" t="s">
        <v>2156</v>
      </c>
      <c r="B252" s="49" t="n">
        <v>46204</v>
      </c>
      <c r="C252" s="18" t="s">
        <v>2157</v>
      </c>
      <c r="D252" s="18" t="s">
        <v>222</v>
      </c>
      <c r="E252" s="18" t="s">
        <v>119</v>
      </c>
      <c r="F252" s="18" t="s">
        <v>2410</v>
      </c>
      <c r="G252" s="65" t="n">
        <v>7691.5028</v>
      </c>
      <c r="H252" s="65"/>
      <c r="I252" s="54"/>
      <c r="J252" s="18"/>
    </row>
    <row r="253" customFormat="false" ht="15" hidden="false" customHeight="false" outlineLevel="0" collapsed="false">
      <c r="A253" s="18" t="s">
        <v>2156</v>
      </c>
      <c r="B253" s="49" t="n">
        <v>46204</v>
      </c>
      <c r="C253" s="18" t="s">
        <v>2157</v>
      </c>
      <c r="D253" s="18" t="s">
        <v>2168</v>
      </c>
      <c r="E253" s="18" t="s">
        <v>2159</v>
      </c>
      <c r="F253" s="18" t="s">
        <v>2411</v>
      </c>
      <c r="G253" s="65" t="n">
        <v>31610.3361</v>
      </c>
      <c r="H253" s="65" t="n">
        <v>226.771811823503</v>
      </c>
      <c r="I253" s="54" t="n">
        <v>0.00224838026395285</v>
      </c>
      <c r="J253" s="18" t="b">
        <f aca="false">FALSE()</f>
        <v>0</v>
      </c>
    </row>
    <row r="254" customFormat="false" ht="15" hidden="false" customHeight="false" outlineLevel="0" collapsed="false">
      <c r="A254" s="18" t="s">
        <v>2156</v>
      </c>
      <c r="B254" s="49" t="n">
        <v>46204</v>
      </c>
      <c r="C254" s="18" t="s">
        <v>2157</v>
      </c>
      <c r="D254" s="18" t="s">
        <v>2168</v>
      </c>
      <c r="E254" s="18" t="s">
        <v>99</v>
      </c>
      <c r="F254" s="18" t="s">
        <v>2412</v>
      </c>
      <c r="G254" s="65" t="n">
        <v>-7908.7548</v>
      </c>
      <c r="H254" s="65"/>
      <c r="I254" s="54"/>
      <c r="J254" s="18"/>
    </row>
    <row r="255" customFormat="false" ht="15" hidden="false" customHeight="false" outlineLevel="0" collapsed="false">
      <c r="A255" s="18" t="s">
        <v>2156</v>
      </c>
      <c r="B255" s="49" t="n">
        <v>46204</v>
      </c>
      <c r="C255" s="18" t="s">
        <v>2157</v>
      </c>
      <c r="D255" s="18" t="s">
        <v>2168</v>
      </c>
      <c r="E255" s="18" t="s">
        <v>113</v>
      </c>
      <c r="F255" s="18" t="s">
        <v>2413</v>
      </c>
      <c r="G255" s="65" t="n">
        <v>-7620.3569</v>
      </c>
      <c r="H255" s="65"/>
      <c r="I255" s="54"/>
      <c r="J255" s="18"/>
    </row>
    <row r="256" customFormat="false" ht="15" hidden="false" customHeight="false" outlineLevel="0" collapsed="false">
      <c r="A256" s="18" t="s">
        <v>2156</v>
      </c>
      <c r="B256" s="49" t="n">
        <v>46204</v>
      </c>
      <c r="C256" s="18" t="s">
        <v>2157</v>
      </c>
      <c r="D256" s="18" t="s">
        <v>2168</v>
      </c>
      <c r="E256" s="18" t="s">
        <v>119</v>
      </c>
      <c r="F256" s="18" t="s">
        <v>2414</v>
      </c>
      <c r="G256" s="65" t="n">
        <v>47139.4478</v>
      </c>
      <c r="H256" s="65"/>
      <c r="I256" s="54"/>
      <c r="J256" s="18"/>
    </row>
    <row r="257" customFormat="false" ht="15" hidden="false" customHeight="false" outlineLevel="0" collapsed="false">
      <c r="A257" s="18" t="s">
        <v>2156</v>
      </c>
      <c r="B257" s="49" t="n">
        <v>46204</v>
      </c>
      <c r="C257" s="18" t="s">
        <v>2157</v>
      </c>
      <c r="D257" s="18" t="s">
        <v>2174</v>
      </c>
      <c r="E257" s="18" t="s">
        <v>2159</v>
      </c>
      <c r="F257" s="18" t="s">
        <v>2415</v>
      </c>
      <c r="G257" s="65" t="n">
        <v>11287.0527</v>
      </c>
      <c r="H257" s="65" t="n">
        <v>470.926721060171</v>
      </c>
      <c r="I257" s="54" t="n">
        <v>0.00466910916698855</v>
      </c>
      <c r="J257" s="18" t="b">
        <f aca="false">FALSE()</f>
        <v>0</v>
      </c>
    </row>
    <row r="258" customFormat="false" ht="15" hidden="false" customHeight="false" outlineLevel="0" collapsed="false">
      <c r="A258" s="18" t="s">
        <v>2156</v>
      </c>
      <c r="B258" s="49" t="n">
        <v>46204</v>
      </c>
      <c r="C258" s="18" t="s">
        <v>2157</v>
      </c>
      <c r="D258" s="18" t="s">
        <v>2174</v>
      </c>
      <c r="E258" s="18" t="s">
        <v>99</v>
      </c>
      <c r="F258" s="18" t="s">
        <v>2416</v>
      </c>
      <c r="G258" s="65" t="n">
        <v>2980.6383</v>
      </c>
      <c r="H258" s="65"/>
      <c r="I258" s="54"/>
      <c r="J258" s="18"/>
    </row>
    <row r="259" customFormat="false" ht="15" hidden="false" customHeight="false" outlineLevel="0" collapsed="false">
      <c r="A259" s="18" t="s">
        <v>2156</v>
      </c>
      <c r="B259" s="49" t="n">
        <v>46204</v>
      </c>
      <c r="C259" s="18" t="s">
        <v>2157</v>
      </c>
      <c r="D259" s="18" t="s">
        <v>2174</v>
      </c>
      <c r="E259" s="18" t="s">
        <v>113</v>
      </c>
      <c r="F259" s="18" t="s">
        <v>2417</v>
      </c>
      <c r="G259" s="65" t="n">
        <v>2350.6129</v>
      </c>
      <c r="H259" s="65"/>
      <c r="I259" s="54"/>
      <c r="J259" s="18"/>
    </row>
    <row r="260" customFormat="false" ht="15" hidden="false" customHeight="false" outlineLevel="0" collapsed="false">
      <c r="A260" s="18" t="s">
        <v>2156</v>
      </c>
      <c r="B260" s="49" t="n">
        <v>46204</v>
      </c>
      <c r="C260" s="18" t="s">
        <v>2157</v>
      </c>
      <c r="D260" s="18" t="s">
        <v>2174</v>
      </c>
      <c r="E260" s="18" t="s">
        <v>119</v>
      </c>
      <c r="F260" s="18" t="s">
        <v>2418</v>
      </c>
      <c r="G260" s="65" t="n">
        <v>5955.8015</v>
      </c>
      <c r="H260" s="65"/>
      <c r="I260" s="54"/>
      <c r="J260" s="18"/>
    </row>
    <row r="261" customFormat="false" ht="15" hidden="false" customHeight="false" outlineLevel="0" collapsed="false">
      <c r="A261" s="18" t="s">
        <v>2156</v>
      </c>
      <c r="B261" s="49" t="n">
        <v>46204</v>
      </c>
      <c r="C261" s="18" t="s">
        <v>2157</v>
      </c>
      <c r="D261" s="18" t="s">
        <v>2180</v>
      </c>
      <c r="E261" s="18" t="s">
        <v>2159</v>
      </c>
      <c r="F261" s="18" t="s">
        <v>2419</v>
      </c>
      <c r="G261" s="65" t="n">
        <v>41333.5245</v>
      </c>
      <c r="H261" s="65" t="n">
        <v>1638.46423815182</v>
      </c>
      <c r="I261" s="54" t="n">
        <v>0.0162449231526195</v>
      </c>
      <c r="J261" s="18" t="b">
        <f aca="false">FALSE()</f>
        <v>0</v>
      </c>
    </row>
    <row r="262" customFormat="false" ht="15" hidden="false" customHeight="false" outlineLevel="0" collapsed="false">
      <c r="A262" s="18" t="s">
        <v>2156</v>
      </c>
      <c r="B262" s="49" t="n">
        <v>46204</v>
      </c>
      <c r="C262" s="18" t="s">
        <v>2157</v>
      </c>
      <c r="D262" s="18" t="s">
        <v>2180</v>
      </c>
      <c r="E262" s="18" t="s">
        <v>99</v>
      </c>
      <c r="F262" s="18" t="s">
        <v>2420</v>
      </c>
      <c r="G262" s="65" t="n">
        <v>11928.3984</v>
      </c>
      <c r="H262" s="65"/>
      <c r="I262" s="54"/>
      <c r="J262" s="18"/>
    </row>
    <row r="263" customFormat="false" ht="15" hidden="false" customHeight="false" outlineLevel="0" collapsed="false">
      <c r="A263" s="18" t="s">
        <v>2156</v>
      </c>
      <c r="B263" s="49" t="n">
        <v>46204</v>
      </c>
      <c r="C263" s="18" t="s">
        <v>2157</v>
      </c>
      <c r="D263" s="18" t="s">
        <v>2180</v>
      </c>
      <c r="E263" s="18" t="s">
        <v>113</v>
      </c>
      <c r="F263" s="18" t="s">
        <v>2421</v>
      </c>
      <c r="G263" s="65" t="n">
        <v>9582.06</v>
      </c>
      <c r="H263" s="65"/>
      <c r="I263" s="54"/>
      <c r="J263" s="18"/>
    </row>
    <row r="264" customFormat="false" ht="15" hidden="false" customHeight="false" outlineLevel="0" collapsed="false">
      <c r="A264" s="18" t="s">
        <v>2156</v>
      </c>
      <c r="B264" s="49" t="n">
        <v>46204</v>
      </c>
      <c r="C264" s="18" t="s">
        <v>2157</v>
      </c>
      <c r="D264" s="18" t="s">
        <v>2180</v>
      </c>
      <c r="E264" s="18" t="s">
        <v>119</v>
      </c>
      <c r="F264" s="18" t="s">
        <v>2422</v>
      </c>
      <c r="G264" s="65" t="n">
        <v>19823.0661</v>
      </c>
      <c r="H264" s="65"/>
      <c r="I264" s="54"/>
      <c r="J264" s="18"/>
    </row>
    <row r="265" customFormat="false" ht="15" hidden="false" customHeight="false" outlineLevel="0" collapsed="false">
      <c r="A265" s="18" t="s">
        <v>2156</v>
      </c>
      <c r="B265" s="49" t="n">
        <v>46204</v>
      </c>
      <c r="C265" s="18" t="s">
        <v>2186</v>
      </c>
      <c r="D265" s="18" t="s">
        <v>2158</v>
      </c>
      <c r="E265" s="18" t="s">
        <v>2159</v>
      </c>
      <c r="F265" s="18" t="s">
        <v>2423</v>
      </c>
      <c r="G265" s="65" t="n">
        <v>3466.7086</v>
      </c>
      <c r="H265" s="65"/>
      <c r="I265" s="54"/>
      <c r="J265" s="18"/>
    </row>
    <row r="266" customFormat="false" ht="15" hidden="false" customHeight="false" outlineLevel="0" collapsed="false">
      <c r="A266" s="18" t="s">
        <v>2156</v>
      </c>
      <c r="B266" s="49" t="n">
        <v>46204</v>
      </c>
      <c r="C266" s="18" t="s">
        <v>2186</v>
      </c>
      <c r="D266" s="18" t="s">
        <v>2158</v>
      </c>
      <c r="E266" s="18" t="s">
        <v>99</v>
      </c>
      <c r="F266" s="18" t="s">
        <v>2424</v>
      </c>
      <c r="G266" s="65" t="n">
        <v>870.2853</v>
      </c>
      <c r="H266" s="65"/>
      <c r="I266" s="54"/>
      <c r="J266" s="18"/>
    </row>
    <row r="267" customFormat="false" ht="15" hidden="false" customHeight="false" outlineLevel="0" collapsed="false">
      <c r="A267" s="18" t="s">
        <v>2156</v>
      </c>
      <c r="B267" s="49" t="n">
        <v>46204</v>
      </c>
      <c r="C267" s="18" t="s">
        <v>2186</v>
      </c>
      <c r="D267" s="18" t="s">
        <v>2158</v>
      </c>
      <c r="E267" s="18" t="s">
        <v>113</v>
      </c>
      <c r="F267" s="18" t="s">
        <v>2425</v>
      </c>
      <c r="G267" s="65" t="n">
        <v>710.4387</v>
      </c>
      <c r="H267" s="65"/>
      <c r="I267" s="54"/>
      <c r="J267" s="18"/>
    </row>
    <row r="268" customFormat="false" ht="15" hidden="false" customHeight="false" outlineLevel="0" collapsed="false">
      <c r="A268" s="18" t="s">
        <v>2156</v>
      </c>
      <c r="B268" s="49" t="n">
        <v>46204</v>
      </c>
      <c r="C268" s="18" t="s">
        <v>2186</v>
      </c>
      <c r="D268" s="18" t="s">
        <v>2158</v>
      </c>
      <c r="E268" s="18" t="s">
        <v>119</v>
      </c>
      <c r="F268" s="18" t="s">
        <v>2426</v>
      </c>
      <c r="G268" s="65" t="n">
        <v>1885.9847</v>
      </c>
      <c r="H268" s="65"/>
      <c r="I268" s="54"/>
      <c r="J268" s="18"/>
    </row>
    <row r="269" customFormat="false" ht="15" hidden="false" customHeight="false" outlineLevel="0" collapsed="false">
      <c r="A269" s="18" t="s">
        <v>2156</v>
      </c>
      <c r="B269" s="49" t="n">
        <v>46204</v>
      </c>
      <c r="C269" s="18" t="s">
        <v>2186</v>
      </c>
      <c r="D269" s="18" t="s">
        <v>222</v>
      </c>
      <c r="E269" s="18" t="s">
        <v>2159</v>
      </c>
      <c r="F269" s="18" t="s">
        <v>2427</v>
      </c>
      <c r="G269" s="65" t="n">
        <v>12221.6917</v>
      </c>
      <c r="H269" s="65"/>
      <c r="I269" s="54"/>
      <c r="J269" s="18"/>
    </row>
    <row r="270" customFormat="false" ht="15" hidden="false" customHeight="false" outlineLevel="0" collapsed="false">
      <c r="A270" s="18" t="s">
        <v>2156</v>
      </c>
      <c r="B270" s="49" t="n">
        <v>46204</v>
      </c>
      <c r="C270" s="18" t="s">
        <v>2186</v>
      </c>
      <c r="D270" s="18" t="s">
        <v>222</v>
      </c>
      <c r="E270" s="18" t="s">
        <v>99</v>
      </c>
      <c r="F270" s="18" t="s">
        <v>2428</v>
      </c>
      <c r="G270" s="65" t="n">
        <v>2916.0627</v>
      </c>
      <c r="H270" s="65"/>
      <c r="I270" s="54"/>
      <c r="J270" s="18"/>
    </row>
    <row r="271" customFormat="false" ht="15" hidden="false" customHeight="false" outlineLevel="0" collapsed="false">
      <c r="A271" s="18" t="s">
        <v>2156</v>
      </c>
      <c r="B271" s="49" t="n">
        <v>46204</v>
      </c>
      <c r="C271" s="18" t="s">
        <v>2186</v>
      </c>
      <c r="D271" s="18" t="s">
        <v>222</v>
      </c>
      <c r="E271" s="18" t="s">
        <v>113</v>
      </c>
      <c r="F271" s="18" t="s">
        <v>2429</v>
      </c>
      <c r="G271" s="65" t="n">
        <v>2333.5072</v>
      </c>
      <c r="H271" s="65"/>
      <c r="I271" s="54"/>
      <c r="J271" s="18"/>
    </row>
    <row r="272" customFormat="false" ht="15" hidden="false" customHeight="false" outlineLevel="0" collapsed="false">
      <c r="A272" s="18" t="s">
        <v>2156</v>
      </c>
      <c r="B272" s="49" t="n">
        <v>46204</v>
      </c>
      <c r="C272" s="18" t="s">
        <v>2186</v>
      </c>
      <c r="D272" s="18" t="s">
        <v>222</v>
      </c>
      <c r="E272" s="18" t="s">
        <v>119</v>
      </c>
      <c r="F272" s="18" t="s">
        <v>2430</v>
      </c>
      <c r="G272" s="65" t="n">
        <v>6972.1217</v>
      </c>
      <c r="H272" s="65"/>
      <c r="I272" s="54"/>
      <c r="J272" s="18"/>
    </row>
    <row r="273" customFormat="false" ht="15" hidden="false" customHeight="false" outlineLevel="0" collapsed="false">
      <c r="A273" s="18" t="s">
        <v>2156</v>
      </c>
      <c r="B273" s="49" t="n">
        <v>46204</v>
      </c>
      <c r="C273" s="18" t="s">
        <v>2186</v>
      </c>
      <c r="D273" s="18" t="s">
        <v>2168</v>
      </c>
      <c r="E273" s="18" t="s">
        <v>2159</v>
      </c>
      <c r="F273" s="18" t="s">
        <v>2431</v>
      </c>
      <c r="G273" s="65" t="n">
        <v>31383.5643</v>
      </c>
      <c r="H273" s="65"/>
      <c r="I273" s="54"/>
      <c r="J273" s="18"/>
    </row>
    <row r="274" customFormat="false" ht="15" hidden="false" customHeight="false" outlineLevel="0" collapsed="false">
      <c r="A274" s="18" t="s">
        <v>2156</v>
      </c>
      <c r="B274" s="49" t="n">
        <v>46204</v>
      </c>
      <c r="C274" s="18" t="s">
        <v>2186</v>
      </c>
      <c r="D274" s="18" t="s">
        <v>2168</v>
      </c>
      <c r="E274" s="18" t="s">
        <v>99</v>
      </c>
      <c r="F274" s="18" t="s">
        <v>2432</v>
      </c>
      <c r="G274" s="65" t="n">
        <v>-7815.9883</v>
      </c>
      <c r="H274" s="65"/>
      <c r="I274" s="54"/>
      <c r="J274" s="18"/>
    </row>
    <row r="275" customFormat="false" ht="15" hidden="false" customHeight="false" outlineLevel="0" collapsed="false">
      <c r="A275" s="18" t="s">
        <v>2156</v>
      </c>
      <c r="B275" s="49" t="n">
        <v>46204</v>
      </c>
      <c r="C275" s="18" t="s">
        <v>2186</v>
      </c>
      <c r="D275" s="18" t="s">
        <v>2168</v>
      </c>
      <c r="E275" s="18" t="s">
        <v>113</v>
      </c>
      <c r="F275" s="18" t="s">
        <v>2433</v>
      </c>
      <c r="G275" s="65" t="n">
        <v>-7530.8478</v>
      </c>
      <c r="H275" s="65"/>
      <c r="I275" s="54"/>
      <c r="J275" s="18"/>
    </row>
    <row r="276" customFormat="false" ht="15" hidden="false" customHeight="false" outlineLevel="0" collapsed="false">
      <c r="A276" s="18" t="s">
        <v>2156</v>
      </c>
      <c r="B276" s="49" t="n">
        <v>46204</v>
      </c>
      <c r="C276" s="18" t="s">
        <v>2186</v>
      </c>
      <c r="D276" s="18" t="s">
        <v>2168</v>
      </c>
      <c r="E276" s="18" t="s">
        <v>119</v>
      </c>
      <c r="F276" s="18" t="s">
        <v>2434</v>
      </c>
      <c r="G276" s="65" t="n">
        <v>46730.4004</v>
      </c>
      <c r="H276" s="65"/>
      <c r="I276" s="54"/>
      <c r="J276" s="18"/>
    </row>
    <row r="277" customFormat="false" ht="15" hidden="false" customHeight="false" outlineLevel="0" collapsed="false">
      <c r="A277" s="18" t="s">
        <v>2156</v>
      </c>
      <c r="B277" s="49" t="n">
        <v>46204</v>
      </c>
      <c r="C277" s="18" t="s">
        <v>2186</v>
      </c>
      <c r="D277" s="18" t="s">
        <v>2174</v>
      </c>
      <c r="E277" s="18" t="s">
        <v>2159</v>
      </c>
      <c r="F277" s="18" t="s">
        <v>2435</v>
      </c>
      <c r="G277" s="65" t="n">
        <v>10816.126</v>
      </c>
      <c r="H277" s="65"/>
      <c r="I277" s="54"/>
      <c r="J277" s="18"/>
    </row>
    <row r="278" customFormat="false" ht="15" hidden="false" customHeight="false" outlineLevel="0" collapsed="false">
      <c r="A278" s="18" t="s">
        <v>2156</v>
      </c>
      <c r="B278" s="49" t="n">
        <v>46204</v>
      </c>
      <c r="C278" s="18" t="s">
        <v>2186</v>
      </c>
      <c r="D278" s="18" t="s">
        <v>2174</v>
      </c>
      <c r="E278" s="18" t="s">
        <v>99</v>
      </c>
      <c r="F278" s="18" t="s">
        <v>2436</v>
      </c>
      <c r="G278" s="65" t="n">
        <v>2967.2959</v>
      </c>
      <c r="H278" s="65"/>
      <c r="I278" s="54"/>
      <c r="J278" s="18"/>
    </row>
    <row r="279" customFormat="false" ht="15" hidden="false" customHeight="false" outlineLevel="0" collapsed="false">
      <c r="A279" s="18" t="s">
        <v>2156</v>
      </c>
      <c r="B279" s="49" t="n">
        <v>46204</v>
      </c>
      <c r="C279" s="18" t="s">
        <v>2186</v>
      </c>
      <c r="D279" s="18" t="s">
        <v>2174</v>
      </c>
      <c r="E279" s="18" t="s">
        <v>113</v>
      </c>
      <c r="F279" s="18" t="s">
        <v>2437</v>
      </c>
      <c r="G279" s="65" t="n">
        <v>2349.0955</v>
      </c>
      <c r="H279" s="65"/>
      <c r="I279" s="54"/>
      <c r="J279" s="18"/>
    </row>
    <row r="280" customFormat="false" ht="15" hidden="false" customHeight="false" outlineLevel="0" collapsed="false">
      <c r="A280" s="18" t="s">
        <v>2156</v>
      </c>
      <c r="B280" s="49" t="n">
        <v>46204</v>
      </c>
      <c r="C280" s="18" t="s">
        <v>2186</v>
      </c>
      <c r="D280" s="18" t="s">
        <v>2174</v>
      </c>
      <c r="E280" s="18" t="s">
        <v>119</v>
      </c>
      <c r="F280" s="18" t="s">
        <v>2438</v>
      </c>
      <c r="G280" s="65" t="n">
        <v>5499.7346</v>
      </c>
      <c r="H280" s="65"/>
      <c r="I280" s="54"/>
      <c r="J280" s="18"/>
    </row>
    <row r="281" customFormat="false" ht="15" hidden="false" customHeight="false" outlineLevel="0" collapsed="false">
      <c r="A281" s="18" t="s">
        <v>2156</v>
      </c>
      <c r="B281" s="49" t="n">
        <v>46204</v>
      </c>
      <c r="C281" s="18" t="s">
        <v>2186</v>
      </c>
      <c r="D281" s="18" t="s">
        <v>2180</v>
      </c>
      <c r="E281" s="18" t="s">
        <v>2159</v>
      </c>
      <c r="F281" s="18" t="s">
        <v>2439</v>
      </c>
      <c r="G281" s="65" t="n">
        <v>42971.9887</v>
      </c>
      <c r="H281" s="65"/>
      <c r="I281" s="54"/>
      <c r="J281" s="18"/>
    </row>
    <row r="282" customFormat="false" ht="15" hidden="false" customHeight="false" outlineLevel="0" collapsed="false">
      <c r="A282" s="18" t="s">
        <v>2156</v>
      </c>
      <c r="B282" s="49" t="n">
        <v>46204</v>
      </c>
      <c r="C282" s="18" t="s">
        <v>2186</v>
      </c>
      <c r="D282" s="18" t="s">
        <v>2180</v>
      </c>
      <c r="E282" s="18" t="s">
        <v>99</v>
      </c>
      <c r="F282" s="18" t="s">
        <v>2440</v>
      </c>
      <c r="G282" s="65" t="n">
        <v>11899.8675</v>
      </c>
      <c r="H282" s="65"/>
      <c r="I282" s="54"/>
      <c r="J282" s="18"/>
    </row>
    <row r="283" customFormat="false" ht="15" hidden="false" customHeight="false" outlineLevel="0" collapsed="false">
      <c r="A283" s="18" t="s">
        <v>2156</v>
      </c>
      <c r="B283" s="49" t="n">
        <v>46204</v>
      </c>
      <c r="C283" s="18" t="s">
        <v>2186</v>
      </c>
      <c r="D283" s="18" t="s">
        <v>2180</v>
      </c>
      <c r="E283" s="18" t="s">
        <v>113</v>
      </c>
      <c r="F283" s="18" t="s">
        <v>2441</v>
      </c>
      <c r="G283" s="65" t="n">
        <v>9522.8399</v>
      </c>
      <c r="H283" s="65"/>
      <c r="I283" s="54"/>
      <c r="J283" s="18"/>
    </row>
    <row r="284" customFormat="false" ht="15" hidden="false" customHeight="false" outlineLevel="0" collapsed="false">
      <c r="A284" s="18" t="s">
        <v>2156</v>
      </c>
      <c r="B284" s="49" t="n">
        <v>46204</v>
      </c>
      <c r="C284" s="18" t="s">
        <v>2186</v>
      </c>
      <c r="D284" s="18" t="s">
        <v>2180</v>
      </c>
      <c r="E284" s="18" t="s">
        <v>119</v>
      </c>
      <c r="F284" s="18" t="s">
        <v>2442</v>
      </c>
      <c r="G284" s="65" t="n">
        <v>21549.2813</v>
      </c>
      <c r="H284" s="65"/>
      <c r="I284" s="54"/>
      <c r="J284" s="18"/>
    </row>
    <row r="285" customFormat="false" ht="15" hidden="false" customHeight="false" outlineLevel="0" collapsed="false">
      <c r="A285" s="18" t="s">
        <v>2156</v>
      </c>
      <c r="B285" s="49" t="n">
        <v>46235</v>
      </c>
      <c r="C285" s="18" t="s">
        <v>2157</v>
      </c>
      <c r="D285" s="18" t="s">
        <v>2158</v>
      </c>
      <c r="E285" s="18" t="s">
        <v>2159</v>
      </c>
      <c r="F285" s="18" t="s">
        <v>2443</v>
      </c>
      <c r="G285" s="65" t="n">
        <v>64558.2789</v>
      </c>
      <c r="H285" s="65" t="n">
        <v>16615.2448064557</v>
      </c>
      <c r="I285" s="54" t="n">
        <v>0.0276206933467213</v>
      </c>
      <c r="J285" s="18" t="b">
        <f aca="false">FALSE()</f>
        <v>0</v>
      </c>
    </row>
    <row r="286" customFormat="false" ht="15" hidden="false" customHeight="false" outlineLevel="0" collapsed="false">
      <c r="A286" s="18" t="s">
        <v>2156</v>
      </c>
      <c r="B286" s="49" t="n">
        <v>46235</v>
      </c>
      <c r="C286" s="18" t="s">
        <v>2157</v>
      </c>
      <c r="D286" s="18" t="s">
        <v>2158</v>
      </c>
      <c r="E286" s="18" t="s">
        <v>99</v>
      </c>
      <c r="F286" s="18" t="s">
        <v>2444</v>
      </c>
      <c r="G286" s="65" t="n">
        <v>0</v>
      </c>
      <c r="H286" s="65"/>
      <c r="I286" s="54"/>
      <c r="J286" s="18"/>
    </row>
    <row r="287" customFormat="false" ht="15" hidden="false" customHeight="false" outlineLevel="0" collapsed="false">
      <c r="A287" s="18" t="s">
        <v>2156</v>
      </c>
      <c r="B287" s="49" t="n">
        <v>46235</v>
      </c>
      <c r="C287" s="18" t="s">
        <v>2157</v>
      </c>
      <c r="D287" s="18" t="s">
        <v>2158</v>
      </c>
      <c r="E287" s="18" t="s">
        <v>113</v>
      </c>
      <c r="F287" s="18" t="s">
        <v>2445</v>
      </c>
      <c r="G287" s="65" t="n">
        <v>0</v>
      </c>
      <c r="H287" s="65"/>
      <c r="I287" s="54"/>
      <c r="J287" s="18"/>
    </row>
    <row r="288" customFormat="false" ht="15" hidden="false" customHeight="false" outlineLevel="0" collapsed="false">
      <c r="A288" s="18" t="s">
        <v>2156</v>
      </c>
      <c r="B288" s="49" t="n">
        <v>46235</v>
      </c>
      <c r="C288" s="18" t="s">
        <v>2157</v>
      </c>
      <c r="D288" s="18" t="s">
        <v>2158</v>
      </c>
      <c r="E288" s="18" t="s">
        <v>119</v>
      </c>
      <c r="F288" s="18" t="s">
        <v>2443</v>
      </c>
      <c r="G288" s="65" t="n">
        <v>64558.2789</v>
      </c>
      <c r="H288" s="65"/>
      <c r="I288" s="54"/>
      <c r="J288" s="18"/>
    </row>
    <row r="289" customFormat="false" ht="15" hidden="false" customHeight="false" outlineLevel="0" collapsed="false">
      <c r="A289" s="18" t="s">
        <v>2156</v>
      </c>
      <c r="B289" s="49" t="n">
        <v>46235</v>
      </c>
      <c r="C289" s="18" t="s">
        <v>2157</v>
      </c>
      <c r="D289" s="18" t="s">
        <v>222</v>
      </c>
      <c r="E289" s="18" t="s">
        <v>2159</v>
      </c>
      <c r="F289" s="18" t="s">
        <v>2446</v>
      </c>
      <c r="G289" s="65" t="n">
        <v>27513.3788</v>
      </c>
      <c r="H289" s="65" t="n">
        <v>7404.21634104559</v>
      </c>
      <c r="I289" s="54" t="n">
        <v>0.0123085510572401</v>
      </c>
      <c r="J289" s="18" t="b">
        <f aca="false">FALSE()</f>
        <v>0</v>
      </c>
    </row>
    <row r="290" customFormat="false" ht="15" hidden="false" customHeight="false" outlineLevel="0" collapsed="false">
      <c r="A290" s="18" t="s">
        <v>2156</v>
      </c>
      <c r="B290" s="49" t="n">
        <v>46235</v>
      </c>
      <c r="C290" s="18" t="s">
        <v>2157</v>
      </c>
      <c r="D290" s="18" t="s">
        <v>222</v>
      </c>
      <c r="E290" s="18" t="s">
        <v>99</v>
      </c>
      <c r="F290" s="18" t="s">
        <v>2447</v>
      </c>
      <c r="G290" s="65" t="n">
        <v>4034.7672</v>
      </c>
      <c r="H290" s="65"/>
      <c r="I290" s="54"/>
      <c r="J290" s="18"/>
    </row>
    <row r="291" customFormat="false" ht="15" hidden="false" customHeight="false" outlineLevel="0" collapsed="false">
      <c r="A291" s="18" t="s">
        <v>2156</v>
      </c>
      <c r="B291" s="49" t="n">
        <v>46235</v>
      </c>
      <c r="C291" s="18" t="s">
        <v>2157</v>
      </c>
      <c r="D291" s="18" t="s">
        <v>222</v>
      </c>
      <c r="E291" s="18" t="s">
        <v>113</v>
      </c>
      <c r="F291" s="18" t="s">
        <v>2448</v>
      </c>
      <c r="G291" s="65" t="n">
        <v>2969.8312</v>
      </c>
      <c r="H291" s="65"/>
      <c r="I291" s="54"/>
      <c r="J291" s="18"/>
    </row>
    <row r="292" customFormat="false" ht="15" hidden="false" customHeight="false" outlineLevel="0" collapsed="false">
      <c r="A292" s="18" t="s">
        <v>2156</v>
      </c>
      <c r="B292" s="49" t="n">
        <v>46235</v>
      </c>
      <c r="C292" s="18" t="s">
        <v>2157</v>
      </c>
      <c r="D292" s="18" t="s">
        <v>222</v>
      </c>
      <c r="E292" s="18" t="s">
        <v>119</v>
      </c>
      <c r="F292" s="18" t="s">
        <v>2449</v>
      </c>
      <c r="G292" s="65" t="n">
        <v>20508.7803</v>
      </c>
      <c r="H292" s="65"/>
      <c r="I292" s="54"/>
      <c r="J292" s="18"/>
    </row>
    <row r="293" customFormat="false" ht="15" hidden="false" customHeight="false" outlineLevel="0" collapsed="false">
      <c r="A293" s="18" t="s">
        <v>2156</v>
      </c>
      <c r="B293" s="49" t="n">
        <v>46235</v>
      </c>
      <c r="C293" s="18" t="s">
        <v>2157</v>
      </c>
      <c r="D293" s="18" t="s">
        <v>2168</v>
      </c>
      <c r="E293" s="18" t="s">
        <v>2159</v>
      </c>
      <c r="F293" s="18" t="s">
        <v>2450</v>
      </c>
      <c r="G293" s="65" t="n">
        <v>237051.5551</v>
      </c>
      <c r="H293" s="65" t="n">
        <v>14103.3977125172</v>
      </c>
      <c r="I293" s="54" t="n">
        <v>0.0234450727570943</v>
      </c>
      <c r="J293" s="18" t="b">
        <f aca="false">FALSE()</f>
        <v>0</v>
      </c>
    </row>
    <row r="294" customFormat="false" ht="15" hidden="false" customHeight="false" outlineLevel="0" collapsed="false">
      <c r="A294" s="18" t="s">
        <v>2156</v>
      </c>
      <c r="B294" s="49" t="n">
        <v>46235</v>
      </c>
      <c r="C294" s="18" t="s">
        <v>2157</v>
      </c>
      <c r="D294" s="18" t="s">
        <v>2168</v>
      </c>
      <c r="E294" s="18" t="s">
        <v>99</v>
      </c>
      <c r="F294" s="18" t="s">
        <v>2451</v>
      </c>
      <c r="G294" s="65" t="n">
        <v>-44605.9318</v>
      </c>
      <c r="H294" s="65"/>
      <c r="I294" s="54"/>
      <c r="J294" s="18"/>
    </row>
    <row r="295" customFormat="false" ht="15" hidden="false" customHeight="false" outlineLevel="0" collapsed="false">
      <c r="A295" s="18" t="s">
        <v>2156</v>
      </c>
      <c r="B295" s="49" t="n">
        <v>46235</v>
      </c>
      <c r="C295" s="18" t="s">
        <v>2157</v>
      </c>
      <c r="D295" s="18" t="s">
        <v>2168</v>
      </c>
      <c r="E295" s="18" t="s">
        <v>113</v>
      </c>
      <c r="F295" s="18" t="s">
        <v>2452</v>
      </c>
      <c r="G295" s="65" t="n">
        <v>-42550.3351</v>
      </c>
      <c r="H295" s="65"/>
      <c r="I295" s="54"/>
      <c r="J295" s="18"/>
    </row>
    <row r="296" customFormat="false" ht="15" hidden="false" customHeight="false" outlineLevel="0" collapsed="false">
      <c r="A296" s="18" t="s">
        <v>2156</v>
      </c>
      <c r="B296" s="49" t="n">
        <v>46235</v>
      </c>
      <c r="C296" s="18" t="s">
        <v>2157</v>
      </c>
      <c r="D296" s="18" t="s">
        <v>2168</v>
      </c>
      <c r="E296" s="18" t="s">
        <v>119</v>
      </c>
      <c r="F296" s="18" t="s">
        <v>2453</v>
      </c>
      <c r="G296" s="65" t="n">
        <v>324207.8221</v>
      </c>
      <c r="H296" s="65"/>
      <c r="I296" s="54"/>
      <c r="J296" s="18"/>
    </row>
    <row r="297" customFormat="false" ht="15" hidden="false" customHeight="false" outlineLevel="0" collapsed="false">
      <c r="A297" s="18" t="s">
        <v>2156</v>
      </c>
      <c r="B297" s="49" t="n">
        <v>46235</v>
      </c>
      <c r="C297" s="18" t="s">
        <v>2157</v>
      </c>
      <c r="D297" s="18" t="s">
        <v>2174</v>
      </c>
      <c r="E297" s="18" t="s">
        <v>2159</v>
      </c>
      <c r="F297" s="18" t="s">
        <v>2454</v>
      </c>
      <c r="G297" s="65" t="n">
        <v>94693.2373</v>
      </c>
      <c r="H297" s="65" t="n">
        <v>31701.7740479681</v>
      </c>
      <c r="I297" s="54" t="n">
        <v>0.0527000949866088</v>
      </c>
      <c r="J297" s="18" t="b">
        <f aca="false">FALSE()</f>
        <v>0</v>
      </c>
    </row>
    <row r="298" customFormat="false" ht="15" hidden="false" customHeight="false" outlineLevel="0" collapsed="false">
      <c r="A298" s="18" t="s">
        <v>2156</v>
      </c>
      <c r="B298" s="49" t="n">
        <v>46235</v>
      </c>
      <c r="C298" s="18" t="s">
        <v>2157</v>
      </c>
      <c r="D298" s="18" t="s">
        <v>2174</v>
      </c>
      <c r="E298" s="18" t="s">
        <v>99</v>
      </c>
      <c r="F298" s="18" t="s">
        <v>2455</v>
      </c>
      <c r="G298" s="65" t="n">
        <v>12267.3401</v>
      </c>
      <c r="H298" s="65"/>
      <c r="I298" s="54"/>
      <c r="J298" s="18"/>
    </row>
    <row r="299" customFormat="false" ht="15" hidden="false" customHeight="false" outlineLevel="0" collapsed="false">
      <c r="A299" s="18" t="s">
        <v>2156</v>
      </c>
      <c r="B299" s="49" t="n">
        <v>46235</v>
      </c>
      <c r="C299" s="18" t="s">
        <v>2157</v>
      </c>
      <c r="D299" s="18" t="s">
        <v>2174</v>
      </c>
      <c r="E299" s="18" t="s">
        <v>113</v>
      </c>
      <c r="F299" s="18" t="s">
        <v>2456</v>
      </c>
      <c r="G299" s="65" t="n">
        <v>2465.7398</v>
      </c>
      <c r="H299" s="65"/>
      <c r="I299" s="54"/>
      <c r="J299" s="18"/>
    </row>
    <row r="300" customFormat="false" ht="15" hidden="false" customHeight="false" outlineLevel="0" collapsed="false">
      <c r="A300" s="18" t="s">
        <v>2156</v>
      </c>
      <c r="B300" s="49" t="n">
        <v>46235</v>
      </c>
      <c r="C300" s="18" t="s">
        <v>2157</v>
      </c>
      <c r="D300" s="18" t="s">
        <v>2174</v>
      </c>
      <c r="E300" s="18" t="s">
        <v>119</v>
      </c>
      <c r="F300" s="18" t="s">
        <v>2457</v>
      </c>
      <c r="G300" s="65" t="n">
        <v>79960.1574</v>
      </c>
      <c r="H300" s="65"/>
      <c r="I300" s="54"/>
      <c r="J300" s="18"/>
    </row>
    <row r="301" customFormat="false" ht="15" hidden="false" customHeight="false" outlineLevel="0" collapsed="false">
      <c r="A301" s="18" t="s">
        <v>2156</v>
      </c>
      <c r="B301" s="49" t="n">
        <v>46235</v>
      </c>
      <c r="C301" s="18" t="s">
        <v>2157</v>
      </c>
      <c r="D301" s="18" t="s">
        <v>2180</v>
      </c>
      <c r="E301" s="18" t="s">
        <v>2159</v>
      </c>
      <c r="F301" s="18" t="s">
        <v>2458</v>
      </c>
      <c r="G301" s="65" t="n">
        <v>177734.1554</v>
      </c>
      <c r="H301" s="65" t="n">
        <v>41617.8374829522</v>
      </c>
      <c r="I301" s="54" t="n">
        <v>0.0691842666334759</v>
      </c>
      <c r="J301" s="18" t="b">
        <f aca="false">FALSE()</f>
        <v>0</v>
      </c>
    </row>
    <row r="302" customFormat="false" ht="15" hidden="false" customHeight="false" outlineLevel="0" collapsed="false">
      <c r="A302" s="18" t="s">
        <v>2156</v>
      </c>
      <c r="B302" s="49" t="n">
        <v>46235</v>
      </c>
      <c r="C302" s="18" t="s">
        <v>2157</v>
      </c>
      <c r="D302" s="18" t="s">
        <v>2180</v>
      </c>
      <c r="E302" s="18" t="s">
        <v>99</v>
      </c>
      <c r="F302" s="18" t="s">
        <v>2459</v>
      </c>
      <c r="G302" s="65" t="n">
        <v>51292.113</v>
      </c>
      <c r="H302" s="65"/>
      <c r="I302" s="54"/>
      <c r="J302" s="18"/>
    </row>
    <row r="303" customFormat="false" ht="15" hidden="false" customHeight="false" outlineLevel="0" collapsed="false">
      <c r="A303" s="18" t="s">
        <v>2156</v>
      </c>
      <c r="B303" s="49" t="n">
        <v>46235</v>
      </c>
      <c r="C303" s="18" t="s">
        <v>2157</v>
      </c>
      <c r="D303" s="18" t="s">
        <v>2180</v>
      </c>
      <c r="E303" s="18" t="s">
        <v>113</v>
      </c>
      <c r="F303" s="18" t="s">
        <v>2460</v>
      </c>
      <c r="G303" s="65" t="n">
        <v>41202.8579</v>
      </c>
      <c r="H303" s="65"/>
      <c r="I303" s="54"/>
      <c r="J303" s="18"/>
    </row>
    <row r="304" customFormat="false" ht="15" hidden="false" customHeight="false" outlineLevel="0" collapsed="false">
      <c r="A304" s="18" t="s">
        <v>2156</v>
      </c>
      <c r="B304" s="49" t="n">
        <v>46235</v>
      </c>
      <c r="C304" s="18" t="s">
        <v>2157</v>
      </c>
      <c r="D304" s="18" t="s">
        <v>2180</v>
      </c>
      <c r="E304" s="18" t="s">
        <v>119</v>
      </c>
      <c r="F304" s="18" t="s">
        <v>2461</v>
      </c>
      <c r="G304" s="65" t="n">
        <v>85239.1844</v>
      </c>
      <c r="H304" s="65"/>
      <c r="I304" s="54"/>
      <c r="J304" s="18"/>
    </row>
    <row r="305" customFormat="false" ht="15" hidden="false" customHeight="false" outlineLevel="0" collapsed="false">
      <c r="A305" s="18" t="s">
        <v>2156</v>
      </c>
      <c r="B305" s="49" t="n">
        <v>46235</v>
      </c>
      <c r="C305" s="18" t="s">
        <v>2186</v>
      </c>
      <c r="D305" s="18" t="s">
        <v>2158</v>
      </c>
      <c r="E305" s="18" t="s">
        <v>2159</v>
      </c>
      <c r="F305" s="18" t="s">
        <v>2462</v>
      </c>
      <c r="G305" s="65" t="n">
        <v>47943.0341</v>
      </c>
      <c r="H305" s="65"/>
      <c r="I305" s="54"/>
      <c r="J305" s="18"/>
    </row>
    <row r="306" customFormat="false" ht="15" hidden="false" customHeight="false" outlineLevel="0" collapsed="false">
      <c r="A306" s="18" t="s">
        <v>2156</v>
      </c>
      <c r="B306" s="49" t="n">
        <v>46235</v>
      </c>
      <c r="C306" s="18" t="s">
        <v>2186</v>
      </c>
      <c r="D306" s="18" t="s">
        <v>2158</v>
      </c>
      <c r="E306" s="18" t="s">
        <v>99</v>
      </c>
      <c r="F306" s="18" t="s">
        <v>2463</v>
      </c>
      <c r="G306" s="65" t="n">
        <v>0</v>
      </c>
      <c r="H306" s="65"/>
      <c r="I306" s="54"/>
      <c r="J306" s="18"/>
    </row>
    <row r="307" customFormat="false" ht="15" hidden="false" customHeight="false" outlineLevel="0" collapsed="false">
      <c r="A307" s="18" t="s">
        <v>2156</v>
      </c>
      <c r="B307" s="49" t="n">
        <v>46235</v>
      </c>
      <c r="C307" s="18" t="s">
        <v>2186</v>
      </c>
      <c r="D307" s="18" t="s">
        <v>2158</v>
      </c>
      <c r="E307" s="18" t="s">
        <v>113</v>
      </c>
      <c r="F307" s="18" t="s">
        <v>2464</v>
      </c>
      <c r="G307" s="65" t="n">
        <v>0</v>
      </c>
      <c r="H307" s="65"/>
      <c r="I307" s="54"/>
      <c r="J307" s="18"/>
    </row>
    <row r="308" customFormat="false" ht="15" hidden="false" customHeight="false" outlineLevel="0" collapsed="false">
      <c r="A308" s="18" t="s">
        <v>2156</v>
      </c>
      <c r="B308" s="49" t="n">
        <v>46235</v>
      </c>
      <c r="C308" s="18" t="s">
        <v>2186</v>
      </c>
      <c r="D308" s="18" t="s">
        <v>2158</v>
      </c>
      <c r="E308" s="18" t="s">
        <v>119</v>
      </c>
      <c r="F308" s="18" t="s">
        <v>2462</v>
      </c>
      <c r="G308" s="65" t="n">
        <v>47943.0341</v>
      </c>
      <c r="H308" s="65"/>
      <c r="I308" s="54"/>
      <c r="J308" s="18"/>
    </row>
    <row r="309" customFormat="false" ht="15" hidden="false" customHeight="false" outlineLevel="0" collapsed="false">
      <c r="A309" s="18" t="s">
        <v>2156</v>
      </c>
      <c r="B309" s="49" t="n">
        <v>46235</v>
      </c>
      <c r="C309" s="18" t="s">
        <v>2186</v>
      </c>
      <c r="D309" s="18" t="s">
        <v>222</v>
      </c>
      <c r="E309" s="18" t="s">
        <v>2159</v>
      </c>
      <c r="F309" s="18" t="s">
        <v>2465</v>
      </c>
      <c r="G309" s="65" t="n">
        <v>20109.1624</v>
      </c>
      <c r="H309" s="65"/>
      <c r="I309" s="54"/>
      <c r="J309" s="18"/>
    </row>
    <row r="310" customFormat="false" ht="15" hidden="false" customHeight="false" outlineLevel="0" collapsed="false">
      <c r="A310" s="18" t="s">
        <v>2156</v>
      </c>
      <c r="B310" s="49" t="n">
        <v>46235</v>
      </c>
      <c r="C310" s="18" t="s">
        <v>2186</v>
      </c>
      <c r="D310" s="18" t="s">
        <v>222</v>
      </c>
      <c r="E310" s="18" t="s">
        <v>99</v>
      </c>
      <c r="F310" s="18" t="s">
        <v>2466</v>
      </c>
      <c r="G310" s="65" t="n">
        <v>3882.4151</v>
      </c>
      <c r="H310" s="65"/>
      <c r="I310" s="54"/>
      <c r="J310" s="18"/>
    </row>
    <row r="311" customFormat="false" ht="15" hidden="false" customHeight="false" outlineLevel="0" collapsed="false">
      <c r="A311" s="18" t="s">
        <v>2156</v>
      </c>
      <c r="B311" s="49" t="n">
        <v>46235</v>
      </c>
      <c r="C311" s="18" t="s">
        <v>2186</v>
      </c>
      <c r="D311" s="18" t="s">
        <v>222</v>
      </c>
      <c r="E311" s="18" t="s">
        <v>113</v>
      </c>
      <c r="F311" s="18" t="s">
        <v>2467</v>
      </c>
      <c r="G311" s="65" t="n">
        <v>2988.2713</v>
      </c>
      <c r="H311" s="65"/>
      <c r="I311" s="54"/>
      <c r="J311" s="18"/>
    </row>
    <row r="312" customFormat="false" ht="15" hidden="false" customHeight="false" outlineLevel="0" collapsed="false">
      <c r="A312" s="18" t="s">
        <v>2156</v>
      </c>
      <c r="B312" s="49" t="n">
        <v>46235</v>
      </c>
      <c r="C312" s="18" t="s">
        <v>2186</v>
      </c>
      <c r="D312" s="18" t="s">
        <v>222</v>
      </c>
      <c r="E312" s="18" t="s">
        <v>119</v>
      </c>
      <c r="F312" s="18" t="s">
        <v>2468</v>
      </c>
      <c r="G312" s="65" t="n">
        <v>13238.476</v>
      </c>
      <c r="H312" s="65"/>
      <c r="I312" s="54"/>
      <c r="J312" s="18"/>
    </row>
    <row r="313" customFormat="false" ht="15" hidden="false" customHeight="false" outlineLevel="0" collapsed="false">
      <c r="A313" s="18" t="s">
        <v>2156</v>
      </c>
      <c r="B313" s="49" t="n">
        <v>46235</v>
      </c>
      <c r="C313" s="18" t="s">
        <v>2186</v>
      </c>
      <c r="D313" s="18" t="s">
        <v>2168</v>
      </c>
      <c r="E313" s="18" t="s">
        <v>2159</v>
      </c>
      <c r="F313" s="18" t="s">
        <v>2469</v>
      </c>
      <c r="G313" s="65" t="n">
        <v>251154.9529</v>
      </c>
      <c r="H313" s="65"/>
      <c r="I313" s="54"/>
      <c r="J313" s="18"/>
    </row>
    <row r="314" customFormat="false" ht="15" hidden="false" customHeight="false" outlineLevel="0" collapsed="false">
      <c r="A314" s="18" t="s">
        <v>2156</v>
      </c>
      <c r="B314" s="49" t="n">
        <v>46235</v>
      </c>
      <c r="C314" s="18" t="s">
        <v>2186</v>
      </c>
      <c r="D314" s="18" t="s">
        <v>2168</v>
      </c>
      <c r="E314" s="18" t="s">
        <v>99</v>
      </c>
      <c r="F314" s="18" t="s">
        <v>2470</v>
      </c>
      <c r="G314" s="65" t="n">
        <v>-41584.3232</v>
      </c>
      <c r="H314" s="65"/>
      <c r="I314" s="54"/>
      <c r="J314" s="18"/>
    </row>
    <row r="315" customFormat="false" ht="15" hidden="false" customHeight="false" outlineLevel="0" collapsed="false">
      <c r="A315" s="18" t="s">
        <v>2156</v>
      </c>
      <c r="B315" s="49" t="n">
        <v>46235</v>
      </c>
      <c r="C315" s="18" t="s">
        <v>2186</v>
      </c>
      <c r="D315" s="18" t="s">
        <v>2168</v>
      </c>
      <c r="E315" s="18" t="s">
        <v>113</v>
      </c>
      <c r="F315" s="18" t="s">
        <v>2471</v>
      </c>
      <c r="G315" s="65" t="n">
        <v>-38749.0431</v>
      </c>
      <c r="H315" s="65"/>
      <c r="I315" s="54"/>
      <c r="J315" s="18"/>
    </row>
    <row r="316" customFormat="false" ht="15" hidden="false" customHeight="false" outlineLevel="0" collapsed="false">
      <c r="A316" s="18" t="s">
        <v>2156</v>
      </c>
      <c r="B316" s="49" t="n">
        <v>46235</v>
      </c>
      <c r="C316" s="18" t="s">
        <v>2186</v>
      </c>
      <c r="D316" s="18" t="s">
        <v>2168</v>
      </c>
      <c r="E316" s="18" t="s">
        <v>119</v>
      </c>
      <c r="F316" s="18" t="s">
        <v>2472</v>
      </c>
      <c r="G316" s="65" t="n">
        <v>331488.3192</v>
      </c>
      <c r="H316" s="65"/>
      <c r="I316" s="54"/>
      <c r="J316" s="18"/>
    </row>
    <row r="317" customFormat="false" ht="15" hidden="false" customHeight="false" outlineLevel="0" collapsed="false">
      <c r="A317" s="18" t="s">
        <v>2156</v>
      </c>
      <c r="B317" s="49" t="n">
        <v>46235</v>
      </c>
      <c r="C317" s="18" t="s">
        <v>2186</v>
      </c>
      <c r="D317" s="18" t="s">
        <v>2174</v>
      </c>
      <c r="E317" s="18" t="s">
        <v>2159</v>
      </c>
      <c r="F317" s="18" t="s">
        <v>2473</v>
      </c>
      <c r="G317" s="65" t="n">
        <v>62991.4633</v>
      </c>
      <c r="H317" s="65"/>
      <c r="I317" s="54"/>
      <c r="J317" s="18"/>
    </row>
    <row r="318" customFormat="false" ht="15" hidden="false" customHeight="false" outlineLevel="0" collapsed="false">
      <c r="A318" s="18" t="s">
        <v>2156</v>
      </c>
      <c r="B318" s="49" t="n">
        <v>46235</v>
      </c>
      <c r="C318" s="18" t="s">
        <v>2186</v>
      </c>
      <c r="D318" s="18" t="s">
        <v>2174</v>
      </c>
      <c r="E318" s="18" t="s">
        <v>99</v>
      </c>
      <c r="F318" s="18" t="s">
        <v>2474</v>
      </c>
      <c r="G318" s="65" t="n">
        <v>12275.0907</v>
      </c>
      <c r="H318" s="65"/>
      <c r="I318" s="54"/>
      <c r="J318" s="18"/>
    </row>
    <row r="319" customFormat="false" ht="15" hidden="false" customHeight="false" outlineLevel="0" collapsed="false">
      <c r="A319" s="18" t="s">
        <v>2156</v>
      </c>
      <c r="B319" s="49" t="n">
        <v>46235</v>
      </c>
      <c r="C319" s="18" t="s">
        <v>2186</v>
      </c>
      <c r="D319" s="18" t="s">
        <v>2174</v>
      </c>
      <c r="E319" s="18" t="s">
        <v>113</v>
      </c>
      <c r="F319" s="18" t="s">
        <v>2475</v>
      </c>
      <c r="G319" s="65" t="n">
        <v>2525.0591</v>
      </c>
      <c r="H319" s="65"/>
      <c r="I319" s="54"/>
      <c r="J319" s="18"/>
    </row>
    <row r="320" customFormat="false" ht="15" hidden="false" customHeight="false" outlineLevel="0" collapsed="false">
      <c r="A320" s="18" t="s">
        <v>2156</v>
      </c>
      <c r="B320" s="49" t="n">
        <v>46235</v>
      </c>
      <c r="C320" s="18" t="s">
        <v>2186</v>
      </c>
      <c r="D320" s="18" t="s">
        <v>2174</v>
      </c>
      <c r="E320" s="18" t="s">
        <v>119</v>
      </c>
      <c r="F320" s="18" t="s">
        <v>2476</v>
      </c>
      <c r="G320" s="65" t="n">
        <v>48191.3135</v>
      </c>
      <c r="H320" s="65"/>
      <c r="I320" s="54"/>
      <c r="J320" s="18"/>
    </row>
    <row r="321" customFormat="false" ht="15" hidden="false" customHeight="false" outlineLevel="0" collapsed="false">
      <c r="A321" s="18" t="s">
        <v>2156</v>
      </c>
      <c r="B321" s="49" t="n">
        <v>46235</v>
      </c>
      <c r="C321" s="18" t="s">
        <v>2186</v>
      </c>
      <c r="D321" s="18" t="s">
        <v>2180</v>
      </c>
      <c r="E321" s="18" t="s">
        <v>2159</v>
      </c>
      <c r="F321" s="18" t="s">
        <v>2477</v>
      </c>
      <c r="G321" s="65" t="n">
        <v>219351.9929</v>
      </c>
      <c r="H321" s="65"/>
      <c r="I321" s="54"/>
      <c r="J321" s="18"/>
    </row>
    <row r="322" customFormat="false" ht="15" hidden="false" customHeight="false" outlineLevel="0" collapsed="false">
      <c r="A322" s="18" t="s">
        <v>2156</v>
      </c>
      <c r="B322" s="49" t="n">
        <v>46235</v>
      </c>
      <c r="C322" s="18" t="s">
        <v>2186</v>
      </c>
      <c r="D322" s="18" t="s">
        <v>2180</v>
      </c>
      <c r="E322" s="18" t="s">
        <v>99</v>
      </c>
      <c r="F322" s="18" t="s">
        <v>2478</v>
      </c>
      <c r="G322" s="65" t="n">
        <v>48415.1059</v>
      </c>
      <c r="H322" s="65"/>
      <c r="I322" s="54"/>
      <c r="J322" s="18"/>
    </row>
    <row r="323" customFormat="false" ht="15" hidden="false" customHeight="false" outlineLevel="0" collapsed="false">
      <c r="A323" s="18" t="s">
        <v>2156</v>
      </c>
      <c r="B323" s="49" t="n">
        <v>46235</v>
      </c>
      <c r="C323" s="18" t="s">
        <v>2186</v>
      </c>
      <c r="D323" s="18" t="s">
        <v>2180</v>
      </c>
      <c r="E323" s="18" t="s">
        <v>113</v>
      </c>
      <c r="F323" s="18" t="s">
        <v>2479</v>
      </c>
      <c r="G323" s="65" t="n">
        <v>37323.8064</v>
      </c>
      <c r="H323" s="65"/>
      <c r="I323" s="54"/>
      <c r="J323" s="18"/>
    </row>
    <row r="324" customFormat="false" ht="15" hidden="false" customHeight="false" outlineLevel="0" collapsed="false">
      <c r="A324" s="18" t="s">
        <v>2156</v>
      </c>
      <c r="B324" s="49" t="n">
        <v>46235</v>
      </c>
      <c r="C324" s="18" t="s">
        <v>2186</v>
      </c>
      <c r="D324" s="18" t="s">
        <v>2180</v>
      </c>
      <c r="E324" s="18" t="s">
        <v>119</v>
      </c>
      <c r="F324" s="18" t="s">
        <v>2480</v>
      </c>
      <c r="G324" s="65" t="n">
        <v>133613.0805</v>
      </c>
      <c r="H324" s="65"/>
      <c r="I324" s="54"/>
      <c r="J324" s="18"/>
    </row>
    <row r="325" customFormat="false" ht="15" hidden="false" customHeight="false" outlineLevel="0" collapsed="false">
      <c r="A325" s="18" t="s">
        <v>2170</v>
      </c>
      <c r="B325" s="49" t="n">
        <v>46266</v>
      </c>
      <c r="C325" s="18" t="s">
        <v>2157</v>
      </c>
      <c r="D325" s="18" t="s">
        <v>2158</v>
      </c>
      <c r="E325" s="18" t="s">
        <v>2159</v>
      </c>
      <c r="F325" s="18" t="s">
        <v>2481</v>
      </c>
      <c r="G325" s="65" t="n">
        <v>27321.4495</v>
      </c>
      <c r="H325" s="65" t="n">
        <v>2941.39501259308</v>
      </c>
      <c r="I325" s="54" t="n">
        <v>0.0126516312508856</v>
      </c>
      <c r="J325" s="18" t="b">
        <f aca="false">FALSE()</f>
        <v>0</v>
      </c>
    </row>
    <row r="326" customFormat="false" ht="15" hidden="false" customHeight="false" outlineLevel="0" collapsed="false">
      <c r="A326" s="18" t="s">
        <v>2170</v>
      </c>
      <c r="B326" s="49" t="n">
        <v>46266</v>
      </c>
      <c r="C326" s="18" t="s">
        <v>2157</v>
      </c>
      <c r="D326" s="18" t="s">
        <v>2158</v>
      </c>
      <c r="E326" s="18" t="s">
        <v>99</v>
      </c>
      <c r="F326" s="18" t="s">
        <v>2482</v>
      </c>
      <c r="G326" s="65" t="n">
        <v>0</v>
      </c>
      <c r="H326" s="65"/>
      <c r="I326" s="54"/>
      <c r="J326" s="18"/>
    </row>
    <row r="327" customFormat="false" ht="15" hidden="false" customHeight="false" outlineLevel="0" collapsed="false">
      <c r="A327" s="18" t="s">
        <v>2170</v>
      </c>
      <c r="B327" s="49" t="n">
        <v>46266</v>
      </c>
      <c r="C327" s="18" t="s">
        <v>2157</v>
      </c>
      <c r="D327" s="18" t="s">
        <v>2158</v>
      </c>
      <c r="E327" s="18" t="s">
        <v>113</v>
      </c>
      <c r="F327" s="18" t="s">
        <v>2483</v>
      </c>
      <c r="G327" s="65" t="n">
        <v>0</v>
      </c>
      <c r="H327" s="65"/>
      <c r="I327" s="54"/>
      <c r="J327" s="18"/>
    </row>
    <row r="328" customFormat="false" ht="15" hidden="false" customHeight="false" outlineLevel="0" collapsed="false">
      <c r="A328" s="18" t="s">
        <v>2170</v>
      </c>
      <c r="B328" s="49" t="n">
        <v>46266</v>
      </c>
      <c r="C328" s="18" t="s">
        <v>2157</v>
      </c>
      <c r="D328" s="18" t="s">
        <v>2158</v>
      </c>
      <c r="E328" s="18" t="s">
        <v>119</v>
      </c>
      <c r="F328" s="18" t="s">
        <v>2481</v>
      </c>
      <c r="G328" s="65" t="n">
        <v>27321.4495</v>
      </c>
      <c r="H328" s="65"/>
      <c r="I328" s="54"/>
      <c r="J328" s="18"/>
    </row>
    <row r="329" customFormat="false" ht="15" hidden="false" customHeight="false" outlineLevel="0" collapsed="false">
      <c r="A329" s="18" t="s">
        <v>2170</v>
      </c>
      <c r="B329" s="49" t="n">
        <v>46266</v>
      </c>
      <c r="C329" s="18" t="s">
        <v>2157</v>
      </c>
      <c r="D329" s="18" t="s">
        <v>222</v>
      </c>
      <c r="E329" s="18" t="s">
        <v>2159</v>
      </c>
      <c r="F329" s="18" t="s">
        <v>2484</v>
      </c>
      <c r="G329" s="65" t="n">
        <v>14154.4674</v>
      </c>
      <c r="H329" s="65" t="n">
        <v>1873.95113787378</v>
      </c>
      <c r="I329" s="54" t="n">
        <v>0.0080603042695906</v>
      </c>
      <c r="J329" s="18" t="b">
        <f aca="false">FALSE()</f>
        <v>0</v>
      </c>
    </row>
    <row r="330" customFormat="false" ht="15" hidden="false" customHeight="false" outlineLevel="0" collapsed="false">
      <c r="A330" s="18" t="s">
        <v>2170</v>
      </c>
      <c r="B330" s="49" t="n">
        <v>46266</v>
      </c>
      <c r="C330" s="18" t="s">
        <v>2157</v>
      </c>
      <c r="D330" s="18" t="s">
        <v>222</v>
      </c>
      <c r="E330" s="18" t="s">
        <v>99</v>
      </c>
      <c r="F330" s="18" t="s">
        <v>2485</v>
      </c>
      <c r="G330" s="65" t="n">
        <v>3209.2965</v>
      </c>
      <c r="H330" s="65"/>
      <c r="I330" s="54"/>
      <c r="J330" s="18"/>
    </row>
    <row r="331" customFormat="false" ht="15" hidden="false" customHeight="false" outlineLevel="0" collapsed="false">
      <c r="A331" s="18" t="s">
        <v>2170</v>
      </c>
      <c r="B331" s="49" t="n">
        <v>46266</v>
      </c>
      <c r="C331" s="18" t="s">
        <v>2157</v>
      </c>
      <c r="D331" s="18" t="s">
        <v>222</v>
      </c>
      <c r="E331" s="18" t="s">
        <v>113</v>
      </c>
      <c r="F331" s="18" t="s">
        <v>2486</v>
      </c>
      <c r="G331" s="65" t="n">
        <v>2461.4814</v>
      </c>
      <c r="H331" s="65"/>
      <c r="I331" s="54"/>
      <c r="J331" s="18"/>
    </row>
    <row r="332" customFormat="false" ht="15" hidden="false" customHeight="false" outlineLevel="0" collapsed="false">
      <c r="A332" s="18" t="s">
        <v>2170</v>
      </c>
      <c r="B332" s="49" t="n">
        <v>46266</v>
      </c>
      <c r="C332" s="18" t="s">
        <v>2157</v>
      </c>
      <c r="D332" s="18" t="s">
        <v>222</v>
      </c>
      <c r="E332" s="18" t="s">
        <v>119</v>
      </c>
      <c r="F332" s="18" t="s">
        <v>2487</v>
      </c>
      <c r="G332" s="65" t="n">
        <v>8483.6896</v>
      </c>
      <c r="H332" s="65"/>
      <c r="I332" s="54"/>
      <c r="J332" s="18"/>
    </row>
    <row r="333" customFormat="false" ht="15" hidden="false" customHeight="false" outlineLevel="0" collapsed="false">
      <c r="A333" s="18" t="s">
        <v>2170</v>
      </c>
      <c r="B333" s="49" t="n">
        <v>46266</v>
      </c>
      <c r="C333" s="18" t="s">
        <v>2157</v>
      </c>
      <c r="D333" s="18" t="s">
        <v>2168</v>
      </c>
      <c r="E333" s="18" t="s">
        <v>2159</v>
      </c>
      <c r="F333" s="18" t="s">
        <v>2488</v>
      </c>
      <c r="G333" s="65" t="n">
        <v>84458.1493</v>
      </c>
      <c r="H333" s="65" t="n">
        <v>7538.81547123066</v>
      </c>
      <c r="I333" s="54" t="n">
        <v>0.0324262171527917</v>
      </c>
      <c r="J333" s="18" t="b">
        <f aca="false">FALSE()</f>
        <v>0</v>
      </c>
    </row>
    <row r="334" customFormat="false" ht="15" hidden="false" customHeight="false" outlineLevel="0" collapsed="false">
      <c r="A334" s="18" t="s">
        <v>2170</v>
      </c>
      <c r="B334" s="49" t="n">
        <v>46266</v>
      </c>
      <c r="C334" s="18" t="s">
        <v>2157</v>
      </c>
      <c r="D334" s="18" t="s">
        <v>2168</v>
      </c>
      <c r="E334" s="18" t="s">
        <v>99</v>
      </c>
      <c r="F334" s="18" t="s">
        <v>2489</v>
      </c>
      <c r="G334" s="65" t="n">
        <v>-10798.3396</v>
      </c>
      <c r="H334" s="65"/>
      <c r="I334" s="54"/>
      <c r="J334" s="18"/>
    </row>
    <row r="335" customFormat="false" ht="15" hidden="false" customHeight="false" outlineLevel="0" collapsed="false">
      <c r="A335" s="18" t="s">
        <v>2170</v>
      </c>
      <c r="B335" s="49" t="n">
        <v>46266</v>
      </c>
      <c r="C335" s="18" t="s">
        <v>2157</v>
      </c>
      <c r="D335" s="18" t="s">
        <v>2168</v>
      </c>
      <c r="E335" s="18" t="s">
        <v>113</v>
      </c>
      <c r="F335" s="18" t="s">
        <v>2490</v>
      </c>
      <c r="G335" s="65" t="n">
        <v>-5150.3572</v>
      </c>
      <c r="H335" s="65"/>
      <c r="I335" s="54"/>
      <c r="J335" s="18"/>
    </row>
    <row r="336" customFormat="false" ht="15" hidden="false" customHeight="false" outlineLevel="0" collapsed="false">
      <c r="A336" s="18" t="s">
        <v>2170</v>
      </c>
      <c r="B336" s="49" t="n">
        <v>46266</v>
      </c>
      <c r="C336" s="18" t="s">
        <v>2157</v>
      </c>
      <c r="D336" s="18" t="s">
        <v>2168</v>
      </c>
      <c r="E336" s="18" t="s">
        <v>119</v>
      </c>
      <c r="F336" s="18" t="s">
        <v>2491</v>
      </c>
      <c r="G336" s="65" t="n">
        <v>100406.8461</v>
      </c>
      <c r="H336" s="65"/>
      <c r="I336" s="54"/>
      <c r="J336" s="18"/>
    </row>
    <row r="337" customFormat="false" ht="15" hidden="false" customHeight="false" outlineLevel="0" collapsed="false">
      <c r="A337" s="18" t="s">
        <v>2170</v>
      </c>
      <c r="B337" s="49" t="n">
        <v>46266</v>
      </c>
      <c r="C337" s="18" t="s">
        <v>2157</v>
      </c>
      <c r="D337" s="18" t="s">
        <v>2174</v>
      </c>
      <c r="E337" s="18" t="s">
        <v>2159</v>
      </c>
      <c r="F337" s="18" t="s">
        <v>2492</v>
      </c>
      <c r="G337" s="65" t="n">
        <v>56523.4735</v>
      </c>
      <c r="H337" s="65" t="n">
        <v>8804.87616168234</v>
      </c>
      <c r="I337" s="54" t="n">
        <v>0.0378718417384931</v>
      </c>
      <c r="J337" s="18" t="b">
        <f aca="false">FALSE()</f>
        <v>0</v>
      </c>
    </row>
    <row r="338" customFormat="false" ht="15" hidden="false" customHeight="false" outlineLevel="0" collapsed="false">
      <c r="A338" s="18" t="s">
        <v>2170</v>
      </c>
      <c r="B338" s="49" t="n">
        <v>46266</v>
      </c>
      <c r="C338" s="18" t="s">
        <v>2157</v>
      </c>
      <c r="D338" s="18" t="s">
        <v>2174</v>
      </c>
      <c r="E338" s="18" t="s">
        <v>99</v>
      </c>
      <c r="F338" s="18" t="s">
        <v>2493</v>
      </c>
      <c r="G338" s="65" t="n">
        <v>14234.1592</v>
      </c>
      <c r="H338" s="65"/>
      <c r="I338" s="54"/>
      <c r="J338" s="18"/>
    </row>
    <row r="339" customFormat="false" ht="15" hidden="false" customHeight="false" outlineLevel="0" collapsed="false">
      <c r="A339" s="18" t="s">
        <v>2170</v>
      </c>
      <c r="B339" s="49" t="n">
        <v>46266</v>
      </c>
      <c r="C339" s="18" t="s">
        <v>2157</v>
      </c>
      <c r="D339" s="18" t="s">
        <v>2174</v>
      </c>
      <c r="E339" s="18" t="s">
        <v>113</v>
      </c>
      <c r="F339" s="18" t="s">
        <v>2494</v>
      </c>
      <c r="G339" s="65" t="n">
        <v>5485.5717</v>
      </c>
      <c r="H339" s="65"/>
      <c r="I339" s="54"/>
      <c r="J339" s="18"/>
    </row>
    <row r="340" customFormat="false" ht="15" hidden="false" customHeight="false" outlineLevel="0" collapsed="false">
      <c r="A340" s="18" t="s">
        <v>2170</v>
      </c>
      <c r="B340" s="49" t="n">
        <v>46266</v>
      </c>
      <c r="C340" s="18" t="s">
        <v>2157</v>
      </c>
      <c r="D340" s="18" t="s">
        <v>2174</v>
      </c>
      <c r="E340" s="18" t="s">
        <v>119</v>
      </c>
      <c r="F340" s="18" t="s">
        <v>2495</v>
      </c>
      <c r="G340" s="65" t="n">
        <v>36803.7425</v>
      </c>
      <c r="H340" s="65"/>
      <c r="I340" s="54"/>
      <c r="J340" s="18"/>
    </row>
    <row r="341" customFormat="false" ht="15" hidden="false" customHeight="false" outlineLevel="0" collapsed="false">
      <c r="A341" s="18" t="s">
        <v>2170</v>
      </c>
      <c r="B341" s="49" t="n">
        <v>46266</v>
      </c>
      <c r="C341" s="18" t="s">
        <v>2157</v>
      </c>
      <c r="D341" s="18" t="s">
        <v>2180</v>
      </c>
      <c r="E341" s="18" t="s">
        <v>2159</v>
      </c>
      <c r="F341" s="18" t="s">
        <v>2496</v>
      </c>
      <c r="G341" s="65" t="n">
        <v>50033.8248</v>
      </c>
      <c r="H341" s="65" t="n">
        <v>6081.40684091854</v>
      </c>
      <c r="I341" s="54" t="n">
        <v>0.0261575601061776</v>
      </c>
      <c r="J341" s="18" t="b">
        <f aca="false">FALSE()</f>
        <v>0</v>
      </c>
    </row>
    <row r="342" customFormat="false" ht="15" hidden="false" customHeight="false" outlineLevel="0" collapsed="false">
      <c r="A342" s="18" t="s">
        <v>2170</v>
      </c>
      <c r="B342" s="49" t="n">
        <v>46266</v>
      </c>
      <c r="C342" s="18" t="s">
        <v>2157</v>
      </c>
      <c r="D342" s="18" t="s">
        <v>2180</v>
      </c>
      <c r="E342" s="18" t="s">
        <v>99</v>
      </c>
      <c r="F342" s="18" t="s">
        <v>2497</v>
      </c>
      <c r="G342" s="65" t="n">
        <v>14314.078</v>
      </c>
      <c r="H342" s="65"/>
      <c r="I342" s="54"/>
      <c r="J342" s="18"/>
    </row>
    <row r="343" customFormat="false" ht="15" hidden="false" customHeight="false" outlineLevel="0" collapsed="false">
      <c r="A343" s="18" t="s">
        <v>2170</v>
      </c>
      <c r="B343" s="49" t="n">
        <v>46266</v>
      </c>
      <c r="C343" s="18" t="s">
        <v>2157</v>
      </c>
      <c r="D343" s="18" t="s">
        <v>2180</v>
      </c>
      <c r="E343" s="18" t="s">
        <v>113</v>
      </c>
      <c r="F343" s="18" t="s">
        <v>2498</v>
      </c>
      <c r="G343" s="65" t="n">
        <v>11139.1447</v>
      </c>
      <c r="H343" s="65"/>
      <c r="I343" s="54"/>
      <c r="J343" s="18"/>
    </row>
    <row r="344" customFormat="false" ht="15" hidden="false" customHeight="false" outlineLevel="0" collapsed="false">
      <c r="A344" s="18" t="s">
        <v>2170</v>
      </c>
      <c r="B344" s="49" t="n">
        <v>46266</v>
      </c>
      <c r="C344" s="18" t="s">
        <v>2157</v>
      </c>
      <c r="D344" s="18" t="s">
        <v>2180</v>
      </c>
      <c r="E344" s="18" t="s">
        <v>119</v>
      </c>
      <c r="F344" s="18" t="s">
        <v>2499</v>
      </c>
      <c r="G344" s="65" t="n">
        <v>24580.602</v>
      </c>
      <c r="H344" s="65"/>
      <c r="I344" s="54"/>
      <c r="J344" s="18"/>
    </row>
    <row r="345" customFormat="false" ht="15" hidden="false" customHeight="false" outlineLevel="0" collapsed="false">
      <c r="A345" s="18" t="s">
        <v>2170</v>
      </c>
      <c r="B345" s="49" t="n">
        <v>46266</v>
      </c>
      <c r="C345" s="18" t="s">
        <v>2186</v>
      </c>
      <c r="D345" s="18" t="s">
        <v>2158</v>
      </c>
      <c r="E345" s="18" t="s">
        <v>2159</v>
      </c>
      <c r="F345" s="18" t="s">
        <v>2500</v>
      </c>
      <c r="G345" s="65" t="n">
        <v>24380.0545</v>
      </c>
      <c r="H345" s="65"/>
      <c r="I345" s="54"/>
      <c r="J345" s="18"/>
    </row>
    <row r="346" customFormat="false" ht="15" hidden="false" customHeight="false" outlineLevel="0" collapsed="false">
      <c r="A346" s="18" t="s">
        <v>2170</v>
      </c>
      <c r="B346" s="49" t="n">
        <v>46266</v>
      </c>
      <c r="C346" s="18" t="s">
        <v>2186</v>
      </c>
      <c r="D346" s="18" t="s">
        <v>2158</v>
      </c>
      <c r="E346" s="18" t="s">
        <v>99</v>
      </c>
      <c r="F346" s="18" t="s">
        <v>2463</v>
      </c>
      <c r="G346" s="65" t="n">
        <v>0</v>
      </c>
      <c r="H346" s="65"/>
      <c r="I346" s="54"/>
      <c r="J346" s="18"/>
    </row>
    <row r="347" customFormat="false" ht="15" hidden="false" customHeight="false" outlineLevel="0" collapsed="false">
      <c r="A347" s="18" t="s">
        <v>2170</v>
      </c>
      <c r="B347" s="49" t="n">
        <v>46266</v>
      </c>
      <c r="C347" s="18" t="s">
        <v>2186</v>
      </c>
      <c r="D347" s="18" t="s">
        <v>2158</v>
      </c>
      <c r="E347" s="18" t="s">
        <v>113</v>
      </c>
      <c r="F347" s="18" t="s">
        <v>2501</v>
      </c>
      <c r="G347" s="65" t="n">
        <v>0</v>
      </c>
      <c r="H347" s="65"/>
      <c r="I347" s="54"/>
      <c r="J347" s="18"/>
    </row>
    <row r="348" customFormat="false" ht="15" hidden="false" customHeight="false" outlineLevel="0" collapsed="false">
      <c r="A348" s="18" t="s">
        <v>2170</v>
      </c>
      <c r="B348" s="49" t="n">
        <v>46266</v>
      </c>
      <c r="C348" s="18" t="s">
        <v>2186</v>
      </c>
      <c r="D348" s="18" t="s">
        <v>2158</v>
      </c>
      <c r="E348" s="18" t="s">
        <v>119</v>
      </c>
      <c r="F348" s="18" t="s">
        <v>2500</v>
      </c>
      <c r="G348" s="65" t="n">
        <v>24380.0545</v>
      </c>
      <c r="H348" s="65"/>
      <c r="I348" s="54"/>
      <c r="J348" s="18"/>
    </row>
    <row r="349" customFormat="false" ht="15" hidden="false" customHeight="false" outlineLevel="0" collapsed="false">
      <c r="A349" s="18" t="s">
        <v>2170</v>
      </c>
      <c r="B349" s="49" t="n">
        <v>46266</v>
      </c>
      <c r="C349" s="18" t="s">
        <v>2186</v>
      </c>
      <c r="D349" s="18" t="s">
        <v>222</v>
      </c>
      <c r="E349" s="18" t="s">
        <v>2159</v>
      </c>
      <c r="F349" s="18" t="s">
        <v>2502</v>
      </c>
      <c r="G349" s="65" t="n">
        <v>12280.5163</v>
      </c>
      <c r="H349" s="65"/>
      <c r="I349" s="54"/>
      <c r="J349" s="18"/>
    </row>
    <row r="350" customFormat="false" ht="15" hidden="false" customHeight="false" outlineLevel="0" collapsed="false">
      <c r="A350" s="18" t="s">
        <v>2170</v>
      </c>
      <c r="B350" s="49" t="n">
        <v>46266</v>
      </c>
      <c r="C350" s="18" t="s">
        <v>2186</v>
      </c>
      <c r="D350" s="18" t="s">
        <v>222</v>
      </c>
      <c r="E350" s="18" t="s">
        <v>99</v>
      </c>
      <c r="F350" s="18" t="s">
        <v>2503</v>
      </c>
      <c r="G350" s="65" t="n">
        <v>3074.1011</v>
      </c>
      <c r="H350" s="65"/>
      <c r="I350" s="54"/>
      <c r="J350" s="18"/>
    </row>
    <row r="351" customFormat="false" ht="15" hidden="false" customHeight="false" outlineLevel="0" collapsed="false">
      <c r="A351" s="18" t="s">
        <v>2170</v>
      </c>
      <c r="B351" s="49" t="n">
        <v>46266</v>
      </c>
      <c r="C351" s="18" t="s">
        <v>2186</v>
      </c>
      <c r="D351" s="18" t="s">
        <v>222</v>
      </c>
      <c r="E351" s="18" t="s">
        <v>113</v>
      </c>
      <c r="F351" s="18" t="s">
        <v>2504</v>
      </c>
      <c r="G351" s="65" t="n">
        <v>2373.6096</v>
      </c>
      <c r="H351" s="65"/>
      <c r="I351" s="54"/>
      <c r="J351" s="18"/>
    </row>
    <row r="352" customFormat="false" ht="15" hidden="false" customHeight="false" outlineLevel="0" collapsed="false">
      <c r="A352" s="18" t="s">
        <v>2170</v>
      </c>
      <c r="B352" s="49" t="n">
        <v>46266</v>
      </c>
      <c r="C352" s="18" t="s">
        <v>2186</v>
      </c>
      <c r="D352" s="18" t="s">
        <v>222</v>
      </c>
      <c r="E352" s="18" t="s">
        <v>119</v>
      </c>
      <c r="F352" s="18" t="s">
        <v>2505</v>
      </c>
      <c r="G352" s="65" t="n">
        <v>6832.8056</v>
      </c>
      <c r="H352" s="65"/>
      <c r="I352" s="54"/>
      <c r="J352" s="18"/>
    </row>
    <row r="353" customFormat="false" ht="15" hidden="false" customHeight="false" outlineLevel="0" collapsed="false">
      <c r="A353" s="18" t="s">
        <v>2170</v>
      </c>
      <c r="B353" s="49" t="n">
        <v>46266</v>
      </c>
      <c r="C353" s="18" t="s">
        <v>2186</v>
      </c>
      <c r="D353" s="18" t="s">
        <v>2168</v>
      </c>
      <c r="E353" s="18" t="s">
        <v>2159</v>
      </c>
      <c r="F353" s="18" t="s">
        <v>2506</v>
      </c>
      <c r="G353" s="65" t="n">
        <v>91996.9647</v>
      </c>
      <c r="H353" s="65"/>
      <c r="I353" s="54"/>
      <c r="J353" s="18"/>
    </row>
    <row r="354" customFormat="false" ht="15" hidden="false" customHeight="false" outlineLevel="0" collapsed="false">
      <c r="A354" s="18" t="s">
        <v>2170</v>
      </c>
      <c r="B354" s="49" t="n">
        <v>46266</v>
      </c>
      <c r="C354" s="18" t="s">
        <v>2186</v>
      </c>
      <c r="D354" s="18" t="s">
        <v>2168</v>
      </c>
      <c r="E354" s="18" t="s">
        <v>99</v>
      </c>
      <c r="F354" s="18" t="s">
        <v>2507</v>
      </c>
      <c r="G354" s="65" t="n">
        <v>-10892.9684</v>
      </c>
      <c r="H354" s="65"/>
      <c r="I354" s="54"/>
      <c r="J354" s="18"/>
    </row>
    <row r="355" customFormat="false" ht="15" hidden="false" customHeight="false" outlineLevel="0" collapsed="false">
      <c r="A355" s="18" t="s">
        <v>2170</v>
      </c>
      <c r="B355" s="49" t="n">
        <v>46266</v>
      </c>
      <c r="C355" s="18" t="s">
        <v>2186</v>
      </c>
      <c r="D355" s="18" t="s">
        <v>2168</v>
      </c>
      <c r="E355" s="18" t="s">
        <v>113</v>
      </c>
      <c r="F355" s="18" t="s">
        <v>2508</v>
      </c>
      <c r="G355" s="65" t="n">
        <v>-5099.6118</v>
      </c>
      <c r="H355" s="65"/>
      <c r="I355" s="54"/>
      <c r="J355" s="18"/>
    </row>
    <row r="356" customFormat="false" ht="15" hidden="false" customHeight="false" outlineLevel="0" collapsed="false">
      <c r="A356" s="18" t="s">
        <v>2170</v>
      </c>
      <c r="B356" s="49" t="n">
        <v>46266</v>
      </c>
      <c r="C356" s="18" t="s">
        <v>2186</v>
      </c>
      <c r="D356" s="18" t="s">
        <v>2168</v>
      </c>
      <c r="E356" s="18" t="s">
        <v>119</v>
      </c>
      <c r="F356" s="18" t="s">
        <v>2509</v>
      </c>
      <c r="G356" s="65" t="n">
        <v>107989.5449</v>
      </c>
      <c r="H356" s="65"/>
      <c r="I356" s="54"/>
      <c r="J356" s="18"/>
    </row>
    <row r="357" customFormat="false" ht="15" hidden="false" customHeight="false" outlineLevel="0" collapsed="false">
      <c r="A357" s="18" t="s">
        <v>2170</v>
      </c>
      <c r="B357" s="49" t="n">
        <v>46266</v>
      </c>
      <c r="C357" s="18" t="s">
        <v>2186</v>
      </c>
      <c r="D357" s="18" t="s">
        <v>2174</v>
      </c>
      <c r="E357" s="18" t="s">
        <v>2159</v>
      </c>
      <c r="F357" s="18" t="s">
        <v>2510</v>
      </c>
      <c r="G357" s="65" t="n">
        <v>47718.5973</v>
      </c>
      <c r="H357" s="65"/>
      <c r="I357" s="54"/>
      <c r="J357" s="18"/>
    </row>
    <row r="358" customFormat="false" ht="15" hidden="false" customHeight="false" outlineLevel="0" collapsed="false">
      <c r="A358" s="18" t="s">
        <v>2170</v>
      </c>
      <c r="B358" s="49" t="n">
        <v>46266</v>
      </c>
      <c r="C358" s="18" t="s">
        <v>2186</v>
      </c>
      <c r="D358" s="18" t="s">
        <v>2174</v>
      </c>
      <c r="E358" s="18" t="s">
        <v>99</v>
      </c>
      <c r="F358" s="18" t="s">
        <v>2511</v>
      </c>
      <c r="G358" s="65" t="n">
        <v>14223.5258</v>
      </c>
      <c r="H358" s="65"/>
      <c r="I358" s="54"/>
      <c r="J358" s="18"/>
    </row>
    <row r="359" customFormat="false" ht="15" hidden="false" customHeight="false" outlineLevel="0" collapsed="false">
      <c r="A359" s="18" t="s">
        <v>2170</v>
      </c>
      <c r="B359" s="49" t="n">
        <v>46266</v>
      </c>
      <c r="C359" s="18" t="s">
        <v>2186</v>
      </c>
      <c r="D359" s="18" t="s">
        <v>2174</v>
      </c>
      <c r="E359" s="18" t="s">
        <v>113</v>
      </c>
      <c r="F359" s="18" t="s">
        <v>2512</v>
      </c>
      <c r="G359" s="65" t="n">
        <v>5423.0562</v>
      </c>
      <c r="H359" s="65"/>
      <c r="I359" s="54"/>
      <c r="J359" s="18"/>
    </row>
    <row r="360" customFormat="false" ht="15" hidden="false" customHeight="false" outlineLevel="0" collapsed="false">
      <c r="A360" s="18" t="s">
        <v>2170</v>
      </c>
      <c r="B360" s="49" t="n">
        <v>46266</v>
      </c>
      <c r="C360" s="18" t="s">
        <v>2186</v>
      </c>
      <c r="D360" s="18" t="s">
        <v>2174</v>
      </c>
      <c r="E360" s="18" t="s">
        <v>119</v>
      </c>
      <c r="F360" s="18" t="s">
        <v>2513</v>
      </c>
      <c r="G360" s="65" t="n">
        <v>28072.0152</v>
      </c>
      <c r="H360" s="65"/>
      <c r="I360" s="54"/>
      <c r="J360" s="18"/>
    </row>
    <row r="361" customFormat="false" ht="15" hidden="false" customHeight="false" outlineLevel="0" collapsed="false">
      <c r="A361" s="18" t="s">
        <v>2170</v>
      </c>
      <c r="B361" s="49" t="n">
        <v>46266</v>
      </c>
      <c r="C361" s="18" t="s">
        <v>2186</v>
      </c>
      <c r="D361" s="18" t="s">
        <v>2180</v>
      </c>
      <c r="E361" s="18" t="s">
        <v>2159</v>
      </c>
      <c r="F361" s="18" t="s">
        <v>2514</v>
      </c>
      <c r="G361" s="65" t="n">
        <v>56115.2316</v>
      </c>
      <c r="H361" s="65"/>
      <c r="I361" s="54"/>
      <c r="J361" s="18"/>
    </row>
    <row r="362" customFormat="false" ht="15" hidden="false" customHeight="false" outlineLevel="0" collapsed="false">
      <c r="A362" s="18" t="s">
        <v>2170</v>
      </c>
      <c r="B362" s="49" t="n">
        <v>46266</v>
      </c>
      <c r="C362" s="18" t="s">
        <v>2186</v>
      </c>
      <c r="D362" s="18" t="s">
        <v>2180</v>
      </c>
      <c r="E362" s="18" t="s">
        <v>99</v>
      </c>
      <c r="F362" s="18" t="s">
        <v>2515</v>
      </c>
      <c r="G362" s="65" t="n">
        <v>14554.5357</v>
      </c>
      <c r="H362" s="65"/>
      <c r="I362" s="54"/>
      <c r="J362" s="18"/>
    </row>
    <row r="363" customFormat="false" ht="15" hidden="false" customHeight="false" outlineLevel="0" collapsed="false">
      <c r="A363" s="18" t="s">
        <v>2170</v>
      </c>
      <c r="B363" s="49" t="n">
        <v>46266</v>
      </c>
      <c r="C363" s="18" t="s">
        <v>2186</v>
      </c>
      <c r="D363" s="18" t="s">
        <v>2180</v>
      </c>
      <c r="E363" s="18" t="s">
        <v>113</v>
      </c>
      <c r="F363" s="18" t="s">
        <v>2516</v>
      </c>
      <c r="G363" s="65" t="n">
        <v>11238.7865</v>
      </c>
      <c r="H363" s="65"/>
      <c r="I363" s="54"/>
      <c r="J363" s="18"/>
    </row>
    <row r="364" customFormat="false" ht="15" hidden="false" customHeight="false" outlineLevel="0" collapsed="false">
      <c r="A364" s="18" t="s">
        <v>2170</v>
      </c>
      <c r="B364" s="49" t="n">
        <v>46266</v>
      </c>
      <c r="C364" s="18" t="s">
        <v>2186</v>
      </c>
      <c r="D364" s="18" t="s">
        <v>2180</v>
      </c>
      <c r="E364" s="18" t="s">
        <v>119</v>
      </c>
      <c r="F364" s="18" t="s">
        <v>2517</v>
      </c>
      <c r="G364" s="65" t="n">
        <v>30321.9095</v>
      </c>
      <c r="H364" s="65"/>
      <c r="I364" s="54"/>
      <c r="J364" s="18"/>
    </row>
    <row r="365" customFormat="false" ht="15" hidden="false" customHeight="false" outlineLevel="0" collapsed="false">
      <c r="A365" s="18" t="s">
        <v>2170</v>
      </c>
      <c r="B365" s="49" t="n">
        <v>46296</v>
      </c>
      <c r="C365" s="18" t="s">
        <v>2157</v>
      </c>
      <c r="D365" s="18" t="s">
        <v>2158</v>
      </c>
      <c r="E365" s="18" t="s">
        <v>2159</v>
      </c>
      <c r="F365" s="18" t="s">
        <v>2518</v>
      </c>
      <c r="G365" s="65" t="n">
        <v>22932.3684</v>
      </c>
      <c r="H365" s="65" t="n">
        <v>2301.38776753142</v>
      </c>
      <c r="I365" s="54" t="n">
        <v>0.00945095106741728</v>
      </c>
      <c r="J365" s="18" t="b">
        <f aca="false">FALSE()</f>
        <v>0</v>
      </c>
    </row>
    <row r="366" customFormat="false" ht="15" hidden="false" customHeight="false" outlineLevel="0" collapsed="false">
      <c r="A366" s="18" t="s">
        <v>2170</v>
      </c>
      <c r="B366" s="49" t="n">
        <v>46296</v>
      </c>
      <c r="C366" s="18" t="s">
        <v>2157</v>
      </c>
      <c r="D366" s="18" t="s">
        <v>2158</v>
      </c>
      <c r="E366" s="18" t="s">
        <v>99</v>
      </c>
      <c r="F366" s="18" t="s">
        <v>2519</v>
      </c>
      <c r="G366" s="65" t="n">
        <v>0</v>
      </c>
      <c r="H366" s="65"/>
      <c r="I366" s="54"/>
      <c r="J366" s="18"/>
    </row>
    <row r="367" customFormat="false" ht="15" hidden="false" customHeight="false" outlineLevel="0" collapsed="false">
      <c r="A367" s="18" t="s">
        <v>2170</v>
      </c>
      <c r="B367" s="49" t="n">
        <v>46296</v>
      </c>
      <c r="C367" s="18" t="s">
        <v>2157</v>
      </c>
      <c r="D367" s="18" t="s">
        <v>2158</v>
      </c>
      <c r="E367" s="18" t="s">
        <v>113</v>
      </c>
      <c r="F367" s="18" t="s">
        <v>2482</v>
      </c>
      <c r="G367" s="65" t="n">
        <v>0</v>
      </c>
      <c r="H367" s="65"/>
      <c r="I367" s="54"/>
      <c r="J367" s="18"/>
    </row>
    <row r="368" customFormat="false" ht="15" hidden="false" customHeight="false" outlineLevel="0" collapsed="false">
      <c r="A368" s="18" t="s">
        <v>2170</v>
      </c>
      <c r="B368" s="49" t="n">
        <v>46296</v>
      </c>
      <c r="C368" s="18" t="s">
        <v>2157</v>
      </c>
      <c r="D368" s="18" t="s">
        <v>2158</v>
      </c>
      <c r="E368" s="18" t="s">
        <v>119</v>
      </c>
      <c r="F368" s="18" t="s">
        <v>2518</v>
      </c>
      <c r="G368" s="65" t="n">
        <v>22932.3684</v>
      </c>
      <c r="H368" s="65"/>
      <c r="I368" s="54"/>
      <c r="J368" s="18"/>
    </row>
    <row r="369" customFormat="false" ht="15" hidden="false" customHeight="false" outlineLevel="0" collapsed="false">
      <c r="A369" s="18" t="s">
        <v>2170</v>
      </c>
      <c r="B369" s="49" t="n">
        <v>46296</v>
      </c>
      <c r="C369" s="18" t="s">
        <v>2157</v>
      </c>
      <c r="D369" s="18" t="s">
        <v>222</v>
      </c>
      <c r="E369" s="18" t="s">
        <v>2159</v>
      </c>
      <c r="F369" s="18" t="s">
        <v>2520</v>
      </c>
      <c r="G369" s="65" t="n">
        <v>12006.2758</v>
      </c>
      <c r="H369" s="65" t="n">
        <v>1397.57866640506</v>
      </c>
      <c r="I369" s="54" t="n">
        <v>0.0057393403125752</v>
      </c>
      <c r="J369" s="18" t="b">
        <f aca="false">FALSE()</f>
        <v>0</v>
      </c>
    </row>
    <row r="370" customFormat="false" ht="15" hidden="false" customHeight="false" outlineLevel="0" collapsed="false">
      <c r="A370" s="18" t="s">
        <v>2170</v>
      </c>
      <c r="B370" s="49" t="n">
        <v>46296</v>
      </c>
      <c r="C370" s="18" t="s">
        <v>2157</v>
      </c>
      <c r="D370" s="18" t="s">
        <v>222</v>
      </c>
      <c r="E370" s="18" t="s">
        <v>99</v>
      </c>
      <c r="F370" s="18" t="s">
        <v>2521</v>
      </c>
      <c r="G370" s="65" t="n">
        <v>2867.0686</v>
      </c>
      <c r="H370" s="65"/>
      <c r="I370" s="54"/>
      <c r="J370" s="18"/>
    </row>
    <row r="371" customFormat="false" ht="15" hidden="false" customHeight="false" outlineLevel="0" collapsed="false">
      <c r="A371" s="18" t="s">
        <v>2170</v>
      </c>
      <c r="B371" s="49" t="n">
        <v>46296</v>
      </c>
      <c r="C371" s="18" t="s">
        <v>2157</v>
      </c>
      <c r="D371" s="18" t="s">
        <v>222</v>
      </c>
      <c r="E371" s="18" t="s">
        <v>113</v>
      </c>
      <c r="F371" s="18" t="s">
        <v>2522</v>
      </c>
      <c r="G371" s="65" t="n">
        <v>2338.6744</v>
      </c>
      <c r="H371" s="65"/>
      <c r="I371" s="54"/>
      <c r="J371" s="18"/>
    </row>
    <row r="372" customFormat="false" ht="15" hidden="false" customHeight="false" outlineLevel="0" collapsed="false">
      <c r="A372" s="18" t="s">
        <v>2170</v>
      </c>
      <c r="B372" s="49" t="n">
        <v>46296</v>
      </c>
      <c r="C372" s="18" t="s">
        <v>2157</v>
      </c>
      <c r="D372" s="18" t="s">
        <v>222</v>
      </c>
      <c r="E372" s="18" t="s">
        <v>119</v>
      </c>
      <c r="F372" s="18" t="s">
        <v>2523</v>
      </c>
      <c r="G372" s="65" t="n">
        <v>6800.5328</v>
      </c>
      <c r="H372" s="65"/>
      <c r="I372" s="54"/>
      <c r="J372" s="18"/>
    </row>
    <row r="373" customFormat="false" ht="15" hidden="false" customHeight="false" outlineLevel="0" collapsed="false">
      <c r="A373" s="18" t="s">
        <v>2170</v>
      </c>
      <c r="B373" s="49" t="n">
        <v>46296</v>
      </c>
      <c r="C373" s="18" t="s">
        <v>2157</v>
      </c>
      <c r="D373" s="18" t="s">
        <v>2168</v>
      </c>
      <c r="E373" s="18" t="s">
        <v>2159</v>
      </c>
      <c r="F373" s="18" t="s">
        <v>2524</v>
      </c>
      <c r="G373" s="65" t="n">
        <v>84487.8056</v>
      </c>
      <c r="H373" s="65" t="n">
        <v>5715.63308450925</v>
      </c>
      <c r="I373" s="54" t="n">
        <v>0.0234719977932927</v>
      </c>
      <c r="J373" s="18" t="b">
        <f aca="false">FALSE()</f>
        <v>0</v>
      </c>
    </row>
    <row r="374" customFormat="false" ht="15" hidden="false" customHeight="false" outlineLevel="0" collapsed="false">
      <c r="A374" s="18" t="s">
        <v>2170</v>
      </c>
      <c r="B374" s="49" t="n">
        <v>46296</v>
      </c>
      <c r="C374" s="18" t="s">
        <v>2157</v>
      </c>
      <c r="D374" s="18" t="s">
        <v>2168</v>
      </c>
      <c r="E374" s="18" t="s">
        <v>99</v>
      </c>
      <c r="F374" s="18" t="s">
        <v>2525</v>
      </c>
      <c r="G374" s="65" t="n">
        <v>-12309.5814</v>
      </c>
      <c r="H374" s="65"/>
      <c r="I374" s="54"/>
      <c r="J374" s="18"/>
    </row>
    <row r="375" customFormat="false" ht="15" hidden="false" customHeight="false" outlineLevel="0" collapsed="false">
      <c r="A375" s="18" t="s">
        <v>2170</v>
      </c>
      <c r="B375" s="49" t="n">
        <v>46296</v>
      </c>
      <c r="C375" s="18" t="s">
        <v>2157</v>
      </c>
      <c r="D375" s="18" t="s">
        <v>2168</v>
      </c>
      <c r="E375" s="18" t="s">
        <v>113</v>
      </c>
      <c r="F375" s="18" t="s">
        <v>2526</v>
      </c>
      <c r="G375" s="65" t="n">
        <v>-5872.0655</v>
      </c>
      <c r="H375" s="65"/>
      <c r="I375" s="54"/>
      <c r="J375" s="18"/>
    </row>
    <row r="376" customFormat="false" ht="15" hidden="false" customHeight="false" outlineLevel="0" collapsed="false">
      <c r="A376" s="18" t="s">
        <v>2170</v>
      </c>
      <c r="B376" s="49" t="n">
        <v>46296</v>
      </c>
      <c r="C376" s="18" t="s">
        <v>2157</v>
      </c>
      <c r="D376" s="18" t="s">
        <v>2168</v>
      </c>
      <c r="E376" s="18" t="s">
        <v>119</v>
      </c>
      <c r="F376" s="18" t="s">
        <v>2527</v>
      </c>
      <c r="G376" s="65" t="n">
        <v>102669.4525</v>
      </c>
      <c r="H376" s="65"/>
      <c r="I376" s="54"/>
      <c r="J376" s="18"/>
    </row>
    <row r="377" customFormat="false" ht="15" hidden="false" customHeight="false" outlineLevel="0" collapsed="false">
      <c r="A377" s="18" t="s">
        <v>2170</v>
      </c>
      <c r="B377" s="49" t="n">
        <v>46296</v>
      </c>
      <c r="C377" s="18" t="s">
        <v>2157</v>
      </c>
      <c r="D377" s="18" t="s">
        <v>2174</v>
      </c>
      <c r="E377" s="18" t="s">
        <v>2159</v>
      </c>
      <c r="F377" s="18" t="s">
        <v>2528</v>
      </c>
      <c r="G377" s="65" t="n">
        <v>60083.1538</v>
      </c>
      <c r="H377" s="65" t="n">
        <v>8656.66416511012</v>
      </c>
      <c r="I377" s="54" t="n">
        <v>0.0355497281187333</v>
      </c>
      <c r="J377" s="18" t="b">
        <f aca="false">FALSE()</f>
        <v>0</v>
      </c>
    </row>
    <row r="378" customFormat="false" ht="15" hidden="false" customHeight="false" outlineLevel="0" collapsed="false">
      <c r="A378" s="18" t="s">
        <v>2170</v>
      </c>
      <c r="B378" s="49" t="n">
        <v>46296</v>
      </c>
      <c r="C378" s="18" t="s">
        <v>2157</v>
      </c>
      <c r="D378" s="18" t="s">
        <v>2174</v>
      </c>
      <c r="E378" s="18" t="s">
        <v>99</v>
      </c>
      <c r="F378" s="18" t="s">
        <v>2529</v>
      </c>
      <c r="G378" s="65" t="n">
        <v>14368.4694</v>
      </c>
      <c r="H378" s="65"/>
      <c r="I378" s="54"/>
      <c r="J378" s="18"/>
    </row>
    <row r="379" customFormat="false" ht="15" hidden="false" customHeight="false" outlineLevel="0" collapsed="false">
      <c r="A379" s="18" t="s">
        <v>2170</v>
      </c>
      <c r="B379" s="49" t="n">
        <v>46296</v>
      </c>
      <c r="C379" s="18" t="s">
        <v>2157</v>
      </c>
      <c r="D379" s="18" t="s">
        <v>2174</v>
      </c>
      <c r="E379" s="18" t="s">
        <v>113</v>
      </c>
      <c r="F379" s="18" t="s">
        <v>2530</v>
      </c>
      <c r="G379" s="65" t="n">
        <v>6254.6359</v>
      </c>
      <c r="H379" s="65"/>
      <c r="I379" s="54"/>
      <c r="J379" s="18"/>
    </row>
    <row r="380" customFormat="false" ht="15" hidden="false" customHeight="false" outlineLevel="0" collapsed="false">
      <c r="A380" s="18" t="s">
        <v>2170</v>
      </c>
      <c r="B380" s="49" t="n">
        <v>46296</v>
      </c>
      <c r="C380" s="18" t="s">
        <v>2157</v>
      </c>
      <c r="D380" s="18" t="s">
        <v>2174</v>
      </c>
      <c r="E380" s="18" t="s">
        <v>119</v>
      </c>
      <c r="F380" s="18" t="s">
        <v>2531</v>
      </c>
      <c r="G380" s="65" t="n">
        <v>39460.0484</v>
      </c>
      <c r="H380" s="65"/>
      <c r="I380" s="54"/>
      <c r="J380" s="18"/>
    </row>
    <row r="381" customFormat="false" ht="15" hidden="false" customHeight="false" outlineLevel="0" collapsed="false">
      <c r="A381" s="18" t="s">
        <v>2170</v>
      </c>
      <c r="B381" s="49" t="n">
        <v>46296</v>
      </c>
      <c r="C381" s="18" t="s">
        <v>2157</v>
      </c>
      <c r="D381" s="18" t="s">
        <v>2180</v>
      </c>
      <c r="E381" s="18" t="s">
        <v>2159</v>
      </c>
      <c r="F381" s="18" t="s">
        <v>2532</v>
      </c>
      <c r="G381" s="65" t="n">
        <v>63998.9864</v>
      </c>
      <c r="H381" s="65" t="n">
        <v>6639.99751453735</v>
      </c>
      <c r="I381" s="54" t="n">
        <v>0.0272680217054331</v>
      </c>
      <c r="J381" s="18" t="b">
        <f aca="false">FALSE()</f>
        <v>0</v>
      </c>
    </row>
    <row r="382" customFormat="false" ht="15" hidden="false" customHeight="false" outlineLevel="0" collapsed="false">
      <c r="A382" s="18" t="s">
        <v>2170</v>
      </c>
      <c r="B382" s="49" t="n">
        <v>46296</v>
      </c>
      <c r="C382" s="18" t="s">
        <v>2157</v>
      </c>
      <c r="D382" s="18" t="s">
        <v>2180</v>
      </c>
      <c r="E382" s="18" t="s">
        <v>99</v>
      </c>
      <c r="F382" s="18" t="s">
        <v>2533</v>
      </c>
      <c r="G382" s="65" t="n">
        <v>17044.0358</v>
      </c>
      <c r="H382" s="65"/>
      <c r="I382" s="54"/>
      <c r="J382" s="18"/>
    </row>
    <row r="383" customFormat="false" ht="15" hidden="false" customHeight="false" outlineLevel="0" collapsed="false">
      <c r="A383" s="18" t="s">
        <v>2170</v>
      </c>
      <c r="B383" s="49" t="n">
        <v>46296</v>
      </c>
      <c r="C383" s="18" t="s">
        <v>2157</v>
      </c>
      <c r="D383" s="18" t="s">
        <v>2180</v>
      </c>
      <c r="E383" s="18" t="s">
        <v>113</v>
      </c>
      <c r="F383" s="18" t="s">
        <v>2534</v>
      </c>
      <c r="G383" s="65" t="n">
        <v>14002.6178</v>
      </c>
      <c r="H383" s="65"/>
      <c r="I383" s="54"/>
      <c r="J383" s="18"/>
    </row>
    <row r="384" customFormat="false" ht="15" hidden="false" customHeight="false" outlineLevel="0" collapsed="false">
      <c r="A384" s="18" t="s">
        <v>2170</v>
      </c>
      <c r="B384" s="49" t="n">
        <v>46296</v>
      </c>
      <c r="C384" s="18" t="s">
        <v>2157</v>
      </c>
      <c r="D384" s="18" t="s">
        <v>2180</v>
      </c>
      <c r="E384" s="18" t="s">
        <v>119</v>
      </c>
      <c r="F384" s="18" t="s">
        <v>2535</v>
      </c>
      <c r="G384" s="65" t="n">
        <v>32952.3328</v>
      </c>
      <c r="H384" s="65"/>
      <c r="I384" s="54"/>
      <c r="J384" s="18"/>
    </row>
    <row r="385" customFormat="false" ht="15" hidden="false" customHeight="false" outlineLevel="0" collapsed="false">
      <c r="A385" s="18" t="s">
        <v>2170</v>
      </c>
      <c r="B385" s="49" t="n">
        <v>46296</v>
      </c>
      <c r="C385" s="18" t="s">
        <v>2186</v>
      </c>
      <c r="D385" s="18" t="s">
        <v>2158</v>
      </c>
      <c r="E385" s="18" t="s">
        <v>2159</v>
      </c>
      <c r="F385" s="18" t="s">
        <v>2536</v>
      </c>
      <c r="G385" s="65" t="n">
        <v>20630.9806</v>
      </c>
      <c r="H385" s="65"/>
      <c r="I385" s="54"/>
      <c r="J385" s="18"/>
    </row>
    <row r="386" customFormat="false" ht="15" hidden="false" customHeight="false" outlineLevel="0" collapsed="false">
      <c r="A386" s="18" t="s">
        <v>2170</v>
      </c>
      <c r="B386" s="49" t="n">
        <v>46296</v>
      </c>
      <c r="C386" s="18" t="s">
        <v>2186</v>
      </c>
      <c r="D386" s="18" t="s">
        <v>2158</v>
      </c>
      <c r="E386" s="18" t="s">
        <v>99</v>
      </c>
      <c r="F386" s="18" t="s">
        <v>2463</v>
      </c>
      <c r="G386" s="65" t="n">
        <v>0</v>
      </c>
      <c r="H386" s="65"/>
      <c r="I386" s="54"/>
      <c r="J386" s="18"/>
    </row>
    <row r="387" customFormat="false" ht="15" hidden="false" customHeight="false" outlineLevel="0" collapsed="false">
      <c r="A387" s="18" t="s">
        <v>2170</v>
      </c>
      <c r="B387" s="49" t="n">
        <v>46296</v>
      </c>
      <c r="C387" s="18" t="s">
        <v>2186</v>
      </c>
      <c r="D387" s="18" t="s">
        <v>2158</v>
      </c>
      <c r="E387" s="18" t="s">
        <v>113</v>
      </c>
      <c r="F387" s="18" t="s">
        <v>2537</v>
      </c>
      <c r="G387" s="65" t="n">
        <v>0</v>
      </c>
      <c r="H387" s="65"/>
      <c r="I387" s="54"/>
      <c r="J387" s="18"/>
    </row>
    <row r="388" customFormat="false" ht="15" hidden="false" customHeight="false" outlineLevel="0" collapsed="false">
      <c r="A388" s="18" t="s">
        <v>2170</v>
      </c>
      <c r="B388" s="49" t="n">
        <v>46296</v>
      </c>
      <c r="C388" s="18" t="s">
        <v>2186</v>
      </c>
      <c r="D388" s="18" t="s">
        <v>2158</v>
      </c>
      <c r="E388" s="18" t="s">
        <v>119</v>
      </c>
      <c r="F388" s="18" t="s">
        <v>2536</v>
      </c>
      <c r="G388" s="65" t="n">
        <v>20630.9806</v>
      </c>
      <c r="H388" s="65"/>
      <c r="I388" s="54"/>
      <c r="J388" s="18"/>
    </row>
    <row r="389" customFormat="false" ht="15" hidden="false" customHeight="false" outlineLevel="0" collapsed="false">
      <c r="A389" s="18" t="s">
        <v>2170</v>
      </c>
      <c r="B389" s="49" t="n">
        <v>46296</v>
      </c>
      <c r="C389" s="18" t="s">
        <v>2186</v>
      </c>
      <c r="D389" s="18" t="s">
        <v>222</v>
      </c>
      <c r="E389" s="18" t="s">
        <v>2159</v>
      </c>
      <c r="F389" s="18" t="s">
        <v>2538</v>
      </c>
      <c r="G389" s="65" t="n">
        <v>10608.6971</v>
      </c>
      <c r="H389" s="65"/>
      <c r="I389" s="54"/>
      <c r="J389" s="18"/>
    </row>
    <row r="390" customFormat="false" ht="15" hidden="false" customHeight="false" outlineLevel="0" collapsed="false">
      <c r="A390" s="18" t="s">
        <v>2170</v>
      </c>
      <c r="B390" s="49" t="n">
        <v>46296</v>
      </c>
      <c r="C390" s="18" t="s">
        <v>2186</v>
      </c>
      <c r="D390" s="18" t="s">
        <v>222</v>
      </c>
      <c r="E390" s="18" t="s">
        <v>99</v>
      </c>
      <c r="F390" s="18" t="s">
        <v>2539</v>
      </c>
      <c r="G390" s="65" t="n">
        <v>2746.0121</v>
      </c>
      <c r="H390" s="65"/>
      <c r="I390" s="54"/>
      <c r="J390" s="18"/>
    </row>
    <row r="391" customFormat="false" ht="15" hidden="false" customHeight="false" outlineLevel="0" collapsed="false">
      <c r="A391" s="18" t="s">
        <v>2170</v>
      </c>
      <c r="B391" s="49" t="n">
        <v>46296</v>
      </c>
      <c r="C391" s="18" t="s">
        <v>2186</v>
      </c>
      <c r="D391" s="18" t="s">
        <v>222</v>
      </c>
      <c r="E391" s="18" t="s">
        <v>113</v>
      </c>
      <c r="F391" s="18" t="s">
        <v>2540</v>
      </c>
      <c r="G391" s="65" t="n">
        <v>2246.8271</v>
      </c>
      <c r="H391" s="65"/>
      <c r="I391" s="54"/>
      <c r="J391" s="18"/>
    </row>
    <row r="392" customFormat="false" ht="15" hidden="false" customHeight="false" outlineLevel="0" collapsed="false">
      <c r="A392" s="18" t="s">
        <v>2170</v>
      </c>
      <c r="B392" s="49" t="n">
        <v>46296</v>
      </c>
      <c r="C392" s="18" t="s">
        <v>2186</v>
      </c>
      <c r="D392" s="18" t="s">
        <v>222</v>
      </c>
      <c r="E392" s="18" t="s">
        <v>119</v>
      </c>
      <c r="F392" s="18" t="s">
        <v>2541</v>
      </c>
      <c r="G392" s="65" t="n">
        <v>5615.8579</v>
      </c>
      <c r="H392" s="65"/>
      <c r="I392" s="54"/>
      <c r="J392" s="18"/>
    </row>
    <row r="393" customFormat="false" ht="15" hidden="false" customHeight="false" outlineLevel="0" collapsed="false">
      <c r="A393" s="18" t="s">
        <v>2170</v>
      </c>
      <c r="B393" s="49" t="n">
        <v>46296</v>
      </c>
      <c r="C393" s="18" t="s">
        <v>2186</v>
      </c>
      <c r="D393" s="18" t="s">
        <v>2168</v>
      </c>
      <c r="E393" s="18" t="s">
        <v>2159</v>
      </c>
      <c r="F393" s="18" t="s">
        <v>2542</v>
      </c>
      <c r="G393" s="65" t="n">
        <v>90203.4387</v>
      </c>
      <c r="H393" s="65"/>
      <c r="I393" s="54"/>
      <c r="J393" s="18"/>
    </row>
    <row r="394" customFormat="false" ht="15" hidden="false" customHeight="false" outlineLevel="0" collapsed="false">
      <c r="A394" s="18" t="s">
        <v>2170</v>
      </c>
      <c r="B394" s="49" t="n">
        <v>46296</v>
      </c>
      <c r="C394" s="18" t="s">
        <v>2186</v>
      </c>
      <c r="D394" s="18" t="s">
        <v>2168</v>
      </c>
      <c r="E394" s="18" t="s">
        <v>99</v>
      </c>
      <c r="F394" s="18" t="s">
        <v>2543</v>
      </c>
      <c r="G394" s="65" t="n">
        <v>-12328.3289</v>
      </c>
      <c r="H394" s="65"/>
      <c r="I394" s="54"/>
      <c r="J394" s="18"/>
    </row>
    <row r="395" customFormat="false" ht="15" hidden="false" customHeight="false" outlineLevel="0" collapsed="false">
      <c r="A395" s="18" t="s">
        <v>2170</v>
      </c>
      <c r="B395" s="49" t="n">
        <v>46296</v>
      </c>
      <c r="C395" s="18" t="s">
        <v>2186</v>
      </c>
      <c r="D395" s="18" t="s">
        <v>2168</v>
      </c>
      <c r="E395" s="18" t="s">
        <v>113</v>
      </c>
      <c r="F395" s="18" t="s">
        <v>2544</v>
      </c>
      <c r="G395" s="65" t="n">
        <v>-5785.338</v>
      </c>
      <c r="H395" s="65"/>
      <c r="I395" s="54"/>
      <c r="J395" s="18"/>
    </row>
    <row r="396" customFormat="false" ht="15" hidden="false" customHeight="false" outlineLevel="0" collapsed="false">
      <c r="A396" s="18" t="s">
        <v>2170</v>
      </c>
      <c r="B396" s="49" t="n">
        <v>46296</v>
      </c>
      <c r="C396" s="18" t="s">
        <v>2186</v>
      </c>
      <c r="D396" s="18" t="s">
        <v>2168</v>
      </c>
      <c r="E396" s="18" t="s">
        <v>119</v>
      </c>
      <c r="F396" s="18" t="s">
        <v>2545</v>
      </c>
      <c r="G396" s="65" t="n">
        <v>108317.1055</v>
      </c>
      <c r="H396" s="65"/>
      <c r="I396" s="54"/>
      <c r="J396" s="18"/>
    </row>
    <row r="397" customFormat="false" ht="15" hidden="false" customHeight="false" outlineLevel="0" collapsed="false">
      <c r="A397" s="18" t="s">
        <v>2170</v>
      </c>
      <c r="B397" s="49" t="n">
        <v>46296</v>
      </c>
      <c r="C397" s="18" t="s">
        <v>2186</v>
      </c>
      <c r="D397" s="18" t="s">
        <v>2174</v>
      </c>
      <c r="E397" s="18" t="s">
        <v>2159</v>
      </c>
      <c r="F397" s="18" t="s">
        <v>2546</v>
      </c>
      <c r="G397" s="65" t="n">
        <v>51426.4896</v>
      </c>
      <c r="H397" s="65"/>
      <c r="I397" s="54"/>
      <c r="J397" s="18"/>
    </row>
    <row r="398" customFormat="false" ht="15" hidden="false" customHeight="false" outlineLevel="0" collapsed="false">
      <c r="A398" s="18" t="s">
        <v>2170</v>
      </c>
      <c r="B398" s="49" t="n">
        <v>46296</v>
      </c>
      <c r="C398" s="18" t="s">
        <v>2186</v>
      </c>
      <c r="D398" s="18" t="s">
        <v>2174</v>
      </c>
      <c r="E398" s="18" t="s">
        <v>99</v>
      </c>
      <c r="F398" s="18" t="s">
        <v>2547</v>
      </c>
      <c r="G398" s="65" t="n">
        <v>14308.2466</v>
      </c>
      <c r="H398" s="65"/>
      <c r="I398" s="54"/>
      <c r="J398" s="18"/>
    </row>
    <row r="399" customFormat="false" ht="15" hidden="false" customHeight="false" outlineLevel="0" collapsed="false">
      <c r="A399" s="18" t="s">
        <v>2170</v>
      </c>
      <c r="B399" s="49" t="n">
        <v>46296</v>
      </c>
      <c r="C399" s="18" t="s">
        <v>2186</v>
      </c>
      <c r="D399" s="18" t="s">
        <v>2174</v>
      </c>
      <c r="E399" s="18" t="s">
        <v>113</v>
      </c>
      <c r="F399" s="18" t="s">
        <v>2548</v>
      </c>
      <c r="G399" s="65" t="n">
        <v>6152.4652</v>
      </c>
      <c r="H399" s="65"/>
      <c r="I399" s="54"/>
      <c r="J399" s="18"/>
    </row>
    <row r="400" customFormat="false" ht="15" hidden="false" customHeight="false" outlineLevel="0" collapsed="false">
      <c r="A400" s="18" t="s">
        <v>2170</v>
      </c>
      <c r="B400" s="49" t="n">
        <v>46296</v>
      </c>
      <c r="C400" s="18" t="s">
        <v>2186</v>
      </c>
      <c r="D400" s="18" t="s">
        <v>2174</v>
      </c>
      <c r="E400" s="18" t="s">
        <v>119</v>
      </c>
      <c r="F400" s="18" t="s">
        <v>2549</v>
      </c>
      <c r="G400" s="65" t="n">
        <v>30965.7778</v>
      </c>
      <c r="H400" s="65"/>
      <c r="I400" s="54"/>
      <c r="J400" s="18"/>
    </row>
    <row r="401" customFormat="false" ht="15" hidden="false" customHeight="false" outlineLevel="0" collapsed="false">
      <c r="A401" s="18" t="s">
        <v>2170</v>
      </c>
      <c r="B401" s="49" t="n">
        <v>46296</v>
      </c>
      <c r="C401" s="18" t="s">
        <v>2186</v>
      </c>
      <c r="D401" s="18" t="s">
        <v>2180</v>
      </c>
      <c r="E401" s="18" t="s">
        <v>2159</v>
      </c>
      <c r="F401" s="18" t="s">
        <v>2550</v>
      </c>
      <c r="G401" s="65" t="n">
        <v>70638.9839</v>
      </c>
      <c r="H401" s="65"/>
      <c r="I401" s="54"/>
      <c r="J401" s="18"/>
    </row>
    <row r="402" customFormat="false" ht="15" hidden="false" customHeight="false" outlineLevel="0" collapsed="false">
      <c r="A402" s="18" t="s">
        <v>2170</v>
      </c>
      <c r="B402" s="49" t="n">
        <v>46296</v>
      </c>
      <c r="C402" s="18" t="s">
        <v>2186</v>
      </c>
      <c r="D402" s="18" t="s">
        <v>2180</v>
      </c>
      <c r="E402" s="18" t="s">
        <v>99</v>
      </c>
      <c r="F402" s="18" t="s">
        <v>2551</v>
      </c>
      <c r="G402" s="65" t="n">
        <v>17244.0627</v>
      </c>
      <c r="H402" s="65"/>
      <c r="I402" s="54"/>
      <c r="J402" s="18"/>
    </row>
    <row r="403" customFormat="false" ht="15" hidden="false" customHeight="false" outlineLevel="0" collapsed="false">
      <c r="A403" s="18" t="s">
        <v>2170</v>
      </c>
      <c r="B403" s="49" t="n">
        <v>46296</v>
      </c>
      <c r="C403" s="18" t="s">
        <v>2186</v>
      </c>
      <c r="D403" s="18" t="s">
        <v>2180</v>
      </c>
      <c r="E403" s="18" t="s">
        <v>113</v>
      </c>
      <c r="F403" s="18" t="s">
        <v>2552</v>
      </c>
      <c r="G403" s="65" t="n">
        <v>14109.9082</v>
      </c>
      <c r="H403" s="65"/>
      <c r="I403" s="54"/>
      <c r="J403" s="18"/>
    </row>
    <row r="404" customFormat="false" ht="15" hidden="false" customHeight="false" outlineLevel="0" collapsed="false">
      <c r="A404" s="18" t="s">
        <v>2170</v>
      </c>
      <c r="B404" s="49" t="n">
        <v>46296</v>
      </c>
      <c r="C404" s="18" t="s">
        <v>2186</v>
      </c>
      <c r="D404" s="18" t="s">
        <v>2180</v>
      </c>
      <c r="E404" s="18" t="s">
        <v>119</v>
      </c>
      <c r="F404" s="18" t="s">
        <v>2553</v>
      </c>
      <c r="G404" s="65" t="n">
        <v>39285.013</v>
      </c>
      <c r="H404" s="65"/>
      <c r="I404" s="54"/>
      <c r="J404" s="18"/>
    </row>
    <row r="405" customFormat="false" ht="15" hidden="false" customHeight="false" outlineLevel="0" collapsed="false">
      <c r="A405" s="18" t="s">
        <v>2170</v>
      </c>
      <c r="B405" s="49" t="n">
        <v>46327</v>
      </c>
      <c r="C405" s="18" t="s">
        <v>2157</v>
      </c>
      <c r="D405" s="18" t="s">
        <v>2158</v>
      </c>
      <c r="E405" s="18" t="s">
        <v>2159</v>
      </c>
      <c r="F405" s="18" t="s">
        <v>2554</v>
      </c>
      <c r="G405" s="65" t="n">
        <v>30632.1551</v>
      </c>
      <c r="H405" s="65" t="n">
        <v>3237.77557351033</v>
      </c>
      <c r="I405" s="54" t="n">
        <v>0.0101794830488427</v>
      </c>
      <c r="J405" s="18" t="b">
        <f aca="false">FALSE()</f>
        <v>0</v>
      </c>
    </row>
    <row r="406" customFormat="false" ht="15" hidden="false" customHeight="false" outlineLevel="0" collapsed="false">
      <c r="A406" s="18" t="s">
        <v>2170</v>
      </c>
      <c r="B406" s="49" t="n">
        <v>46327</v>
      </c>
      <c r="C406" s="18" t="s">
        <v>2157</v>
      </c>
      <c r="D406" s="18" t="s">
        <v>2158</v>
      </c>
      <c r="E406" s="18" t="s">
        <v>99</v>
      </c>
      <c r="F406" s="18" t="s">
        <v>2519</v>
      </c>
      <c r="G406" s="65" t="n">
        <v>0</v>
      </c>
      <c r="H406" s="65"/>
      <c r="I406" s="54"/>
      <c r="J406" s="18"/>
    </row>
    <row r="407" customFormat="false" ht="15" hidden="false" customHeight="false" outlineLevel="0" collapsed="false">
      <c r="A407" s="18" t="s">
        <v>2170</v>
      </c>
      <c r="B407" s="49" t="n">
        <v>46327</v>
      </c>
      <c r="C407" s="18" t="s">
        <v>2157</v>
      </c>
      <c r="D407" s="18" t="s">
        <v>2158</v>
      </c>
      <c r="E407" s="18" t="s">
        <v>113</v>
      </c>
      <c r="F407" s="18" t="s">
        <v>2482</v>
      </c>
      <c r="G407" s="65" t="n">
        <v>0</v>
      </c>
      <c r="H407" s="65"/>
      <c r="I407" s="54"/>
      <c r="J407" s="18"/>
    </row>
    <row r="408" customFormat="false" ht="15" hidden="false" customHeight="false" outlineLevel="0" collapsed="false">
      <c r="A408" s="18" t="s">
        <v>2170</v>
      </c>
      <c r="B408" s="49" t="n">
        <v>46327</v>
      </c>
      <c r="C408" s="18" t="s">
        <v>2157</v>
      </c>
      <c r="D408" s="18" t="s">
        <v>2158</v>
      </c>
      <c r="E408" s="18" t="s">
        <v>119</v>
      </c>
      <c r="F408" s="18" t="s">
        <v>2554</v>
      </c>
      <c r="G408" s="65" t="n">
        <v>30632.1551</v>
      </c>
      <c r="H408" s="65"/>
      <c r="I408" s="54"/>
      <c r="J408" s="18"/>
    </row>
    <row r="409" customFormat="false" ht="15" hidden="false" customHeight="false" outlineLevel="0" collapsed="false">
      <c r="A409" s="18" t="s">
        <v>2170</v>
      </c>
      <c r="B409" s="49" t="n">
        <v>46327</v>
      </c>
      <c r="C409" s="18" t="s">
        <v>2157</v>
      </c>
      <c r="D409" s="18" t="s">
        <v>222</v>
      </c>
      <c r="E409" s="18" t="s">
        <v>2159</v>
      </c>
      <c r="F409" s="18" t="s">
        <v>2555</v>
      </c>
      <c r="G409" s="65" t="n">
        <v>10095.8989</v>
      </c>
      <c r="H409" s="65" t="n">
        <v>1105.24548007827</v>
      </c>
      <c r="I409" s="54" t="n">
        <v>0.00347486333559212</v>
      </c>
      <c r="J409" s="18" t="b">
        <f aca="false">FALSE()</f>
        <v>0</v>
      </c>
    </row>
    <row r="410" customFormat="false" ht="15" hidden="false" customHeight="false" outlineLevel="0" collapsed="false">
      <c r="A410" s="18" t="s">
        <v>2170</v>
      </c>
      <c r="B410" s="49" t="n">
        <v>46327</v>
      </c>
      <c r="C410" s="18" t="s">
        <v>2157</v>
      </c>
      <c r="D410" s="18" t="s">
        <v>222</v>
      </c>
      <c r="E410" s="18" t="s">
        <v>99</v>
      </c>
      <c r="F410" s="18" t="s">
        <v>2556</v>
      </c>
      <c r="G410" s="65" t="n">
        <v>2690.3095</v>
      </c>
      <c r="H410" s="65"/>
      <c r="I410" s="54"/>
      <c r="J410" s="18"/>
    </row>
    <row r="411" customFormat="false" ht="15" hidden="false" customHeight="false" outlineLevel="0" collapsed="false">
      <c r="A411" s="18" t="s">
        <v>2170</v>
      </c>
      <c r="B411" s="49" t="n">
        <v>46327</v>
      </c>
      <c r="C411" s="18" t="s">
        <v>2157</v>
      </c>
      <c r="D411" s="18" t="s">
        <v>222</v>
      </c>
      <c r="E411" s="18" t="s">
        <v>113</v>
      </c>
      <c r="F411" s="18" t="s">
        <v>2557</v>
      </c>
      <c r="G411" s="65" t="n">
        <v>2300.1362</v>
      </c>
      <c r="H411" s="65"/>
      <c r="I411" s="54"/>
      <c r="J411" s="18"/>
    </row>
    <row r="412" customFormat="false" ht="15" hidden="false" customHeight="false" outlineLevel="0" collapsed="false">
      <c r="A412" s="18" t="s">
        <v>2170</v>
      </c>
      <c r="B412" s="49" t="n">
        <v>46327</v>
      </c>
      <c r="C412" s="18" t="s">
        <v>2157</v>
      </c>
      <c r="D412" s="18" t="s">
        <v>222</v>
      </c>
      <c r="E412" s="18" t="s">
        <v>119</v>
      </c>
      <c r="F412" s="18" t="s">
        <v>2558</v>
      </c>
      <c r="G412" s="65" t="n">
        <v>5105.4531</v>
      </c>
      <c r="H412" s="65"/>
      <c r="I412" s="54"/>
      <c r="J412" s="18"/>
    </row>
    <row r="413" customFormat="false" ht="15" hidden="false" customHeight="false" outlineLevel="0" collapsed="false">
      <c r="A413" s="18" t="s">
        <v>2170</v>
      </c>
      <c r="B413" s="49" t="n">
        <v>46327</v>
      </c>
      <c r="C413" s="18" t="s">
        <v>2157</v>
      </c>
      <c r="D413" s="18" t="s">
        <v>2168</v>
      </c>
      <c r="E413" s="18" t="s">
        <v>2159</v>
      </c>
      <c r="F413" s="18" t="s">
        <v>2559</v>
      </c>
      <c r="G413" s="65" t="n">
        <v>92128.6535</v>
      </c>
      <c r="H413" s="65" t="n">
        <v>3670.03554824288</v>
      </c>
      <c r="I413" s="54" t="n">
        <v>0.0115384972811703</v>
      </c>
      <c r="J413" s="18" t="b">
        <f aca="false">FALSE()</f>
        <v>0</v>
      </c>
    </row>
    <row r="414" customFormat="false" ht="15" hidden="false" customHeight="false" outlineLevel="0" collapsed="false">
      <c r="A414" s="18" t="s">
        <v>2170</v>
      </c>
      <c r="B414" s="49" t="n">
        <v>46327</v>
      </c>
      <c r="C414" s="18" t="s">
        <v>2157</v>
      </c>
      <c r="D414" s="18" t="s">
        <v>2168</v>
      </c>
      <c r="E414" s="18" t="s">
        <v>99</v>
      </c>
      <c r="F414" s="18" t="s">
        <v>2560</v>
      </c>
      <c r="G414" s="65" t="n">
        <v>-15655.2625</v>
      </c>
      <c r="H414" s="65"/>
      <c r="I414" s="54"/>
      <c r="J414" s="18"/>
    </row>
    <row r="415" customFormat="false" ht="15" hidden="false" customHeight="false" outlineLevel="0" collapsed="false">
      <c r="A415" s="18" t="s">
        <v>2170</v>
      </c>
      <c r="B415" s="49" t="n">
        <v>46327</v>
      </c>
      <c r="C415" s="18" t="s">
        <v>2157</v>
      </c>
      <c r="D415" s="18" t="s">
        <v>2168</v>
      </c>
      <c r="E415" s="18" t="s">
        <v>113</v>
      </c>
      <c r="F415" s="18" t="s">
        <v>2561</v>
      </c>
      <c r="G415" s="65" t="n">
        <v>-7468.0628</v>
      </c>
      <c r="H415" s="65"/>
      <c r="I415" s="54"/>
      <c r="J415" s="18"/>
    </row>
    <row r="416" customFormat="false" ht="15" hidden="false" customHeight="false" outlineLevel="0" collapsed="false">
      <c r="A416" s="18" t="s">
        <v>2170</v>
      </c>
      <c r="B416" s="49" t="n">
        <v>46327</v>
      </c>
      <c r="C416" s="18" t="s">
        <v>2157</v>
      </c>
      <c r="D416" s="18" t="s">
        <v>2168</v>
      </c>
      <c r="E416" s="18" t="s">
        <v>119</v>
      </c>
      <c r="F416" s="18" t="s">
        <v>2562</v>
      </c>
      <c r="G416" s="65" t="n">
        <v>115251.9788</v>
      </c>
      <c r="H416" s="65"/>
      <c r="I416" s="54"/>
      <c r="J416" s="18"/>
    </row>
    <row r="417" customFormat="false" ht="15" hidden="false" customHeight="false" outlineLevel="0" collapsed="false">
      <c r="A417" s="18" t="s">
        <v>2170</v>
      </c>
      <c r="B417" s="49" t="n">
        <v>46327</v>
      </c>
      <c r="C417" s="18" t="s">
        <v>2157</v>
      </c>
      <c r="D417" s="18" t="s">
        <v>2174</v>
      </c>
      <c r="E417" s="18" t="s">
        <v>2159</v>
      </c>
      <c r="F417" s="18" t="s">
        <v>2563</v>
      </c>
      <c r="G417" s="65" t="n">
        <v>62766.0673</v>
      </c>
      <c r="H417" s="65" t="n">
        <v>9981.68285411159</v>
      </c>
      <c r="I417" s="54" t="n">
        <v>0.0313821539218641</v>
      </c>
      <c r="J417" s="18" t="b">
        <f aca="false">FALSE()</f>
        <v>0</v>
      </c>
    </row>
    <row r="418" customFormat="false" ht="15" hidden="false" customHeight="false" outlineLevel="0" collapsed="false">
      <c r="A418" s="18" t="s">
        <v>2170</v>
      </c>
      <c r="B418" s="49" t="n">
        <v>46327</v>
      </c>
      <c r="C418" s="18" t="s">
        <v>2157</v>
      </c>
      <c r="D418" s="18" t="s">
        <v>2174</v>
      </c>
      <c r="E418" s="18" t="s">
        <v>99</v>
      </c>
      <c r="F418" s="18" t="s">
        <v>2564</v>
      </c>
      <c r="G418" s="65" t="n">
        <v>11820.9791</v>
      </c>
      <c r="H418" s="65"/>
      <c r="I418" s="54"/>
      <c r="J418" s="18"/>
    </row>
    <row r="419" customFormat="false" ht="15" hidden="false" customHeight="false" outlineLevel="0" collapsed="false">
      <c r="A419" s="18" t="s">
        <v>2170</v>
      </c>
      <c r="B419" s="49" t="n">
        <v>46327</v>
      </c>
      <c r="C419" s="18" t="s">
        <v>2157</v>
      </c>
      <c r="D419" s="18" t="s">
        <v>2174</v>
      </c>
      <c r="E419" s="18" t="s">
        <v>113</v>
      </c>
      <c r="F419" s="18" t="s">
        <v>2565</v>
      </c>
      <c r="G419" s="65" t="n">
        <v>7689.4601</v>
      </c>
      <c r="H419" s="65"/>
      <c r="I419" s="54"/>
      <c r="J419" s="18"/>
    </row>
    <row r="420" customFormat="false" ht="15" hidden="false" customHeight="false" outlineLevel="0" collapsed="false">
      <c r="A420" s="18" t="s">
        <v>2170</v>
      </c>
      <c r="B420" s="49" t="n">
        <v>46327</v>
      </c>
      <c r="C420" s="18" t="s">
        <v>2157</v>
      </c>
      <c r="D420" s="18" t="s">
        <v>2174</v>
      </c>
      <c r="E420" s="18" t="s">
        <v>119</v>
      </c>
      <c r="F420" s="18" t="s">
        <v>2566</v>
      </c>
      <c r="G420" s="65" t="n">
        <v>43255.6281</v>
      </c>
      <c r="H420" s="65"/>
      <c r="I420" s="54"/>
      <c r="J420" s="18"/>
    </row>
    <row r="421" customFormat="false" ht="15" hidden="false" customHeight="false" outlineLevel="0" collapsed="false">
      <c r="A421" s="18" t="s">
        <v>2170</v>
      </c>
      <c r="B421" s="49" t="n">
        <v>46327</v>
      </c>
      <c r="C421" s="18" t="s">
        <v>2157</v>
      </c>
      <c r="D421" s="18" t="s">
        <v>2180</v>
      </c>
      <c r="E421" s="18" t="s">
        <v>2159</v>
      </c>
      <c r="F421" s="18" t="s">
        <v>2567</v>
      </c>
      <c r="G421" s="65" t="n">
        <v>122445.9875</v>
      </c>
      <c r="H421" s="65" t="n">
        <v>10654.6683594573</v>
      </c>
      <c r="I421" s="54" t="n">
        <v>0.0334980030251286</v>
      </c>
      <c r="J421" s="18" t="b">
        <f aca="false">FALSE()</f>
        <v>0</v>
      </c>
    </row>
    <row r="422" customFormat="false" ht="15" hidden="false" customHeight="false" outlineLevel="0" collapsed="false">
      <c r="A422" s="18" t="s">
        <v>2170</v>
      </c>
      <c r="B422" s="49" t="n">
        <v>46327</v>
      </c>
      <c r="C422" s="18" t="s">
        <v>2157</v>
      </c>
      <c r="D422" s="18" t="s">
        <v>2180</v>
      </c>
      <c r="E422" s="18" t="s">
        <v>99</v>
      </c>
      <c r="F422" s="18" t="s">
        <v>2568</v>
      </c>
      <c r="G422" s="65" t="n">
        <v>30048.0038</v>
      </c>
      <c r="H422" s="65"/>
      <c r="I422" s="54"/>
      <c r="J422" s="18"/>
    </row>
    <row r="423" customFormat="false" ht="15" hidden="false" customHeight="false" outlineLevel="0" collapsed="false">
      <c r="A423" s="18" t="s">
        <v>2170</v>
      </c>
      <c r="B423" s="49" t="n">
        <v>46327</v>
      </c>
      <c r="C423" s="18" t="s">
        <v>2157</v>
      </c>
      <c r="D423" s="18" t="s">
        <v>2180</v>
      </c>
      <c r="E423" s="18" t="s">
        <v>113</v>
      </c>
      <c r="F423" s="18" t="s">
        <v>2569</v>
      </c>
      <c r="G423" s="65" t="n">
        <v>25295.0514</v>
      </c>
      <c r="H423" s="65"/>
      <c r="I423" s="54"/>
      <c r="J423" s="18"/>
    </row>
    <row r="424" customFormat="false" ht="15" hidden="false" customHeight="false" outlineLevel="0" collapsed="false">
      <c r="A424" s="18" t="s">
        <v>2170</v>
      </c>
      <c r="B424" s="49" t="n">
        <v>46327</v>
      </c>
      <c r="C424" s="18" t="s">
        <v>2157</v>
      </c>
      <c r="D424" s="18" t="s">
        <v>2180</v>
      </c>
      <c r="E424" s="18" t="s">
        <v>119</v>
      </c>
      <c r="F424" s="18" t="s">
        <v>2570</v>
      </c>
      <c r="G424" s="65" t="n">
        <v>67102.9323</v>
      </c>
      <c r="H424" s="65"/>
      <c r="I424" s="54"/>
      <c r="J424" s="18"/>
    </row>
    <row r="425" customFormat="false" ht="15" hidden="false" customHeight="false" outlineLevel="0" collapsed="false">
      <c r="A425" s="18" t="s">
        <v>2170</v>
      </c>
      <c r="B425" s="49" t="n">
        <v>46327</v>
      </c>
      <c r="C425" s="18" t="s">
        <v>2186</v>
      </c>
      <c r="D425" s="18" t="s">
        <v>2158</v>
      </c>
      <c r="E425" s="18" t="s">
        <v>2159</v>
      </c>
      <c r="F425" s="18" t="s">
        <v>2571</v>
      </c>
      <c r="G425" s="65" t="n">
        <v>27394.3795</v>
      </c>
      <c r="H425" s="65"/>
      <c r="I425" s="54"/>
      <c r="J425" s="18"/>
    </row>
    <row r="426" customFormat="false" ht="15" hidden="false" customHeight="false" outlineLevel="0" collapsed="false">
      <c r="A426" s="18" t="s">
        <v>2170</v>
      </c>
      <c r="B426" s="49" t="n">
        <v>46327</v>
      </c>
      <c r="C426" s="18" t="s">
        <v>2186</v>
      </c>
      <c r="D426" s="18" t="s">
        <v>2158</v>
      </c>
      <c r="E426" s="18" t="s">
        <v>99</v>
      </c>
      <c r="F426" s="18" t="s">
        <v>2463</v>
      </c>
      <c r="G426" s="65" t="n">
        <v>0</v>
      </c>
      <c r="H426" s="65"/>
      <c r="I426" s="54"/>
      <c r="J426" s="18"/>
    </row>
    <row r="427" customFormat="false" ht="15" hidden="false" customHeight="false" outlineLevel="0" collapsed="false">
      <c r="A427" s="18" t="s">
        <v>2170</v>
      </c>
      <c r="B427" s="49" t="n">
        <v>46327</v>
      </c>
      <c r="C427" s="18" t="s">
        <v>2186</v>
      </c>
      <c r="D427" s="18" t="s">
        <v>2158</v>
      </c>
      <c r="E427" s="18" t="s">
        <v>113</v>
      </c>
      <c r="F427" s="18" t="s">
        <v>2537</v>
      </c>
      <c r="G427" s="65" t="n">
        <v>0</v>
      </c>
      <c r="H427" s="65"/>
      <c r="I427" s="54"/>
      <c r="J427" s="18"/>
    </row>
    <row r="428" customFormat="false" ht="15" hidden="false" customHeight="false" outlineLevel="0" collapsed="false">
      <c r="A428" s="18" t="s">
        <v>2170</v>
      </c>
      <c r="B428" s="49" t="n">
        <v>46327</v>
      </c>
      <c r="C428" s="18" t="s">
        <v>2186</v>
      </c>
      <c r="D428" s="18" t="s">
        <v>2158</v>
      </c>
      <c r="E428" s="18" t="s">
        <v>119</v>
      </c>
      <c r="F428" s="18" t="s">
        <v>2571</v>
      </c>
      <c r="G428" s="65" t="n">
        <v>27394.3795</v>
      </c>
      <c r="H428" s="65"/>
      <c r="I428" s="54"/>
      <c r="J428" s="18"/>
    </row>
    <row r="429" customFormat="false" ht="15" hidden="false" customHeight="false" outlineLevel="0" collapsed="false">
      <c r="A429" s="18" t="s">
        <v>2170</v>
      </c>
      <c r="B429" s="49" t="n">
        <v>46327</v>
      </c>
      <c r="C429" s="18" t="s">
        <v>2186</v>
      </c>
      <c r="D429" s="18" t="s">
        <v>222</v>
      </c>
      <c r="E429" s="18" t="s">
        <v>2159</v>
      </c>
      <c r="F429" s="18" t="s">
        <v>2572</v>
      </c>
      <c r="G429" s="65" t="n">
        <v>8990.6534</v>
      </c>
      <c r="H429" s="65"/>
      <c r="I429" s="54"/>
      <c r="J429" s="18"/>
    </row>
    <row r="430" customFormat="false" ht="15" hidden="false" customHeight="false" outlineLevel="0" collapsed="false">
      <c r="A430" s="18" t="s">
        <v>2170</v>
      </c>
      <c r="B430" s="49" t="n">
        <v>46327</v>
      </c>
      <c r="C430" s="18" t="s">
        <v>2186</v>
      </c>
      <c r="D430" s="18" t="s">
        <v>222</v>
      </c>
      <c r="E430" s="18" t="s">
        <v>99</v>
      </c>
      <c r="F430" s="18" t="s">
        <v>2573</v>
      </c>
      <c r="G430" s="65" t="n">
        <v>2557.8118</v>
      </c>
      <c r="H430" s="65"/>
      <c r="I430" s="54"/>
      <c r="J430" s="18"/>
    </row>
    <row r="431" customFormat="false" ht="15" hidden="false" customHeight="false" outlineLevel="0" collapsed="false">
      <c r="A431" s="18" t="s">
        <v>2170</v>
      </c>
      <c r="B431" s="49" t="n">
        <v>46327</v>
      </c>
      <c r="C431" s="18" t="s">
        <v>2186</v>
      </c>
      <c r="D431" s="18" t="s">
        <v>222</v>
      </c>
      <c r="E431" s="18" t="s">
        <v>113</v>
      </c>
      <c r="F431" s="18" t="s">
        <v>2574</v>
      </c>
      <c r="G431" s="65" t="n">
        <v>2169.6676</v>
      </c>
      <c r="H431" s="65"/>
      <c r="I431" s="54"/>
      <c r="J431" s="18"/>
    </row>
    <row r="432" customFormat="false" ht="15" hidden="false" customHeight="false" outlineLevel="0" collapsed="false">
      <c r="A432" s="18" t="s">
        <v>2170</v>
      </c>
      <c r="B432" s="49" t="n">
        <v>46327</v>
      </c>
      <c r="C432" s="18" t="s">
        <v>2186</v>
      </c>
      <c r="D432" s="18" t="s">
        <v>222</v>
      </c>
      <c r="E432" s="18" t="s">
        <v>119</v>
      </c>
      <c r="F432" s="18" t="s">
        <v>2575</v>
      </c>
      <c r="G432" s="65" t="n">
        <v>4263.174</v>
      </c>
      <c r="H432" s="65"/>
      <c r="I432" s="54"/>
      <c r="J432" s="18"/>
    </row>
    <row r="433" customFormat="false" ht="15" hidden="false" customHeight="false" outlineLevel="0" collapsed="false">
      <c r="A433" s="18" t="s">
        <v>2170</v>
      </c>
      <c r="B433" s="49" t="n">
        <v>46327</v>
      </c>
      <c r="C433" s="18" t="s">
        <v>2186</v>
      </c>
      <c r="D433" s="18" t="s">
        <v>2168</v>
      </c>
      <c r="E433" s="18" t="s">
        <v>2159</v>
      </c>
      <c r="F433" s="18" t="s">
        <v>2576</v>
      </c>
      <c r="G433" s="65" t="n">
        <v>95798.689</v>
      </c>
      <c r="H433" s="65"/>
      <c r="I433" s="54"/>
      <c r="J433" s="18"/>
    </row>
    <row r="434" customFormat="false" ht="15" hidden="false" customHeight="false" outlineLevel="0" collapsed="false">
      <c r="A434" s="18" t="s">
        <v>2170</v>
      </c>
      <c r="B434" s="49" t="n">
        <v>46327</v>
      </c>
      <c r="C434" s="18" t="s">
        <v>2186</v>
      </c>
      <c r="D434" s="18" t="s">
        <v>2168</v>
      </c>
      <c r="E434" s="18" t="s">
        <v>99</v>
      </c>
      <c r="F434" s="18" t="s">
        <v>2577</v>
      </c>
      <c r="G434" s="65" t="n">
        <v>-15206.7175</v>
      </c>
      <c r="H434" s="65"/>
      <c r="I434" s="54"/>
      <c r="J434" s="18"/>
    </row>
    <row r="435" customFormat="false" ht="15" hidden="false" customHeight="false" outlineLevel="0" collapsed="false">
      <c r="A435" s="18" t="s">
        <v>2170</v>
      </c>
      <c r="B435" s="49" t="n">
        <v>46327</v>
      </c>
      <c r="C435" s="18" t="s">
        <v>2186</v>
      </c>
      <c r="D435" s="18" t="s">
        <v>2168</v>
      </c>
      <c r="E435" s="18" t="s">
        <v>113</v>
      </c>
      <c r="F435" s="18" t="s">
        <v>2578</v>
      </c>
      <c r="G435" s="65" t="n">
        <v>-7211.8034</v>
      </c>
      <c r="H435" s="65"/>
      <c r="I435" s="54"/>
      <c r="J435" s="18"/>
    </row>
    <row r="436" customFormat="false" ht="15" hidden="false" customHeight="false" outlineLevel="0" collapsed="false">
      <c r="A436" s="18" t="s">
        <v>2170</v>
      </c>
      <c r="B436" s="49" t="n">
        <v>46327</v>
      </c>
      <c r="C436" s="18" t="s">
        <v>2186</v>
      </c>
      <c r="D436" s="18" t="s">
        <v>2168</v>
      </c>
      <c r="E436" s="18" t="s">
        <v>119</v>
      </c>
      <c r="F436" s="18" t="s">
        <v>2579</v>
      </c>
      <c r="G436" s="65" t="n">
        <v>118217.2099</v>
      </c>
      <c r="H436" s="65"/>
      <c r="I436" s="54"/>
      <c r="J436" s="18"/>
    </row>
    <row r="437" customFormat="false" ht="15" hidden="false" customHeight="false" outlineLevel="0" collapsed="false">
      <c r="A437" s="18" t="s">
        <v>2170</v>
      </c>
      <c r="B437" s="49" t="n">
        <v>46327</v>
      </c>
      <c r="C437" s="18" t="s">
        <v>2186</v>
      </c>
      <c r="D437" s="18" t="s">
        <v>2174</v>
      </c>
      <c r="E437" s="18" t="s">
        <v>2159</v>
      </c>
      <c r="F437" s="18" t="s">
        <v>2580</v>
      </c>
      <c r="G437" s="65" t="n">
        <v>52784.3844</v>
      </c>
      <c r="H437" s="65"/>
      <c r="I437" s="54"/>
      <c r="J437" s="18"/>
    </row>
    <row r="438" customFormat="false" ht="15" hidden="false" customHeight="false" outlineLevel="0" collapsed="false">
      <c r="A438" s="18" t="s">
        <v>2170</v>
      </c>
      <c r="B438" s="49" t="n">
        <v>46327</v>
      </c>
      <c r="C438" s="18" t="s">
        <v>2186</v>
      </c>
      <c r="D438" s="18" t="s">
        <v>2174</v>
      </c>
      <c r="E438" s="18" t="s">
        <v>99</v>
      </c>
      <c r="F438" s="18" t="s">
        <v>2581</v>
      </c>
      <c r="G438" s="65" t="n">
        <v>11554.7972</v>
      </c>
      <c r="H438" s="65"/>
      <c r="I438" s="54"/>
      <c r="J438" s="18"/>
    </row>
    <row r="439" customFormat="false" ht="15" hidden="false" customHeight="false" outlineLevel="0" collapsed="false">
      <c r="A439" s="18" t="s">
        <v>2170</v>
      </c>
      <c r="B439" s="49" t="n">
        <v>46327</v>
      </c>
      <c r="C439" s="18" t="s">
        <v>2186</v>
      </c>
      <c r="D439" s="18" t="s">
        <v>2174</v>
      </c>
      <c r="E439" s="18" t="s">
        <v>113</v>
      </c>
      <c r="F439" s="18" t="s">
        <v>2582</v>
      </c>
      <c r="G439" s="65" t="n">
        <v>7416.3524</v>
      </c>
      <c r="H439" s="65"/>
      <c r="I439" s="54"/>
      <c r="J439" s="18"/>
    </row>
    <row r="440" customFormat="false" ht="15" hidden="false" customHeight="false" outlineLevel="0" collapsed="false">
      <c r="A440" s="18" t="s">
        <v>2170</v>
      </c>
      <c r="B440" s="49" t="n">
        <v>46327</v>
      </c>
      <c r="C440" s="18" t="s">
        <v>2186</v>
      </c>
      <c r="D440" s="18" t="s">
        <v>2174</v>
      </c>
      <c r="E440" s="18" t="s">
        <v>119</v>
      </c>
      <c r="F440" s="18" t="s">
        <v>2583</v>
      </c>
      <c r="G440" s="65" t="n">
        <v>33813.2348</v>
      </c>
      <c r="H440" s="65"/>
      <c r="I440" s="54"/>
      <c r="J440" s="18"/>
    </row>
    <row r="441" customFormat="false" ht="15" hidden="false" customHeight="false" outlineLevel="0" collapsed="false">
      <c r="A441" s="18" t="s">
        <v>2170</v>
      </c>
      <c r="B441" s="49" t="n">
        <v>46327</v>
      </c>
      <c r="C441" s="18" t="s">
        <v>2186</v>
      </c>
      <c r="D441" s="18" t="s">
        <v>2180</v>
      </c>
      <c r="E441" s="18" t="s">
        <v>2159</v>
      </c>
      <c r="F441" s="18" t="s">
        <v>2584</v>
      </c>
      <c r="G441" s="65" t="n">
        <v>133100.6559</v>
      </c>
      <c r="H441" s="65"/>
      <c r="I441" s="54"/>
      <c r="J441" s="18"/>
    </row>
    <row r="442" customFormat="false" ht="15" hidden="false" customHeight="false" outlineLevel="0" collapsed="false">
      <c r="A442" s="18" t="s">
        <v>2170</v>
      </c>
      <c r="B442" s="49" t="n">
        <v>46327</v>
      </c>
      <c r="C442" s="18" t="s">
        <v>2186</v>
      </c>
      <c r="D442" s="18" t="s">
        <v>2180</v>
      </c>
      <c r="E442" s="18" t="s">
        <v>99</v>
      </c>
      <c r="F442" s="18" t="s">
        <v>2585</v>
      </c>
      <c r="G442" s="65" t="n">
        <v>29998.1383</v>
      </c>
      <c r="H442" s="65"/>
      <c r="I442" s="54"/>
      <c r="J442" s="18"/>
    </row>
    <row r="443" customFormat="false" ht="15" hidden="false" customHeight="false" outlineLevel="0" collapsed="false">
      <c r="A443" s="18" t="s">
        <v>2170</v>
      </c>
      <c r="B443" s="49" t="n">
        <v>46327</v>
      </c>
      <c r="C443" s="18" t="s">
        <v>2186</v>
      </c>
      <c r="D443" s="18" t="s">
        <v>2180</v>
      </c>
      <c r="E443" s="18" t="s">
        <v>113</v>
      </c>
      <c r="F443" s="18" t="s">
        <v>2586</v>
      </c>
      <c r="G443" s="65" t="n">
        <v>25442.3684</v>
      </c>
      <c r="H443" s="65"/>
      <c r="I443" s="54"/>
      <c r="J443" s="18"/>
    </row>
    <row r="444" customFormat="false" ht="15" hidden="false" customHeight="false" outlineLevel="0" collapsed="false">
      <c r="A444" s="18" t="s">
        <v>2170</v>
      </c>
      <c r="B444" s="49" t="n">
        <v>46327</v>
      </c>
      <c r="C444" s="18" t="s">
        <v>2186</v>
      </c>
      <c r="D444" s="18" t="s">
        <v>2180</v>
      </c>
      <c r="E444" s="18" t="s">
        <v>119</v>
      </c>
      <c r="F444" s="18" t="s">
        <v>2587</v>
      </c>
      <c r="G444" s="65" t="n">
        <v>77660.1492</v>
      </c>
      <c r="H444" s="65"/>
      <c r="I444" s="54"/>
      <c r="J444" s="18"/>
    </row>
    <row r="445" customFormat="false" ht="15" hidden="false" customHeight="false" outlineLevel="0" collapsed="false">
      <c r="A445" s="18" t="s">
        <v>2170</v>
      </c>
      <c r="B445" s="49" t="n">
        <v>46357</v>
      </c>
      <c r="C445" s="18" t="s">
        <v>2157</v>
      </c>
      <c r="D445" s="18" t="s">
        <v>2158</v>
      </c>
      <c r="E445" s="18" t="s">
        <v>2159</v>
      </c>
      <c r="F445" s="18" t="s">
        <v>2588</v>
      </c>
      <c r="G445" s="65" t="n">
        <v>35260.3244</v>
      </c>
      <c r="H445" s="65" t="n">
        <v>3093.22409293528</v>
      </c>
      <c r="I445" s="54" t="n">
        <v>0.0100052688800905</v>
      </c>
      <c r="J445" s="18" t="b">
        <f aca="false">FALSE()</f>
        <v>0</v>
      </c>
    </row>
    <row r="446" customFormat="false" ht="15" hidden="false" customHeight="false" outlineLevel="0" collapsed="false">
      <c r="A446" s="18" t="s">
        <v>2170</v>
      </c>
      <c r="B446" s="49" t="n">
        <v>46357</v>
      </c>
      <c r="C446" s="18" t="s">
        <v>2157</v>
      </c>
      <c r="D446" s="18" t="s">
        <v>2158</v>
      </c>
      <c r="E446" s="18" t="s">
        <v>99</v>
      </c>
      <c r="F446" s="18" t="s">
        <v>2519</v>
      </c>
      <c r="G446" s="65" t="n">
        <v>0</v>
      </c>
      <c r="H446" s="65"/>
      <c r="I446" s="54"/>
      <c r="J446" s="18"/>
    </row>
    <row r="447" customFormat="false" ht="15" hidden="false" customHeight="false" outlineLevel="0" collapsed="false">
      <c r="A447" s="18" t="s">
        <v>2170</v>
      </c>
      <c r="B447" s="49" t="n">
        <v>46357</v>
      </c>
      <c r="C447" s="18" t="s">
        <v>2157</v>
      </c>
      <c r="D447" s="18" t="s">
        <v>2158</v>
      </c>
      <c r="E447" s="18" t="s">
        <v>113</v>
      </c>
      <c r="F447" s="18" t="s">
        <v>2482</v>
      </c>
      <c r="G447" s="65" t="n">
        <v>0</v>
      </c>
      <c r="H447" s="65"/>
      <c r="I447" s="54"/>
      <c r="J447" s="18"/>
    </row>
    <row r="448" customFormat="false" ht="15" hidden="false" customHeight="false" outlineLevel="0" collapsed="false">
      <c r="A448" s="18" t="s">
        <v>2170</v>
      </c>
      <c r="B448" s="49" t="n">
        <v>46357</v>
      </c>
      <c r="C448" s="18" t="s">
        <v>2157</v>
      </c>
      <c r="D448" s="18" t="s">
        <v>2158</v>
      </c>
      <c r="E448" s="18" t="s">
        <v>119</v>
      </c>
      <c r="F448" s="18" t="s">
        <v>2588</v>
      </c>
      <c r="G448" s="65" t="n">
        <v>35260.3244</v>
      </c>
      <c r="H448" s="65"/>
      <c r="I448" s="54"/>
      <c r="J448" s="18"/>
    </row>
    <row r="449" customFormat="false" ht="15" hidden="false" customHeight="false" outlineLevel="0" collapsed="false">
      <c r="A449" s="18" t="s">
        <v>2170</v>
      </c>
      <c r="B449" s="49" t="n">
        <v>46357</v>
      </c>
      <c r="C449" s="18" t="s">
        <v>2157</v>
      </c>
      <c r="D449" s="18" t="s">
        <v>222</v>
      </c>
      <c r="E449" s="18" t="s">
        <v>2159</v>
      </c>
      <c r="F449" s="18" t="s">
        <v>2589</v>
      </c>
      <c r="G449" s="65" t="n">
        <v>5696.607</v>
      </c>
      <c r="H449" s="65" t="n">
        <v>335.227424477153</v>
      </c>
      <c r="I449" s="54" t="n">
        <v>0.00108431863230813</v>
      </c>
      <c r="J449" s="18" t="b">
        <f aca="false">FALSE()</f>
        <v>0</v>
      </c>
    </row>
    <row r="450" customFormat="false" ht="15" hidden="false" customHeight="false" outlineLevel="0" collapsed="false">
      <c r="A450" s="18" t="s">
        <v>2170</v>
      </c>
      <c r="B450" s="49" t="n">
        <v>46357</v>
      </c>
      <c r="C450" s="18" t="s">
        <v>2157</v>
      </c>
      <c r="D450" s="18" t="s">
        <v>222</v>
      </c>
      <c r="E450" s="18" t="s">
        <v>99</v>
      </c>
      <c r="F450" s="18" t="s">
        <v>2590</v>
      </c>
      <c r="G450" s="65" t="n">
        <v>2323.2663</v>
      </c>
      <c r="H450" s="65"/>
      <c r="I450" s="54"/>
      <c r="J450" s="18"/>
    </row>
    <row r="451" customFormat="false" ht="15" hidden="false" customHeight="false" outlineLevel="0" collapsed="false">
      <c r="A451" s="18" t="s">
        <v>2170</v>
      </c>
      <c r="B451" s="49" t="n">
        <v>46357</v>
      </c>
      <c r="C451" s="18" t="s">
        <v>2157</v>
      </c>
      <c r="D451" s="18" t="s">
        <v>222</v>
      </c>
      <c r="E451" s="18" t="s">
        <v>113</v>
      </c>
      <c r="F451" s="18" t="s">
        <v>2591</v>
      </c>
      <c r="G451" s="65" t="n">
        <v>1920.8312</v>
      </c>
      <c r="H451" s="65"/>
      <c r="I451" s="54"/>
      <c r="J451" s="18"/>
    </row>
    <row r="452" customFormat="false" ht="15" hidden="false" customHeight="false" outlineLevel="0" collapsed="false">
      <c r="A452" s="18" t="s">
        <v>2170</v>
      </c>
      <c r="B452" s="49" t="n">
        <v>46357</v>
      </c>
      <c r="C452" s="18" t="s">
        <v>2157</v>
      </c>
      <c r="D452" s="18" t="s">
        <v>222</v>
      </c>
      <c r="E452" s="18" t="s">
        <v>119</v>
      </c>
      <c r="F452" s="18" t="s">
        <v>2592</v>
      </c>
      <c r="G452" s="65" t="n">
        <v>1452.5096</v>
      </c>
      <c r="H452" s="65"/>
      <c r="I452" s="54"/>
      <c r="J452" s="18"/>
    </row>
    <row r="453" customFormat="false" ht="15" hidden="false" customHeight="false" outlineLevel="0" collapsed="false">
      <c r="A453" s="18" t="s">
        <v>2170</v>
      </c>
      <c r="B453" s="49" t="n">
        <v>46357</v>
      </c>
      <c r="C453" s="18" t="s">
        <v>2157</v>
      </c>
      <c r="D453" s="18" t="s">
        <v>2168</v>
      </c>
      <c r="E453" s="18" t="s">
        <v>2159</v>
      </c>
      <c r="F453" s="18" t="s">
        <v>2593</v>
      </c>
      <c r="G453" s="65" t="n">
        <v>85872.8928</v>
      </c>
      <c r="H453" s="65" t="n">
        <v>3582.27069008681</v>
      </c>
      <c r="I453" s="54" t="n">
        <v>0.0115871273398671</v>
      </c>
      <c r="J453" s="18" t="b">
        <f aca="false">FALSE()</f>
        <v>0</v>
      </c>
    </row>
    <row r="454" customFormat="false" ht="15" hidden="false" customHeight="false" outlineLevel="0" collapsed="false">
      <c r="A454" s="18" t="s">
        <v>2170</v>
      </c>
      <c r="B454" s="49" t="n">
        <v>46357</v>
      </c>
      <c r="C454" s="18" t="s">
        <v>2157</v>
      </c>
      <c r="D454" s="18" t="s">
        <v>2168</v>
      </c>
      <c r="E454" s="18" t="s">
        <v>99</v>
      </c>
      <c r="F454" s="18" t="s">
        <v>2594</v>
      </c>
      <c r="G454" s="65" t="n">
        <v>-18054.0527</v>
      </c>
      <c r="H454" s="65"/>
      <c r="I454" s="54"/>
      <c r="J454" s="18"/>
    </row>
    <row r="455" customFormat="false" ht="15" hidden="false" customHeight="false" outlineLevel="0" collapsed="false">
      <c r="A455" s="18" t="s">
        <v>2170</v>
      </c>
      <c r="B455" s="49" t="n">
        <v>46357</v>
      </c>
      <c r="C455" s="18" t="s">
        <v>2157</v>
      </c>
      <c r="D455" s="18" t="s">
        <v>2168</v>
      </c>
      <c r="E455" s="18" t="s">
        <v>113</v>
      </c>
      <c r="F455" s="18" t="s">
        <v>2595</v>
      </c>
      <c r="G455" s="65" t="n">
        <v>-8612.3627</v>
      </c>
      <c r="H455" s="65"/>
      <c r="I455" s="54"/>
      <c r="J455" s="18"/>
    </row>
    <row r="456" customFormat="false" ht="15" hidden="false" customHeight="false" outlineLevel="0" collapsed="false">
      <c r="A456" s="18" t="s">
        <v>2170</v>
      </c>
      <c r="B456" s="49" t="n">
        <v>46357</v>
      </c>
      <c r="C456" s="18" t="s">
        <v>2157</v>
      </c>
      <c r="D456" s="18" t="s">
        <v>2168</v>
      </c>
      <c r="E456" s="18" t="s">
        <v>119</v>
      </c>
      <c r="F456" s="18" t="s">
        <v>2596</v>
      </c>
      <c r="G456" s="65" t="n">
        <v>112539.3083</v>
      </c>
      <c r="H456" s="65"/>
      <c r="I456" s="54"/>
      <c r="J456" s="18"/>
    </row>
    <row r="457" customFormat="false" ht="15" hidden="false" customHeight="false" outlineLevel="0" collapsed="false">
      <c r="A457" s="18" t="s">
        <v>2170</v>
      </c>
      <c r="B457" s="49" t="n">
        <v>46357</v>
      </c>
      <c r="C457" s="18" t="s">
        <v>2157</v>
      </c>
      <c r="D457" s="18" t="s">
        <v>2174</v>
      </c>
      <c r="E457" s="18" t="s">
        <v>2159</v>
      </c>
      <c r="F457" s="18" t="s">
        <v>2597</v>
      </c>
      <c r="G457" s="65" t="n">
        <v>67681.9594</v>
      </c>
      <c r="H457" s="65" t="n">
        <v>8731.77776970413</v>
      </c>
      <c r="I457" s="54" t="n">
        <v>0.0282436001279765</v>
      </c>
      <c r="J457" s="18" t="b">
        <f aca="false">FALSE()</f>
        <v>0</v>
      </c>
    </row>
    <row r="458" customFormat="false" ht="15" hidden="false" customHeight="false" outlineLevel="0" collapsed="false">
      <c r="A458" s="18" t="s">
        <v>2170</v>
      </c>
      <c r="B458" s="49" t="n">
        <v>46357</v>
      </c>
      <c r="C458" s="18" t="s">
        <v>2157</v>
      </c>
      <c r="D458" s="18" t="s">
        <v>2174</v>
      </c>
      <c r="E458" s="18" t="s">
        <v>99</v>
      </c>
      <c r="F458" s="18" t="s">
        <v>2598</v>
      </c>
      <c r="G458" s="65" t="n">
        <v>13159.7701</v>
      </c>
      <c r="H458" s="65"/>
      <c r="I458" s="54"/>
      <c r="J458" s="18"/>
    </row>
    <row r="459" customFormat="false" ht="15" hidden="false" customHeight="false" outlineLevel="0" collapsed="false">
      <c r="A459" s="18" t="s">
        <v>2170</v>
      </c>
      <c r="B459" s="49" t="n">
        <v>46357</v>
      </c>
      <c r="C459" s="18" t="s">
        <v>2157</v>
      </c>
      <c r="D459" s="18" t="s">
        <v>2174</v>
      </c>
      <c r="E459" s="18" t="s">
        <v>113</v>
      </c>
      <c r="F459" s="18" t="s">
        <v>2599</v>
      </c>
      <c r="G459" s="65" t="n">
        <v>8561.9016</v>
      </c>
      <c r="H459" s="65"/>
      <c r="I459" s="54"/>
      <c r="J459" s="18"/>
    </row>
    <row r="460" customFormat="false" ht="15" hidden="false" customHeight="false" outlineLevel="0" collapsed="false">
      <c r="A460" s="18" t="s">
        <v>2170</v>
      </c>
      <c r="B460" s="49" t="n">
        <v>46357</v>
      </c>
      <c r="C460" s="18" t="s">
        <v>2157</v>
      </c>
      <c r="D460" s="18" t="s">
        <v>2174</v>
      </c>
      <c r="E460" s="18" t="s">
        <v>119</v>
      </c>
      <c r="F460" s="18" t="s">
        <v>2600</v>
      </c>
      <c r="G460" s="65" t="n">
        <v>45960.2878</v>
      </c>
      <c r="H460" s="65"/>
      <c r="I460" s="54"/>
      <c r="J460" s="18"/>
    </row>
    <row r="461" customFormat="false" ht="15" hidden="false" customHeight="false" outlineLevel="0" collapsed="false">
      <c r="A461" s="18" t="s">
        <v>2170</v>
      </c>
      <c r="B461" s="49" t="n">
        <v>46357</v>
      </c>
      <c r="C461" s="18" t="s">
        <v>2157</v>
      </c>
      <c r="D461" s="18" t="s">
        <v>2180</v>
      </c>
      <c r="E461" s="18" t="s">
        <v>2159</v>
      </c>
      <c r="F461" s="18" t="s">
        <v>2601</v>
      </c>
      <c r="G461" s="65" t="n">
        <v>114647.7331</v>
      </c>
      <c r="H461" s="65" t="n">
        <v>8577.95859702975</v>
      </c>
      <c r="I461" s="54" t="n">
        <v>0.0277460603005081</v>
      </c>
      <c r="J461" s="18" t="b">
        <f aca="false">FALSE()</f>
        <v>0</v>
      </c>
    </row>
    <row r="462" customFormat="false" ht="15" hidden="false" customHeight="false" outlineLevel="0" collapsed="false">
      <c r="A462" s="18" t="s">
        <v>2170</v>
      </c>
      <c r="B462" s="49" t="n">
        <v>46357</v>
      </c>
      <c r="C462" s="18" t="s">
        <v>2157</v>
      </c>
      <c r="D462" s="18" t="s">
        <v>2180</v>
      </c>
      <c r="E462" s="18" t="s">
        <v>99</v>
      </c>
      <c r="F462" s="18" t="s">
        <v>2602</v>
      </c>
      <c r="G462" s="65" t="n">
        <v>27901.7179</v>
      </c>
      <c r="H462" s="65"/>
      <c r="I462" s="54"/>
      <c r="J462" s="18"/>
    </row>
    <row r="463" customFormat="false" ht="15" hidden="false" customHeight="false" outlineLevel="0" collapsed="false">
      <c r="A463" s="18" t="s">
        <v>2170</v>
      </c>
      <c r="B463" s="49" t="n">
        <v>46357</v>
      </c>
      <c r="C463" s="18" t="s">
        <v>2157</v>
      </c>
      <c r="D463" s="18" t="s">
        <v>2180</v>
      </c>
      <c r="E463" s="18" t="s">
        <v>113</v>
      </c>
      <c r="F463" s="18" t="s">
        <v>2603</v>
      </c>
      <c r="G463" s="65" t="n">
        <v>22705.32</v>
      </c>
      <c r="H463" s="65"/>
      <c r="I463" s="54"/>
      <c r="J463" s="18"/>
    </row>
    <row r="464" customFormat="false" ht="15" hidden="false" customHeight="false" outlineLevel="0" collapsed="false">
      <c r="A464" s="18" t="s">
        <v>2170</v>
      </c>
      <c r="B464" s="49" t="n">
        <v>46357</v>
      </c>
      <c r="C464" s="18" t="s">
        <v>2157</v>
      </c>
      <c r="D464" s="18" t="s">
        <v>2180</v>
      </c>
      <c r="E464" s="18" t="s">
        <v>119</v>
      </c>
      <c r="F464" s="18" t="s">
        <v>2604</v>
      </c>
      <c r="G464" s="65" t="n">
        <v>64040.6953</v>
      </c>
      <c r="H464" s="65"/>
      <c r="I464" s="54"/>
      <c r="J464" s="18"/>
    </row>
    <row r="465" customFormat="false" ht="15" hidden="false" customHeight="false" outlineLevel="0" collapsed="false">
      <c r="A465" s="18" t="s">
        <v>2170</v>
      </c>
      <c r="B465" s="49" t="n">
        <v>46357</v>
      </c>
      <c r="C465" s="18" t="s">
        <v>2186</v>
      </c>
      <c r="D465" s="18" t="s">
        <v>2158</v>
      </c>
      <c r="E465" s="18" t="s">
        <v>2159</v>
      </c>
      <c r="F465" s="18" t="s">
        <v>2605</v>
      </c>
      <c r="G465" s="65" t="n">
        <v>32167.1003</v>
      </c>
      <c r="H465" s="65"/>
      <c r="I465" s="54"/>
      <c r="J465" s="18"/>
    </row>
    <row r="466" customFormat="false" ht="15" hidden="false" customHeight="false" outlineLevel="0" collapsed="false">
      <c r="A466" s="18" t="s">
        <v>2170</v>
      </c>
      <c r="B466" s="49" t="n">
        <v>46357</v>
      </c>
      <c r="C466" s="18" t="s">
        <v>2186</v>
      </c>
      <c r="D466" s="18" t="s">
        <v>2158</v>
      </c>
      <c r="E466" s="18" t="s">
        <v>99</v>
      </c>
      <c r="F466" s="18" t="s">
        <v>2463</v>
      </c>
      <c r="G466" s="65" t="n">
        <v>0</v>
      </c>
      <c r="H466" s="65"/>
      <c r="I466" s="54"/>
      <c r="J466" s="18"/>
    </row>
    <row r="467" customFormat="false" ht="15" hidden="false" customHeight="false" outlineLevel="0" collapsed="false">
      <c r="A467" s="18" t="s">
        <v>2170</v>
      </c>
      <c r="B467" s="49" t="n">
        <v>46357</v>
      </c>
      <c r="C467" s="18" t="s">
        <v>2186</v>
      </c>
      <c r="D467" s="18" t="s">
        <v>2158</v>
      </c>
      <c r="E467" s="18" t="s">
        <v>113</v>
      </c>
      <c r="F467" s="18" t="s">
        <v>2537</v>
      </c>
      <c r="G467" s="65" t="n">
        <v>0</v>
      </c>
      <c r="H467" s="65"/>
      <c r="I467" s="54"/>
      <c r="J467" s="18"/>
    </row>
    <row r="468" customFormat="false" ht="15" hidden="false" customHeight="false" outlineLevel="0" collapsed="false">
      <c r="A468" s="18" t="s">
        <v>2170</v>
      </c>
      <c r="B468" s="49" t="n">
        <v>46357</v>
      </c>
      <c r="C468" s="18" t="s">
        <v>2186</v>
      </c>
      <c r="D468" s="18" t="s">
        <v>2158</v>
      </c>
      <c r="E468" s="18" t="s">
        <v>119</v>
      </c>
      <c r="F468" s="18" t="s">
        <v>2605</v>
      </c>
      <c r="G468" s="65" t="n">
        <v>32167.1003</v>
      </c>
      <c r="H468" s="65"/>
      <c r="I468" s="54"/>
      <c r="J468" s="18"/>
    </row>
    <row r="469" customFormat="false" ht="15" hidden="false" customHeight="false" outlineLevel="0" collapsed="false">
      <c r="A469" s="18" t="s">
        <v>2170</v>
      </c>
      <c r="B469" s="49" t="n">
        <v>46357</v>
      </c>
      <c r="C469" s="18" t="s">
        <v>2186</v>
      </c>
      <c r="D469" s="18" t="s">
        <v>222</v>
      </c>
      <c r="E469" s="18" t="s">
        <v>2159</v>
      </c>
      <c r="F469" s="18" t="s">
        <v>2606</v>
      </c>
      <c r="G469" s="65" t="n">
        <v>5361.3796</v>
      </c>
      <c r="H469" s="65"/>
      <c r="I469" s="54"/>
      <c r="J469" s="18"/>
    </row>
    <row r="470" customFormat="false" ht="15" hidden="false" customHeight="false" outlineLevel="0" collapsed="false">
      <c r="A470" s="18" t="s">
        <v>2170</v>
      </c>
      <c r="B470" s="49" t="n">
        <v>46357</v>
      </c>
      <c r="C470" s="18" t="s">
        <v>2186</v>
      </c>
      <c r="D470" s="18" t="s">
        <v>222</v>
      </c>
      <c r="E470" s="18" t="s">
        <v>99</v>
      </c>
      <c r="F470" s="18" t="s">
        <v>2607</v>
      </c>
      <c r="G470" s="65" t="n">
        <v>2236.3531</v>
      </c>
      <c r="H470" s="65"/>
      <c r="I470" s="54"/>
      <c r="J470" s="18"/>
    </row>
    <row r="471" customFormat="false" ht="15" hidden="false" customHeight="false" outlineLevel="0" collapsed="false">
      <c r="A471" s="18" t="s">
        <v>2170</v>
      </c>
      <c r="B471" s="49" t="n">
        <v>46357</v>
      </c>
      <c r="C471" s="18" t="s">
        <v>2186</v>
      </c>
      <c r="D471" s="18" t="s">
        <v>222</v>
      </c>
      <c r="E471" s="18" t="s">
        <v>113</v>
      </c>
      <c r="F471" s="18" t="s">
        <v>2608</v>
      </c>
      <c r="G471" s="65" t="n">
        <v>1834.0772</v>
      </c>
      <c r="H471" s="65"/>
      <c r="I471" s="54"/>
      <c r="J471" s="18"/>
    </row>
    <row r="472" customFormat="false" ht="15" hidden="false" customHeight="false" outlineLevel="0" collapsed="false">
      <c r="A472" s="18" t="s">
        <v>2170</v>
      </c>
      <c r="B472" s="49" t="n">
        <v>46357</v>
      </c>
      <c r="C472" s="18" t="s">
        <v>2186</v>
      </c>
      <c r="D472" s="18" t="s">
        <v>222</v>
      </c>
      <c r="E472" s="18" t="s">
        <v>119</v>
      </c>
      <c r="F472" s="18" t="s">
        <v>2609</v>
      </c>
      <c r="G472" s="65" t="n">
        <v>1290.9493</v>
      </c>
      <c r="H472" s="65"/>
      <c r="I472" s="54"/>
      <c r="J472" s="18"/>
    </row>
    <row r="473" customFormat="false" ht="15" hidden="false" customHeight="false" outlineLevel="0" collapsed="false">
      <c r="A473" s="18" t="s">
        <v>2170</v>
      </c>
      <c r="B473" s="49" t="n">
        <v>46357</v>
      </c>
      <c r="C473" s="18" t="s">
        <v>2186</v>
      </c>
      <c r="D473" s="18" t="s">
        <v>2168</v>
      </c>
      <c r="E473" s="18" t="s">
        <v>2159</v>
      </c>
      <c r="F473" s="18" t="s">
        <v>2610</v>
      </c>
      <c r="G473" s="65" t="n">
        <v>89455.1635</v>
      </c>
      <c r="H473" s="65"/>
      <c r="I473" s="54"/>
      <c r="J473" s="18"/>
    </row>
    <row r="474" customFormat="false" ht="15" hidden="false" customHeight="false" outlineLevel="0" collapsed="false">
      <c r="A474" s="18" t="s">
        <v>2170</v>
      </c>
      <c r="B474" s="49" t="n">
        <v>46357</v>
      </c>
      <c r="C474" s="18" t="s">
        <v>2186</v>
      </c>
      <c r="D474" s="18" t="s">
        <v>2168</v>
      </c>
      <c r="E474" s="18" t="s">
        <v>99</v>
      </c>
      <c r="F474" s="18" t="s">
        <v>2611</v>
      </c>
      <c r="G474" s="65" t="n">
        <v>-17701.5903</v>
      </c>
      <c r="H474" s="65"/>
      <c r="I474" s="54"/>
      <c r="J474" s="18"/>
    </row>
    <row r="475" customFormat="false" ht="15" hidden="false" customHeight="false" outlineLevel="0" collapsed="false">
      <c r="A475" s="18" t="s">
        <v>2170</v>
      </c>
      <c r="B475" s="49" t="n">
        <v>46357</v>
      </c>
      <c r="C475" s="18" t="s">
        <v>2186</v>
      </c>
      <c r="D475" s="18" t="s">
        <v>2168</v>
      </c>
      <c r="E475" s="18" t="s">
        <v>113</v>
      </c>
      <c r="F475" s="18" t="s">
        <v>2612</v>
      </c>
      <c r="G475" s="65" t="n">
        <v>-8402.0367</v>
      </c>
      <c r="H475" s="65"/>
      <c r="I475" s="54"/>
      <c r="J475" s="18"/>
    </row>
    <row r="476" customFormat="false" ht="15" hidden="false" customHeight="false" outlineLevel="0" collapsed="false">
      <c r="A476" s="18" t="s">
        <v>2170</v>
      </c>
      <c r="B476" s="49" t="n">
        <v>46357</v>
      </c>
      <c r="C476" s="18" t="s">
        <v>2186</v>
      </c>
      <c r="D476" s="18" t="s">
        <v>2168</v>
      </c>
      <c r="E476" s="18" t="s">
        <v>119</v>
      </c>
      <c r="F476" s="18" t="s">
        <v>2613</v>
      </c>
      <c r="G476" s="65" t="n">
        <v>115558.7906</v>
      </c>
      <c r="H476" s="65"/>
      <c r="I476" s="54"/>
      <c r="J476" s="18"/>
    </row>
    <row r="477" customFormat="false" ht="15" hidden="false" customHeight="false" outlineLevel="0" collapsed="false">
      <c r="A477" s="18" t="s">
        <v>2170</v>
      </c>
      <c r="B477" s="49" t="n">
        <v>46357</v>
      </c>
      <c r="C477" s="18" t="s">
        <v>2186</v>
      </c>
      <c r="D477" s="18" t="s">
        <v>2174</v>
      </c>
      <c r="E477" s="18" t="s">
        <v>2159</v>
      </c>
      <c r="F477" s="18" t="s">
        <v>2614</v>
      </c>
      <c r="G477" s="65" t="n">
        <v>58950.1817</v>
      </c>
      <c r="H477" s="65"/>
      <c r="I477" s="54"/>
      <c r="J477" s="18"/>
    </row>
    <row r="478" customFormat="false" ht="15" hidden="false" customHeight="false" outlineLevel="0" collapsed="false">
      <c r="A478" s="18" t="s">
        <v>2170</v>
      </c>
      <c r="B478" s="49" t="n">
        <v>46357</v>
      </c>
      <c r="C478" s="18" t="s">
        <v>2186</v>
      </c>
      <c r="D478" s="18" t="s">
        <v>2174</v>
      </c>
      <c r="E478" s="18" t="s">
        <v>99</v>
      </c>
      <c r="F478" s="18" t="s">
        <v>2615</v>
      </c>
      <c r="G478" s="65" t="n">
        <v>12998.005</v>
      </c>
      <c r="H478" s="65"/>
      <c r="I478" s="54"/>
      <c r="J478" s="18"/>
    </row>
    <row r="479" customFormat="false" ht="15" hidden="false" customHeight="false" outlineLevel="0" collapsed="false">
      <c r="A479" s="18" t="s">
        <v>2170</v>
      </c>
      <c r="B479" s="49" t="n">
        <v>46357</v>
      </c>
      <c r="C479" s="18" t="s">
        <v>2186</v>
      </c>
      <c r="D479" s="18" t="s">
        <v>2174</v>
      </c>
      <c r="E479" s="18" t="s">
        <v>113</v>
      </c>
      <c r="F479" s="18" t="s">
        <v>2616</v>
      </c>
      <c r="G479" s="65" t="n">
        <v>8348.6559</v>
      </c>
      <c r="H479" s="65"/>
      <c r="I479" s="54"/>
      <c r="J479" s="18"/>
    </row>
    <row r="480" customFormat="false" ht="15" hidden="false" customHeight="false" outlineLevel="0" collapsed="false">
      <c r="A480" s="18" t="s">
        <v>2170</v>
      </c>
      <c r="B480" s="49" t="n">
        <v>46357</v>
      </c>
      <c r="C480" s="18" t="s">
        <v>2186</v>
      </c>
      <c r="D480" s="18" t="s">
        <v>2174</v>
      </c>
      <c r="E480" s="18" t="s">
        <v>119</v>
      </c>
      <c r="F480" s="18" t="s">
        <v>2617</v>
      </c>
      <c r="G480" s="65" t="n">
        <v>37603.5208</v>
      </c>
      <c r="H480" s="65"/>
      <c r="I480" s="54"/>
      <c r="J480" s="18"/>
    </row>
    <row r="481" customFormat="false" ht="15" hidden="false" customHeight="false" outlineLevel="0" collapsed="false">
      <c r="A481" s="18" t="s">
        <v>2170</v>
      </c>
      <c r="B481" s="49" t="n">
        <v>46357</v>
      </c>
      <c r="C481" s="18" t="s">
        <v>2186</v>
      </c>
      <c r="D481" s="18" t="s">
        <v>2180</v>
      </c>
      <c r="E481" s="18" t="s">
        <v>2159</v>
      </c>
      <c r="F481" s="18" t="s">
        <v>2618</v>
      </c>
      <c r="G481" s="65" t="n">
        <v>123225.6917</v>
      </c>
      <c r="H481" s="65"/>
      <c r="I481" s="54"/>
      <c r="J481" s="18"/>
    </row>
    <row r="482" customFormat="false" ht="15" hidden="false" customHeight="false" outlineLevel="0" collapsed="false">
      <c r="A482" s="18" t="s">
        <v>2170</v>
      </c>
      <c r="B482" s="49" t="n">
        <v>46357</v>
      </c>
      <c r="C482" s="18" t="s">
        <v>2186</v>
      </c>
      <c r="D482" s="18" t="s">
        <v>2180</v>
      </c>
      <c r="E482" s="18" t="s">
        <v>99</v>
      </c>
      <c r="F482" s="18" t="s">
        <v>2619</v>
      </c>
      <c r="G482" s="65" t="n">
        <v>27797.9337</v>
      </c>
      <c r="H482" s="65"/>
      <c r="I482" s="54"/>
      <c r="J482" s="18"/>
    </row>
    <row r="483" customFormat="false" ht="15" hidden="false" customHeight="false" outlineLevel="0" collapsed="false">
      <c r="A483" s="18" t="s">
        <v>2170</v>
      </c>
      <c r="B483" s="49" t="n">
        <v>46357</v>
      </c>
      <c r="C483" s="18" t="s">
        <v>2186</v>
      </c>
      <c r="D483" s="18" t="s">
        <v>2180</v>
      </c>
      <c r="E483" s="18" t="s">
        <v>113</v>
      </c>
      <c r="F483" s="18" t="s">
        <v>2620</v>
      </c>
      <c r="G483" s="65" t="n">
        <v>22794.9936</v>
      </c>
      <c r="H483" s="65"/>
      <c r="I483" s="54"/>
      <c r="J483" s="18"/>
    </row>
    <row r="484" customFormat="false" ht="15" hidden="false" customHeight="false" outlineLevel="0" collapsed="false">
      <c r="A484" s="18" t="s">
        <v>2170</v>
      </c>
      <c r="B484" s="49" t="n">
        <v>46357</v>
      </c>
      <c r="C484" s="18" t="s">
        <v>2186</v>
      </c>
      <c r="D484" s="18" t="s">
        <v>2180</v>
      </c>
      <c r="E484" s="18" t="s">
        <v>119</v>
      </c>
      <c r="F484" s="18" t="s">
        <v>2621</v>
      </c>
      <c r="G484" s="65" t="n">
        <v>72632.7644</v>
      </c>
      <c r="H484" s="65"/>
      <c r="I484" s="54"/>
      <c r="J484" s="18"/>
    </row>
    <row r="485" customFormat="false" ht="15" hidden="false" customHeight="false" outlineLevel="0" collapsed="false">
      <c r="A485" s="18" t="s">
        <v>2176</v>
      </c>
      <c r="B485" s="49" t="n">
        <v>46266</v>
      </c>
      <c r="C485" s="18" t="s">
        <v>2157</v>
      </c>
      <c r="D485" s="18" t="s">
        <v>2158</v>
      </c>
      <c r="E485" s="18" t="s">
        <v>2159</v>
      </c>
      <c r="F485" s="18" t="s">
        <v>2622</v>
      </c>
      <c r="G485" s="65" t="n">
        <v>0</v>
      </c>
      <c r="H485" s="65" t="n">
        <v>0</v>
      </c>
      <c r="I485" s="54" t="n">
        <v>0</v>
      </c>
      <c r="J485" s="18" t="b">
        <f aca="false">FALSE()</f>
        <v>0</v>
      </c>
    </row>
    <row r="486" customFormat="false" ht="15" hidden="false" customHeight="false" outlineLevel="0" collapsed="false">
      <c r="A486" s="18" t="s">
        <v>2176</v>
      </c>
      <c r="B486" s="49" t="n">
        <v>46266</v>
      </c>
      <c r="C486" s="18" t="s">
        <v>2157</v>
      </c>
      <c r="D486" s="18" t="s">
        <v>2158</v>
      </c>
      <c r="E486" s="18" t="s">
        <v>99</v>
      </c>
      <c r="F486" s="18" t="s">
        <v>2622</v>
      </c>
      <c r="G486" s="65" t="n">
        <v>0</v>
      </c>
      <c r="H486" s="65"/>
      <c r="I486" s="54"/>
      <c r="J486" s="18"/>
    </row>
    <row r="487" customFormat="false" ht="15" hidden="false" customHeight="false" outlineLevel="0" collapsed="false">
      <c r="A487" s="18" t="s">
        <v>2176</v>
      </c>
      <c r="B487" s="49" t="n">
        <v>46266</v>
      </c>
      <c r="C487" s="18" t="s">
        <v>2157</v>
      </c>
      <c r="D487" s="18" t="s">
        <v>2158</v>
      </c>
      <c r="E487" s="18" t="s">
        <v>113</v>
      </c>
      <c r="F487" s="18" t="s">
        <v>2623</v>
      </c>
      <c r="G487" s="65" t="n">
        <v>0</v>
      </c>
      <c r="H487" s="65"/>
      <c r="I487" s="54"/>
      <c r="J487" s="18"/>
    </row>
    <row r="488" customFormat="false" ht="15" hidden="false" customHeight="false" outlineLevel="0" collapsed="false">
      <c r="A488" s="18" t="s">
        <v>2176</v>
      </c>
      <c r="B488" s="49" t="n">
        <v>46266</v>
      </c>
      <c r="C488" s="18" t="s">
        <v>2157</v>
      </c>
      <c r="D488" s="18" t="s">
        <v>2158</v>
      </c>
      <c r="E488" s="18" t="s">
        <v>119</v>
      </c>
      <c r="F488" s="18" t="s">
        <v>2622</v>
      </c>
      <c r="G488" s="65" t="n">
        <v>0</v>
      </c>
      <c r="H488" s="65"/>
      <c r="I488" s="54"/>
      <c r="J488" s="18"/>
    </row>
    <row r="489" customFormat="false" ht="15" hidden="false" customHeight="false" outlineLevel="0" collapsed="false">
      <c r="A489" s="18" t="s">
        <v>2176</v>
      </c>
      <c r="B489" s="49" t="n">
        <v>46266</v>
      </c>
      <c r="C489" s="18" t="s">
        <v>2157</v>
      </c>
      <c r="D489" s="18" t="s">
        <v>222</v>
      </c>
      <c r="E489" s="18" t="s">
        <v>2159</v>
      </c>
      <c r="F489" s="18" t="s">
        <v>2622</v>
      </c>
      <c r="G489" s="65" t="n">
        <v>0</v>
      </c>
      <c r="H489" s="65" t="n">
        <v>0</v>
      </c>
      <c r="I489" s="54" t="n">
        <v>0</v>
      </c>
      <c r="J489" s="18" t="b">
        <f aca="false">FALSE()</f>
        <v>0</v>
      </c>
    </row>
    <row r="490" customFormat="false" ht="15" hidden="false" customHeight="false" outlineLevel="0" collapsed="false">
      <c r="A490" s="18" t="s">
        <v>2176</v>
      </c>
      <c r="B490" s="49" t="n">
        <v>46266</v>
      </c>
      <c r="C490" s="18" t="s">
        <v>2157</v>
      </c>
      <c r="D490" s="18" t="s">
        <v>222</v>
      </c>
      <c r="E490" s="18" t="s">
        <v>99</v>
      </c>
      <c r="F490" s="18" t="s">
        <v>2622</v>
      </c>
      <c r="G490" s="65" t="n">
        <v>0</v>
      </c>
      <c r="H490" s="65"/>
      <c r="I490" s="54"/>
      <c r="J490" s="18"/>
    </row>
    <row r="491" customFormat="false" ht="15" hidden="false" customHeight="false" outlineLevel="0" collapsed="false">
      <c r="A491" s="18" t="s">
        <v>2176</v>
      </c>
      <c r="B491" s="49" t="n">
        <v>46266</v>
      </c>
      <c r="C491" s="18" t="s">
        <v>2157</v>
      </c>
      <c r="D491" s="18" t="s">
        <v>222</v>
      </c>
      <c r="E491" s="18" t="s">
        <v>113</v>
      </c>
      <c r="F491" s="18" t="s">
        <v>2623</v>
      </c>
      <c r="G491" s="65" t="n">
        <v>0</v>
      </c>
      <c r="H491" s="65"/>
      <c r="I491" s="54"/>
      <c r="J491" s="18"/>
    </row>
    <row r="492" customFormat="false" ht="15" hidden="false" customHeight="false" outlineLevel="0" collapsed="false">
      <c r="A492" s="18" t="s">
        <v>2176</v>
      </c>
      <c r="B492" s="49" t="n">
        <v>46266</v>
      </c>
      <c r="C492" s="18" t="s">
        <v>2157</v>
      </c>
      <c r="D492" s="18" t="s">
        <v>222</v>
      </c>
      <c r="E492" s="18" t="s">
        <v>119</v>
      </c>
      <c r="F492" s="18" t="s">
        <v>2622</v>
      </c>
      <c r="G492" s="65" t="n">
        <v>0</v>
      </c>
      <c r="H492" s="65"/>
      <c r="I492" s="54"/>
      <c r="J492" s="18"/>
    </row>
    <row r="493" customFormat="false" ht="15" hidden="false" customHeight="false" outlineLevel="0" collapsed="false">
      <c r="A493" s="18" t="s">
        <v>2176</v>
      </c>
      <c r="B493" s="49" t="n">
        <v>46266</v>
      </c>
      <c r="C493" s="18" t="s">
        <v>2157</v>
      </c>
      <c r="D493" s="18" t="s">
        <v>2168</v>
      </c>
      <c r="E493" s="18" t="s">
        <v>2159</v>
      </c>
      <c r="F493" s="18" t="s">
        <v>2622</v>
      </c>
      <c r="G493" s="65" t="n">
        <v>0</v>
      </c>
      <c r="H493" s="65" t="n">
        <v>0</v>
      </c>
      <c r="I493" s="54" t="n">
        <v>0</v>
      </c>
      <c r="J493" s="18" t="b">
        <f aca="false">FALSE()</f>
        <v>0</v>
      </c>
    </row>
    <row r="494" customFormat="false" ht="15" hidden="false" customHeight="false" outlineLevel="0" collapsed="false">
      <c r="A494" s="18" t="s">
        <v>2176</v>
      </c>
      <c r="B494" s="49" t="n">
        <v>46266</v>
      </c>
      <c r="C494" s="18" t="s">
        <v>2157</v>
      </c>
      <c r="D494" s="18" t="s">
        <v>2168</v>
      </c>
      <c r="E494" s="18" t="s">
        <v>99</v>
      </c>
      <c r="F494" s="18" t="s">
        <v>2622</v>
      </c>
      <c r="G494" s="65" t="n">
        <v>0</v>
      </c>
      <c r="H494" s="65"/>
      <c r="I494" s="54"/>
      <c r="J494" s="18"/>
    </row>
    <row r="495" customFormat="false" ht="15" hidden="false" customHeight="false" outlineLevel="0" collapsed="false">
      <c r="A495" s="18" t="s">
        <v>2176</v>
      </c>
      <c r="B495" s="49" t="n">
        <v>46266</v>
      </c>
      <c r="C495" s="18" t="s">
        <v>2157</v>
      </c>
      <c r="D495" s="18" t="s">
        <v>2168</v>
      </c>
      <c r="E495" s="18" t="s">
        <v>113</v>
      </c>
      <c r="F495" s="18" t="s">
        <v>2623</v>
      </c>
      <c r="G495" s="65" t="n">
        <v>0</v>
      </c>
      <c r="H495" s="65"/>
      <c r="I495" s="54"/>
      <c r="J495" s="18"/>
    </row>
    <row r="496" customFormat="false" ht="15" hidden="false" customHeight="false" outlineLevel="0" collapsed="false">
      <c r="A496" s="18" t="s">
        <v>2176</v>
      </c>
      <c r="B496" s="49" t="n">
        <v>46266</v>
      </c>
      <c r="C496" s="18" t="s">
        <v>2157</v>
      </c>
      <c r="D496" s="18" t="s">
        <v>2168</v>
      </c>
      <c r="E496" s="18" t="s">
        <v>119</v>
      </c>
      <c r="F496" s="18" t="s">
        <v>2622</v>
      </c>
      <c r="G496" s="65" t="n">
        <v>0</v>
      </c>
      <c r="H496" s="65"/>
      <c r="I496" s="54"/>
      <c r="J496" s="18"/>
    </row>
    <row r="497" customFormat="false" ht="15" hidden="false" customHeight="false" outlineLevel="0" collapsed="false">
      <c r="A497" s="18" t="s">
        <v>2176</v>
      </c>
      <c r="B497" s="49" t="n">
        <v>46266</v>
      </c>
      <c r="C497" s="18" t="s">
        <v>2157</v>
      </c>
      <c r="D497" s="18" t="s">
        <v>2174</v>
      </c>
      <c r="E497" s="18" t="s">
        <v>2159</v>
      </c>
      <c r="F497" s="18" t="s">
        <v>2622</v>
      </c>
      <c r="G497" s="65" t="n">
        <v>0</v>
      </c>
      <c r="H497" s="65" t="n">
        <v>0</v>
      </c>
      <c r="I497" s="54" t="n">
        <v>0</v>
      </c>
      <c r="J497" s="18" t="b">
        <f aca="false">FALSE()</f>
        <v>0</v>
      </c>
    </row>
    <row r="498" customFormat="false" ht="15" hidden="false" customHeight="false" outlineLevel="0" collapsed="false">
      <c r="A498" s="18" t="s">
        <v>2176</v>
      </c>
      <c r="B498" s="49" t="n">
        <v>46266</v>
      </c>
      <c r="C498" s="18" t="s">
        <v>2157</v>
      </c>
      <c r="D498" s="18" t="s">
        <v>2174</v>
      </c>
      <c r="E498" s="18" t="s">
        <v>99</v>
      </c>
      <c r="F498" s="18" t="s">
        <v>2622</v>
      </c>
      <c r="G498" s="65" t="n">
        <v>0</v>
      </c>
      <c r="H498" s="65"/>
      <c r="I498" s="54"/>
      <c r="J498" s="18"/>
    </row>
    <row r="499" customFormat="false" ht="15" hidden="false" customHeight="false" outlineLevel="0" collapsed="false">
      <c r="A499" s="18" t="s">
        <v>2176</v>
      </c>
      <c r="B499" s="49" t="n">
        <v>46266</v>
      </c>
      <c r="C499" s="18" t="s">
        <v>2157</v>
      </c>
      <c r="D499" s="18" t="s">
        <v>2174</v>
      </c>
      <c r="E499" s="18" t="s">
        <v>113</v>
      </c>
      <c r="F499" s="18" t="s">
        <v>2623</v>
      </c>
      <c r="G499" s="65" t="n">
        <v>0</v>
      </c>
      <c r="H499" s="65"/>
      <c r="I499" s="54"/>
      <c r="J499" s="18"/>
    </row>
    <row r="500" customFormat="false" ht="15" hidden="false" customHeight="false" outlineLevel="0" collapsed="false">
      <c r="A500" s="18" t="s">
        <v>2176</v>
      </c>
      <c r="B500" s="49" t="n">
        <v>46266</v>
      </c>
      <c r="C500" s="18" t="s">
        <v>2157</v>
      </c>
      <c r="D500" s="18" t="s">
        <v>2174</v>
      </c>
      <c r="E500" s="18" t="s">
        <v>119</v>
      </c>
      <c r="F500" s="18" t="s">
        <v>2622</v>
      </c>
      <c r="G500" s="65" t="n">
        <v>0</v>
      </c>
      <c r="H500" s="65"/>
      <c r="I500" s="54"/>
      <c r="J500" s="18"/>
    </row>
    <row r="501" customFormat="false" ht="15" hidden="false" customHeight="false" outlineLevel="0" collapsed="false">
      <c r="A501" s="18" t="s">
        <v>2176</v>
      </c>
      <c r="B501" s="49" t="n">
        <v>46266</v>
      </c>
      <c r="C501" s="18" t="s">
        <v>2157</v>
      </c>
      <c r="D501" s="18" t="s">
        <v>2180</v>
      </c>
      <c r="E501" s="18" t="s">
        <v>2159</v>
      </c>
      <c r="F501" s="18" t="s">
        <v>2622</v>
      </c>
      <c r="G501" s="65" t="n">
        <v>0</v>
      </c>
      <c r="H501" s="65" t="n">
        <v>0</v>
      </c>
      <c r="I501" s="54" t="n">
        <v>0</v>
      </c>
      <c r="J501" s="18" t="b">
        <f aca="false">FALSE()</f>
        <v>0</v>
      </c>
    </row>
    <row r="502" customFormat="false" ht="15" hidden="false" customHeight="false" outlineLevel="0" collapsed="false">
      <c r="A502" s="18" t="s">
        <v>2176</v>
      </c>
      <c r="B502" s="49" t="n">
        <v>46266</v>
      </c>
      <c r="C502" s="18" t="s">
        <v>2157</v>
      </c>
      <c r="D502" s="18" t="s">
        <v>2180</v>
      </c>
      <c r="E502" s="18" t="s">
        <v>99</v>
      </c>
      <c r="F502" s="18" t="s">
        <v>2622</v>
      </c>
      <c r="G502" s="65" t="n">
        <v>0</v>
      </c>
      <c r="H502" s="65"/>
      <c r="I502" s="54"/>
      <c r="J502" s="18"/>
    </row>
    <row r="503" customFormat="false" ht="15" hidden="false" customHeight="false" outlineLevel="0" collapsed="false">
      <c r="A503" s="18" t="s">
        <v>2176</v>
      </c>
      <c r="B503" s="49" t="n">
        <v>46266</v>
      </c>
      <c r="C503" s="18" t="s">
        <v>2157</v>
      </c>
      <c r="D503" s="18" t="s">
        <v>2180</v>
      </c>
      <c r="E503" s="18" t="s">
        <v>113</v>
      </c>
      <c r="F503" s="18" t="s">
        <v>2623</v>
      </c>
      <c r="G503" s="65" t="n">
        <v>0</v>
      </c>
      <c r="H503" s="65"/>
      <c r="I503" s="54"/>
      <c r="J503" s="18"/>
    </row>
    <row r="504" customFormat="false" ht="15" hidden="false" customHeight="false" outlineLevel="0" collapsed="false">
      <c r="A504" s="18" t="s">
        <v>2176</v>
      </c>
      <c r="B504" s="49" t="n">
        <v>46266</v>
      </c>
      <c r="C504" s="18" t="s">
        <v>2157</v>
      </c>
      <c r="D504" s="18" t="s">
        <v>2180</v>
      </c>
      <c r="E504" s="18" t="s">
        <v>119</v>
      </c>
      <c r="F504" s="18" t="s">
        <v>2622</v>
      </c>
      <c r="G504" s="65" t="n">
        <v>0</v>
      </c>
      <c r="H504" s="65"/>
      <c r="I504" s="54"/>
      <c r="J504" s="18"/>
    </row>
    <row r="505" customFormat="false" ht="15" hidden="false" customHeight="false" outlineLevel="0" collapsed="false">
      <c r="A505" s="18" t="s">
        <v>2176</v>
      </c>
      <c r="B505" s="49" t="n">
        <v>46266</v>
      </c>
      <c r="C505" s="18" t="s">
        <v>2186</v>
      </c>
      <c r="D505" s="18" t="s">
        <v>2158</v>
      </c>
      <c r="E505" s="18" t="s">
        <v>2159</v>
      </c>
      <c r="F505" s="18" t="s">
        <v>2463</v>
      </c>
      <c r="G505" s="65" t="n">
        <v>0</v>
      </c>
      <c r="H505" s="65"/>
      <c r="I505" s="54"/>
      <c r="J505" s="18"/>
    </row>
    <row r="506" customFormat="false" ht="15" hidden="false" customHeight="false" outlineLevel="0" collapsed="false">
      <c r="A506" s="18" t="s">
        <v>2176</v>
      </c>
      <c r="B506" s="49" t="n">
        <v>46266</v>
      </c>
      <c r="C506" s="18" t="s">
        <v>2186</v>
      </c>
      <c r="D506" s="18" t="s">
        <v>2158</v>
      </c>
      <c r="E506" s="18" t="s">
        <v>99</v>
      </c>
      <c r="F506" s="18" t="s">
        <v>2463</v>
      </c>
      <c r="G506" s="65" t="n">
        <v>0</v>
      </c>
      <c r="H506" s="65"/>
      <c r="I506" s="54"/>
      <c r="J506" s="18"/>
    </row>
    <row r="507" customFormat="false" ht="15" hidden="false" customHeight="false" outlineLevel="0" collapsed="false">
      <c r="A507" s="18" t="s">
        <v>2176</v>
      </c>
      <c r="B507" s="49" t="n">
        <v>46266</v>
      </c>
      <c r="C507" s="18" t="s">
        <v>2186</v>
      </c>
      <c r="D507" s="18" t="s">
        <v>2158</v>
      </c>
      <c r="E507" s="18" t="s">
        <v>113</v>
      </c>
      <c r="F507" s="18" t="s">
        <v>2501</v>
      </c>
      <c r="G507" s="65" t="n">
        <v>0</v>
      </c>
      <c r="H507" s="65"/>
      <c r="I507" s="54"/>
      <c r="J507" s="18"/>
    </row>
    <row r="508" customFormat="false" ht="15" hidden="false" customHeight="false" outlineLevel="0" collapsed="false">
      <c r="A508" s="18" t="s">
        <v>2176</v>
      </c>
      <c r="B508" s="49" t="n">
        <v>46266</v>
      </c>
      <c r="C508" s="18" t="s">
        <v>2186</v>
      </c>
      <c r="D508" s="18" t="s">
        <v>2158</v>
      </c>
      <c r="E508" s="18" t="s">
        <v>119</v>
      </c>
      <c r="F508" s="18" t="s">
        <v>2463</v>
      </c>
      <c r="G508" s="65" t="n">
        <v>0</v>
      </c>
      <c r="H508" s="65"/>
      <c r="I508" s="54"/>
      <c r="J508" s="18"/>
    </row>
    <row r="509" customFormat="false" ht="15" hidden="false" customHeight="false" outlineLevel="0" collapsed="false">
      <c r="A509" s="18" t="s">
        <v>2176</v>
      </c>
      <c r="B509" s="49" t="n">
        <v>46266</v>
      </c>
      <c r="C509" s="18" t="s">
        <v>2186</v>
      </c>
      <c r="D509" s="18" t="s">
        <v>222</v>
      </c>
      <c r="E509" s="18" t="s">
        <v>2159</v>
      </c>
      <c r="F509" s="18" t="s">
        <v>2463</v>
      </c>
      <c r="G509" s="65" t="n">
        <v>0</v>
      </c>
      <c r="H509" s="65"/>
      <c r="I509" s="54"/>
      <c r="J509" s="18"/>
    </row>
    <row r="510" customFormat="false" ht="15" hidden="false" customHeight="false" outlineLevel="0" collapsed="false">
      <c r="A510" s="18" t="s">
        <v>2176</v>
      </c>
      <c r="B510" s="49" t="n">
        <v>46266</v>
      </c>
      <c r="C510" s="18" t="s">
        <v>2186</v>
      </c>
      <c r="D510" s="18" t="s">
        <v>222</v>
      </c>
      <c r="E510" s="18" t="s">
        <v>99</v>
      </c>
      <c r="F510" s="18" t="s">
        <v>2463</v>
      </c>
      <c r="G510" s="65" t="n">
        <v>0</v>
      </c>
      <c r="H510" s="65"/>
      <c r="I510" s="54"/>
      <c r="J510" s="18"/>
    </row>
    <row r="511" customFormat="false" ht="15" hidden="false" customHeight="false" outlineLevel="0" collapsed="false">
      <c r="A511" s="18" t="s">
        <v>2176</v>
      </c>
      <c r="B511" s="49" t="n">
        <v>46266</v>
      </c>
      <c r="C511" s="18" t="s">
        <v>2186</v>
      </c>
      <c r="D511" s="18" t="s">
        <v>222</v>
      </c>
      <c r="E511" s="18" t="s">
        <v>113</v>
      </c>
      <c r="F511" s="18" t="s">
        <v>2501</v>
      </c>
      <c r="G511" s="65" t="n">
        <v>0</v>
      </c>
      <c r="H511" s="65"/>
      <c r="I511" s="54"/>
      <c r="J511" s="18"/>
    </row>
    <row r="512" customFormat="false" ht="15" hidden="false" customHeight="false" outlineLevel="0" collapsed="false">
      <c r="A512" s="18" t="s">
        <v>2176</v>
      </c>
      <c r="B512" s="49" t="n">
        <v>46266</v>
      </c>
      <c r="C512" s="18" t="s">
        <v>2186</v>
      </c>
      <c r="D512" s="18" t="s">
        <v>222</v>
      </c>
      <c r="E512" s="18" t="s">
        <v>119</v>
      </c>
      <c r="F512" s="18" t="s">
        <v>2463</v>
      </c>
      <c r="G512" s="65" t="n">
        <v>0</v>
      </c>
      <c r="H512" s="65"/>
      <c r="I512" s="54"/>
      <c r="J512" s="18"/>
    </row>
    <row r="513" customFormat="false" ht="15" hidden="false" customHeight="false" outlineLevel="0" collapsed="false">
      <c r="A513" s="18" t="s">
        <v>2176</v>
      </c>
      <c r="B513" s="49" t="n">
        <v>46266</v>
      </c>
      <c r="C513" s="18" t="s">
        <v>2186</v>
      </c>
      <c r="D513" s="18" t="s">
        <v>2168</v>
      </c>
      <c r="E513" s="18" t="s">
        <v>2159</v>
      </c>
      <c r="F513" s="18" t="s">
        <v>2463</v>
      </c>
      <c r="G513" s="65" t="n">
        <v>0</v>
      </c>
      <c r="H513" s="65"/>
      <c r="I513" s="54"/>
      <c r="J513" s="18"/>
    </row>
    <row r="514" customFormat="false" ht="15" hidden="false" customHeight="false" outlineLevel="0" collapsed="false">
      <c r="A514" s="18" t="s">
        <v>2176</v>
      </c>
      <c r="B514" s="49" t="n">
        <v>46266</v>
      </c>
      <c r="C514" s="18" t="s">
        <v>2186</v>
      </c>
      <c r="D514" s="18" t="s">
        <v>2168</v>
      </c>
      <c r="E514" s="18" t="s">
        <v>99</v>
      </c>
      <c r="F514" s="18" t="s">
        <v>2463</v>
      </c>
      <c r="G514" s="65" t="n">
        <v>0</v>
      </c>
      <c r="H514" s="65"/>
      <c r="I514" s="54"/>
      <c r="J514" s="18"/>
    </row>
    <row r="515" customFormat="false" ht="15" hidden="false" customHeight="false" outlineLevel="0" collapsed="false">
      <c r="A515" s="18" t="s">
        <v>2176</v>
      </c>
      <c r="B515" s="49" t="n">
        <v>46266</v>
      </c>
      <c r="C515" s="18" t="s">
        <v>2186</v>
      </c>
      <c r="D515" s="18" t="s">
        <v>2168</v>
      </c>
      <c r="E515" s="18" t="s">
        <v>113</v>
      </c>
      <c r="F515" s="18" t="s">
        <v>2501</v>
      </c>
      <c r="G515" s="65" t="n">
        <v>0</v>
      </c>
      <c r="H515" s="65"/>
      <c r="I515" s="54"/>
      <c r="J515" s="18"/>
    </row>
    <row r="516" customFormat="false" ht="15" hidden="false" customHeight="false" outlineLevel="0" collapsed="false">
      <c r="A516" s="18" t="s">
        <v>2176</v>
      </c>
      <c r="B516" s="49" t="n">
        <v>46266</v>
      </c>
      <c r="C516" s="18" t="s">
        <v>2186</v>
      </c>
      <c r="D516" s="18" t="s">
        <v>2168</v>
      </c>
      <c r="E516" s="18" t="s">
        <v>119</v>
      </c>
      <c r="F516" s="18" t="s">
        <v>2463</v>
      </c>
      <c r="G516" s="65" t="n">
        <v>0</v>
      </c>
      <c r="H516" s="65"/>
      <c r="I516" s="54"/>
      <c r="J516" s="18"/>
    </row>
    <row r="517" customFormat="false" ht="15" hidden="false" customHeight="false" outlineLevel="0" collapsed="false">
      <c r="A517" s="18" t="s">
        <v>2176</v>
      </c>
      <c r="B517" s="49" t="n">
        <v>46266</v>
      </c>
      <c r="C517" s="18" t="s">
        <v>2186</v>
      </c>
      <c r="D517" s="18" t="s">
        <v>2174</v>
      </c>
      <c r="E517" s="18" t="s">
        <v>2159</v>
      </c>
      <c r="F517" s="18" t="s">
        <v>2463</v>
      </c>
      <c r="G517" s="65" t="n">
        <v>0</v>
      </c>
      <c r="H517" s="65"/>
      <c r="I517" s="54"/>
      <c r="J517" s="18"/>
    </row>
    <row r="518" customFormat="false" ht="15" hidden="false" customHeight="false" outlineLevel="0" collapsed="false">
      <c r="A518" s="18" t="s">
        <v>2176</v>
      </c>
      <c r="B518" s="49" t="n">
        <v>46266</v>
      </c>
      <c r="C518" s="18" t="s">
        <v>2186</v>
      </c>
      <c r="D518" s="18" t="s">
        <v>2174</v>
      </c>
      <c r="E518" s="18" t="s">
        <v>99</v>
      </c>
      <c r="F518" s="18" t="s">
        <v>2463</v>
      </c>
      <c r="G518" s="65" t="n">
        <v>0</v>
      </c>
      <c r="H518" s="65"/>
      <c r="I518" s="54"/>
      <c r="J518" s="18"/>
    </row>
    <row r="519" customFormat="false" ht="15" hidden="false" customHeight="false" outlineLevel="0" collapsed="false">
      <c r="A519" s="18" t="s">
        <v>2176</v>
      </c>
      <c r="B519" s="49" t="n">
        <v>46266</v>
      </c>
      <c r="C519" s="18" t="s">
        <v>2186</v>
      </c>
      <c r="D519" s="18" t="s">
        <v>2174</v>
      </c>
      <c r="E519" s="18" t="s">
        <v>113</v>
      </c>
      <c r="F519" s="18" t="s">
        <v>2501</v>
      </c>
      <c r="G519" s="65" t="n">
        <v>0</v>
      </c>
      <c r="H519" s="65"/>
      <c r="I519" s="54"/>
      <c r="J519" s="18"/>
    </row>
    <row r="520" customFormat="false" ht="15" hidden="false" customHeight="false" outlineLevel="0" collapsed="false">
      <c r="A520" s="18" t="s">
        <v>2176</v>
      </c>
      <c r="B520" s="49" t="n">
        <v>46266</v>
      </c>
      <c r="C520" s="18" t="s">
        <v>2186</v>
      </c>
      <c r="D520" s="18" t="s">
        <v>2174</v>
      </c>
      <c r="E520" s="18" t="s">
        <v>119</v>
      </c>
      <c r="F520" s="18" t="s">
        <v>2463</v>
      </c>
      <c r="G520" s="65" t="n">
        <v>0</v>
      </c>
      <c r="H520" s="65"/>
      <c r="I520" s="54"/>
      <c r="J520" s="18"/>
    </row>
    <row r="521" customFormat="false" ht="15" hidden="false" customHeight="false" outlineLevel="0" collapsed="false">
      <c r="A521" s="18" t="s">
        <v>2176</v>
      </c>
      <c r="B521" s="49" t="n">
        <v>46266</v>
      </c>
      <c r="C521" s="18" t="s">
        <v>2186</v>
      </c>
      <c r="D521" s="18" t="s">
        <v>2180</v>
      </c>
      <c r="E521" s="18" t="s">
        <v>2159</v>
      </c>
      <c r="F521" s="18" t="s">
        <v>2463</v>
      </c>
      <c r="G521" s="65" t="n">
        <v>0</v>
      </c>
      <c r="H521" s="65"/>
      <c r="I521" s="54"/>
      <c r="J521" s="18"/>
    </row>
    <row r="522" customFormat="false" ht="15" hidden="false" customHeight="false" outlineLevel="0" collapsed="false">
      <c r="A522" s="18" t="s">
        <v>2176</v>
      </c>
      <c r="B522" s="49" t="n">
        <v>46266</v>
      </c>
      <c r="C522" s="18" t="s">
        <v>2186</v>
      </c>
      <c r="D522" s="18" t="s">
        <v>2180</v>
      </c>
      <c r="E522" s="18" t="s">
        <v>99</v>
      </c>
      <c r="F522" s="18" t="s">
        <v>2463</v>
      </c>
      <c r="G522" s="65" t="n">
        <v>0</v>
      </c>
      <c r="H522" s="65"/>
      <c r="I522" s="54"/>
      <c r="J522" s="18"/>
    </row>
    <row r="523" customFormat="false" ht="15" hidden="false" customHeight="false" outlineLevel="0" collapsed="false">
      <c r="A523" s="18" t="s">
        <v>2176</v>
      </c>
      <c r="B523" s="49" t="n">
        <v>46266</v>
      </c>
      <c r="C523" s="18" t="s">
        <v>2186</v>
      </c>
      <c r="D523" s="18" t="s">
        <v>2180</v>
      </c>
      <c r="E523" s="18" t="s">
        <v>113</v>
      </c>
      <c r="F523" s="18" t="s">
        <v>2501</v>
      </c>
      <c r="G523" s="65" t="n">
        <v>0</v>
      </c>
      <c r="H523" s="65"/>
      <c r="I523" s="54"/>
      <c r="J523" s="18"/>
    </row>
    <row r="524" customFormat="false" ht="15" hidden="false" customHeight="false" outlineLevel="0" collapsed="false">
      <c r="A524" s="18" t="s">
        <v>2176</v>
      </c>
      <c r="B524" s="49" t="n">
        <v>46266</v>
      </c>
      <c r="C524" s="18" t="s">
        <v>2186</v>
      </c>
      <c r="D524" s="18" t="s">
        <v>2180</v>
      </c>
      <c r="E524" s="18" t="s">
        <v>119</v>
      </c>
      <c r="F524" s="18" t="s">
        <v>2463</v>
      </c>
      <c r="G524" s="65" t="n">
        <v>0</v>
      </c>
      <c r="H524" s="65"/>
      <c r="I524" s="54"/>
      <c r="J524" s="18"/>
    </row>
    <row r="525" customFormat="false" ht="15" hidden="false" customHeight="false" outlineLevel="0" collapsed="false">
      <c r="A525" s="18" t="s">
        <v>2176</v>
      </c>
      <c r="B525" s="49" t="n">
        <v>46296</v>
      </c>
      <c r="C525" s="18" t="s">
        <v>2157</v>
      </c>
      <c r="D525" s="18" t="s">
        <v>2158</v>
      </c>
      <c r="E525" s="18" t="s">
        <v>2159</v>
      </c>
      <c r="F525" s="18" t="s">
        <v>2624</v>
      </c>
      <c r="G525" s="65" t="n">
        <v>-7912.0243</v>
      </c>
      <c r="H525" s="65" t="n">
        <v>218.724385575161</v>
      </c>
      <c r="I525" s="54" t="n">
        <v>0.00645255311113949</v>
      </c>
      <c r="J525" s="18" t="b">
        <f aca="false">FALSE()</f>
        <v>0</v>
      </c>
    </row>
    <row r="526" customFormat="false" ht="15" hidden="false" customHeight="false" outlineLevel="0" collapsed="false">
      <c r="A526" s="18" t="s">
        <v>2176</v>
      </c>
      <c r="B526" s="49" t="n">
        <v>46296</v>
      </c>
      <c r="C526" s="18" t="s">
        <v>2157</v>
      </c>
      <c r="D526" s="18" t="s">
        <v>2158</v>
      </c>
      <c r="E526" s="18" t="s">
        <v>99</v>
      </c>
      <c r="F526" s="18" t="s">
        <v>2622</v>
      </c>
      <c r="G526" s="65" t="n">
        <v>0</v>
      </c>
      <c r="H526" s="65"/>
      <c r="I526" s="54"/>
      <c r="J526" s="18"/>
    </row>
    <row r="527" customFormat="false" ht="15" hidden="false" customHeight="false" outlineLevel="0" collapsed="false">
      <c r="A527" s="18" t="s">
        <v>2176</v>
      </c>
      <c r="B527" s="49" t="n">
        <v>46296</v>
      </c>
      <c r="C527" s="18" t="s">
        <v>2157</v>
      </c>
      <c r="D527" s="18" t="s">
        <v>2158</v>
      </c>
      <c r="E527" s="18" t="s">
        <v>113</v>
      </c>
      <c r="F527" s="18" t="s">
        <v>2625</v>
      </c>
      <c r="G527" s="65" t="n">
        <v>0</v>
      </c>
      <c r="H527" s="65"/>
      <c r="I527" s="54"/>
      <c r="J527" s="18"/>
    </row>
    <row r="528" customFormat="false" ht="15" hidden="false" customHeight="false" outlineLevel="0" collapsed="false">
      <c r="A528" s="18" t="s">
        <v>2176</v>
      </c>
      <c r="B528" s="49" t="n">
        <v>46296</v>
      </c>
      <c r="C528" s="18" t="s">
        <v>2157</v>
      </c>
      <c r="D528" s="18" t="s">
        <v>2158</v>
      </c>
      <c r="E528" s="18" t="s">
        <v>119</v>
      </c>
      <c r="F528" s="18" t="s">
        <v>2624</v>
      </c>
      <c r="G528" s="65" t="n">
        <v>-7912.0243</v>
      </c>
      <c r="H528" s="65"/>
      <c r="I528" s="54"/>
      <c r="J528" s="18"/>
    </row>
    <row r="529" customFormat="false" ht="15" hidden="false" customHeight="false" outlineLevel="0" collapsed="false">
      <c r="A529" s="18" t="s">
        <v>2176</v>
      </c>
      <c r="B529" s="49" t="n">
        <v>46296</v>
      </c>
      <c r="C529" s="18" t="s">
        <v>2157</v>
      </c>
      <c r="D529" s="18" t="s">
        <v>222</v>
      </c>
      <c r="E529" s="18" t="s">
        <v>2159</v>
      </c>
      <c r="F529" s="18" t="s">
        <v>2626</v>
      </c>
      <c r="G529" s="65" t="n">
        <v>0</v>
      </c>
      <c r="H529" s="65" t="n">
        <v>0</v>
      </c>
      <c r="I529" s="54" t="n">
        <v>0</v>
      </c>
      <c r="J529" s="18" t="b">
        <f aca="false">FALSE()</f>
        <v>0</v>
      </c>
    </row>
    <row r="530" customFormat="false" ht="15" hidden="false" customHeight="false" outlineLevel="0" collapsed="false">
      <c r="A530" s="18" t="s">
        <v>2176</v>
      </c>
      <c r="B530" s="49" t="n">
        <v>46296</v>
      </c>
      <c r="C530" s="18" t="s">
        <v>2157</v>
      </c>
      <c r="D530" s="18" t="s">
        <v>222</v>
      </c>
      <c r="E530" s="18" t="s">
        <v>99</v>
      </c>
      <c r="F530" s="18" t="s">
        <v>2622</v>
      </c>
      <c r="G530" s="65" t="n">
        <v>0</v>
      </c>
      <c r="H530" s="65"/>
      <c r="I530" s="54"/>
      <c r="J530" s="18"/>
    </row>
    <row r="531" customFormat="false" ht="15" hidden="false" customHeight="false" outlineLevel="0" collapsed="false">
      <c r="A531" s="18" t="s">
        <v>2176</v>
      </c>
      <c r="B531" s="49" t="n">
        <v>46296</v>
      </c>
      <c r="C531" s="18" t="s">
        <v>2157</v>
      </c>
      <c r="D531" s="18" t="s">
        <v>222</v>
      </c>
      <c r="E531" s="18" t="s">
        <v>113</v>
      </c>
      <c r="F531" s="18" t="s">
        <v>2625</v>
      </c>
      <c r="G531" s="65" t="n">
        <v>0</v>
      </c>
      <c r="H531" s="65"/>
      <c r="I531" s="54"/>
      <c r="J531" s="18"/>
    </row>
    <row r="532" customFormat="false" ht="15" hidden="false" customHeight="false" outlineLevel="0" collapsed="false">
      <c r="A532" s="18" t="s">
        <v>2176</v>
      </c>
      <c r="B532" s="49" t="n">
        <v>46296</v>
      </c>
      <c r="C532" s="18" t="s">
        <v>2157</v>
      </c>
      <c r="D532" s="18" t="s">
        <v>222</v>
      </c>
      <c r="E532" s="18" t="s">
        <v>119</v>
      </c>
      <c r="F532" s="18" t="s">
        <v>2626</v>
      </c>
      <c r="G532" s="65" t="n">
        <v>0</v>
      </c>
      <c r="H532" s="65"/>
      <c r="I532" s="54"/>
      <c r="J532" s="18"/>
    </row>
    <row r="533" customFormat="false" ht="15" hidden="false" customHeight="false" outlineLevel="0" collapsed="false">
      <c r="A533" s="18" t="s">
        <v>2176</v>
      </c>
      <c r="B533" s="49" t="n">
        <v>46296</v>
      </c>
      <c r="C533" s="18" t="s">
        <v>2157</v>
      </c>
      <c r="D533" s="18" t="s">
        <v>2168</v>
      </c>
      <c r="E533" s="18" t="s">
        <v>2159</v>
      </c>
      <c r="F533" s="18" t="s">
        <v>2627</v>
      </c>
      <c r="G533" s="65" t="n">
        <v>-25985.3156</v>
      </c>
      <c r="H533" s="65" t="n">
        <v>218.724385575161</v>
      </c>
      <c r="I533" s="54" t="n">
        <v>0.00645255311113949</v>
      </c>
      <c r="J533" s="18" t="b">
        <f aca="false">FALSE()</f>
        <v>0</v>
      </c>
    </row>
    <row r="534" customFormat="false" ht="15" hidden="false" customHeight="false" outlineLevel="0" collapsed="false">
      <c r="A534" s="18" t="s">
        <v>2176</v>
      </c>
      <c r="B534" s="49" t="n">
        <v>46296</v>
      </c>
      <c r="C534" s="18" t="s">
        <v>2157</v>
      </c>
      <c r="D534" s="18" t="s">
        <v>2168</v>
      </c>
      <c r="E534" s="18" t="s">
        <v>99</v>
      </c>
      <c r="F534" s="18" t="s">
        <v>2622</v>
      </c>
      <c r="G534" s="65" t="n">
        <v>0</v>
      </c>
      <c r="H534" s="65"/>
      <c r="I534" s="54"/>
      <c r="J534" s="18"/>
    </row>
    <row r="535" customFormat="false" ht="15" hidden="false" customHeight="false" outlineLevel="0" collapsed="false">
      <c r="A535" s="18" t="s">
        <v>2176</v>
      </c>
      <c r="B535" s="49" t="n">
        <v>46296</v>
      </c>
      <c r="C535" s="18" t="s">
        <v>2157</v>
      </c>
      <c r="D535" s="18" t="s">
        <v>2168</v>
      </c>
      <c r="E535" s="18" t="s">
        <v>113</v>
      </c>
      <c r="F535" s="18" t="s">
        <v>2625</v>
      </c>
      <c r="G535" s="65" t="n">
        <v>0</v>
      </c>
      <c r="H535" s="65"/>
      <c r="I535" s="54"/>
      <c r="J535" s="18"/>
    </row>
    <row r="536" customFormat="false" ht="15" hidden="false" customHeight="false" outlineLevel="0" collapsed="false">
      <c r="A536" s="18" t="s">
        <v>2176</v>
      </c>
      <c r="B536" s="49" t="n">
        <v>46296</v>
      </c>
      <c r="C536" s="18" t="s">
        <v>2157</v>
      </c>
      <c r="D536" s="18" t="s">
        <v>2168</v>
      </c>
      <c r="E536" s="18" t="s">
        <v>119</v>
      </c>
      <c r="F536" s="18" t="s">
        <v>2627</v>
      </c>
      <c r="G536" s="65" t="n">
        <v>-25985.3156</v>
      </c>
      <c r="H536" s="65"/>
      <c r="I536" s="54"/>
      <c r="J536" s="18"/>
    </row>
    <row r="537" customFormat="false" ht="15" hidden="false" customHeight="false" outlineLevel="0" collapsed="false">
      <c r="A537" s="18" t="s">
        <v>2176</v>
      </c>
      <c r="B537" s="49" t="n">
        <v>46296</v>
      </c>
      <c r="C537" s="18" t="s">
        <v>2157</v>
      </c>
      <c r="D537" s="18" t="s">
        <v>2174</v>
      </c>
      <c r="E537" s="18" t="s">
        <v>2159</v>
      </c>
      <c r="F537" s="18" t="s">
        <v>2626</v>
      </c>
      <c r="G537" s="65" t="n">
        <v>0</v>
      </c>
      <c r="H537" s="65" t="n">
        <v>0</v>
      </c>
      <c r="I537" s="54" t="n">
        <v>0</v>
      </c>
      <c r="J537" s="18" t="b">
        <f aca="false">FALSE()</f>
        <v>0</v>
      </c>
    </row>
    <row r="538" customFormat="false" ht="15" hidden="false" customHeight="false" outlineLevel="0" collapsed="false">
      <c r="A538" s="18" t="s">
        <v>2176</v>
      </c>
      <c r="B538" s="49" t="n">
        <v>46296</v>
      </c>
      <c r="C538" s="18" t="s">
        <v>2157</v>
      </c>
      <c r="D538" s="18" t="s">
        <v>2174</v>
      </c>
      <c r="E538" s="18" t="s">
        <v>99</v>
      </c>
      <c r="F538" s="18" t="s">
        <v>2622</v>
      </c>
      <c r="G538" s="65" t="n">
        <v>0</v>
      </c>
      <c r="H538" s="65"/>
      <c r="I538" s="54"/>
      <c r="J538" s="18"/>
    </row>
    <row r="539" customFormat="false" ht="15" hidden="false" customHeight="false" outlineLevel="0" collapsed="false">
      <c r="A539" s="18" t="s">
        <v>2176</v>
      </c>
      <c r="B539" s="49" t="n">
        <v>46296</v>
      </c>
      <c r="C539" s="18" t="s">
        <v>2157</v>
      </c>
      <c r="D539" s="18" t="s">
        <v>2174</v>
      </c>
      <c r="E539" s="18" t="s">
        <v>113</v>
      </c>
      <c r="F539" s="18" t="s">
        <v>2625</v>
      </c>
      <c r="G539" s="65" t="n">
        <v>0</v>
      </c>
      <c r="H539" s="65"/>
      <c r="I539" s="54"/>
      <c r="J539" s="18"/>
    </row>
    <row r="540" customFormat="false" ht="15" hidden="false" customHeight="false" outlineLevel="0" collapsed="false">
      <c r="A540" s="18" t="s">
        <v>2176</v>
      </c>
      <c r="B540" s="49" t="n">
        <v>46296</v>
      </c>
      <c r="C540" s="18" t="s">
        <v>2157</v>
      </c>
      <c r="D540" s="18" t="s">
        <v>2174</v>
      </c>
      <c r="E540" s="18" t="s">
        <v>119</v>
      </c>
      <c r="F540" s="18" t="s">
        <v>2626</v>
      </c>
      <c r="G540" s="65" t="n">
        <v>0</v>
      </c>
      <c r="H540" s="65"/>
      <c r="I540" s="54"/>
      <c r="J540" s="18"/>
    </row>
    <row r="541" customFormat="false" ht="15" hidden="false" customHeight="false" outlineLevel="0" collapsed="false">
      <c r="A541" s="18" t="s">
        <v>2176</v>
      </c>
      <c r="B541" s="49" t="n">
        <v>46296</v>
      </c>
      <c r="C541" s="18" t="s">
        <v>2157</v>
      </c>
      <c r="D541" s="18" t="s">
        <v>2180</v>
      </c>
      <c r="E541" s="18" t="s">
        <v>2159</v>
      </c>
      <c r="F541" s="18" t="s">
        <v>2622</v>
      </c>
      <c r="G541" s="65" t="n">
        <v>0</v>
      </c>
      <c r="H541" s="65" t="n">
        <v>0</v>
      </c>
      <c r="I541" s="54" t="n">
        <v>0</v>
      </c>
      <c r="J541" s="18" t="b">
        <f aca="false">FALSE()</f>
        <v>0</v>
      </c>
    </row>
    <row r="542" customFormat="false" ht="15" hidden="false" customHeight="false" outlineLevel="0" collapsed="false">
      <c r="A542" s="18" t="s">
        <v>2176</v>
      </c>
      <c r="B542" s="49" t="n">
        <v>46296</v>
      </c>
      <c r="C542" s="18" t="s">
        <v>2157</v>
      </c>
      <c r="D542" s="18" t="s">
        <v>2180</v>
      </c>
      <c r="E542" s="18" t="s">
        <v>99</v>
      </c>
      <c r="F542" s="18" t="s">
        <v>2622</v>
      </c>
      <c r="G542" s="65" t="n">
        <v>0</v>
      </c>
      <c r="H542" s="65"/>
      <c r="I542" s="54"/>
      <c r="J542" s="18"/>
    </row>
    <row r="543" customFormat="false" ht="15" hidden="false" customHeight="false" outlineLevel="0" collapsed="false">
      <c r="A543" s="18" t="s">
        <v>2176</v>
      </c>
      <c r="B543" s="49" t="n">
        <v>46296</v>
      </c>
      <c r="C543" s="18" t="s">
        <v>2157</v>
      </c>
      <c r="D543" s="18" t="s">
        <v>2180</v>
      </c>
      <c r="E543" s="18" t="s">
        <v>113</v>
      </c>
      <c r="F543" s="18" t="s">
        <v>2625</v>
      </c>
      <c r="G543" s="65" t="n">
        <v>0</v>
      </c>
      <c r="H543" s="65"/>
      <c r="I543" s="54"/>
      <c r="J543" s="18"/>
    </row>
    <row r="544" customFormat="false" ht="15" hidden="false" customHeight="false" outlineLevel="0" collapsed="false">
      <c r="A544" s="18" t="s">
        <v>2176</v>
      </c>
      <c r="B544" s="49" t="n">
        <v>46296</v>
      </c>
      <c r="C544" s="18" t="s">
        <v>2157</v>
      </c>
      <c r="D544" s="18" t="s">
        <v>2180</v>
      </c>
      <c r="E544" s="18" t="s">
        <v>119</v>
      </c>
      <c r="F544" s="18" t="s">
        <v>2622</v>
      </c>
      <c r="G544" s="65" t="n">
        <v>0</v>
      </c>
      <c r="H544" s="65"/>
      <c r="I544" s="54"/>
      <c r="J544" s="18"/>
    </row>
    <row r="545" customFormat="false" ht="15" hidden="false" customHeight="false" outlineLevel="0" collapsed="false">
      <c r="A545" s="18" t="s">
        <v>2176</v>
      </c>
      <c r="B545" s="49" t="n">
        <v>46296</v>
      </c>
      <c r="C545" s="18" t="s">
        <v>2186</v>
      </c>
      <c r="D545" s="18" t="s">
        <v>2158</v>
      </c>
      <c r="E545" s="18" t="s">
        <v>2159</v>
      </c>
      <c r="F545" s="18" t="s">
        <v>2628</v>
      </c>
      <c r="G545" s="65" t="n">
        <v>-8130.7486</v>
      </c>
      <c r="H545" s="65"/>
      <c r="I545" s="54"/>
      <c r="J545" s="18"/>
    </row>
    <row r="546" customFormat="false" ht="15" hidden="false" customHeight="false" outlineLevel="0" collapsed="false">
      <c r="A546" s="18" t="s">
        <v>2176</v>
      </c>
      <c r="B546" s="49" t="n">
        <v>46296</v>
      </c>
      <c r="C546" s="18" t="s">
        <v>2186</v>
      </c>
      <c r="D546" s="18" t="s">
        <v>2158</v>
      </c>
      <c r="E546" s="18" t="s">
        <v>99</v>
      </c>
      <c r="F546" s="18" t="s">
        <v>2463</v>
      </c>
      <c r="G546" s="65" t="n">
        <v>0</v>
      </c>
      <c r="H546" s="65"/>
      <c r="I546" s="54"/>
      <c r="J546" s="18"/>
    </row>
    <row r="547" customFormat="false" ht="15" hidden="false" customHeight="false" outlineLevel="0" collapsed="false">
      <c r="A547" s="18" t="s">
        <v>2176</v>
      </c>
      <c r="B547" s="49" t="n">
        <v>46296</v>
      </c>
      <c r="C547" s="18" t="s">
        <v>2186</v>
      </c>
      <c r="D547" s="18" t="s">
        <v>2158</v>
      </c>
      <c r="E547" s="18" t="s">
        <v>113</v>
      </c>
      <c r="F547" s="18" t="s">
        <v>2537</v>
      </c>
      <c r="G547" s="65" t="n">
        <v>0</v>
      </c>
      <c r="H547" s="65"/>
      <c r="I547" s="54"/>
      <c r="J547" s="18"/>
    </row>
    <row r="548" customFormat="false" ht="15" hidden="false" customHeight="false" outlineLevel="0" collapsed="false">
      <c r="A548" s="18" t="s">
        <v>2176</v>
      </c>
      <c r="B548" s="49" t="n">
        <v>46296</v>
      </c>
      <c r="C548" s="18" t="s">
        <v>2186</v>
      </c>
      <c r="D548" s="18" t="s">
        <v>2158</v>
      </c>
      <c r="E548" s="18" t="s">
        <v>119</v>
      </c>
      <c r="F548" s="18" t="s">
        <v>2628</v>
      </c>
      <c r="G548" s="65" t="n">
        <v>-8130.7486</v>
      </c>
      <c r="H548" s="65"/>
      <c r="I548" s="54"/>
      <c r="J548" s="18"/>
    </row>
    <row r="549" customFormat="false" ht="15" hidden="false" customHeight="false" outlineLevel="0" collapsed="false">
      <c r="A549" s="18" t="s">
        <v>2176</v>
      </c>
      <c r="B549" s="49" t="n">
        <v>46296</v>
      </c>
      <c r="C549" s="18" t="s">
        <v>2186</v>
      </c>
      <c r="D549" s="18" t="s">
        <v>222</v>
      </c>
      <c r="E549" s="18" t="s">
        <v>2159</v>
      </c>
      <c r="F549" s="18" t="s">
        <v>2629</v>
      </c>
      <c r="G549" s="65" t="n">
        <v>0</v>
      </c>
      <c r="H549" s="65"/>
      <c r="I549" s="54"/>
      <c r="J549" s="18"/>
    </row>
    <row r="550" customFormat="false" ht="15" hidden="false" customHeight="false" outlineLevel="0" collapsed="false">
      <c r="A550" s="18" t="s">
        <v>2176</v>
      </c>
      <c r="B550" s="49" t="n">
        <v>46296</v>
      </c>
      <c r="C550" s="18" t="s">
        <v>2186</v>
      </c>
      <c r="D550" s="18" t="s">
        <v>222</v>
      </c>
      <c r="E550" s="18" t="s">
        <v>99</v>
      </c>
      <c r="F550" s="18" t="s">
        <v>2463</v>
      </c>
      <c r="G550" s="65" t="n">
        <v>0</v>
      </c>
      <c r="H550" s="65"/>
      <c r="I550" s="54"/>
      <c r="J550" s="18"/>
    </row>
    <row r="551" customFormat="false" ht="15" hidden="false" customHeight="false" outlineLevel="0" collapsed="false">
      <c r="A551" s="18" t="s">
        <v>2176</v>
      </c>
      <c r="B551" s="49" t="n">
        <v>46296</v>
      </c>
      <c r="C551" s="18" t="s">
        <v>2186</v>
      </c>
      <c r="D551" s="18" t="s">
        <v>222</v>
      </c>
      <c r="E551" s="18" t="s">
        <v>113</v>
      </c>
      <c r="F551" s="18" t="s">
        <v>2537</v>
      </c>
      <c r="G551" s="65" t="n">
        <v>0</v>
      </c>
      <c r="H551" s="65"/>
      <c r="I551" s="54"/>
      <c r="J551" s="18"/>
    </row>
    <row r="552" customFormat="false" ht="15" hidden="false" customHeight="false" outlineLevel="0" collapsed="false">
      <c r="A552" s="18" t="s">
        <v>2176</v>
      </c>
      <c r="B552" s="49" t="n">
        <v>46296</v>
      </c>
      <c r="C552" s="18" t="s">
        <v>2186</v>
      </c>
      <c r="D552" s="18" t="s">
        <v>222</v>
      </c>
      <c r="E552" s="18" t="s">
        <v>119</v>
      </c>
      <c r="F552" s="18" t="s">
        <v>2629</v>
      </c>
      <c r="G552" s="65" t="n">
        <v>0</v>
      </c>
      <c r="H552" s="65"/>
      <c r="I552" s="54"/>
      <c r="J552" s="18"/>
    </row>
    <row r="553" customFormat="false" ht="15" hidden="false" customHeight="false" outlineLevel="0" collapsed="false">
      <c r="A553" s="18" t="s">
        <v>2176</v>
      </c>
      <c r="B553" s="49" t="n">
        <v>46296</v>
      </c>
      <c r="C553" s="18" t="s">
        <v>2186</v>
      </c>
      <c r="D553" s="18" t="s">
        <v>2168</v>
      </c>
      <c r="E553" s="18" t="s">
        <v>2159</v>
      </c>
      <c r="F553" s="18" t="s">
        <v>2630</v>
      </c>
      <c r="G553" s="65" t="n">
        <v>-25766.5912</v>
      </c>
      <c r="H553" s="65"/>
      <c r="I553" s="54"/>
      <c r="J553" s="18"/>
    </row>
    <row r="554" customFormat="false" ht="15" hidden="false" customHeight="false" outlineLevel="0" collapsed="false">
      <c r="A554" s="18" t="s">
        <v>2176</v>
      </c>
      <c r="B554" s="49" t="n">
        <v>46296</v>
      </c>
      <c r="C554" s="18" t="s">
        <v>2186</v>
      </c>
      <c r="D554" s="18" t="s">
        <v>2168</v>
      </c>
      <c r="E554" s="18" t="s">
        <v>99</v>
      </c>
      <c r="F554" s="18" t="s">
        <v>2463</v>
      </c>
      <c r="G554" s="65" t="n">
        <v>0</v>
      </c>
      <c r="H554" s="65"/>
      <c r="I554" s="54"/>
      <c r="J554" s="18"/>
    </row>
    <row r="555" customFormat="false" ht="15" hidden="false" customHeight="false" outlineLevel="0" collapsed="false">
      <c r="A555" s="18" t="s">
        <v>2176</v>
      </c>
      <c r="B555" s="49" t="n">
        <v>46296</v>
      </c>
      <c r="C555" s="18" t="s">
        <v>2186</v>
      </c>
      <c r="D555" s="18" t="s">
        <v>2168</v>
      </c>
      <c r="E555" s="18" t="s">
        <v>113</v>
      </c>
      <c r="F555" s="18" t="s">
        <v>2537</v>
      </c>
      <c r="G555" s="65" t="n">
        <v>0</v>
      </c>
      <c r="H555" s="65"/>
      <c r="I555" s="54"/>
      <c r="J555" s="18"/>
    </row>
    <row r="556" customFormat="false" ht="15" hidden="false" customHeight="false" outlineLevel="0" collapsed="false">
      <c r="A556" s="18" t="s">
        <v>2176</v>
      </c>
      <c r="B556" s="49" t="n">
        <v>46296</v>
      </c>
      <c r="C556" s="18" t="s">
        <v>2186</v>
      </c>
      <c r="D556" s="18" t="s">
        <v>2168</v>
      </c>
      <c r="E556" s="18" t="s">
        <v>119</v>
      </c>
      <c r="F556" s="18" t="s">
        <v>2630</v>
      </c>
      <c r="G556" s="65" t="n">
        <v>-25766.5912</v>
      </c>
      <c r="H556" s="65"/>
      <c r="I556" s="54"/>
      <c r="J556" s="18"/>
    </row>
    <row r="557" customFormat="false" ht="15" hidden="false" customHeight="false" outlineLevel="0" collapsed="false">
      <c r="A557" s="18" t="s">
        <v>2176</v>
      </c>
      <c r="B557" s="49" t="n">
        <v>46296</v>
      </c>
      <c r="C557" s="18" t="s">
        <v>2186</v>
      </c>
      <c r="D557" s="18" t="s">
        <v>2174</v>
      </c>
      <c r="E557" s="18" t="s">
        <v>2159</v>
      </c>
      <c r="F557" s="18" t="s">
        <v>2629</v>
      </c>
      <c r="G557" s="65" t="n">
        <v>0</v>
      </c>
      <c r="H557" s="65"/>
      <c r="I557" s="54"/>
      <c r="J557" s="18"/>
    </row>
    <row r="558" customFormat="false" ht="15" hidden="false" customHeight="false" outlineLevel="0" collapsed="false">
      <c r="A558" s="18" t="s">
        <v>2176</v>
      </c>
      <c r="B558" s="49" t="n">
        <v>46296</v>
      </c>
      <c r="C558" s="18" t="s">
        <v>2186</v>
      </c>
      <c r="D558" s="18" t="s">
        <v>2174</v>
      </c>
      <c r="E558" s="18" t="s">
        <v>99</v>
      </c>
      <c r="F558" s="18" t="s">
        <v>2463</v>
      </c>
      <c r="G558" s="65" t="n">
        <v>0</v>
      </c>
      <c r="H558" s="65"/>
      <c r="I558" s="54"/>
      <c r="J558" s="18"/>
    </row>
    <row r="559" customFormat="false" ht="15" hidden="false" customHeight="false" outlineLevel="0" collapsed="false">
      <c r="A559" s="18" t="s">
        <v>2176</v>
      </c>
      <c r="B559" s="49" t="n">
        <v>46296</v>
      </c>
      <c r="C559" s="18" t="s">
        <v>2186</v>
      </c>
      <c r="D559" s="18" t="s">
        <v>2174</v>
      </c>
      <c r="E559" s="18" t="s">
        <v>113</v>
      </c>
      <c r="F559" s="18" t="s">
        <v>2537</v>
      </c>
      <c r="G559" s="65" t="n">
        <v>0</v>
      </c>
      <c r="H559" s="65"/>
      <c r="I559" s="54"/>
      <c r="J559" s="18"/>
    </row>
    <row r="560" customFormat="false" ht="15" hidden="false" customHeight="false" outlineLevel="0" collapsed="false">
      <c r="A560" s="18" t="s">
        <v>2176</v>
      </c>
      <c r="B560" s="49" t="n">
        <v>46296</v>
      </c>
      <c r="C560" s="18" t="s">
        <v>2186</v>
      </c>
      <c r="D560" s="18" t="s">
        <v>2174</v>
      </c>
      <c r="E560" s="18" t="s">
        <v>119</v>
      </c>
      <c r="F560" s="18" t="s">
        <v>2629</v>
      </c>
      <c r="G560" s="65" t="n">
        <v>0</v>
      </c>
      <c r="H560" s="65"/>
      <c r="I560" s="54"/>
      <c r="J560" s="18"/>
    </row>
    <row r="561" customFormat="false" ht="15" hidden="false" customHeight="false" outlineLevel="0" collapsed="false">
      <c r="A561" s="18" t="s">
        <v>2176</v>
      </c>
      <c r="B561" s="49" t="n">
        <v>46296</v>
      </c>
      <c r="C561" s="18" t="s">
        <v>2186</v>
      </c>
      <c r="D561" s="18" t="s">
        <v>2180</v>
      </c>
      <c r="E561" s="18" t="s">
        <v>2159</v>
      </c>
      <c r="F561" s="18" t="s">
        <v>2629</v>
      </c>
      <c r="G561" s="65" t="n">
        <v>0</v>
      </c>
      <c r="H561" s="65"/>
      <c r="I561" s="54"/>
      <c r="J561" s="18"/>
    </row>
    <row r="562" customFormat="false" ht="15" hidden="false" customHeight="false" outlineLevel="0" collapsed="false">
      <c r="A562" s="18" t="s">
        <v>2176</v>
      </c>
      <c r="B562" s="49" t="n">
        <v>46296</v>
      </c>
      <c r="C562" s="18" t="s">
        <v>2186</v>
      </c>
      <c r="D562" s="18" t="s">
        <v>2180</v>
      </c>
      <c r="E562" s="18" t="s">
        <v>99</v>
      </c>
      <c r="F562" s="18" t="s">
        <v>2463</v>
      </c>
      <c r="G562" s="65" t="n">
        <v>0</v>
      </c>
      <c r="H562" s="65"/>
      <c r="I562" s="54"/>
      <c r="J562" s="18"/>
    </row>
    <row r="563" customFormat="false" ht="15" hidden="false" customHeight="false" outlineLevel="0" collapsed="false">
      <c r="A563" s="18" t="s">
        <v>2176</v>
      </c>
      <c r="B563" s="49" t="n">
        <v>46296</v>
      </c>
      <c r="C563" s="18" t="s">
        <v>2186</v>
      </c>
      <c r="D563" s="18" t="s">
        <v>2180</v>
      </c>
      <c r="E563" s="18" t="s">
        <v>113</v>
      </c>
      <c r="F563" s="18" t="s">
        <v>2537</v>
      </c>
      <c r="G563" s="65" t="n">
        <v>0</v>
      </c>
      <c r="H563" s="65"/>
      <c r="I563" s="54"/>
      <c r="J563" s="18"/>
    </row>
    <row r="564" customFormat="false" ht="15" hidden="false" customHeight="false" outlineLevel="0" collapsed="false">
      <c r="A564" s="18" t="s">
        <v>2176</v>
      </c>
      <c r="B564" s="49" t="n">
        <v>46296</v>
      </c>
      <c r="C564" s="18" t="s">
        <v>2186</v>
      </c>
      <c r="D564" s="18" t="s">
        <v>2180</v>
      </c>
      <c r="E564" s="18" t="s">
        <v>119</v>
      </c>
      <c r="F564" s="18" t="s">
        <v>2629</v>
      </c>
      <c r="G564" s="65" t="n">
        <v>0</v>
      </c>
      <c r="H564" s="65"/>
      <c r="I564" s="54"/>
      <c r="J564" s="18"/>
    </row>
    <row r="565" customFormat="false" ht="15" hidden="false" customHeight="false" outlineLevel="0" collapsed="false">
      <c r="A565" s="18" t="s">
        <v>2176</v>
      </c>
      <c r="B565" s="49" t="n">
        <v>46327</v>
      </c>
      <c r="C565" s="18" t="s">
        <v>2157</v>
      </c>
      <c r="D565" s="18" t="s">
        <v>2158</v>
      </c>
      <c r="E565" s="18" t="s">
        <v>2159</v>
      </c>
      <c r="F565" s="18" t="s">
        <v>2631</v>
      </c>
      <c r="G565" s="65" t="n">
        <v>-20236.5172</v>
      </c>
      <c r="H565" s="65" t="n">
        <v>851.331898011624</v>
      </c>
      <c r="I565" s="54" t="n">
        <v>0.0120180597090286</v>
      </c>
      <c r="J565" s="18" t="b">
        <f aca="false">FALSE()</f>
        <v>0</v>
      </c>
    </row>
    <row r="566" customFormat="false" ht="15" hidden="false" customHeight="false" outlineLevel="0" collapsed="false">
      <c r="A566" s="18" t="s">
        <v>2176</v>
      </c>
      <c r="B566" s="49" t="n">
        <v>46327</v>
      </c>
      <c r="C566" s="18" t="s">
        <v>2157</v>
      </c>
      <c r="D566" s="18" t="s">
        <v>2158</v>
      </c>
      <c r="E566" s="18" t="s">
        <v>99</v>
      </c>
      <c r="F566" s="18" t="s">
        <v>2622</v>
      </c>
      <c r="G566" s="65" t="n">
        <v>0</v>
      </c>
      <c r="H566" s="65"/>
      <c r="I566" s="54"/>
      <c r="J566" s="18"/>
    </row>
    <row r="567" customFormat="false" ht="15" hidden="false" customHeight="false" outlineLevel="0" collapsed="false">
      <c r="A567" s="18" t="s">
        <v>2176</v>
      </c>
      <c r="B567" s="49" t="n">
        <v>46327</v>
      </c>
      <c r="C567" s="18" t="s">
        <v>2157</v>
      </c>
      <c r="D567" s="18" t="s">
        <v>2158</v>
      </c>
      <c r="E567" s="18" t="s">
        <v>113</v>
      </c>
      <c r="F567" s="18" t="s">
        <v>2625</v>
      </c>
      <c r="G567" s="65" t="n">
        <v>0</v>
      </c>
      <c r="H567" s="65"/>
      <c r="I567" s="54"/>
      <c r="J567" s="18"/>
    </row>
    <row r="568" customFormat="false" ht="15" hidden="false" customHeight="false" outlineLevel="0" collapsed="false">
      <c r="A568" s="18" t="s">
        <v>2176</v>
      </c>
      <c r="B568" s="49" t="n">
        <v>46327</v>
      </c>
      <c r="C568" s="18" t="s">
        <v>2157</v>
      </c>
      <c r="D568" s="18" t="s">
        <v>2158</v>
      </c>
      <c r="E568" s="18" t="s">
        <v>119</v>
      </c>
      <c r="F568" s="18" t="s">
        <v>2631</v>
      </c>
      <c r="G568" s="65" t="n">
        <v>-20236.5172</v>
      </c>
      <c r="H568" s="65"/>
      <c r="I568" s="54"/>
      <c r="J568" s="18"/>
    </row>
    <row r="569" customFormat="false" ht="15" hidden="false" customHeight="false" outlineLevel="0" collapsed="false">
      <c r="A569" s="18" t="s">
        <v>2176</v>
      </c>
      <c r="B569" s="49" t="n">
        <v>46327</v>
      </c>
      <c r="C569" s="18" t="s">
        <v>2157</v>
      </c>
      <c r="D569" s="18" t="s">
        <v>222</v>
      </c>
      <c r="E569" s="18" t="s">
        <v>2159</v>
      </c>
      <c r="F569" s="18" t="s">
        <v>2626</v>
      </c>
      <c r="G569" s="65" t="n">
        <v>0</v>
      </c>
      <c r="H569" s="65" t="n">
        <v>0</v>
      </c>
      <c r="I569" s="54" t="n">
        <v>0</v>
      </c>
      <c r="J569" s="18" t="b">
        <f aca="false">FALSE()</f>
        <v>0</v>
      </c>
    </row>
    <row r="570" customFormat="false" ht="15" hidden="false" customHeight="false" outlineLevel="0" collapsed="false">
      <c r="A570" s="18" t="s">
        <v>2176</v>
      </c>
      <c r="B570" s="49" t="n">
        <v>46327</v>
      </c>
      <c r="C570" s="18" t="s">
        <v>2157</v>
      </c>
      <c r="D570" s="18" t="s">
        <v>222</v>
      </c>
      <c r="E570" s="18" t="s">
        <v>99</v>
      </c>
      <c r="F570" s="18" t="s">
        <v>2622</v>
      </c>
      <c r="G570" s="65" t="n">
        <v>0</v>
      </c>
      <c r="H570" s="65"/>
      <c r="I570" s="54"/>
      <c r="J570" s="18"/>
    </row>
    <row r="571" customFormat="false" ht="15" hidden="false" customHeight="false" outlineLevel="0" collapsed="false">
      <c r="A571" s="18" t="s">
        <v>2176</v>
      </c>
      <c r="B571" s="49" t="n">
        <v>46327</v>
      </c>
      <c r="C571" s="18" t="s">
        <v>2157</v>
      </c>
      <c r="D571" s="18" t="s">
        <v>222</v>
      </c>
      <c r="E571" s="18" t="s">
        <v>113</v>
      </c>
      <c r="F571" s="18" t="s">
        <v>2625</v>
      </c>
      <c r="G571" s="65" t="n">
        <v>0</v>
      </c>
      <c r="H571" s="65"/>
      <c r="I571" s="54"/>
      <c r="J571" s="18"/>
    </row>
    <row r="572" customFormat="false" ht="15" hidden="false" customHeight="false" outlineLevel="0" collapsed="false">
      <c r="A572" s="18" t="s">
        <v>2176</v>
      </c>
      <c r="B572" s="49" t="n">
        <v>46327</v>
      </c>
      <c r="C572" s="18" t="s">
        <v>2157</v>
      </c>
      <c r="D572" s="18" t="s">
        <v>222</v>
      </c>
      <c r="E572" s="18" t="s">
        <v>119</v>
      </c>
      <c r="F572" s="18" t="s">
        <v>2626</v>
      </c>
      <c r="G572" s="65" t="n">
        <v>0</v>
      </c>
      <c r="H572" s="65"/>
      <c r="I572" s="54"/>
      <c r="J572" s="18"/>
    </row>
    <row r="573" customFormat="false" ht="15" hidden="false" customHeight="false" outlineLevel="0" collapsed="false">
      <c r="A573" s="18" t="s">
        <v>2176</v>
      </c>
      <c r="B573" s="49" t="n">
        <v>46327</v>
      </c>
      <c r="C573" s="18" t="s">
        <v>2157</v>
      </c>
      <c r="D573" s="18" t="s">
        <v>2168</v>
      </c>
      <c r="E573" s="18" t="s">
        <v>2159</v>
      </c>
      <c r="F573" s="18" t="s">
        <v>2632</v>
      </c>
      <c r="G573" s="65" t="n">
        <v>-50601.1986</v>
      </c>
      <c r="H573" s="65" t="n">
        <v>851.331898011624</v>
      </c>
      <c r="I573" s="54" t="n">
        <v>0.0120180597090286</v>
      </c>
      <c r="J573" s="18" t="b">
        <f aca="false">FALSE()</f>
        <v>0</v>
      </c>
    </row>
    <row r="574" customFormat="false" ht="15" hidden="false" customHeight="false" outlineLevel="0" collapsed="false">
      <c r="A574" s="18" t="s">
        <v>2176</v>
      </c>
      <c r="B574" s="49" t="n">
        <v>46327</v>
      </c>
      <c r="C574" s="18" t="s">
        <v>2157</v>
      </c>
      <c r="D574" s="18" t="s">
        <v>2168</v>
      </c>
      <c r="E574" s="18" t="s">
        <v>99</v>
      </c>
      <c r="F574" s="18" t="s">
        <v>2622</v>
      </c>
      <c r="G574" s="65" t="n">
        <v>0</v>
      </c>
      <c r="H574" s="65"/>
      <c r="I574" s="54"/>
      <c r="J574" s="18"/>
    </row>
    <row r="575" customFormat="false" ht="15" hidden="false" customHeight="false" outlineLevel="0" collapsed="false">
      <c r="A575" s="18" t="s">
        <v>2176</v>
      </c>
      <c r="B575" s="49" t="n">
        <v>46327</v>
      </c>
      <c r="C575" s="18" t="s">
        <v>2157</v>
      </c>
      <c r="D575" s="18" t="s">
        <v>2168</v>
      </c>
      <c r="E575" s="18" t="s">
        <v>113</v>
      </c>
      <c r="F575" s="18" t="s">
        <v>2625</v>
      </c>
      <c r="G575" s="65" t="n">
        <v>0</v>
      </c>
      <c r="H575" s="65"/>
      <c r="I575" s="54"/>
      <c r="J575" s="18"/>
    </row>
    <row r="576" customFormat="false" ht="15" hidden="false" customHeight="false" outlineLevel="0" collapsed="false">
      <c r="A576" s="18" t="s">
        <v>2176</v>
      </c>
      <c r="B576" s="49" t="n">
        <v>46327</v>
      </c>
      <c r="C576" s="18" t="s">
        <v>2157</v>
      </c>
      <c r="D576" s="18" t="s">
        <v>2168</v>
      </c>
      <c r="E576" s="18" t="s">
        <v>119</v>
      </c>
      <c r="F576" s="18" t="s">
        <v>2633</v>
      </c>
      <c r="G576" s="65" t="n">
        <v>-50601.1986</v>
      </c>
      <c r="H576" s="65"/>
      <c r="I576" s="54"/>
      <c r="J576" s="18"/>
    </row>
    <row r="577" customFormat="false" ht="15" hidden="false" customHeight="false" outlineLevel="0" collapsed="false">
      <c r="A577" s="18" t="s">
        <v>2176</v>
      </c>
      <c r="B577" s="49" t="n">
        <v>46327</v>
      </c>
      <c r="C577" s="18" t="s">
        <v>2157</v>
      </c>
      <c r="D577" s="18" t="s">
        <v>2174</v>
      </c>
      <c r="E577" s="18" t="s">
        <v>2159</v>
      </c>
      <c r="F577" s="18" t="s">
        <v>2626</v>
      </c>
      <c r="G577" s="65" t="n">
        <v>0</v>
      </c>
      <c r="H577" s="65" t="n">
        <v>0</v>
      </c>
      <c r="I577" s="54" t="n">
        <v>0</v>
      </c>
      <c r="J577" s="18" t="b">
        <f aca="false">FALSE()</f>
        <v>0</v>
      </c>
    </row>
    <row r="578" customFormat="false" ht="15" hidden="false" customHeight="false" outlineLevel="0" collapsed="false">
      <c r="A578" s="18" t="s">
        <v>2176</v>
      </c>
      <c r="B578" s="49" t="n">
        <v>46327</v>
      </c>
      <c r="C578" s="18" t="s">
        <v>2157</v>
      </c>
      <c r="D578" s="18" t="s">
        <v>2174</v>
      </c>
      <c r="E578" s="18" t="s">
        <v>99</v>
      </c>
      <c r="F578" s="18" t="s">
        <v>2622</v>
      </c>
      <c r="G578" s="65" t="n">
        <v>0</v>
      </c>
      <c r="H578" s="65"/>
      <c r="I578" s="54"/>
      <c r="J578" s="18"/>
    </row>
    <row r="579" customFormat="false" ht="15" hidden="false" customHeight="false" outlineLevel="0" collapsed="false">
      <c r="A579" s="18" t="s">
        <v>2176</v>
      </c>
      <c r="B579" s="49" t="n">
        <v>46327</v>
      </c>
      <c r="C579" s="18" t="s">
        <v>2157</v>
      </c>
      <c r="D579" s="18" t="s">
        <v>2174</v>
      </c>
      <c r="E579" s="18" t="s">
        <v>113</v>
      </c>
      <c r="F579" s="18" t="s">
        <v>2625</v>
      </c>
      <c r="G579" s="65" t="n">
        <v>0</v>
      </c>
      <c r="H579" s="65"/>
      <c r="I579" s="54"/>
      <c r="J579" s="18"/>
    </row>
    <row r="580" customFormat="false" ht="15" hidden="false" customHeight="false" outlineLevel="0" collapsed="false">
      <c r="A580" s="18" t="s">
        <v>2176</v>
      </c>
      <c r="B580" s="49" t="n">
        <v>46327</v>
      </c>
      <c r="C580" s="18" t="s">
        <v>2157</v>
      </c>
      <c r="D580" s="18" t="s">
        <v>2174</v>
      </c>
      <c r="E580" s="18" t="s">
        <v>119</v>
      </c>
      <c r="F580" s="18" t="s">
        <v>2626</v>
      </c>
      <c r="G580" s="65" t="n">
        <v>0</v>
      </c>
      <c r="H580" s="65"/>
      <c r="I580" s="54"/>
      <c r="J580" s="18"/>
    </row>
    <row r="581" customFormat="false" ht="15" hidden="false" customHeight="false" outlineLevel="0" collapsed="false">
      <c r="A581" s="18" t="s">
        <v>2176</v>
      </c>
      <c r="B581" s="49" t="n">
        <v>46327</v>
      </c>
      <c r="C581" s="18" t="s">
        <v>2157</v>
      </c>
      <c r="D581" s="18" t="s">
        <v>2180</v>
      </c>
      <c r="E581" s="18" t="s">
        <v>2159</v>
      </c>
      <c r="F581" s="18" t="s">
        <v>2622</v>
      </c>
      <c r="G581" s="65" t="n">
        <v>0</v>
      </c>
      <c r="H581" s="65" t="n">
        <v>0</v>
      </c>
      <c r="I581" s="54" t="n">
        <v>0</v>
      </c>
      <c r="J581" s="18" t="b">
        <f aca="false">FALSE()</f>
        <v>0</v>
      </c>
    </row>
    <row r="582" customFormat="false" ht="15" hidden="false" customHeight="false" outlineLevel="0" collapsed="false">
      <c r="A582" s="18" t="s">
        <v>2176</v>
      </c>
      <c r="B582" s="49" t="n">
        <v>46327</v>
      </c>
      <c r="C582" s="18" t="s">
        <v>2157</v>
      </c>
      <c r="D582" s="18" t="s">
        <v>2180</v>
      </c>
      <c r="E582" s="18" t="s">
        <v>99</v>
      </c>
      <c r="F582" s="18" t="s">
        <v>2622</v>
      </c>
      <c r="G582" s="65" t="n">
        <v>0</v>
      </c>
      <c r="H582" s="65"/>
      <c r="I582" s="54"/>
      <c r="J582" s="18"/>
    </row>
    <row r="583" customFormat="false" ht="15" hidden="false" customHeight="false" outlineLevel="0" collapsed="false">
      <c r="A583" s="18" t="s">
        <v>2176</v>
      </c>
      <c r="B583" s="49" t="n">
        <v>46327</v>
      </c>
      <c r="C583" s="18" t="s">
        <v>2157</v>
      </c>
      <c r="D583" s="18" t="s">
        <v>2180</v>
      </c>
      <c r="E583" s="18" t="s">
        <v>113</v>
      </c>
      <c r="F583" s="18" t="s">
        <v>2625</v>
      </c>
      <c r="G583" s="65" t="n">
        <v>0</v>
      </c>
      <c r="H583" s="65"/>
      <c r="I583" s="54"/>
      <c r="J583" s="18"/>
    </row>
    <row r="584" customFormat="false" ht="15" hidden="false" customHeight="false" outlineLevel="0" collapsed="false">
      <c r="A584" s="18" t="s">
        <v>2176</v>
      </c>
      <c r="B584" s="49" t="n">
        <v>46327</v>
      </c>
      <c r="C584" s="18" t="s">
        <v>2157</v>
      </c>
      <c r="D584" s="18" t="s">
        <v>2180</v>
      </c>
      <c r="E584" s="18" t="s">
        <v>119</v>
      </c>
      <c r="F584" s="18" t="s">
        <v>2622</v>
      </c>
      <c r="G584" s="65" t="n">
        <v>0</v>
      </c>
      <c r="H584" s="65"/>
      <c r="I584" s="54"/>
      <c r="J584" s="18"/>
    </row>
    <row r="585" customFormat="false" ht="15" hidden="false" customHeight="false" outlineLevel="0" collapsed="false">
      <c r="A585" s="18" t="s">
        <v>2176</v>
      </c>
      <c r="B585" s="49" t="n">
        <v>46327</v>
      </c>
      <c r="C585" s="18" t="s">
        <v>2186</v>
      </c>
      <c r="D585" s="18" t="s">
        <v>2158</v>
      </c>
      <c r="E585" s="18" t="s">
        <v>2159</v>
      </c>
      <c r="F585" s="18" t="s">
        <v>2634</v>
      </c>
      <c r="G585" s="65" t="n">
        <v>-21087.8491</v>
      </c>
      <c r="H585" s="65"/>
      <c r="I585" s="54"/>
      <c r="J585" s="18"/>
    </row>
    <row r="586" customFormat="false" ht="15" hidden="false" customHeight="false" outlineLevel="0" collapsed="false">
      <c r="A586" s="18" t="s">
        <v>2176</v>
      </c>
      <c r="B586" s="49" t="n">
        <v>46327</v>
      </c>
      <c r="C586" s="18" t="s">
        <v>2186</v>
      </c>
      <c r="D586" s="18" t="s">
        <v>2158</v>
      </c>
      <c r="E586" s="18" t="s">
        <v>99</v>
      </c>
      <c r="F586" s="18" t="s">
        <v>2463</v>
      </c>
      <c r="G586" s="65" t="n">
        <v>0</v>
      </c>
      <c r="H586" s="65"/>
      <c r="I586" s="54"/>
      <c r="J586" s="18"/>
    </row>
    <row r="587" customFormat="false" ht="15" hidden="false" customHeight="false" outlineLevel="0" collapsed="false">
      <c r="A587" s="18" t="s">
        <v>2176</v>
      </c>
      <c r="B587" s="49" t="n">
        <v>46327</v>
      </c>
      <c r="C587" s="18" t="s">
        <v>2186</v>
      </c>
      <c r="D587" s="18" t="s">
        <v>2158</v>
      </c>
      <c r="E587" s="18" t="s">
        <v>113</v>
      </c>
      <c r="F587" s="18" t="s">
        <v>2537</v>
      </c>
      <c r="G587" s="65" t="n">
        <v>0</v>
      </c>
      <c r="H587" s="65"/>
      <c r="I587" s="54"/>
      <c r="J587" s="18"/>
    </row>
    <row r="588" customFormat="false" ht="15" hidden="false" customHeight="false" outlineLevel="0" collapsed="false">
      <c r="A588" s="18" t="s">
        <v>2176</v>
      </c>
      <c r="B588" s="49" t="n">
        <v>46327</v>
      </c>
      <c r="C588" s="18" t="s">
        <v>2186</v>
      </c>
      <c r="D588" s="18" t="s">
        <v>2158</v>
      </c>
      <c r="E588" s="18" t="s">
        <v>119</v>
      </c>
      <c r="F588" s="18" t="s">
        <v>2634</v>
      </c>
      <c r="G588" s="65" t="n">
        <v>-21087.8491</v>
      </c>
      <c r="H588" s="65"/>
      <c r="I588" s="54"/>
      <c r="J588" s="18"/>
    </row>
    <row r="589" customFormat="false" ht="15" hidden="false" customHeight="false" outlineLevel="0" collapsed="false">
      <c r="A589" s="18" t="s">
        <v>2176</v>
      </c>
      <c r="B589" s="49" t="n">
        <v>46327</v>
      </c>
      <c r="C589" s="18" t="s">
        <v>2186</v>
      </c>
      <c r="D589" s="18" t="s">
        <v>222</v>
      </c>
      <c r="E589" s="18" t="s">
        <v>2159</v>
      </c>
      <c r="F589" s="18" t="s">
        <v>2629</v>
      </c>
      <c r="G589" s="65" t="n">
        <v>0</v>
      </c>
      <c r="H589" s="65"/>
      <c r="I589" s="54"/>
      <c r="J589" s="18"/>
    </row>
    <row r="590" customFormat="false" ht="15" hidden="false" customHeight="false" outlineLevel="0" collapsed="false">
      <c r="A590" s="18" t="s">
        <v>2176</v>
      </c>
      <c r="B590" s="49" t="n">
        <v>46327</v>
      </c>
      <c r="C590" s="18" t="s">
        <v>2186</v>
      </c>
      <c r="D590" s="18" t="s">
        <v>222</v>
      </c>
      <c r="E590" s="18" t="s">
        <v>99</v>
      </c>
      <c r="F590" s="18" t="s">
        <v>2463</v>
      </c>
      <c r="G590" s="65" t="n">
        <v>0</v>
      </c>
      <c r="H590" s="65"/>
      <c r="I590" s="54"/>
      <c r="J590" s="18"/>
    </row>
    <row r="591" customFormat="false" ht="15" hidden="false" customHeight="false" outlineLevel="0" collapsed="false">
      <c r="A591" s="18" t="s">
        <v>2176</v>
      </c>
      <c r="B591" s="49" t="n">
        <v>46327</v>
      </c>
      <c r="C591" s="18" t="s">
        <v>2186</v>
      </c>
      <c r="D591" s="18" t="s">
        <v>222</v>
      </c>
      <c r="E591" s="18" t="s">
        <v>113</v>
      </c>
      <c r="F591" s="18" t="s">
        <v>2537</v>
      </c>
      <c r="G591" s="65" t="n">
        <v>0</v>
      </c>
      <c r="H591" s="65"/>
      <c r="I591" s="54"/>
      <c r="J591" s="18"/>
    </row>
    <row r="592" customFormat="false" ht="15" hidden="false" customHeight="false" outlineLevel="0" collapsed="false">
      <c r="A592" s="18" t="s">
        <v>2176</v>
      </c>
      <c r="B592" s="49" t="n">
        <v>46327</v>
      </c>
      <c r="C592" s="18" t="s">
        <v>2186</v>
      </c>
      <c r="D592" s="18" t="s">
        <v>222</v>
      </c>
      <c r="E592" s="18" t="s">
        <v>119</v>
      </c>
      <c r="F592" s="18" t="s">
        <v>2629</v>
      </c>
      <c r="G592" s="65" t="n">
        <v>0</v>
      </c>
      <c r="H592" s="65"/>
      <c r="I592" s="54"/>
      <c r="J592" s="18"/>
    </row>
    <row r="593" customFormat="false" ht="15" hidden="false" customHeight="false" outlineLevel="0" collapsed="false">
      <c r="A593" s="18" t="s">
        <v>2176</v>
      </c>
      <c r="B593" s="49" t="n">
        <v>46327</v>
      </c>
      <c r="C593" s="18" t="s">
        <v>2186</v>
      </c>
      <c r="D593" s="18" t="s">
        <v>2168</v>
      </c>
      <c r="E593" s="18" t="s">
        <v>2159</v>
      </c>
      <c r="F593" s="18" t="s">
        <v>2635</v>
      </c>
      <c r="G593" s="65" t="n">
        <v>-49749.8667</v>
      </c>
      <c r="H593" s="65"/>
      <c r="I593" s="54"/>
      <c r="J593" s="18"/>
    </row>
    <row r="594" customFormat="false" ht="15" hidden="false" customHeight="false" outlineLevel="0" collapsed="false">
      <c r="A594" s="18" t="s">
        <v>2176</v>
      </c>
      <c r="B594" s="49" t="n">
        <v>46327</v>
      </c>
      <c r="C594" s="18" t="s">
        <v>2186</v>
      </c>
      <c r="D594" s="18" t="s">
        <v>2168</v>
      </c>
      <c r="E594" s="18" t="s">
        <v>99</v>
      </c>
      <c r="F594" s="18" t="s">
        <v>2463</v>
      </c>
      <c r="G594" s="65" t="n">
        <v>0</v>
      </c>
      <c r="H594" s="65"/>
      <c r="I594" s="54"/>
      <c r="J594" s="18"/>
    </row>
    <row r="595" customFormat="false" ht="15" hidden="false" customHeight="false" outlineLevel="0" collapsed="false">
      <c r="A595" s="18" t="s">
        <v>2176</v>
      </c>
      <c r="B595" s="49" t="n">
        <v>46327</v>
      </c>
      <c r="C595" s="18" t="s">
        <v>2186</v>
      </c>
      <c r="D595" s="18" t="s">
        <v>2168</v>
      </c>
      <c r="E595" s="18" t="s">
        <v>113</v>
      </c>
      <c r="F595" s="18" t="s">
        <v>2537</v>
      </c>
      <c r="G595" s="65" t="n">
        <v>0</v>
      </c>
      <c r="H595" s="65"/>
      <c r="I595" s="54"/>
      <c r="J595" s="18"/>
    </row>
    <row r="596" customFormat="false" ht="15" hidden="false" customHeight="false" outlineLevel="0" collapsed="false">
      <c r="A596" s="18" t="s">
        <v>2176</v>
      </c>
      <c r="B596" s="49" t="n">
        <v>46327</v>
      </c>
      <c r="C596" s="18" t="s">
        <v>2186</v>
      </c>
      <c r="D596" s="18" t="s">
        <v>2168</v>
      </c>
      <c r="E596" s="18" t="s">
        <v>119</v>
      </c>
      <c r="F596" s="18" t="s">
        <v>2635</v>
      </c>
      <c r="G596" s="65" t="n">
        <v>-49749.8667</v>
      </c>
      <c r="H596" s="65"/>
      <c r="I596" s="54"/>
      <c r="J596" s="18"/>
    </row>
    <row r="597" customFormat="false" ht="15" hidden="false" customHeight="false" outlineLevel="0" collapsed="false">
      <c r="A597" s="18" t="s">
        <v>2176</v>
      </c>
      <c r="B597" s="49" t="n">
        <v>46327</v>
      </c>
      <c r="C597" s="18" t="s">
        <v>2186</v>
      </c>
      <c r="D597" s="18" t="s">
        <v>2174</v>
      </c>
      <c r="E597" s="18" t="s">
        <v>2159</v>
      </c>
      <c r="F597" s="18" t="s">
        <v>2629</v>
      </c>
      <c r="G597" s="65" t="n">
        <v>0</v>
      </c>
      <c r="H597" s="65"/>
      <c r="I597" s="54"/>
      <c r="J597" s="18"/>
    </row>
    <row r="598" customFormat="false" ht="15" hidden="false" customHeight="false" outlineLevel="0" collapsed="false">
      <c r="A598" s="18" t="s">
        <v>2176</v>
      </c>
      <c r="B598" s="49" t="n">
        <v>46327</v>
      </c>
      <c r="C598" s="18" t="s">
        <v>2186</v>
      </c>
      <c r="D598" s="18" t="s">
        <v>2174</v>
      </c>
      <c r="E598" s="18" t="s">
        <v>99</v>
      </c>
      <c r="F598" s="18" t="s">
        <v>2463</v>
      </c>
      <c r="G598" s="65" t="n">
        <v>0</v>
      </c>
      <c r="H598" s="65"/>
      <c r="I598" s="54"/>
      <c r="J598" s="18"/>
    </row>
    <row r="599" customFormat="false" ht="15" hidden="false" customHeight="false" outlineLevel="0" collapsed="false">
      <c r="A599" s="18" t="s">
        <v>2176</v>
      </c>
      <c r="B599" s="49" t="n">
        <v>46327</v>
      </c>
      <c r="C599" s="18" t="s">
        <v>2186</v>
      </c>
      <c r="D599" s="18" t="s">
        <v>2174</v>
      </c>
      <c r="E599" s="18" t="s">
        <v>113</v>
      </c>
      <c r="F599" s="18" t="s">
        <v>2537</v>
      </c>
      <c r="G599" s="65" t="n">
        <v>0</v>
      </c>
      <c r="H599" s="65"/>
      <c r="I599" s="54"/>
      <c r="J599" s="18"/>
    </row>
    <row r="600" customFormat="false" ht="15" hidden="false" customHeight="false" outlineLevel="0" collapsed="false">
      <c r="A600" s="18" t="s">
        <v>2176</v>
      </c>
      <c r="B600" s="49" t="n">
        <v>46327</v>
      </c>
      <c r="C600" s="18" t="s">
        <v>2186</v>
      </c>
      <c r="D600" s="18" t="s">
        <v>2174</v>
      </c>
      <c r="E600" s="18" t="s">
        <v>119</v>
      </c>
      <c r="F600" s="18" t="s">
        <v>2629</v>
      </c>
      <c r="G600" s="65" t="n">
        <v>0</v>
      </c>
      <c r="H600" s="65"/>
      <c r="I600" s="54"/>
      <c r="J600" s="18"/>
    </row>
    <row r="601" customFormat="false" ht="15" hidden="false" customHeight="false" outlineLevel="0" collapsed="false">
      <c r="A601" s="18" t="s">
        <v>2176</v>
      </c>
      <c r="B601" s="49" t="n">
        <v>46327</v>
      </c>
      <c r="C601" s="18" t="s">
        <v>2186</v>
      </c>
      <c r="D601" s="18" t="s">
        <v>2180</v>
      </c>
      <c r="E601" s="18" t="s">
        <v>2159</v>
      </c>
      <c r="F601" s="18" t="s">
        <v>2629</v>
      </c>
      <c r="G601" s="65" t="n">
        <v>0</v>
      </c>
      <c r="H601" s="65"/>
      <c r="I601" s="54"/>
      <c r="J601" s="18"/>
    </row>
    <row r="602" customFormat="false" ht="15" hidden="false" customHeight="false" outlineLevel="0" collapsed="false">
      <c r="A602" s="18" t="s">
        <v>2176</v>
      </c>
      <c r="B602" s="49" t="n">
        <v>46327</v>
      </c>
      <c r="C602" s="18" t="s">
        <v>2186</v>
      </c>
      <c r="D602" s="18" t="s">
        <v>2180</v>
      </c>
      <c r="E602" s="18" t="s">
        <v>99</v>
      </c>
      <c r="F602" s="18" t="s">
        <v>2463</v>
      </c>
      <c r="G602" s="65" t="n">
        <v>0</v>
      </c>
      <c r="H602" s="65"/>
      <c r="I602" s="54"/>
      <c r="J602" s="18"/>
    </row>
    <row r="603" customFormat="false" ht="15" hidden="false" customHeight="false" outlineLevel="0" collapsed="false">
      <c r="A603" s="18" t="s">
        <v>2176</v>
      </c>
      <c r="B603" s="49" t="n">
        <v>46327</v>
      </c>
      <c r="C603" s="18" t="s">
        <v>2186</v>
      </c>
      <c r="D603" s="18" t="s">
        <v>2180</v>
      </c>
      <c r="E603" s="18" t="s">
        <v>113</v>
      </c>
      <c r="F603" s="18" t="s">
        <v>2537</v>
      </c>
      <c r="G603" s="65" t="n">
        <v>0</v>
      </c>
      <c r="H603" s="65"/>
      <c r="I603" s="54"/>
      <c r="J603" s="18"/>
    </row>
    <row r="604" customFormat="false" ht="15" hidden="false" customHeight="false" outlineLevel="0" collapsed="false">
      <c r="A604" s="18" t="s">
        <v>2176</v>
      </c>
      <c r="B604" s="49" t="n">
        <v>46327</v>
      </c>
      <c r="C604" s="18" t="s">
        <v>2186</v>
      </c>
      <c r="D604" s="18" t="s">
        <v>2180</v>
      </c>
      <c r="E604" s="18" t="s">
        <v>119</v>
      </c>
      <c r="F604" s="18" t="s">
        <v>2629</v>
      </c>
      <c r="G604" s="65" t="n">
        <v>0</v>
      </c>
      <c r="H604" s="65"/>
      <c r="I604" s="54"/>
      <c r="J604" s="18"/>
    </row>
    <row r="605" customFormat="false" ht="15" hidden="false" customHeight="false" outlineLevel="0" collapsed="false">
      <c r="A605" s="18" t="s">
        <v>2176</v>
      </c>
      <c r="B605" s="49" t="n">
        <v>46357</v>
      </c>
      <c r="C605" s="18" t="s">
        <v>2157</v>
      </c>
      <c r="D605" s="18" t="s">
        <v>2158</v>
      </c>
      <c r="E605" s="18" t="s">
        <v>2159</v>
      </c>
      <c r="F605" s="18" t="s">
        <v>2636</v>
      </c>
      <c r="G605" s="65" t="n">
        <v>-23524.0617</v>
      </c>
      <c r="H605" s="65" t="n">
        <v>673.980129464467</v>
      </c>
      <c r="I605" s="54" t="n">
        <v>0.0105939455183975</v>
      </c>
      <c r="J605" s="18" t="b">
        <f aca="false">FALSE()</f>
        <v>0</v>
      </c>
    </row>
    <row r="606" customFormat="false" ht="15" hidden="false" customHeight="false" outlineLevel="0" collapsed="false">
      <c r="A606" s="18" t="s">
        <v>2176</v>
      </c>
      <c r="B606" s="49" t="n">
        <v>46357</v>
      </c>
      <c r="C606" s="18" t="s">
        <v>2157</v>
      </c>
      <c r="D606" s="18" t="s">
        <v>2158</v>
      </c>
      <c r="E606" s="18" t="s">
        <v>99</v>
      </c>
      <c r="F606" s="18" t="s">
        <v>2622</v>
      </c>
      <c r="G606" s="65" t="n">
        <v>0</v>
      </c>
      <c r="H606" s="65"/>
      <c r="I606" s="54"/>
      <c r="J606" s="18"/>
    </row>
    <row r="607" customFormat="false" ht="15" hidden="false" customHeight="false" outlineLevel="0" collapsed="false">
      <c r="A607" s="18" t="s">
        <v>2176</v>
      </c>
      <c r="B607" s="49" t="n">
        <v>46357</v>
      </c>
      <c r="C607" s="18" t="s">
        <v>2157</v>
      </c>
      <c r="D607" s="18" t="s">
        <v>2158</v>
      </c>
      <c r="E607" s="18" t="s">
        <v>113</v>
      </c>
      <c r="F607" s="18" t="s">
        <v>2625</v>
      </c>
      <c r="G607" s="65" t="n">
        <v>0</v>
      </c>
      <c r="H607" s="65"/>
      <c r="I607" s="54"/>
      <c r="J607" s="18"/>
    </row>
    <row r="608" customFormat="false" ht="15" hidden="false" customHeight="false" outlineLevel="0" collapsed="false">
      <c r="A608" s="18" t="s">
        <v>2176</v>
      </c>
      <c r="B608" s="49" t="n">
        <v>46357</v>
      </c>
      <c r="C608" s="18" t="s">
        <v>2157</v>
      </c>
      <c r="D608" s="18" t="s">
        <v>2158</v>
      </c>
      <c r="E608" s="18" t="s">
        <v>119</v>
      </c>
      <c r="F608" s="18" t="s">
        <v>2636</v>
      </c>
      <c r="G608" s="65" t="n">
        <v>-23524.0617</v>
      </c>
      <c r="H608" s="65"/>
      <c r="I608" s="54"/>
      <c r="J608" s="18"/>
    </row>
    <row r="609" customFormat="false" ht="15" hidden="false" customHeight="false" outlineLevel="0" collapsed="false">
      <c r="A609" s="18" t="s">
        <v>2176</v>
      </c>
      <c r="B609" s="49" t="n">
        <v>46357</v>
      </c>
      <c r="C609" s="18" t="s">
        <v>2157</v>
      </c>
      <c r="D609" s="18" t="s">
        <v>222</v>
      </c>
      <c r="E609" s="18" t="s">
        <v>2159</v>
      </c>
      <c r="F609" s="18" t="s">
        <v>2626</v>
      </c>
      <c r="G609" s="65" t="n">
        <v>0</v>
      </c>
      <c r="H609" s="65" t="n">
        <v>0</v>
      </c>
      <c r="I609" s="54" t="n">
        <v>0</v>
      </c>
      <c r="J609" s="18" t="b">
        <f aca="false">FALSE()</f>
        <v>0</v>
      </c>
    </row>
    <row r="610" customFormat="false" ht="15" hidden="false" customHeight="false" outlineLevel="0" collapsed="false">
      <c r="A610" s="18" t="s">
        <v>2176</v>
      </c>
      <c r="B610" s="49" t="n">
        <v>46357</v>
      </c>
      <c r="C610" s="18" t="s">
        <v>2157</v>
      </c>
      <c r="D610" s="18" t="s">
        <v>222</v>
      </c>
      <c r="E610" s="18" t="s">
        <v>99</v>
      </c>
      <c r="F610" s="18" t="s">
        <v>2622</v>
      </c>
      <c r="G610" s="65" t="n">
        <v>0</v>
      </c>
      <c r="H610" s="65"/>
      <c r="I610" s="54"/>
      <c r="J610" s="18"/>
    </row>
    <row r="611" customFormat="false" ht="15" hidden="false" customHeight="false" outlineLevel="0" collapsed="false">
      <c r="A611" s="18" t="s">
        <v>2176</v>
      </c>
      <c r="B611" s="49" t="n">
        <v>46357</v>
      </c>
      <c r="C611" s="18" t="s">
        <v>2157</v>
      </c>
      <c r="D611" s="18" t="s">
        <v>222</v>
      </c>
      <c r="E611" s="18" t="s">
        <v>113</v>
      </c>
      <c r="F611" s="18" t="s">
        <v>2625</v>
      </c>
      <c r="G611" s="65" t="n">
        <v>0</v>
      </c>
      <c r="H611" s="65"/>
      <c r="I611" s="54"/>
      <c r="J611" s="18"/>
    </row>
    <row r="612" customFormat="false" ht="15" hidden="false" customHeight="false" outlineLevel="0" collapsed="false">
      <c r="A612" s="18" t="s">
        <v>2176</v>
      </c>
      <c r="B612" s="49" t="n">
        <v>46357</v>
      </c>
      <c r="C612" s="18" t="s">
        <v>2157</v>
      </c>
      <c r="D612" s="18" t="s">
        <v>222</v>
      </c>
      <c r="E612" s="18" t="s">
        <v>119</v>
      </c>
      <c r="F612" s="18" t="s">
        <v>2626</v>
      </c>
      <c r="G612" s="65" t="n">
        <v>0</v>
      </c>
      <c r="H612" s="65"/>
      <c r="I612" s="54"/>
      <c r="J612" s="18"/>
    </row>
    <row r="613" customFormat="false" ht="15" hidden="false" customHeight="false" outlineLevel="0" collapsed="false">
      <c r="A613" s="18" t="s">
        <v>2176</v>
      </c>
      <c r="B613" s="49" t="n">
        <v>46357</v>
      </c>
      <c r="C613" s="18" t="s">
        <v>2157</v>
      </c>
      <c r="D613" s="18" t="s">
        <v>2168</v>
      </c>
      <c r="E613" s="18" t="s">
        <v>2159</v>
      </c>
      <c r="F613" s="18" t="s">
        <v>2637</v>
      </c>
      <c r="G613" s="65" t="n">
        <v>-40095.3073</v>
      </c>
      <c r="H613" s="65" t="n">
        <v>673.980129464467</v>
      </c>
      <c r="I613" s="54" t="n">
        <v>0.0105939455183975</v>
      </c>
      <c r="J613" s="18" t="b">
        <f aca="false">FALSE()</f>
        <v>0</v>
      </c>
    </row>
    <row r="614" customFormat="false" ht="15" hidden="false" customHeight="false" outlineLevel="0" collapsed="false">
      <c r="A614" s="18" t="s">
        <v>2176</v>
      </c>
      <c r="B614" s="49" t="n">
        <v>46357</v>
      </c>
      <c r="C614" s="18" t="s">
        <v>2157</v>
      </c>
      <c r="D614" s="18" t="s">
        <v>2168</v>
      </c>
      <c r="E614" s="18" t="s">
        <v>99</v>
      </c>
      <c r="F614" s="18" t="s">
        <v>2622</v>
      </c>
      <c r="G614" s="65" t="n">
        <v>0</v>
      </c>
      <c r="H614" s="65"/>
      <c r="I614" s="54"/>
      <c r="J614" s="18"/>
    </row>
    <row r="615" customFormat="false" ht="15" hidden="false" customHeight="false" outlineLevel="0" collapsed="false">
      <c r="A615" s="18" t="s">
        <v>2176</v>
      </c>
      <c r="B615" s="49" t="n">
        <v>46357</v>
      </c>
      <c r="C615" s="18" t="s">
        <v>2157</v>
      </c>
      <c r="D615" s="18" t="s">
        <v>2168</v>
      </c>
      <c r="E615" s="18" t="s">
        <v>113</v>
      </c>
      <c r="F615" s="18" t="s">
        <v>2625</v>
      </c>
      <c r="G615" s="65" t="n">
        <v>0</v>
      </c>
      <c r="H615" s="65"/>
      <c r="I615" s="54"/>
      <c r="J615" s="18"/>
    </row>
    <row r="616" customFormat="false" ht="15" hidden="false" customHeight="false" outlineLevel="0" collapsed="false">
      <c r="A616" s="18" t="s">
        <v>2176</v>
      </c>
      <c r="B616" s="49" t="n">
        <v>46357</v>
      </c>
      <c r="C616" s="18" t="s">
        <v>2157</v>
      </c>
      <c r="D616" s="18" t="s">
        <v>2168</v>
      </c>
      <c r="E616" s="18" t="s">
        <v>119</v>
      </c>
      <c r="F616" s="18" t="s">
        <v>2637</v>
      </c>
      <c r="G616" s="65" t="n">
        <v>-40095.3073</v>
      </c>
      <c r="H616" s="65"/>
      <c r="I616" s="54"/>
      <c r="J616" s="18"/>
    </row>
    <row r="617" customFormat="false" ht="15" hidden="false" customHeight="false" outlineLevel="0" collapsed="false">
      <c r="A617" s="18" t="s">
        <v>2176</v>
      </c>
      <c r="B617" s="49" t="n">
        <v>46357</v>
      </c>
      <c r="C617" s="18" t="s">
        <v>2157</v>
      </c>
      <c r="D617" s="18" t="s">
        <v>2174</v>
      </c>
      <c r="E617" s="18" t="s">
        <v>2159</v>
      </c>
      <c r="F617" s="18" t="s">
        <v>2626</v>
      </c>
      <c r="G617" s="65" t="n">
        <v>0</v>
      </c>
      <c r="H617" s="65" t="n">
        <v>0</v>
      </c>
      <c r="I617" s="54" t="n">
        <v>0</v>
      </c>
      <c r="J617" s="18" t="b">
        <f aca="false">FALSE()</f>
        <v>0</v>
      </c>
    </row>
    <row r="618" customFormat="false" ht="15" hidden="false" customHeight="false" outlineLevel="0" collapsed="false">
      <c r="A618" s="18" t="s">
        <v>2176</v>
      </c>
      <c r="B618" s="49" t="n">
        <v>46357</v>
      </c>
      <c r="C618" s="18" t="s">
        <v>2157</v>
      </c>
      <c r="D618" s="18" t="s">
        <v>2174</v>
      </c>
      <c r="E618" s="18" t="s">
        <v>99</v>
      </c>
      <c r="F618" s="18" t="s">
        <v>2622</v>
      </c>
      <c r="G618" s="65" t="n">
        <v>0</v>
      </c>
      <c r="H618" s="65"/>
      <c r="I618" s="54"/>
      <c r="J618" s="18"/>
    </row>
    <row r="619" customFormat="false" ht="15" hidden="false" customHeight="false" outlineLevel="0" collapsed="false">
      <c r="A619" s="18" t="s">
        <v>2176</v>
      </c>
      <c r="B619" s="49" t="n">
        <v>46357</v>
      </c>
      <c r="C619" s="18" t="s">
        <v>2157</v>
      </c>
      <c r="D619" s="18" t="s">
        <v>2174</v>
      </c>
      <c r="E619" s="18" t="s">
        <v>113</v>
      </c>
      <c r="F619" s="18" t="s">
        <v>2625</v>
      </c>
      <c r="G619" s="65" t="n">
        <v>0</v>
      </c>
      <c r="H619" s="65"/>
      <c r="I619" s="54"/>
      <c r="J619" s="18"/>
    </row>
    <row r="620" customFormat="false" ht="15" hidden="false" customHeight="false" outlineLevel="0" collapsed="false">
      <c r="A620" s="18" t="s">
        <v>2176</v>
      </c>
      <c r="B620" s="49" t="n">
        <v>46357</v>
      </c>
      <c r="C620" s="18" t="s">
        <v>2157</v>
      </c>
      <c r="D620" s="18" t="s">
        <v>2174</v>
      </c>
      <c r="E620" s="18" t="s">
        <v>119</v>
      </c>
      <c r="F620" s="18" t="s">
        <v>2626</v>
      </c>
      <c r="G620" s="65" t="n">
        <v>0</v>
      </c>
      <c r="H620" s="65"/>
      <c r="I620" s="54"/>
      <c r="J620" s="18"/>
    </row>
    <row r="621" customFormat="false" ht="15" hidden="false" customHeight="false" outlineLevel="0" collapsed="false">
      <c r="A621" s="18" t="s">
        <v>2176</v>
      </c>
      <c r="B621" s="49" t="n">
        <v>46357</v>
      </c>
      <c r="C621" s="18" t="s">
        <v>2157</v>
      </c>
      <c r="D621" s="18" t="s">
        <v>2180</v>
      </c>
      <c r="E621" s="18" t="s">
        <v>2159</v>
      </c>
      <c r="F621" s="18" t="s">
        <v>2626</v>
      </c>
      <c r="G621" s="65" t="n">
        <v>0</v>
      </c>
      <c r="H621" s="65" t="n">
        <v>0</v>
      </c>
      <c r="I621" s="54" t="n">
        <v>0</v>
      </c>
      <c r="J621" s="18" t="b">
        <f aca="false">FALSE()</f>
        <v>0</v>
      </c>
    </row>
    <row r="622" customFormat="false" ht="15" hidden="false" customHeight="false" outlineLevel="0" collapsed="false">
      <c r="A622" s="18" t="s">
        <v>2176</v>
      </c>
      <c r="B622" s="49" t="n">
        <v>46357</v>
      </c>
      <c r="C622" s="18" t="s">
        <v>2157</v>
      </c>
      <c r="D622" s="18" t="s">
        <v>2180</v>
      </c>
      <c r="E622" s="18" t="s">
        <v>99</v>
      </c>
      <c r="F622" s="18" t="s">
        <v>2622</v>
      </c>
      <c r="G622" s="65" t="n">
        <v>0</v>
      </c>
      <c r="H622" s="65"/>
      <c r="I622" s="54"/>
      <c r="J622" s="18"/>
    </row>
    <row r="623" customFormat="false" ht="15" hidden="false" customHeight="false" outlineLevel="0" collapsed="false">
      <c r="A623" s="18" t="s">
        <v>2176</v>
      </c>
      <c r="B623" s="49" t="n">
        <v>46357</v>
      </c>
      <c r="C623" s="18" t="s">
        <v>2157</v>
      </c>
      <c r="D623" s="18" t="s">
        <v>2180</v>
      </c>
      <c r="E623" s="18" t="s">
        <v>113</v>
      </c>
      <c r="F623" s="18" t="s">
        <v>2625</v>
      </c>
      <c r="G623" s="65" t="n">
        <v>0</v>
      </c>
      <c r="H623" s="65"/>
      <c r="I623" s="54"/>
      <c r="J623" s="18"/>
    </row>
    <row r="624" customFormat="false" ht="15" hidden="false" customHeight="false" outlineLevel="0" collapsed="false">
      <c r="A624" s="18" t="s">
        <v>2176</v>
      </c>
      <c r="B624" s="49" t="n">
        <v>46357</v>
      </c>
      <c r="C624" s="18" t="s">
        <v>2157</v>
      </c>
      <c r="D624" s="18" t="s">
        <v>2180</v>
      </c>
      <c r="E624" s="18" t="s">
        <v>119</v>
      </c>
      <c r="F624" s="18" t="s">
        <v>2626</v>
      </c>
      <c r="G624" s="65" t="n">
        <v>0</v>
      </c>
      <c r="H624" s="65"/>
      <c r="I624" s="54"/>
      <c r="J624" s="18"/>
    </row>
    <row r="625" customFormat="false" ht="15" hidden="false" customHeight="false" outlineLevel="0" collapsed="false">
      <c r="A625" s="18" t="s">
        <v>2176</v>
      </c>
      <c r="B625" s="49" t="n">
        <v>46357</v>
      </c>
      <c r="C625" s="18" t="s">
        <v>2186</v>
      </c>
      <c r="D625" s="18" t="s">
        <v>2158</v>
      </c>
      <c r="E625" s="18" t="s">
        <v>2159</v>
      </c>
      <c r="F625" s="18" t="s">
        <v>2638</v>
      </c>
      <c r="G625" s="65" t="n">
        <v>-24198.0419</v>
      </c>
      <c r="H625" s="65"/>
      <c r="I625" s="54"/>
      <c r="J625" s="18"/>
    </row>
    <row r="626" customFormat="false" ht="15" hidden="false" customHeight="false" outlineLevel="0" collapsed="false">
      <c r="A626" s="18" t="s">
        <v>2176</v>
      </c>
      <c r="B626" s="49" t="n">
        <v>46357</v>
      </c>
      <c r="C626" s="18" t="s">
        <v>2186</v>
      </c>
      <c r="D626" s="18" t="s">
        <v>2158</v>
      </c>
      <c r="E626" s="18" t="s">
        <v>99</v>
      </c>
      <c r="F626" s="18" t="s">
        <v>2463</v>
      </c>
      <c r="G626" s="65" t="n">
        <v>0</v>
      </c>
      <c r="H626" s="65"/>
      <c r="I626" s="54"/>
      <c r="J626" s="18"/>
    </row>
    <row r="627" customFormat="false" ht="15" hidden="false" customHeight="false" outlineLevel="0" collapsed="false">
      <c r="A627" s="18" t="s">
        <v>2176</v>
      </c>
      <c r="B627" s="49" t="n">
        <v>46357</v>
      </c>
      <c r="C627" s="18" t="s">
        <v>2186</v>
      </c>
      <c r="D627" s="18" t="s">
        <v>2158</v>
      </c>
      <c r="E627" s="18" t="s">
        <v>113</v>
      </c>
      <c r="F627" s="18" t="s">
        <v>2537</v>
      </c>
      <c r="G627" s="65" t="n">
        <v>0</v>
      </c>
      <c r="H627" s="65"/>
      <c r="I627" s="54"/>
      <c r="J627" s="18"/>
    </row>
    <row r="628" customFormat="false" ht="15" hidden="false" customHeight="false" outlineLevel="0" collapsed="false">
      <c r="A628" s="18" t="s">
        <v>2176</v>
      </c>
      <c r="B628" s="49" t="n">
        <v>46357</v>
      </c>
      <c r="C628" s="18" t="s">
        <v>2186</v>
      </c>
      <c r="D628" s="18" t="s">
        <v>2158</v>
      </c>
      <c r="E628" s="18" t="s">
        <v>119</v>
      </c>
      <c r="F628" s="18" t="s">
        <v>2638</v>
      </c>
      <c r="G628" s="65" t="n">
        <v>-24198.0419</v>
      </c>
      <c r="H628" s="65"/>
      <c r="I628" s="54"/>
      <c r="J628" s="18"/>
    </row>
    <row r="629" customFormat="false" ht="15" hidden="false" customHeight="false" outlineLevel="0" collapsed="false">
      <c r="A629" s="18" t="s">
        <v>2176</v>
      </c>
      <c r="B629" s="49" t="n">
        <v>46357</v>
      </c>
      <c r="C629" s="18" t="s">
        <v>2186</v>
      </c>
      <c r="D629" s="18" t="s">
        <v>222</v>
      </c>
      <c r="E629" s="18" t="s">
        <v>2159</v>
      </c>
      <c r="F629" s="18" t="s">
        <v>2629</v>
      </c>
      <c r="G629" s="65" t="n">
        <v>0</v>
      </c>
      <c r="H629" s="65"/>
      <c r="I629" s="54"/>
      <c r="J629" s="18"/>
    </row>
    <row r="630" customFormat="false" ht="15" hidden="false" customHeight="false" outlineLevel="0" collapsed="false">
      <c r="A630" s="18" t="s">
        <v>2176</v>
      </c>
      <c r="B630" s="49" t="n">
        <v>46357</v>
      </c>
      <c r="C630" s="18" t="s">
        <v>2186</v>
      </c>
      <c r="D630" s="18" t="s">
        <v>222</v>
      </c>
      <c r="E630" s="18" t="s">
        <v>99</v>
      </c>
      <c r="F630" s="18" t="s">
        <v>2463</v>
      </c>
      <c r="G630" s="65" t="n">
        <v>0</v>
      </c>
      <c r="H630" s="65"/>
      <c r="I630" s="54"/>
      <c r="J630" s="18"/>
    </row>
    <row r="631" customFormat="false" ht="15" hidden="false" customHeight="false" outlineLevel="0" collapsed="false">
      <c r="A631" s="18" t="s">
        <v>2176</v>
      </c>
      <c r="B631" s="49" t="n">
        <v>46357</v>
      </c>
      <c r="C631" s="18" t="s">
        <v>2186</v>
      </c>
      <c r="D631" s="18" t="s">
        <v>222</v>
      </c>
      <c r="E631" s="18" t="s">
        <v>113</v>
      </c>
      <c r="F631" s="18" t="s">
        <v>2537</v>
      </c>
      <c r="G631" s="65" t="n">
        <v>0</v>
      </c>
      <c r="H631" s="65"/>
      <c r="I631" s="54"/>
      <c r="J631" s="18"/>
    </row>
    <row r="632" customFormat="false" ht="15" hidden="false" customHeight="false" outlineLevel="0" collapsed="false">
      <c r="A632" s="18" t="s">
        <v>2176</v>
      </c>
      <c r="B632" s="49" t="n">
        <v>46357</v>
      </c>
      <c r="C632" s="18" t="s">
        <v>2186</v>
      </c>
      <c r="D632" s="18" t="s">
        <v>222</v>
      </c>
      <c r="E632" s="18" t="s">
        <v>119</v>
      </c>
      <c r="F632" s="18" t="s">
        <v>2629</v>
      </c>
      <c r="G632" s="65" t="n">
        <v>0</v>
      </c>
      <c r="H632" s="65"/>
      <c r="I632" s="54"/>
      <c r="J632" s="18"/>
    </row>
    <row r="633" customFormat="false" ht="15" hidden="false" customHeight="false" outlineLevel="0" collapsed="false">
      <c r="A633" s="18" t="s">
        <v>2176</v>
      </c>
      <c r="B633" s="49" t="n">
        <v>46357</v>
      </c>
      <c r="C633" s="18" t="s">
        <v>2186</v>
      </c>
      <c r="D633" s="18" t="s">
        <v>2168</v>
      </c>
      <c r="E633" s="18" t="s">
        <v>2159</v>
      </c>
      <c r="F633" s="18" t="s">
        <v>2639</v>
      </c>
      <c r="G633" s="65" t="n">
        <v>-39421.3272</v>
      </c>
      <c r="H633" s="65"/>
      <c r="I633" s="54"/>
      <c r="J633" s="18"/>
    </row>
    <row r="634" customFormat="false" ht="15" hidden="false" customHeight="false" outlineLevel="0" collapsed="false">
      <c r="A634" s="18" t="s">
        <v>2176</v>
      </c>
      <c r="B634" s="49" t="n">
        <v>46357</v>
      </c>
      <c r="C634" s="18" t="s">
        <v>2186</v>
      </c>
      <c r="D634" s="18" t="s">
        <v>2168</v>
      </c>
      <c r="E634" s="18" t="s">
        <v>99</v>
      </c>
      <c r="F634" s="18" t="s">
        <v>2463</v>
      </c>
      <c r="G634" s="65" t="n">
        <v>0</v>
      </c>
      <c r="H634" s="65"/>
      <c r="I634" s="54"/>
      <c r="J634" s="18"/>
    </row>
    <row r="635" customFormat="false" ht="15" hidden="false" customHeight="false" outlineLevel="0" collapsed="false">
      <c r="A635" s="18" t="s">
        <v>2176</v>
      </c>
      <c r="B635" s="49" t="n">
        <v>46357</v>
      </c>
      <c r="C635" s="18" t="s">
        <v>2186</v>
      </c>
      <c r="D635" s="18" t="s">
        <v>2168</v>
      </c>
      <c r="E635" s="18" t="s">
        <v>113</v>
      </c>
      <c r="F635" s="18" t="s">
        <v>2537</v>
      </c>
      <c r="G635" s="65" t="n">
        <v>0</v>
      </c>
      <c r="H635" s="65"/>
      <c r="I635" s="54"/>
      <c r="J635" s="18"/>
    </row>
    <row r="636" customFormat="false" ht="15" hidden="false" customHeight="false" outlineLevel="0" collapsed="false">
      <c r="A636" s="18" t="s">
        <v>2176</v>
      </c>
      <c r="B636" s="49" t="n">
        <v>46357</v>
      </c>
      <c r="C636" s="18" t="s">
        <v>2186</v>
      </c>
      <c r="D636" s="18" t="s">
        <v>2168</v>
      </c>
      <c r="E636" s="18" t="s">
        <v>119</v>
      </c>
      <c r="F636" s="18" t="s">
        <v>2639</v>
      </c>
      <c r="G636" s="65" t="n">
        <v>-39421.3272</v>
      </c>
      <c r="H636" s="65"/>
      <c r="I636" s="54"/>
      <c r="J636" s="18"/>
    </row>
    <row r="637" customFormat="false" ht="15" hidden="false" customHeight="false" outlineLevel="0" collapsed="false">
      <c r="A637" s="18" t="s">
        <v>2176</v>
      </c>
      <c r="B637" s="49" t="n">
        <v>46357</v>
      </c>
      <c r="C637" s="18" t="s">
        <v>2186</v>
      </c>
      <c r="D637" s="18" t="s">
        <v>2174</v>
      </c>
      <c r="E637" s="18" t="s">
        <v>2159</v>
      </c>
      <c r="F637" s="18" t="s">
        <v>2629</v>
      </c>
      <c r="G637" s="65" t="n">
        <v>0</v>
      </c>
      <c r="H637" s="65"/>
      <c r="I637" s="54"/>
      <c r="J637" s="18"/>
    </row>
    <row r="638" customFormat="false" ht="15" hidden="false" customHeight="false" outlineLevel="0" collapsed="false">
      <c r="A638" s="18" t="s">
        <v>2176</v>
      </c>
      <c r="B638" s="49" t="n">
        <v>46357</v>
      </c>
      <c r="C638" s="18" t="s">
        <v>2186</v>
      </c>
      <c r="D638" s="18" t="s">
        <v>2174</v>
      </c>
      <c r="E638" s="18" t="s">
        <v>99</v>
      </c>
      <c r="F638" s="18" t="s">
        <v>2463</v>
      </c>
      <c r="G638" s="65" t="n">
        <v>0</v>
      </c>
      <c r="H638" s="65"/>
      <c r="I638" s="54"/>
      <c r="J638" s="18"/>
    </row>
    <row r="639" customFormat="false" ht="15" hidden="false" customHeight="false" outlineLevel="0" collapsed="false">
      <c r="A639" s="18" t="s">
        <v>2176</v>
      </c>
      <c r="B639" s="49" t="n">
        <v>46357</v>
      </c>
      <c r="C639" s="18" t="s">
        <v>2186</v>
      </c>
      <c r="D639" s="18" t="s">
        <v>2174</v>
      </c>
      <c r="E639" s="18" t="s">
        <v>113</v>
      </c>
      <c r="F639" s="18" t="s">
        <v>2537</v>
      </c>
      <c r="G639" s="65" t="n">
        <v>0</v>
      </c>
      <c r="H639" s="65"/>
      <c r="I639" s="54"/>
      <c r="J639" s="18"/>
    </row>
    <row r="640" customFormat="false" ht="15" hidden="false" customHeight="false" outlineLevel="0" collapsed="false">
      <c r="A640" s="18" t="s">
        <v>2176</v>
      </c>
      <c r="B640" s="49" t="n">
        <v>46357</v>
      </c>
      <c r="C640" s="18" t="s">
        <v>2186</v>
      </c>
      <c r="D640" s="18" t="s">
        <v>2174</v>
      </c>
      <c r="E640" s="18" t="s">
        <v>119</v>
      </c>
      <c r="F640" s="18" t="s">
        <v>2629</v>
      </c>
      <c r="G640" s="65" t="n">
        <v>0</v>
      </c>
      <c r="H640" s="65"/>
      <c r="I640" s="54"/>
      <c r="J640" s="18"/>
    </row>
    <row r="641" customFormat="false" ht="15" hidden="false" customHeight="false" outlineLevel="0" collapsed="false">
      <c r="A641" s="18" t="s">
        <v>2176</v>
      </c>
      <c r="B641" s="49" t="n">
        <v>46357</v>
      </c>
      <c r="C641" s="18" t="s">
        <v>2186</v>
      </c>
      <c r="D641" s="18" t="s">
        <v>2180</v>
      </c>
      <c r="E641" s="18" t="s">
        <v>2159</v>
      </c>
      <c r="F641" s="18" t="s">
        <v>2629</v>
      </c>
      <c r="G641" s="65" t="n">
        <v>0</v>
      </c>
      <c r="H641" s="65"/>
      <c r="I641" s="54"/>
      <c r="J641" s="18"/>
    </row>
    <row r="642" customFormat="false" ht="15" hidden="false" customHeight="false" outlineLevel="0" collapsed="false">
      <c r="A642" s="18" t="s">
        <v>2176</v>
      </c>
      <c r="B642" s="49" t="n">
        <v>46357</v>
      </c>
      <c r="C642" s="18" t="s">
        <v>2186</v>
      </c>
      <c r="D642" s="18" t="s">
        <v>2180</v>
      </c>
      <c r="E642" s="18" t="s">
        <v>99</v>
      </c>
      <c r="F642" s="18" t="s">
        <v>2463</v>
      </c>
      <c r="G642" s="65" t="n">
        <v>0</v>
      </c>
      <c r="H642" s="65"/>
      <c r="I642" s="54"/>
      <c r="J642" s="18"/>
    </row>
    <row r="643" customFormat="false" ht="15" hidden="false" customHeight="false" outlineLevel="0" collapsed="false">
      <c r="A643" s="18" t="s">
        <v>2176</v>
      </c>
      <c r="B643" s="49" t="n">
        <v>46357</v>
      </c>
      <c r="C643" s="18" t="s">
        <v>2186</v>
      </c>
      <c r="D643" s="18" t="s">
        <v>2180</v>
      </c>
      <c r="E643" s="18" t="s">
        <v>113</v>
      </c>
      <c r="F643" s="18" t="s">
        <v>2537</v>
      </c>
      <c r="G643" s="65" t="n">
        <v>0</v>
      </c>
      <c r="H643" s="65"/>
      <c r="I643" s="54"/>
      <c r="J643" s="18"/>
    </row>
    <row r="644" customFormat="false" ht="15" hidden="false" customHeight="false" outlineLevel="0" collapsed="false">
      <c r="A644" s="18" t="s">
        <v>2176</v>
      </c>
      <c r="B644" s="49" t="n">
        <v>46357</v>
      </c>
      <c r="C644" s="18" t="s">
        <v>2186</v>
      </c>
      <c r="D644" s="18" t="s">
        <v>2180</v>
      </c>
      <c r="E644" s="18" t="s">
        <v>119</v>
      </c>
      <c r="F644" s="18" t="s">
        <v>2629</v>
      </c>
      <c r="G644" s="65" t="n">
        <v>0</v>
      </c>
      <c r="H644" s="65"/>
      <c r="I644" s="54"/>
      <c r="J644" s="18"/>
    </row>
    <row r="645" customFormat="false" ht="15" hidden="false" customHeight="false" outlineLevel="0" collapsed="false">
      <c r="A645" s="18" t="s">
        <v>2182</v>
      </c>
      <c r="B645" s="49" t="n">
        <v>46266</v>
      </c>
      <c r="C645" s="18" t="s">
        <v>2157</v>
      </c>
      <c r="D645" s="18" t="s">
        <v>2158</v>
      </c>
      <c r="E645" s="18" t="s">
        <v>2159</v>
      </c>
      <c r="F645" s="18" t="s">
        <v>2640</v>
      </c>
      <c r="G645" s="65" t="n">
        <v>0</v>
      </c>
      <c r="H645" s="65" t="n">
        <v>0</v>
      </c>
      <c r="I645" s="54" t="n">
        <v>0</v>
      </c>
      <c r="J645" s="18" t="b">
        <f aca="false">FALSE()</f>
        <v>0</v>
      </c>
    </row>
    <row r="646" customFormat="false" ht="15" hidden="false" customHeight="false" outlineLevel="0" collapsed="false">
      <c r="A646" s="18" t="s">
        <v>2182</v>
      </c>
      <c r="B646" s="49" t="n">
        <v>46266</v>
      </c>
      <c r="C646" s="18" t="s">
        <v>2157</v>
      </c>
      <c r="D646" s="18" t="s">
        <v>2158</v>
      </c>
      <c r="E646" s="18" t="s">
        <v>99</v>
      </c>
      <c r="F646" s="18" t="s">
        <v>2640</v>
      </c>
      <c r="G646" s="65" t="n">
        <v>0</v>
      </c>
      <c r="H646" s="65"/>
      <c r="I646" s="54"/>
      <c r="J646" s="18"/>
    </row>
    <row r="647" customFormat="false" ht="15" hidden="false" customHeight="false" outlineLevel="0" collapsed="false">
      <c r="A647" s="18" t="s">
        <v>2182</v>
      </c>
      <c r="B647" s="49" t="n">
        <v>46266</v>
      </c>
      <c r="C647" s="18" t="s">
        <v>2157</v>
      </c>
      <c r="D647" s="18" t="s">
        <v>2158</v>
      </c>
      <c r="E647" s="18" t="s">
        <v>113</v>
      </c>
      <c r="F647" s="18" t="s">
        <v>2641</v>
      </c>
      <c r="G647" s="65" t="n">
        <v>0</v>
      </c>
      <c r="H647" s="65"/>
      <c r="I647" s="54"/>
      <c r="J647" s="18"/>
    </row>
    <row r="648" customFormat="false" ht="15" hidden="false" customHeight="false" outlineLevel="0" collapsed="false">
      <c r="A648" s="18" t="s">
        <v>2182</v>
      </c>
      <c r="B648" s="49" t="n">
        <v>46266</v>
      </c>
      <c r="C648" s="18" t="s">
        <v>2157</v>
      </c>
      <c r="D648" s="18" t="s">
        <v>2158</v>
      </c>
      <c r="E648" s="18" t="s">
        <v>119</v>
      </c>
      <c r="F648" s="18" t="s">
        <v>2640</v>
      </c>
      <c r="G648" s="65" t="n">
        <v>0</v>
      </c>
      <c r="H648" s="65"/>
      <c r="I648" s="54"/>
      <c r="J648" s="18"/>
    </row>
    <row r="649" customFormat="false" ht="15" hidden="false" customHeight="false" outlineLevel="0" collapsed="false">
      <c r="A649" s="18" t="s">
        <v>2182</v>
      </c>
      <c r="B649" s="49" t="n">
        <v>46266</v>
      </c>
      <c r="C649" s="18" t="s">
        <v>2157</v>
      </c>
      <c r="D649" s="18" t="s">
        <v>222</v>
      </c>
      <c r="E649" s="18" t="s">
        <v>2159</v>
      </c>
      <c r="F649" s="18" t="s">
        <v>2640</v>
      </c>
      <c r="G649" s="65" t="n">
        <v>0</v>
      </c>
      <c r="H649" s="65" t="n">
        <v>0</v>
      </c>
      <c r="I649" s="54" t="n">
        <v>0</v>
      </c>
      <c r="J649" s="18" t="b">
        <f aca="false">FALSE()</f>
        <v>0</v>
      </c>
    </row>
    <row r="650" customFormat="false" ht="15" hidden="false" customHeight="false" outlineLevel="0" collapsed="false">
      <c r="A650" s="18" t="s">
        <v>2182</v>
      </c>
      <c r="B650" s="49" t="n">
        <v>46266</v>
      </c>
      <c r="C650" s="18" t="s">
        <v>2157</v>
      </c>
      <c r="D650" s="18" t="s">
        <v>222</v>
      </c>
      <c r="E650" s="18" t="s">
        <v>99</v>
      </c>
      <c r="F650" s="18" t="s">
        <v>2640</v>
      </c>
      <c r="G650" s="65" t="n">
        <v>0</v>
      </c>
      <c r="H650" s="65"/>
      <c r="I650" s="54"/>
      <c r="J650" s="18"/>
    </row>
    <row r="651" customFormat="false" ht="15" hidden="false" customHeight="false" outlineLevel="0" collapsed="false">
      <c r="A651" s="18" t="s">
        <v>2182</v>
      </c>
      <c r="B651" s="49" t="n">
        <v>46266</v>
      </c>
      <c r="C651" s="18" t="s">
        <v>2157</v>
      </c>
      <c r="D651" s="18" t="s">
        <v>222</v>
      </c>
      <c r="E651" s="18" t="s">
        <v>113</v>
      </c>
      <c r="F651" s="18" t="s">
        <v>2641</v>
      </c>
      <c r="G651" s="65" t="n">
        <v>0</v>
      </c>
      <c r="H651" s="65"/>
      <c r="I651" s="54"/>
      <c r="J651" s="18"/>
    </row>
    <row r="652" customFormat="false" ht="15" hidden="false" customHeight="false" outlineLevel="0" collapsed="false">
      <c r="A652" s="18" t="s">
        <v>2182</v>
      </c>
      <c r="B652" s="49" t="n">
        <v>46266</v>
      </c>
      <c r="C652" s="18" t="s">
        <v>2157</v>
      </c>
      <c r="D652" s="18" t="s">
        <v>222</v>
      </c>
      <c r="E652" s="18" t="s">
        <v>119</v>
      </c>
      <c r="F652" s="18" t="s">
        <v>2640</v>
      </c>
      <c r="G652" s="65" t="n">
        <v>0</v>
      </c>
      <c r="H652" s="65"/>
      <c r="I652" s="54"/>
      <c r="J652" s="18"/>
    </row>
    <row r="653" customFormat="false" ht="15" hidden="false" customHeight="false" outlineLevel="0" collapsed="false">
      <c r="A653" s="18" t="s">
        <v>2182</v>
      </c>
      <c r="B653" s="49" t="n">
        <v>46266</v>
      </c>
      <c r="C653" s="18" t="s">
        <v>2157</v>
      </c>
      <c r="D653" s="18" t="s">
        <v>2168</v>
      </c>
      <c r="E653" s="18" t="s">
        <v>2159</v>
      </c>
      <c r="F653" s="18" t="s">
        <v>2642</v>
      </c>
      <c r="G653" s="65" t="n">
        <v>21947.062</v>
      </c>
      <c r="H653" s="65" t="n">
        <v>360.831774246072</v>
      </c>
      <c r="I653" s="54" t="n">
        <v>0.00686856818184434</v>
      </c>
      <c r="J653" s="18" t="b">
        <f aca="false">FALSE()</f>
        <v>0</v>
      </c>
    </row>
    <row r="654" customFormat="false" ht="15" hidden="false" customHeight="false" outlineLevel="0" collapsed="false">
      <c r="A654" s="18" t="s">
        <v>2182</v>
      </c>
      <c r="B654" s="49" t="n">
        <v>46266</v>
      </c>
      <c r="C654" s="18" t="s">
        <v>2157</v>
      </c>
      <c r="D654" s="18" t="s">
        <v>2168</v>
      </c>
      <c r="E654" s="18" t="s">
        <v>99</v>
      </c>
      <c r="F654" s="18" t="s">
        <v>2643</v>
      </c>
      <c r="G654" s="65" t="n">
        <v>-7201.6613</v>
      </c>
      <c r="H654" s="65"/>
      <c r="I654" s="54"/>
      <c r="J654" s="18"/>
    </row>
    <row r="655" customFormat="false" ht="15" hidden="false" customHeight="false" outlineLevel="0" collapsed="false">
      <c r="A655" s="18" t="s">
        <v>2182</v>
      </c>
      <c r="B655" s="49" t="n">
        <v>46266</v>
      </c>
      <c r="C655" s="18" t="s">
        <v>2157</v>
      </c>
      <c r="D655" s="18" t="s">
        <v>2168</v>
      </c>
      <c r="E655" s="18" t="s">
        <v>113</v>
      </c>
      <c r="F655" s="18" t="s">
        <v>2644</v>
      </c>
      <c r="G655" s="65" t="n">
        <v>-5523.5642</v>
      </c>
      <c r="H655" s="65"/>
      <c r="I655" s="54"/>
      <c r="J655" s="18"/>
    </row>
    <row r="656" customFormat="false" ht="15" hidden="false" customHeight="false" outlineLevel="0" collapsed="false">
      <c r="A656" s="18" t="s">
        <v>2182</v>
      </c>
      <c r="B656" s="49" t="n">
        <v>46266</v>
      </c>
      <c r="C656" s="18" t="s">
        <v>2157</v>
      </c>
      <c r="D656" s="18" t="s">
        <v>2168</v>
      </c>
      <c r="E656" s="18" t="s">
        <v>119</v>
      </c>
      <c r="F656" s="18" t="s">
        <v>2645</v>
      </c>
      <c r="G656" s="65" t="n">
        <v>34672.2875</v>
      </c>
      <c r="H656" s="65"/>
      <c r="I656" s="54"/>
      <c r="J656" s="18"/>
    </row>
    <row r="657" customFormat="false" ht="15" hidden="false" customHeight="false" outlineLevel="0" collapsed="false">
      <c r="A657" s="18" t="s">
        <v>2182</v>
      </c>
      <c r="B657" s="49" t="n">
        <v>46266</v>
      </c>
      <c r="C657" s="18" t="s">
        <v>2157</v>
      </c>
      <c r="D657" s="18" t="s">
        <v>2174</v>
      </c>
      <c r="E657" s="18" t="s">
        <v>2159</v>
      </c>
      <c r="F657" s="18" t="s">
        <v>2640</v>
      </c>
      <c r="G657" s="65" t="n">
        <v>0</v>
      </c>
      <c r="H657" s="65" t="n">
        <v>0</v>
      </c>
      <c r="I657" s="54" t="n">
        <v>0</v>
      </c>
      <c r="J657" s="18" t="b">
        <f aca="false">FALSE()</f>
        <v>0</v>
      </c>
    </row>
    <row r="658" customFormat="false" ht="15" hidden="false" customHeight="false" outlineLevel="0" collapsed="false">
      <c r="A658" s="18" t="s">
        <v>2182</v>
      </c>
      <c r="B658" s="49" t="n">
        <v>46266</v>
      </c>
      <c r="C658" s="18" t="s">
        <v>2157</v>
      </c>
      <c r="D658" s="18" t="s">
        <v>2174</v>
      </c>
      <c r="E658" s="18" t="s">
        <v>99</v>
      </c>
      <c r="F658" s="18" t="s">
        <v>2640</v>
      </c>
      <c r="G658" s="65" t="n">
        <v>0</v>
      </c>
      <c r="H658" s="65"/>
      <c r="I658" s="54"/>
      <c r="J658" s="18"/>
    </row>
    <row r="659" customFormat="false" ht="15" hidden="false" customHeight="false" outlineLevel="0" collapsed="false">
      <c r="A659" s="18" t="s">
        <v>2182</v>
      </c>
      <c r="B659" s="49" t="n">
        <v>46266</v>
      </c>
      <c r="C659" s="18" t="s">
        <v>2157</v>
      </c>
      <c r="D659" s="18" t="s">
        <v>2174</v>
      </c>
      <c r="E659" s="18" t="s">
        <v>113</v>
      </c>
      <c r="F659" s="18" t="s">
        <v>2641</v>
      </c>
      <c r="G659" s="65" t="n">
        <v>0</v>
      </c>
      <c r="H659" s="65"/>
      <c r="I659" s="54"/>
      <c r="J659" s="18"/>
    </row>
    <row r="660" customFormat="false" ht="15" hidden="false" customHeight="false" outlineLevel="0" collapsed="false">
      <c r="A660" s="18" t="s">
        <v>2182</v>
      </c>
      <c r="B660" s="49" t="n">
        <v>46266</v>
      </c>
      <c r="C660" s="18" t="s">
        <v>2157</v>
      </c>
      <c r="D660" s="18" t="s">
        <v>2174</v>
      </c>
      <c r="E660" s="18" t="s">
        <v>119</v>
      </c>
      <c r="F660" s="18" t="s">
        <v>2640</v>
      </c>
      <c r="G660" s="65" t="n">
        <v>0</v>
      </c>
      <c r="H660" s="65"/>
      <c r="I660" s="54"/>
      <c r="J660" s="18"/>
    </row>
    <row r="661" customFormat="false" ht="15" hidden="false" customHeight="false" outlineLevel="0" collapsed="false">
      <c r="A661" s="18" t="s">
        <v>2182</v>
      </c>
      <c r="B661" s="49" t="n">
        <v>46266</v>
      </c>
      <c r="C661" s="18" t="s">
        <v>2157</v>
      </c>
      <c r="D661" s="18" t="s">
        <v>2180</v>
      </c>
      <c r="E661" s="18" t="s">
        <v>2159</v>
      </c>
      <c r="F661" s="18" t="s">
        <v>2646</v>
      </c>
      <c r="G661" s="65" t="n">
        <v>30586.707</v>
      </c>
      <c r="H661" s="65" t="n">
        <v>360.831774246072</v>
      </c>
      <c r="I661" s="54" t="n">
        <v>0.00686856818184434</v>
      </c>
      <c r="J661" s="18" t="b">
        <f aca="false">FALSE()</f>
        <v>0</v>
      </c>
    </row>
    <row r="662" customFormat="false" ht="15" hidden="false" customHeight="false" outlineLevel="0" collapsed="false">
      <c r="A662" s="18" t="s">
        <v>2182</v>
      </c>
      <c r="B662" s="49" t="n">
        <v>46266</v>
      </c>
      <c r="C662" s="18" t="s">
        <v>2157</v>
      </c>
      <c r="D662" s="18" t="s">
        <v>2180</v>
      </c>
      <c r="E662" s="18" t="s">
        <v>99</v>
      </c>
      <c r="F662" s="18" t="s">
        <v>2647</v>
      </c>
      <c r="G662" s="65" t="n">
        <v>7201.6613</v>
      </c>
      <c r="H662" s="65"/>
      <c r="I662" s="54"/>
      <c r="J662" s="18"/>
    </row>
    <row r="663" customFormat="false" ht="15" hidden="false" customHeight="false" outlineLevel="0" collapsed="false">
      <c r="A663" s="18" t="s">
        <v>2182</v>
      </c>
      <c r="B663" s="49" t="n">
        <v>46266</v>
      </c>
      <c r="C663" s="18" t="s">
        <v>2157</v>
      </c>
      <c r="D663" s="18" t="s">
        <v>2180</v>
      </c>
      <c r="E663" s="18" t="s">
        <v>113</v>
      </c>
      <c r="F663" s="18" t="s">
        <v>2648</v>
      </c>
      <c r="G663" s="65" t="n">
        <v>5523.5642</v>
      </c>
      <c r="H663" s="65"/>
      <c r="I663" s="54"/>
      <c r="J663" s="18"/>
    </row>
    <row r="664" customFormat="false" ht="15" hidden="false" customHeight="false" outlineLevel="0" collapsed="false">
      <c r="A664" s="18" t="s">
        <v>2182</v>
      </c>
      <c r="B664" s="49" t="n">
        <v>46266</v>
      </c>
      <c r="C664" s="18" t="s">
        <v>2157</v>
      </c>
      <c r="D664" s="18" t="s">
        <v>2180</v>
      </c>
      <c r="E664" s="18" t="s">
        <v>119</v>
      </c>
      <c r="F664" s="18" t="s">
        <v>2649</v>
      </c>
      <c r="G664" s="65" t="n">
        <v>17861.4815</v>
      </c>
      <c r="H664" s="65"/>
      <c r="I664" s="54"/>
      <c r="J664" s="18"/>
    </row>
    <row r="665" customFormat="false" ht="15" hidden="false" customHeight="false" outlineLevel="0" collapsed="false">
      <c r="A665" s="18" t="s">
        <v>2182</v>
      </c>
      <c r="B665" s="49" t="n">
        <v>46266</v>
      </c>
      <c r="C665" s="18" t="s">
        <v>2186</v>
      </c>
      <c r="D665" s="18" t="s">
        <v>2158</v>
      </c>
      <c r="E665" s="18" t="s">
        <v>2159</v>
      </c>
      <c r="F665" s="18" t="s">
        <v>2650</v>
      </c>
      <c r="G665" s="65" t="n">
        <v>0</v>
      </c>
      <c r="H665" s="65"/>
      <c r="I665" s="54"/>
      <c r="J665" s="18"/>
    </row>
    <row r="666" customFormat="false" ht="15" hidden="false" customHeight="false" outlineLevel="0" collapsed="false">
      <c r="A666" s="18" t="s">
        <v>2182</v>
      </c>
      <c r="B666" s="49" t="n">
        <v>46266</v>
      </c>
      <c r="C666" s="18" t="s">
        <v>2186</v>
      </c>
      <c r="D666" s="18" t="s">
        <v>2158</v>
      </c>
      <c r="E666" s="18" t="s">
        <v>99</v>
      </c>
      <c r="F666" s="18" t="s">
        <v>2650</v>
      </c>
      <c r="G666" s="65" t="n">
        <v>0</v>
      </c>
      <c r="H666" s="65"/>
      <c r="I666" s="54"/>
      <c r="J666" s="18"/>
    </row>
    <row r="667" customFormat="false" ht="15" hidden="false" customHeight="false" outlineLevel="0" collapsed="false">
      <c r="A667" s="18" t="s">
        <v>2182</v>
      </c>
      <c r="B667" s="49" t="n">
        <v>46266</v>
      </c>
      <c r="C667" s="18" t="s">
        <v>2186</v>
      </c>
      <c r="D667" s="18" t="s">
        <v>2158</v>
      </c>
      <c r="E667" s="18" t="s">
        <v>113</v>
      </c>
      <c r="F667" s="18" t="s">
        <v>2651</v>
      </c>
      <c r="G667" s="65" t="n">
        <v>0</v>
      </c>
      <c r="H667" s="65"/>
      <c r="I667" s="54"/>
      <c r="J667" s="18"/>
    </row>
    <row r="668" customFormat="false" ht="15" hidden="false" customHeight="false" outlineLevel="0" collapsed="false">
      <c r="A668" s="18" t="s">
        <v>2182</v>
      </c>
      <c r="B668" s="49" t="n">
        <v>46266</v>
      </c>
      <c r="C668" s="18" t="s">
        <v>2186</v>
      </c>
      <c r="D668" s="18" t="s">
        <v>2158</v>
      </c>
      <c r="E668" s="18" t="s">
        <v>119</v>
      </c>
      <c r="F668" s="18" t="s">
        <v>2650</v>
      </c>
      <c r="G668" s="65" t="n">
        <v>0</v>
      </c>
      <c r="H668" s="65"/>
      <c r="I668" s="54"/>
      <c r="J668" s="18"/>
    </row>
    <row r="669" customFormat="false" ht="15" hidden="false" customHeight="false" outlineLevel="0" collapsed="false">
      <c r="A669" s="18" t="s">
        <v>2182</v>
      </c>
      <c r="B669" s="49" t="n">
        <v>46266</v>
      </c>
      <c r="C669" s="18" t="s">
        <v>2186</v>
      </c>
      <c r="D669" s="18" t="s">
        <v>222</v>
      </c>
      <c r="E669" s="18" t="s">
        <v>2159</v>
      </c>
      <c r="F669" s="18" t="s">
        <v>2650</v>
      </c>
      <c r="G669" s="65" t="n">
        <v>0</v>
      </c>
      <c r="H669" s="65"/>
      <c r="I669" s="54"/>
      <c r="J669" s="18"/>
    </row>
    <row r="670" customFormat="false" ht="15" hidden="false" customHeight="false" outlineLevel="0" collapsed="false">
      <c r="A670" s="18" t="s">
        <v>2182</v>
      </c>
      <c r="B670" s="49" t="n">
        <v>46266</v>
      </c>
      <c r="C670" s="18" t="s">
        <v>2186</v>
      </c>
      <c r="D670" s="18" t="s">
        <v>222</v>
      </c>
      <c r="E670" s="18" t="s">
        <v>99</v>
      </c>
      <c r="F670" s="18" t="s">
        <v>2650</v>
      </c>
      <c r="G670" s="65" t="n">
        <v>0</v>
      </c>
      <c r="H670" s="65"/>
      <c r="I670" s="54"/>
      <c r="J670" s="18"/>
    </row>
    <row r="671" customFormat="false" ht="15" hidden="false" customHeight="false" outlineLevel="0" collapsed="false">
      <c r="A671" s="18" t="s">
        <v>2182</v>
      </c>
      <c r="B671" s="49" t="n">
        <v>46266</v>
      </c>
      <c r="C671" s="18" t="s">
        <v>2186</v>
      </c>
      <c r="D671" s="18" t="s">
        <v>222</v>
      </c>
      <c r="E671" s="18" t="s">
        <v>113</v>
      </c>
      <c r="F671" s="18" t="s">
        <v>2651</v>
      </c>
      <c r="G671" s="65" t="n">
        <v>0</v>
      </c>
      <c r="H671" s="65"/>
      <c r="I671" s="54"/>
      <c r="J671" s="18"/>
    </row>
    <row r="672" customFormat="false" ht="15" hidden="false" customHeight="false" outlineLevel="0" collapsed="false">
      <c r="A672" s="18" t="s">
        <v>2182</v>
      </c>
      <c r="B672" s="49" t="n">
        <v>46266</v>
      </c>
      <c r="C672" s="18" t="s">
        <v>2186</v>
      </c>
      <c r="D672" s="18" t="s">
        <v>222</v>
      </c>
      <c r="E672" s="18" t="s">
        <v>119</v>
      </c>
      <c r="F672" s="18" t="s">
        <v>2650</v>
      </c>
      <c r="G672" s="65" t="n">
        <v>0</v>
      </c>
      <c r="H672" s="65"/>
      <c r="I672" s="54"/>
      <c r="J672" s="18"/>
    </row>
    <row r="673" customFormat="false" ht="15" hidden="false" customHeight="false" outlineLevel="0" collapsed="false">
      <c r="A673" s="18" t="s">
        <v>2182</v>
      </c>
      <c r="B673" s="49" t="n">
        <v>46266</v>
      </c>
      <c r="C673" s="18" t="s">
        <v>2186</v>
      </c>
      <c r="D673" s="18" t="s">
        <v>2168</v>
      </c>
      <c r="E673" s="18" t="s">
        <v>2159</v>
      </c>
      <c r="F673" s="18" t="s">
        <v>2652</v>
      </c>
      <c r="G673" s="65" t="n">
        <v>21586.2303</v>
      </c>
      <c r="H673" s="65"/>
      <c r="I673" s="54"/>
      <c r="J673" s="18"/>
    </row>
    <row r="674" customFormat="false" ht="15" hidden="false" customHeight="false" outlineLevel="0" collapsed="false">
      <c r="A674" s="18" t="s">
        <v>2182</v>
      </c>
      <c r="B674" s="49" t="n">
        <v>46266</v>
      </c>
      <c r="C674" s="18" t="s">
        <v>2186</v>
      </c>
      <c r="D674" s="18" t="s">
        <v>2168</v>
      </c>
      <c r="E674" s="18" t="s">
        <v>99</v>
      </c>
      <c r="F674" s="18" t="s">
        <v>2653</v>
      </c>
      <c r="G674" s="65" t="n">
        <v>-7083.2588</v>
      </c>
      <c r="H674" s="65"/>
      <c r="I674" s="54"/>
      <c r="J674" s="18"/>
    </row>
    <row r="675" customFormat="false" ht="15" hidden="false" customHeight="false" outlineLevel="0" collapsed="false">
      <c r="A675" s="18" t="s">
        <v>2182</v>
      </c>
      <c r="B675" s="49" t="n">
        <v>46266</v>
      </c>
      <c r="C675" s="18" t="s">
        <v>2186</v>
      </c>
      <c r="D675" s="18" t="s">
        <v>2168</v>
      </c>
      <c r="E675" s="18" t="s">
        <v>113</v>
      </c>
      <c r="F675" s="18" t="s">
        <v>2654</v>
      </c>
      <c r="G675" s="65" t="n">
        <v>-5432.7512</v>
      </c>
      <c r="H675" s="65"/>
      <c r="I675" s="54"/>
      <c r="J675" s="18"/>
    </row>
    <row r="676" customFormat="false" ht="15" hidden="false" customHeight="false" outlineLevel="0" collapsed="false">
      <c r="A676" s="18" t="s">
        <v>2182</v>
      </c>
      <c r="B676" s="49" t="n">
        <v>46266</v>
      </c>
      <c r="C676" s="18" t="s">
        <v>2186</v>
      </c>
      <c r="D676" s="18" t="s">
        <v>2168</v>
      </c>
      <c r="E676" s="18" t="s">
        <v>119</v>
      </c>
      <c r="F676" s="18" t="s">
        <v>2655</v>
      </c>
      <c r="G676" s="65" t="n">
        <v>34102.2403</v>
      </c>
      <c r="H676" s="65"/>
      <c r="I676" s="54"/>
      <c r="J676" s="18"/>
    </row>
    <row r="677" customFormat="false" ht="15" hidden="false" customHeight="false" outlineLevel="0" collapsed="false">
      <c r="A677" s="18" t="s">
        <v>2182</v>
      </c>
      <c r="B677" s="49" t="n">
        <v>46266</v>
      </c>
      <c r="C677" s="18" t="s">
        <v>2186</v>
      </c>
      <c r="D677" s="18" t="s">
        <v>2174</v>
      </c>
      <c r="E677" s="18" t="s">
        <v>2159</v>
      </c>
      <c r="F677" s="18" t="s">
        <v>2650</v>
      </c>
      <c r="G677" s="65" t="n">
        <v>0</v>
      </c>
      <c r="H677" s="65"/>
      <c r="I677" s="54"/>
      <c r="J677" s="18"/>
    </row>
    <row r="678" customFormat="false" ht="15" hidden="false" customHeight="false" outlineLevel="0" collapsed="false">
      <c r="A678" s="18" t="s">
        <v>2182</v>
      </c>
      <c r="B678" s="49" t="n">
        <v>46266</v>
      </c>
      <c r="C678" s="18" t="s">
        <v>2186</v>
      </c>
      <c r="D678" s="18" t="s">
        <v>2174</v>
      </c>
      <c r="E678" s="18" t="s">
        <v>99</v>
      </c>
      <c r="F678" s="18" t="s">
        <v>2650</v>
      </c>
      <c r="G678" s="65" t="n">
        <v>0</v>
      </c>
      <c r="H678" s="65"/>
      <c r="I678" s="54"/>
      <c r="J678" s="18"/>
    </row>
    <row r="679" customFormat="false" ht="15" hidden="false" customHeight="false" outlineLevel="0" collapsed="false">
      <c r="A679" s="18" t="s">
        <v>2182</v>
      </c>
      <c r="B679" s="49" t="n">
        <v>46266</v>
      </c>
      <c r="C679" s="18" t="s">
        <v>2186</v>
      </c>
      <c r="D679" s="18" t="s">
        <v>2174</v>
      </c>
      <c r="E679" s="18" t="s">
        <v>113</v>
      </c>
      <c r="F679" s="18" t="s">
        <v>2651</v>
      </c>
      <c r="G679" s="65" t="n">
        <v>0</v>
      </c>
      <c r="H679" s="65"/>
      <c r="I679" s="54"/>
      <c r="J679" s="18"/>
    </row>
    <row r="680" customFormat="false" ht="15" hidden="false" customHeight="false" outlineLevel="0" collapsed="false">
      <c r="A680" s="18" t="s">
        <v>2182</v>
      </c>
      <c r="B680" s="49" t="n">
        <v>46266</v>
      </c>
      <c r="C680" s="18" t="s">
        <v>2186</v>
      </c>
      <c r="D680" s="18" t="s">
        <v>2174</v>
      </c>
      <c r="E680" s="18" t="s">
        <v>119</v>
      </c>
      <c r="F680" s="18" t="s">
        <v>2650</v>
      </c>
      <c r="G680" s="65" t="n">
        <v>0</v>
      </c>
      <c r="H680" s="65"/>
      <c r="I680" s="54"/>
      <c r="J680" s="18"/>
    </row>
    <row r="681" customFormat="false" ht="15" hidden="false" customHeight="false" outlineLevel="0" collapsed="false">
      <c r="A681" s="18" t="s">
        <v>2182</v>
      </c>
      <c r="B681" s="49" t="n">
        <v>46266</v>
      </c>
      <c r="C681" s="18" t="s">
        <v>2186</v>
      </c>
      <c r="D681" s="18" t="s">
        <v>2180</v>
      </c>
      <c r="E681" s="18" t="s">
        <v>2159</v>
      </c>
      <c r="F681" s="18" t="s">
        <v>2656</v>
      </c>
      <c r="G681" s="65" t="n">
        <v>30947.5387</v>
      </c>
      <c r="H681" s="65"/>
      <c r="I681" s="54"/>
      <c r="J681" s="18"/>
    </row>
    <row r="682" customFormat="false" ht="15" hidden="false" customHeight="false" outlineLevel="0" collapsed="false">
      <c r="A682" s="18" t="s">
        <v>2182</v>
      </c>
      <c r="B682" s="49" t="n">
        <v>46266</v>
      </c>
      <c r="C682" s="18" t="s">
        <v>2186</v>
      </c>
      <c r="D682" s="18" t="s">
        <v>2180</v>
      </c>
      <c r="E682" s="18" t="s">
        <v>99</v>
      </c>
      <c r="F682" s="18" t="s">
        <v>2657</v>
      </c>
      <c r="G682" s="65" t="n">
        <v>7083.2588</v>
      </c>
      <c r="H682" s="65"/>
      <c r="I682" s="54"/>
      <c r="J682" s="18"/>
    </row>
    <row r="683" customFormat="false" ht="15" hidden="false" customHeight="false" outlineLevel="0" collapsed="false">
      <c r="A683" s="18" t="s">
        <v>2182</v>
      </c>
      <c r="B683" s="49" t="n">
        <v>46266</v>
      </c>
      <c r="C683" s="18" t="s">
        <v>2186</v>
      </c>
      <c r="D683" s="18" t="s">
        <v>2180</v>
      </c>
      <c r="E683" s="18" t="s">
        <v>113</v>
      </c>
      <c r="F683" s="18" t="s">
        <v>2658</v>
      </c>
      <c r="G683" s="65" t="n">
        <v>5432.7512</v>
      </c>
      <c r="H683" s="65"/>
      <c r="I683" s="54"/>
      <c r="J683" s="18"/>
    </row>
    <row r="684" customFormat="false" ht="15" hidden="false" customHeight="false" outlineLevel="0" collapsed="false">
      <c r="A684" s="18" t="s">
        <v>2182</v>
      </c>
      <c r="B684" s="49" t="n">
        <v>46266</v>
      </c>
      <c r="C684" s="18" t="s">
        <v>2186</v>
      </c>
      <c r="D684" s="18" t="s">
        <v>2180</v>
      </c>
      <c r="E684" s="18" t="s">
        <v>119</v>
      </c>
      <c r="F684" s="18" t="s">
        <v>2659</v>
      </c>
      <c r="G684" s="65" t="n">
        <v>18431.5287</v>
      </c>
      <c r="H684" s="65"/>
      <c r="I684" s="54"/>
      <c r="J684" s="18"/>
    </row>
    <row r="685" customFormat="false" ht="15" hidden="false" customHeight="false" outlineLevel="0" collapsed="false">
      <c r="A685" s="18" t="s">
        <v>2182</v>
      </c>
      <c r="B685" s="49" t="n">
        <v>46296</v>
      </c>
      <c r="C685" s="18" t="s">
        <v>2157</v>
      </c>
      <c r="D685" s="18" t="s">
        <v>2158</v>
      </c>
      <c r="E685" s="18" t="s">
        <v>2159</v>
      </c>
      <c r="F685" s="18" t="s">
        <v>2640</v>
      </c>
      <c r="G685" s="65" t="n">
        <v>0</v>
      </c>
      <c r="H685" s="65" t="n">
        <v>0</v>
      </c>
      <c r="I685" s="54" t="n">
        <v>0</v>
      </c>
      <c r="J685" s="18" t="b">
        <f aca="false">FALSE()</f>
        <v>0</v>
      </c>
    </row>
    <row r="686" customFormat="false" ht="15" hidden="false" customHeight="false" outlineLevel="0" collapsed="false">
      <c r="A686" s="18" t="s">
        <v>2182</v>
      </c>
      <c r="B686" s="49" t="n">
        <v>46296</v>
      </c>
      <c r="C686" s="18" t="s">
        <v>2157</v>
      </c>
      <c r="D686" s="18" t="s">
        <v>2158</v>
      </c>
      <c r="E686" s="18" t="s">
        <v>99</v>
      </c>
      <c r="F686" s="18" t="s">
        <v>2640</v>
      </c>
      <c r="G686" s="65" t="n">
        <v>0</v>
      </c>
      <c r="H686" s="65"/>
      <c r="I686" s="54"/>
      <c r="J686" s="18"/>
    </row>
    <row r="687" customFormat="false" ht="15" hidden="false" customHeight="false" outlineLevel="0" collapsed="false">
      <c r="A687" s="18" t="s">
        <v>2182</v>
      </c>
      <c r="B687" s="49" t="n">
        <v>46296</v>
      </c>
      <c r="C687" s="18" t="s">
        <v>2157</v>
      </c>
      <c r="D687" s="18" t="s">
        <v>2158</v>
      </c>
      <c r="E687" s="18" t="s">
        <v>113</v>
      </c>
      <c r="F687" s="18" t="s">
        <v>2641</v>
      </c>
      <c r="G687" s="65" t="n">
        <v>0</v>
      </c>
      <c r="H687" s="65"/>
      <c r="I687" s="54"/>
      <c r="J687" s="18"/>
    </row>
    <row r="688" customFormat="false" ht="15" hidden="false" customHeight="false" outlineLevel="0" collapsed="false">
      <c r="A688" s="18" t="s">
        <v>2182</v>
      </c>
      <c r="B688" s="49" t="n">
        <v>46296</v>
      </c>
      <c r="C688" s="18" t="s">
        <v>2157</v>
      </c>
      <c r="D688" s="18" t="s">
        <v>2158</v>
      </c>
      <c r="E688" s="18" t="s">
        <v>119</v>
      </c>
      <c r="F688" s="18" t="s">
        <v>2641</v>
      </c>
      <c r="G688" s="65" t="n">
        <v>0</v>
      </c>
      <c r="H688" s="65"/>
      <c r="I688" s="54"/>
      <c r="J688" s="18"/>
    </row>
    <row r="689" customFormat="false" ht="15" hidden="false" customHeight="false" outlineLevel="0" collapsed="false">
      <c r="A689" s="18" t="s">
        <v>2182</v>
      </c>
      <c r="B689" s="49" t="n">
        <v>46296</v>
      </c>
      <c r="C689" s="18" t="s">
        <v>2157</v>
      </c>
      <c r="D689" s="18" t="s">
        <v>222</v>
      </c>
      <c r="E689" s="18" t="s">
        <v>2159</v>
      </c>
      <c r="F689" s="18" t="s">
        <v>2640</v>
      </c>
      <c r="G689" s="65" t="n">
        <v>0</v>
      </c>
      <c r="H689" s="65" t="n">
        <v>0</v>
      </c>
      <c r="I689" s="54" t="n">
        <v>0</v>
      </c>
      <c r="J689" s="18" t="b">
        <f aca="false">FALSE()</f>
        <v>0</v>
      </c>
    </row>
    <row r="690" customFormat="false" ht="15" hidden="false" customHeight="false" outlineLevel="0" collapsed="false">
      <c r="A690" s="18" t="s">
        <v>2182</v>
      </c>
      <c r="B690" s="49" t="n">
        <v>46296</v>
      </c>
      <c r="C690" s="18" t="s">
        <v>2157</v>
      </c>
      <c r="D690" s="18" t="s">
        <v>222</v>
      </c>
      <c r="E690" s="18" t="s">
        <v>99</v>
      </c>
      <c r="F690" s="18" t="s">
        <v>2640</v>
      </c>
      <c r="G690" s="65" t="n">
        <v>0</v>
      </c>
      <c r="H690" s="65"/>
      <c r="I690" s="54"/>
      <c r="J690" s="18"/>
    </row>
    <row r="691" customFormat="false" ht="15" hidden="false" customHeight="false" outlineLevel="0" collapsed="false">
      <c r="A691" s="18" t="s">
        <v>2182</v>
      </c>
      <c r="B691" s="49" t="n">
        <v>46296</v>
      </c>
      <c r="C691" s="18" t="s">
        <v>2157</v>
      </c>
      <c r="D691" s="18" t="s">
        <v>222</v>
      </c>
      <c r="E691" s="18" t="s">
        <v>113</v>
      </c>
      <c r="F691" s="18" t="s">
        <v>2641</v>
      </c>
      <c r="G691" s="65" t="n">
        <v>0</v>
      </c>
      <c r="H691" s="65"/>
      <c r="I691" s="54"/>
      <c r="J691" s="18"/>
    </row>
    <row r="692" customFormat="false" ht="15" hidden="false" customHeight="false" outlineLevel="0" collapsed="false">
      <c r="A692" s="18" t="s">
        <v>2182</v>
      </c>
      <c r="B692" s="49" t="n">
        <v>46296</v>
      </c>
      <c r="C692" s="18" t="s">
        <v>2157</v>
      </c>
      <c r="D692" s="18" t="s">
        <v>222</v>
      </c>
      <c r="E692" s="18" t="s">
        <v>119</v>
      </c>
      <c r="F692" s="18" t="s">
        <v>2641</v>
      </c>
      <c r="G692" s="65" t="n">
        <v>0</v>
      </c>
      <c r="H692" s="65"/>
      <c r="I692" s="54"/>
      <c r="J692" s="18"/>
    </row>
    <row r="693" customFormat="false" ht="15" hidden="false" customHeight="false" outlineLevel="0" collapsed="false">
      <c r="A693" s="18" t="s">
        <v>2182</v>
      </c>
      <c r="B693" s="49" t="n">
        <v>46296</v>
      </c>
      <c r="C693" s="18" t="s">
        <v>2157</v>
      </c>
      <c r="D693" s="18" t="s">
        <v>2168</v>
      </c>
      <c r="E693" s="18" t="s">
        <v>2159</v>
      </c>
      <c r="F693" s="18" t="s">
        <v>2660</v>
      </c>
      <c r="G693" s="65" t="n">
        <v>23610.4015</v>
      </c>
      <c r="H693" s="65" t="n">
        <v>410.219331512829</v>
      </c>
      <c r="I693" s="54" t="n">
        <v>0.00683422408812096</v>
      </c>
      <c r="J693" s="18" t="b">
        <f aca="false">FALSE()</f>
        <v>0</v>
      </c>
    </row>
    <row r="694" customFormat="false" ht="15" hidden="false" customHeight="false" outlineLevel="0" collapsed="false">
      <c r="A694" s="18" t="s">
        <v>2182</v>
      </c>
      <c r="B694" s="49" t="n">
        <v>46296</v>
      </c>
      <c r="C694" s="18" t="s">
        <v>2157</v>
      </c>
      <c r="D694" s="18" t="s">
        <v>2168</v>
      </c>
      <c r="E694" s="18" t="s">
        <v>99</v>
      </c>
      <c r="F694" s="18" t="s">
        <v>2661</v>
      </c>
      <c r="G694" s="65" t="n">
        <v>-8153.9432</v>
      </c>
      <c r="H694" s="65"/>
      <c r="I694" s="54"/>
      <c r="J694" s="18"/>
    </row>
    <row r="695" customFormat="false" ht="15" hidden="false" customHeight="false" outlineLevel="0" collapsed="false">
      <c r="A695" s="18" t="s">
        <v>2182</v>
      </c>
      <c r="B695" s="49" t="n">
        <v>46296</v>
      </c>
      <c r="C695" s="18" t="s">
        <v>2157</v>
      </c>
      <c r="D695" s="18" t="s">
        <v>2168</v>
      </c>
      <c r="E695" s="18" t="s">
        <v>113</v>
      </c>
      <c r="F695" s="18" t="s">
        <v>2662</v>
      </c>
      <c r="G695" s="65" t="n">
        <v>-6651.1899</v>
      </c>
      <c r="H695" s="65"/>
      <c r="I695" s="54"/>
      <c r="J695" s="18"/>
    </row>
    <row r="696" customFormat="false" ht="15" hidden="false" customHeight="false" outlineLevel="0" collapsed="false">
      <c r="A696" s="18" t="s">
        <v>2182</v>
      </c>
      <c r="B696" s="49" t="n">
        <v>46296</v>
      </c>
      <c r="C696" s="18" t="s">
        <v>2157</v>
      </c>
      <c r="D696" s="18" t="s">
        <v>2168</v>
      </c>
      <c r="E696" s="18" t="s">
        <v>119</v>
      </c>
      <c r="F696" s="18" t="s">
        <v>2663</v>
      </c>
      <c r="G696" s="65" t="n">
        <v>38415.5346</v>
      </c>
      <c r="H696" s="65"/>
      <c r="I696" s="54"/>
      <c r="J696" s="18"/>
    </row>
    <row r="697" customFormat="false" ht="15" hidden="false" customHeight="false" outlineLevel="0" collapsed="false">
      <c r="A697" s="18" t="s">
        <v>2182</v>
      </c>
      <c r="B697" s="49" t="n">
        <v>46296</v>
      </c>
      <c r="C697" s="18" t="s">
        <v>2157</v>
      </c>
      <c r="D697" s="18" t="s">
        <v>2174</v>
      </c>
      <c r="E697" s="18" t="s">
        <v>2159</v>
      </c>
      <c r="F697" s="18" t="s">
        <v>2640</v>
      </c>
      <c r="G697" s="65" t="n">
        <v>0</v>
      </c>
      <c r="H697" s="65" t="n">
        <v>0</v>
      </c>
      <c r="I697" s="54" t="n">
        <v>0</v>
      </c>
      <c r="J697" s="18" t="b">
        <f aca="false">FALSE()</f>
        <v>0</v>
      </c>
    </row>
    <row r="698" customFormat="false" ht="15" hidden="false" customHeight="false" outlineLevel="0" collapsed="false">
      <c r="A698" s="18" t="s">
        <v>2182</v>
      </c>
      <c r="B698" s="49" t="n">
        <v>46296</v>
      </c>
      <c r="C698" s="18" t="s">
        <v>2157</v>
      </c>
      <c r="D698" s="18" t="s">
        <v>2174</v>
      </c>
      <c r="E698" s="18" t="s">
        <v>99</v>
      </c>
      <c r="F698" s="18" t="s">
        <v>2640</v>
      </c>
      <c r="G698" s="65" t="n">
        <v>0</v>
      </c>
      <c r="H698" s="65"/>
      <c r="I698" s="54"/>
      <c r="J698" s="18"/>
    </row>
    <row r="699" customFormat="false" ht="15" hidden="false" customHeight="false" outlineLevel="0" collapsed="false">
      <c r="A699" s="18" t="s">
        <v>2182</v>
      </c>
      <c r="B699" s="49" t="n">
        <v>46296</v>
      </c>
      <c r="C699" s="18" t="s">
        <v>2157</v>
      </c>
      <c r="D699" s="18" t="s">
        <v>2174</v>
      </c>
      <c r="E699" s="18" t="s">
        <v>113</v>
      </c>
      <c r="F699" s="18" t="s">
        <v>2641</v>
      </c>
      <c r="G699" s="65" t="n">
        <v>0</v>
      </c>
      <c r="H699" s="65"/>
      <c r="I699" s="54"/>
      <c r="J699" s="18"/>
    </row>
    <row r="700" customFormat="false" ht="15" hidden="false" customHeight="false" outlineLevel="0" collapsed="false">
      <c r="A700" s="18" t="s">
        <v>2182</v>
      </c>
      <c r="B700" s="49" t="n">
        <v>46296</v>
      </c>
      <c r="C700" s="18" t="s">
        <v>2157</v>
      </c>
      <c r="D700" s="18" t="s">
        <v>2174</v>
      </c>
      <c r="E700" s="18" t="s">
        <v>119</v>
      </c>
      <c r="F700" s="18" t="s">
        <v>2641</v>
      </c>
      <c r="G700" s="65" t="n">
        <v>0</v>
      </c>
      <c r="H700" s="65"/>
      <c r="I700" s="54"/>
      <c r="J700" s="18"/>
    </row>
    <row r="701" customFormat="false" ht="15" hidden="false" customHeight="false" outlineLevel="0" collapsed="false">
      <c r="A701" s="18" t="s">
        <v>2182</v>
      </c>
      <c r="B701" s="49" t="n">
        <v>46296</v>
      </c>
      <c r="C701" s="18" t="s">
        <v>2157</v>
      </c>
      <c r="D701" s="18" t="s">
        <v>2180</v>
      </c>
      <c r="E701" s="18" t="s">
        <v>2159</v>
      </c>
      <c r="F701" s="18" t="s">
        <v>2664</v>
      </c>
      <c r="G701" s="65" t="n">
        <v>36413.8713</v>
      </c>
      <c r="H701" s="65" t="n">
        <v>410.219331512829</v>
      </c>
      <c r="I701" s="54" t="n">
        <v>0.00683422408812096</v>
      </c>
      <c r="J701" s="18" t="b">
        <f aca="false">FALSE()</f>
        <v>0</v>
      </c>
    </row>
    <row r="702" customFormat="false" ht="15" hidden="false" customHeight="false" outlineLevel="0" collapsed="false">
      <c r="A702" s="18" t="s">
        <v>2182</v>
      </c>
      <c r="B702" s="49" t="n">
        <v>46296</v>
      </c>
      <c r="C702" s="18" t="s">
        <v>2157</v>
      </c>
      <c r="D702" s="18" t="s">
        <v>2180</v>
      </c>
      <c r="E702" s="18" t="s">
        <v>99</v>
      </c>
      <c r="F702" s="18" t="s">
        <v>2665</v>
      </c>
      <c r="G702" s="65" t="n">
        <v>8153.9432</v>
      </c>
      <c r="H702" s="65"/>
      <c r="I702" s="54"/>
      <c r="J702" s="18"/>
    </row>
    <row r="703" customFormat="false" ht="15" hidden="false" customHeight="false" outlineLevel="0" collapsed="false">
      <c r="A703" s="18" t="s">
        <v>2182</v>
      </c>
      <c r="B703" s="49" t="n">
        <v>46296</v>
      </c>
      <c r="C703" s="18" t="s">
        <v>2157</v>
      </c>
      <c r="D703" s="18" t="s">
        <v>2180</v>
      </c>
      <c r="E703" s="18" t="s">
        <v>113</v>
      </c>
      <c r="F703" s="18" t="s">
        <v>2666</v>
      </c>
      <c r="G703" s="65" t="n">
        <v>6651.1899</v>
      </c>
      <c r="H703" s="65"/>
      <c r="I703" s="54"/>
      <c r="J703" s="18"/>
    </row>
    <row r="704" customFormat="false" ht="15" hidden="false" customHeight="false" outlineLevel="0" collapsed="false">
      <c r="A704" s="18" t="s">
        <v>2182</v>
      </c>
      <c r="B704" s="49" t="n">
        <v>46296</v>
      </c>
      <c r="C704" s="18" t="s">
        <v>2157</v>
      </c>
      <c r="D704" s="18" t="s">
        <v>2180</v>
      </c>
      <c r="E704" s="18" t="s">
        <v>119</v>
      </c>
      <c r="F704" s="18" t="s">
        <v>2667</v>
      </c>
      <c r="G704" s="65" t="n">
        <v>21608.7382</v>
      </c>
      <c r="H704" s="65"/>
      <c r="I704" s="54"/>
      <c r="J704" s="18"/>
    </row>
    <row r="705" customFormat="false" ht="15" hidden="false" customHeight="false" outlineLevel="0" collapsed="false">
      <c r="A705" s="18" t="s">
        <v>2182</v>
      </c>
      <c r="B705" s="49" t="n">
        <v>46296</v>
      </c>
      <c r="C705" s="18" t="s">
        <v>2186</v>
      </c>
      <c r="D705" s="18" t="s">
        <v>2158</v>
      </c>
      <c r="E705" s="18" t="s">
        <v>2159</v>
      </c>
      <c r="F705" s="18" t="s">
        <v>2650</v>
      </c>
      <c r="G705" s="65" t="n">
        <v>0</v>
      </c>
      <c r="H705" s="65"/>
      <c r="I705" s="54"/>
      <c r="J705" s="18"/>
    </row>
    <row r="706" customFormat="false" ht="15" hidden="false" customHeight="false" outlineLevel="0" collapsed="false">
      <c r="A706" s="18" t="s">
        <v>2182</v>
      </c>
      <c r="B706" s="49" t="n">
        <v>46296</v>
      </c>
      <c r="C706" s="18" t="s">
        <v>2186</v>
      </c>
      <c r="D706" s="18" t="s">
        <v>2158</v>
      </c>
      <c r="E706" s="18" t="s">
        <v>99</v>
      </c>
      <c r="F706" s="18" t="s">
        <v>2650</v>
      </c>
      <c r="G706" s="65" t="n">
        <v>0</v>
      </c>
      <c r="H706" s="65"/>
      <c r="I706" s="54"/>
      <c r="J706" s="18"/>
    </row>
    <row r="707" customFormat="false" ht="15" hidden="false" customHeight="false" outlineLevel="0" collapsed="false">
      <c r="A707" s="18" t="s">
        <v>2182</v>
      </c>
      <c r="B707" s="49" t="n">
        <v>46296</v>
      </c>
      <c r="C707" s="18" t="s">
        <v>2186</v>
      </c>
      <c r="D707" s="18" t="s">
        <v>2158</v>
      </c>
      <c r="E707" s="18" t="s">
        <v>113</v>
      </c>
      <c r="F707" s="18" t="s">
        <v>2651</v>
      </c>
      <c r="G707" s="65" t="n">
        <v>0</v>
      </c>
      <c r="H707" s="65"/>
      <c r="I707" s="54"/>
      <c r="J707" s="18"/>
    </row>
    <row r="708" customFormat="false" ht="15" hidden="false" customHeight="false" outlineLevel="0" collapsed="false">
      <c r="A708" s="18" t="s">
        <v>2182</v>
      </c>
      <c r="B708" s="49" t="n">
        <v>46296</v>
      </c>
      <c r="C708" s="18" t="s">
        <v>2186</v>
      </c>
      <c r="D708" s="18" t="s">
        <v>2158</v>
      </c>
      <c r="E708" s="18" t="s">
        <v>119</v>
      </c>
      <c r="F708" s="18" t="s">
        <v>2651</v>
      </c>
      <c r="G708" s="65" t="n">
        <v>0</v>
      </c>
      <c r="H708" s="65"/>
      <c r="I708" s="54"/>
      <c r="J708" s="18"/>
    </row>
    <row r="709" customFormat="false" ht="15" hidden="false" customHeight="false" outlineLevel="0" collapsed="false">
      <c r="A709" s="18" t="s">
        <v>2182</v>
      </c>
      <c r="B709" s="49" t="n">
        <v>46296</v>
      </c>
      <c r="C709" s="18" t="s">
        <v>2186</v>
      </c>
      <c r="D709" s="18" t="s">
        <v>222</v>
      </c>
      <c r="E709" s="18" t="s">
        <v>2159</v>
      </c>
      <c r="F709" s="18" t="s">
        <v>2650</v>
      </c>
      <c r="G709" s="65" t="n">
        <v>0</v>
      </c>
      <c r="H709" s="65"/>
      <c r="I709" s="54"/>
      <c r="J709" s="18"/>
    </row>
    <row r="710" customFormat="false" ht="15" hidden="false" customHeight="false" outlineLevel="0" collapsed="false">
      <c r="A710" s="18" t="s">
        <v>2182</v>
      </c>
      <c r="B710" s="49" t="n">
        <v>46296</v>
      </c>
      <c r="C710" s="18" t="s">
        <v>2186</v>
      </c>
      <c r="D710" s="18" t="s">
        <v>222</v>
      </c>
      <c r="E710" s="18" t="s">
        <v>99</v>
      </c>
      <c r="F710" s="18" t="s">
        <v>2650</v>
      </c>
      <c r="G710" s="65" t="n">
        <v>0</v>
      </c>
      <c r="H710" s="65"/>
      <c r="I710" s="54"/>
      <c r="J710" s="18"/>
    </row>
    <row r="711" customFormat="false" ht="15" hidden="false" customHeight="false" outlineLevel="0" collapsed="false">
      <c r="A711" s="18" t="s">
        <v>2182</v>
      </c>
      <c r="B711" s="49" t="n">
        <v>46296</v>
      </c>
      <c r="C711" s="18" t="s">
        <v>2186</v>
      </c>
      <c r="D711" s="18" t="s">
        <v>222</v>
      </c>
      <c r="E711" s="18" t="s">
        <v>113</v>
      </c>
      <c r="F711" s="18" t="s">
        <v>2651</v>
      </c>
      <c r="G711" s="65" t="n">
        <v>0</v>
      </c>
      <c r="H711" s="65"/>
      <c r="I711" s="54"/>
      <c r="J711" s="18"/>
    </row>
    <row r="712" customFormat="false" ht="15" hidden="false" customHeight="false" outlineLevel="0" collapsed="false">
      <c r="A712" s="18" t="s">
        <v>2182</v>
      </c>
      <c r="B712" s="49" t="n">
        <v>46296</v>
      </c>
      <c r="C712" s="18" t="s">
        <v>2186</v>
      </c>
      <c r="D712" s="18" t="s">
        <v>222</v>
      </c>
      <c r="E712" s="18" t="s">
        <v>119</v>
      </c>
      <c r="F712" s="18" t="s">
        <v>2651</v>
      </c>
      <c r="G712" s="65" t="n">
        <v>0</v>
      </c>
      <c r="H712" s="65"/>
      <c r="I712" s="54"/>
      <c r="J712" s="18"/>
    </row>
    <row r="713" customFormat="false" ht="15" hidden="false" customHeight="false" outlineLevel="0" collapsed="false">
      <c r="A713" s="18" t="s">
        <v>2182</v>
      </c>
      <c r="B713" s="49" t="n">
        <v>46296</v>
      </c>
      <c r="C713" s="18" t="s">
        <v>2186</v>
      </c>
      <c r="D713" s="18" t="s">
        <v>2168</v>
      </c>
      <c r="E713" s="18" t="s">
        <v>2159</v>
      </c>
      <c r="F713" s="18" t="s">
        <v>2668</v>
      </c>
      <c r="G713" s="65" t="n">
        <v>23200.1822</v>
      </c>
      <c r="H713" s="65"/>
      <c r="I713" s="54"/>
      <c r="J713" s="18"/>
    </row>
    <row r="714" customFormat="false" ht="15" hidden="false" customHeight="false" outlineLevel="0" collapsed="false">
      <c r="A714" s="18" t="s">
        <v>2182</v>
      </c>
      <c r="B714" s="49" t="n">
        <v>46296</v>
      </c>
      <c r="C714" s="18" t="s">
        <v>2186</v>
      </c>
      <c r="D714" s="18" t="s">
        <v>2168</v>
      </c>
      <c r="E714" s="18" t="s">
        <v>99</v>
      </c>
      <c r="F714" s="18" t="s">
        <v>2669</v>
      </c>
      <c r="G714" s="65" t="n">
        <v>-8012.2724</v>
      </c>
      <c r="H714" s="65"/>
      <c r="I714" s="54"/>
      <c r="J714" s="18"/>
    </row>
    <row r="715" customFormat="false" ht="15" hidden="false" customHeight="false" outlineLevel="0" collapsed="false">
      <c r="A715" s="18" t="s">
        <v>2182</v>
      </c>
      <c r="B715" s="49" t="n">
        <v>46296</v>
      </c>
      <c r="C715" s="18" t="s">
        <v>2186</v>
      </c>
      <c r="D715" s="18" t="s">
        <v>2168</v>
      </c>
      <c r="E715" s="18" t="s">
        <v>113</v>
      </c>
      <c r="F715" s="18" t="s">
        <v>2670</v>
      </c>
      <c r="G715" s="65" t="n">
        <v>-6535.6287</v>
      </c>
      <c r="H715" s="65"/>
      <c r="I715" s="54"/>
      <c r="J715" s="18"/>
    </row>
    <row r="716" customFormat="false" ht="15" hidden="false" customHeight="false" outlineLevel="0" collapsed="false">
      <c r="A716" s="18" t="s">
        <v>2182</v>
      </c>
      <c r="B716" s="49" t="n">
        <v>46296</v>
      </c>
      <c r="C716" s="18" t="s">
        <v>2186</v>
      </c>
      <c r="D716" s="18" t="s">
        <v>2168</v>
      </c>
      <c r="E716" s="18" t="s">
        <v>119</v>
      </c>
      <c r="F716" s="18" t="s">
        <v>2671</v>
      </c>
      <c r="G716" s="65" t="n">
        <v>37748.0833</v>
      </c>
      <c r="H716" s="65"/>
      <c r="I716" s="54"/>
      <c r="J716" s="18"/>
    </row>
    <row r="717" customFormat="false" ht="15" hidden="false" customHeight="false" outlineLevel="0" collapsed="false">
      <c r="A717" s="18" t="s">
        <v>2182</v>
      </c>
      <c r="B717" s="49" t="n">
        <v>46296</v>
      </c>
      <c r="C717" s="18" t="s">
        <v>2186</v>
      </c>
      <c r="D717" s="18" t="s">
        <v>2174</v>
      </c>
      <c r="E717" s="18" t="s">
        <v>2159</v>
      </c>
      <c r="F717" s="18" t="s">
        <v>2650</v>
      </c>
      <c r="G717" s="65" t="n">
        <v>0</v>
      </c>
      <c r="H717" s="65"/>
      <c r="I717" s="54"/>
      <c r="J717" s="18"/>
    </row>
    <row r="718" customFormat="false" ht="15" hidden="false" customHeight="false" outlineLevel="0" collapsed="false">
      <c r="A718" s="18" t="s">
        <v>2182</v>
      </c>
      <c r="B718" s="49" t="n">
        <v>46296</v>
      </c>
      <c r="C718" s="18" t="s">
        <v>2186</v>
      </c>
      <c r="D718" s="18" t="s">
        <v>2174</v>
      </c>
      <c r="E718" s="18" t="s">
        <v>99</v>
      </c>
      <c r="F718" s="18" t="s">
        <v>2650</v>
      </c>
      <c r="G718" s="65" t="n">
        <v>0</v>
      </c>
      <c r="H718" s="65"/>
      <c r="I718" s="54"/>
      <c r="J718" s="18"/>
    </row>
    <row r="719" customFormat="false" ht="15" hidden="false" customHeight="false" outlineLevel="0" collapsed="false">
      <c r="A719" s="18" t="s">
        <v>2182</v>
      </c>
      <c r="B719" s="49" t="n">
        <v>46296</v>
      </c>
      <c r="C719" s="18" t="s">
        <v>2186</v>
      </c>
      <c r="D719" s="18" t="s">
        <v>2174</v>
      </c>
      <c r="E719" s="18" t="s">
        <v>113</v>
      </c>
      <c r="F719" s="18" t="s">
        <v>2651</v>
      </c>
      <c r="G719" s="65" t="n">
        <v>0</v>
      </c>
      <c r="H719" s="65"/>
      <c r="I719" s="54"/>
      <c r="J719" s="18"/>
    </row>
    <row r="720" customFormat="false" ht="15" hidden="false" customHeight="false" outlineLevel="0" collapsed="false">
      <c r="A720" s="18" t="s">
        <v>2182</v>
      </c>
      <c r="B720" s="49" t="n">
        <v>46296</v>
      </c>
      <c r="C720" s="18" t="s">
        <v>2186</v>
      </c>
      <c r="D720" s="18" t="s">
        <v>2174</v>
      </c>
      <c r="E720" s="18" t="s">
        <v>119</v>
      </c>
      <c r="F720" s="18" t="s">
        <v>2651</v>
      </c>
      <c r="G720" s="65" t="n">
        <v>0</v>
      </c>
      <c r="H720" s="65"/>
      <c r="I720" s="54"/>
      <c r="J720" s="18"/>
    </row>
    <row r="721" customFormat="false" ht="15" hidden="false" customHeight="false" outlineLevel="0" collapsed="false">
      <c r="A721" s="18" t="s">
        <v>2182</v>
      </c>
      <c r="B721" s="49" t="n">
        <v>46296</v>
      </c>
      <c r="C721" s="18" t="s">
        <v>2186</v>
      </c>
      <c r="D721" s="18" t="s">
        <v>2180</v>
      </c>
      <c r="E721" s="18" t="s">
        <v>2159</v>
      </c>
      <c r="F721" s="18" t="s">
        <v>2672</v>
      </c>
      <c r="G721" s="65" t="n">
        <v>36824.0907</v>
      </c>
      <c r="H721" s="65"/>
      <c r="I721" s="54"/>
      <c r="J721" s="18"/>
    </row>
    <row r="722" customFormat="false" ht="15" hidden="false" customHeight="false" outlineLevel="0" collapsed="false">
      <c r="A722" s="18" t="s">
        <v>2182</v>
      </c>
      <c r="B722" s="49" t="n">
        <v>46296</v>
      </c>
      <c r="C722" s="18" t="s">
        <v>2186</v>
      </c>
      <c r="D722" s="18" t="s">
        <v>2180</v>
      </c>
      <c r="E722" s="18" t="s">
        <v>99</v>
      </c>
      <c r="F722" s="18" t="s">
        <v>2673</v>
      </c>
      <c r="G722" s="65" t="n">
        <v>8012.2724</v>
      </c>
      <c r="H722" s="65"/>
      <c r="I722" s="54"/>
      <c r="J722" s="18"/>
    </row>
    <row r="723" customFormat="false" ht="15" hidden="false" customHeight="false" outlineLevel="0" collapsed="false">
      <c r="A723" s="18" t="s">
        <v>2182</v>
      </c>
      <c r="B723" s="49" t="n">
        <v>46296</v>
      </c>
      <c r="C723" s="18" t="s">
        <v>2186</v>
      </c>
      <c r="D723" s="18" t="s">
        <v>2180</v>
      </c>
      <c r="E723" s="18" t="s">
        <v>113</v>
      </c>
      <c r="F723" s="18" t="s">
        <v>2674</v>
      </c>
      <c r="G723" s="65" t="n">
        <v>6535.6287</v>
      </c>
      <c r="H723" s="65"/>
      <c r="I723" s="54"/>
      <c r="J723" s="18"/>
    </row>
    <row r="724" customFormat="false" ht="15" hidden="false" customHeight="false" outlineLevel="0" collapsed="false">
      <c r="A724" s="18" t="s">
        <v>2182</v>
      </c>
      <c r="B724" s="49" t="n">
        <v>46296</v>
      </c>
      <c r="C724" s="18" t="s">
        <v>2186</v>
      </c>
      <c r="D724" s="18" t="s">
        <v>2180</v>
      </c>
      <c r="E724" s="18" t="s">
        <v>119</v>
      </c>
      <c r="F724" s="18" t="s">
        <v>2675</v>
      </c>
      <c r="G724" s="65" t="n">
        <v>22276.1896</v>
      </c>
      <c r="H724" s="65"/>
      <c r="I724" s="54"/>
      <c r="J724" s="18"/>
    </row>
    <row r="725" customFormat="false" ht="15" hidden="false" customHeight="false" outlineLevel="0" collapsed="false">
      <c r="A725" s="18" t="s">
        <v>2182</v>
      </c>
      <c r="B725" s="49" t="n">
        <v>46327</v>
      </c>
      <c r="C725" s="18" t="s">
        <v>2157</v>
      </c>
      <c r="D725" s="18" t="s">
        <v>2158</v>
      </c>
      <c r="E725" s="18" t="s">
        <v>2159</v>
      </c>
      <c r="F725" s="18" t="s">
        <v>2640</v>
      </c>
      <c r="G725" s="65" t="n">
        <v>0</v>
      </c>
      <c r="H725" s="65" t="n">
        <v>0</v>
      </c>
      <c r="I725" s="54" t="n">
        <v>0</v>
      </c>
      <c r="J725" s="18" t="b">
        <f aca="false">FALSE()</f>
        <v>0</v>
      </c>
    </row>
    <row r="726" customFormat="false" ht="15" hidden="false" customHeight="false" outlineLevel="0" collapsed="false">
      <c r="A726" s="18" t="s">
        <v>2182</v>
      </c>
      <c r="B726" s="49" t="n">
        <v>46327</v>
      </c>
      <c r="C726" s="18" t="s">
        <v>2157</v>
      </c>
      <c r="D726" s="18" t="s">
        <v>2158</v>
      </c>
      <c r="E726" s="18" t="s">
        <v>99</v>
      </c>
      <c r="F726" s="18" t="s">
        <v>2640</v>
      </c>
      <c r="G726" s="65" t="n">
        <v>0</v>
      </c>
      <c r="H726" s="65"/>
      <c r="I726" s="54"/>
      <c r="J726" s="18"/>
    </row>
    <row r="727" customFormat="false" ht="15" hidden="false" customHeight="false" outlineLevel="0" collapsed="false">
      <c r="A727" s="18" t="s">
        <v>2182</v>
      </c>
      <c r="B727" s="49" t="n">
        <v>46327</v>
      </c>
      <c r="C727" s="18" t="s">
        <v>2157</v>
      </c>
      <c r="D727" s="18" t="s">
        <v>2158</v>
      </c>
      <c r="E727" s="18" t="s">
        <v>113</v>
      </c>
      <c r="F727" s="18" t="s">
        <v>2641</v>
      </c>
      <c r="G727" s="65" t="n">
        <v>0</v>
      </c>
      <c r="H727" s="65"/>
      <c r="I727" s="54"/>
      <c r="J727" s="18"/>
    </row>
    <row r="728" customFormat="false" ht="15" hidden="false" customHeight="false" outlineLevel="0" collapsed="false">
      <c r="A728" s="18" t="s">
        <v>2182</v>
      </c>
      <c r="B728" s="49" t="n">
        <v>46327</v>
      </c>
      <c r="C728" s="18" t="s">
        <v>2157</v>
      </c>
      <c r="D728" s="18" t="s">
        <v>2158</v>
      </c>
      <c r="E728" s="18" t="s">
        <v>119</v>
      </c>
      <c r="F728" s="18" t="s">
        <v>2641</v>
      </c>
      <c r="G728" s="65" t="n">
        <v>0</v>
      </c>
      <c r="H728" s="65"/>
      <c r="I728" s="54"/>
      <c r="J728" s="18"/>
    </row>
    <row r="729" customFormat="false" ht="15" hidden="false" customHeight="false" outlineLevel="0" collapsed="false">
      <c r="A729" s="18" t="s">
        <v>2182</v>
      </c>
      <c r="B729" s="49" t="n">
        <v>46327</v>
      </c>
      <c r="C729" s="18" t="s">
        <v>2157</v>
      </c>
      <c r="D729" s="18" t="s">
        <v>222</v>
      </c>
      <c r="E729" s="18" t="s">
        <v>2159</v>
      </c>
      <c r="F729" s="18" t="s">
        <v>2640</v>
      </c>
      <c r="G729" s="65" t="n">
        <v>0</v>
      </c>
      <c r="H729" s="65" t="n">
        <v>0</v>
      </c>
      <c r="I729" s="54" t="n">
        <v>0</v>
      </c>
      <c r="J729" s="18" t="b">
        <f aca="false">FALSE()</f>
        <v>0</v>
      </c>
    </row>
    <row r="730" customFormat="false" ht="15" hidden="false" customHeight="false" outlineLevel="0" collapsed="false">
      <c r="A730" s="18" t="s">
        <v>2182</v>
      </c>
      <c r="B730" s="49" t="n">
        <v>46327</v>
      </c>
      <c r="C730" s="18" t="s">
        <v>2157</v>
      </c>
      <c r="D730" s="18" t="s">
        <v>222</v>
      </c>
      <c r="E730" s="18" t="s">
        <v>99</v>
      </c>
      <c r="F730" s="18" t="s">
        <v>2640</v>
      </c>
      <c r="G730" s="65" t="n">
        <v>0</v>
      </c>
      <c r="H730" s="65"/>
      <c r="I730" s="54"/>
      <c r="J730" s="18"/>
    </row>
    <row r="731" customFormat="false" ht="15" hidden="false" customHeight="false" outlineLevel="0" collapsed="false">
      <c r="A731" s="18" t="s">
        <v>2182</v>
      </c>
      <c r="B731" s="49" t="n">
        <v>46327</v>
      </c>
      <c r="C731" s="18" t="s">
        <v>2157</v>
      </c>
      <c r="D731" s="18" t="s">
        <v>222</v>
      </c>
      <c r="E731" s="18" t="s">
        <v>113</v>
      </c>
      <c r="F731" s="18" t="s">
        <v>2641</v>
      </c>
      <c r="G731" s="65" t="n">
        <v>0</v>
      </c>
      <c r="H731" s="65"/>
      <c r="I731" s="54"/>
      <c r="J731" s="18"/>
    </row>
    <row r="732" customFormat="false" ht="15" hidden="false" customHeight="false" outlineLevel="0" collapsed="false">
      <c r="A732" s="18" t="s">
        <v>2182</v>
      </c>
      <c r="B732" s="49" t="n">
        <v>46327</v>
      </c>
      <c r="C732" s="18" t="s">
        <v>2157</v>
      </c>
      <c r="D732" s="18" t="s">
        <v>222</v>
      </c>
      <c r="E732" s="18" t="s">
        <v>119</v>
      </c>
      <c r="F732" s="18" t="s">
        <v>2641</v>
      </c>
      <c r="G732" s="65" t="n">
        <v>0</v>
      </c>
      <c r="H732" s="65"/>
      <c r="I732" s="54"/>
      <c r="J732" s="18"/>
    </row>
    <row r="733" customFormat="false" ht="15" hidden="false" customHeight="false" outlineLevel="0" collapsed="false">
      <c r="A733" s="18" t="s">
        <v>2182</v>
      </c>
      <c r="B733" s="49" t="n">
        <v>46327</v>
      </c>
      <c r="C733" s="18" t="s">
        <v>2157</v>
      </c>
      <c r="D733" s="18" t="s">
        <v>2168</v>
      </c>
      <c r="E733" s="18" t="s">
        <v>2159</v>
      </c>
      <c r="F733" s="18" t="s">
        <v>2676</v>
      </c>
      <c r="G733" s="65" t="n">
        <v>28932.9165</v>
      </c>
      <c r="H733" s="65" t="n">
        <v>543.014313104271</v>
      </c>
      <c r="I733" s="54" t="n">
        <v>0.0068859284385834</v>
      </c>
      <c r="J733" s="18" t="b">
        <f aca="false">FALSE()</f>
        <v>0</v>
      </c>
    </row>
    <row r="734" customFormat="false" ht="15" hidden="false" customHeight="false" outlineLevel="0" collapsed="false">
      <c r="A734" s="18" t="s">
        <v>2182</v>
      </c>
      <c r="B734" s="49" t="n">
        <v>46327</v>
      </c>
      <c r="C734" s="18" t="s">
        <v>2157</v>
      </c>
      <c r="D734" s="18" t="s">
        <v>2168</v>
      </c>
      <c r="E734" s="18" t="s">
        <v>99</v>
      </c>
      <c r="F734" s="18" t="s">
        <v>2677</v>
      </c>
      <c r="G734" s="65" t="n">
        <v>-10334.8241</v>
      </c>
      <c r="H734" s="65"/>
      <c r="I734" s="54"/>
      <c r="J734" s="18"/>
    </row>
    <row r="735" customFormat="false" ht="15" hidden="false" customHeight="false" outlineLevel="0" collapsed="false">
      <c r="A735" s="18" t="s">
        <v>2182</v>
      </c>
      <c r="B735" s="49" t="n">
        <v>46327</v>
      </c>
      <c r="C735" s="18" t="s">
        <v>2157</v>
      </c>
      <c r="D735" s="18" t="s">
        <v>2168</v>
      </c>
      <c r="E735" s="18" t="s">
        <v>113</v>
      </c>
      <c r="F735" s="18" t="s">
        <v>2678</v>
      </c>
      <c r="G735" s="65" t="n">
        <v>-8835.9733</v>
      </c>
      <c r="H735" s="65"/>
      <c r="I735" s="54"/>
      <c r="J735" s="18"/>
    </row>
    <row r="736" customFormat="false" ht="15" hidden="false" customHeight="false" outlineLevel="0" collapsed="false">
      <c r="A736" s="18" t="s">
        <v>2182</v>
      </c>
      <c r="B736" s="49" t="n">
        <v>46327</v>
      </c>
      <c r="C736" s="18" t="s">
        <v>2157</v>
      </c>
      <c r="D736" s="18" t="s">
        <v>2168</v>
      </c>
      <c r="E736" s="18" t="s">
        <v>119</v>
      </c>
      <c r="F736" s="18" t="s">
        <v>2679</v>
      </c>
      <c r="G736" s="65" t="n">
        <v>48103.7138</v>
      </c>
      <c r="H736" s="65"/>
      <c r="I736" s="54"/>
      <c r="J736" s="18"/>
    </row>
    <row r="737" customFormat="false" ht="15" hidden="false" customHeight="false" outlineLevel="0" collapsed="false">
      <c r="A737" s="18" t="s">
        <v>2182</v>
      </c>
      <c r="B737" s="49" t="n">
        <v>46327</v>
      </c>
      <c r="C737" s="18" t="s">
        <v>2157</v>
      </c>
      <c r="D737" s="18" t="s">
        <v>2174</v>
      </c>
      <c r="E737" s="18" t="s">
        <v>2159</v>
      </c>
      <c r="F737" s="18" t="s">
        <v>2640</v>
      </c>
      <c r="G737" s="65" t="n">
        <v>0</v>
      </c>
      <c r="H737" s="65" t="n">
        <v>0</v>
      </c>
      <c r="I737" s="54" t="n">
        <v>0</v>
      </c>
      <c r="J737" s="18" t="b">
        <f aca="false">FALSE()</f>
        <v>0</v>
      </c>
    </row>
    <row r="738" customFormat="false" ht="15" hidden="false" customHeight="false" outlineLevel="0" collapsed="false">
      <c r="A738" s="18" t="s">
        <v>2182</v>
      </c>
      <c r="B738" s="49" t="n">
        <v>46327</v>
      </c>
      <c r="C738" s="18" t="s">
        <v>2157</v>
      </c>
      <c r="D738" s="18" t="s">
        <v>2174</v>
      </c>
      <c r="E738" s="18" t="s">
        <v>99</v>
      </c>
      <c r="F738" s="18" t="s">
        <v>2640</v>
      </c>
      <c r="G738" s="65" t="n">
        <v>0</v>
      </c>
      <c r="H738" s="65"/>
      <c r="I738" s="54"/>
      <c r="J738" s="18"/>
    </row>
    <row r="739" customFormat="false" ht="15" hidden="false" customHeight="false" outlineLevel="0" collapsed="false">
      <c r="A739" s="18" t="s">
        <v>2182</v>
      </c>
      <c r="B739" s="49" t="n">
        <v>46327</v>
      </c>
      <c r="C739" s="18" t="s">
        <v>2157</v>
      </c>
      <c r="D739" s="18" t="s">
        <v>2174</v>
      </c>
      <c r="E739" s="18" t="s">
        <v>113</v>
      </c>
      <c r="F739" s="18" t="s">
        <v>2641</v>
      </c>
      <c r="G739" s="65" t="n">
        <v>0</v>
      </c>
      <c r="H739" s="65"/>
      <c r="I739" s="54"/>
      <c r="J739" s="18"/>
    </row>
    <row r="740" customFormat="false" ht="15" hidden="false" customHeight="false" outlineLevel="0" collapsed="false">
      <c r="A740" s="18" t="s">
        <v>2182</v>
      </c>
      <c r="B740" s="49" t="n">
        <v>46327</v>
      </c>
      <c r="C740" s="18" t="s">
        <v>2157</v>
      </c>
      <c r="D740" s="18" t="s">
        <v>2174</v>
      </c>
      <c r="E740" s="18" t="s">
        <v>119</v>
      </c>
      <c r="F740" s="18" t="s">
        <v>2641</v>
      </c>
      <c r="G740" s="65" t="n">
        <v>0</v>
      </c>
      <c r="H740" s="65"/>
      <c r="I740" s="54"/>
      <c r="J740" s="18"/>
    </row>
    <row r="741" customFormat="false" ht="15" hidden="false" customHeight="false" outlineLevel="0" collapsed="false">
      <c r="A741" s="18" t="s">
        <v>2182</v>
      </c>
      <c r="B741" s="49" t="n">
        <v>46327</v>
      </c>
      <c r="C741" s="18" t="s">
        <v>2157</v>
      </c>
      <c r="D741" s="18" t="s">
        <v>2180</v>
      </c>
      <c r="E741" s="18" t="s">
        <v>2159</v>
      </c>
      <c r="F741" s="18" t="s">
        <v>2680</v>
      </c>
      <c r="G741" s="65" t="n">
        <v>49925.6308</v>
      </c>
      <c r="H741" s="65" t="n">
        <v>543.014313104271</v>
      </c>
      <c r="I741" s="54" t="n">
        <v>0.0068859284385834</v>
      </c>
      <c r="J741" s="18" t="b">
        <f aca="false">FALSE()</f>
        <v>0</v>
      </c>
    </row>
    <row r="742" customFormat="false" ht="15" hidden="false" customHeight="false" outlineLevel="0" collapsed="false">
      <c r="A742" s="18" t="s">
        <v>2182</v>
      </c>
      <c r="B742" s="49" t="n">
        <v>46327</v>
      </c>
      <c r="C742" s="18" t="s">
        <v>2157</v>
      </c>
      <c r="D742" s="18" t="s">
        <v>2180</v>
      </c>
      <c r="E742" s="18" t="s">
        <v>99</v>
      </c>
      <c r="F742" s="18" t="s">
        <v>2681</v>
      </c>
      <c r="G742" s="65" t="n">
        <v>10334.8241</v>
      </c>
      <c r="H742" s="65"/>
      <c r="I742" s="54"/>
      <c r="J742" s="18"/>
    </row>
    <row r="743" customFormat="false" ht="15" hidden="false" customHeight="false" outlineLevel="0" collapsed="false">
      <c r="A743" s="18" t="s">
        <v>2182</v>
      </c>
      <c r="B743" s="49" t="n">
        <v>46327</v>
      </c>
      <c r="C743" s="18" t="s">
        <v>2157</v>
      </c>
      <c r="D743" s="18" t="s">
        <v>2180</v>
      </c>
      <c r="E743" s="18" t="s">
        <v>113</v>
      </c>
      <c r="F743" s="18" t="s">
        <v>2682</v>
      </c>
      <c r="G743" s="65" t="n">
        <v>8835.9733</v>
      </c>
      <c r="H743" s="65"/>
      <c r="I743" s="54"/>
      <c r="J743" s="18"/>
    </row>
    <row r="744" customFormat="false" ht="15" hidden="false" customHeight="false" outlineLevel="0" collapsed="false">
      <c r="A744" s="18" t="s">
        <v>2182</v>
      </c>
      <c r="B744" s="49" t="n">
        <v>46327</v>
      </c>
      <c r="C744" s="18" t="s">
        <v>2157</v>
      </c>
      <c r="D744" s="18" t="s">
        <v>2180</v>
      </c>
      <c r="E744" s="18" t="s">
        <v>119</v>
      </c>
      <c r="F744" s="18" t="s">
        <v>2683</v>
      </c>
      <c r="G744" s="65" t="n">
        <v>30754.8334</v>
      </c>
      <c r="H744" s="65"/>
      <c r="I744" s="54"/>
      <c r="J744" s="18"/>
    </row>
    <row r="745" customFormat="false" ht="15" hidden="false" customHeight="false" outlineLevel="0" collapsed="false">
      <c r="A745" s="18" t="s">
        <v>2182</v>
      </c>
      <c r="B745" s="49" t="n">
        <v>46327</v>
      </c>
      <c r="C745" s="18" t="s">
        <v>2186</v>
      </c>
      <c r="D745" s="18" t="s">
        <v>2158</v>
      </c>
      <c r="E745" s="18" t="s">
        <v>2159</v>
      </c>
      <c r="F745" s="18" t="s">
        <v>2650</v>
      </c>
      <c r="G745" s="65" t="n">
        <v>0</v>
      </c>
      <c r="H745" s="65"/>
      <c r="I745" s="54"/>
      <c r="J745" s="18"/>
    </row>
    <row r="746" customFormat="false" ht="15" hidden="false" customHeight="false" outlineLevel="0" collapsed="false">
      <c r="A746" s="18" t="s">
        <v>2182</v>
      </c>
      <c r="B746" s="49" t="n">
        <v>46327</v>
      </c>
      <c r="C746" s="18" t="s">
        <v>2186</v>
      </c>
      <c r="D746" s="18" t="s">
        <v>2158</v>
      </c>
      <c r="E746" s="18" t="s">
        <v>99</v>
      </c>
      <c r="F746" s="18" t="s">
        <v>2650</v>
      </c>
      <c r="G746" s="65" t="n">
        <v>0</v>
      </c>
      <c r="H746" s="65"/>
      <c r="I746" s="54"/>
      <c r="J746" s="18"/>
    </row>
    <row r="747" customFormat="false" ht="15" hidden="false" customHeight="false" outlineLevel="0" collapsed="false">
      <c r="A747" s="18" t="s">
        <v>2182</v>
      </c>
      <c r="B747" s="49" t="n">
        <v>46327</v>
      </c>
      <c r="C747" s="18" t="s">
        <v>2186</v>
      </c>
      <c r="D747" s="18" t="s">
        <v>2158</v>
      </c>
      <c r="E747" s="18" t="s">
        <v>113</v>
      </c>
      <c r="F747" s="18" t="s">
        <v>2651</v>
      </c>
      <c r="G747" s="65" t="n">
        <v>0</v>
      </c>
      <c r="H747" s="65"/>
      <c r="I747" s="54"/>
      <c r="J747" s="18"/>
    </row>
    <row r="748" customFormat="false" ht="15" hidden="false" customHeight="false" outlineLevel="0" collapsed="false">
      <c r="A748" s="18" t="s">
        <v>2182</v>
      </c>
      <c r="B748" s="49" t="n">
        <v>46327</v>
      </c>
      <c r="C748" s="18" t="s">
        <v>2186</v>
      </c>
      <c r="D748" s="18" t="s">
        <v>2158</v>
      </c>
      <c r="E748" s="18" t="s">
        <v>119</v>
      </c>
      <c r="F748" s="18" t="s">
        <v>2651</v>
      </c>
      <c r="G748" s="65" t="n">
        <v>0</v>
      </c>
      <c r="H748" s="65"/>
      <c r="I748" s="54"/>
      <c r="J748" s="18"/>
    </row>
    <row r="749" customFormat="false" ht="15" hidden="false" customHeight="false" outlineLevel="0" collapsed="false">
      <c r="A749" s="18" t="s">
        <v>2182</v>
      </c>
      <c r="B749" s="49" t="n">
        <v>46327</v>
      </c>
      <c r="C749" s="18" t="s">
        <v>2186</v>
      </c>
      <c r="D749" s="18" t="s">
        <v>222</v>
      </c>
      <c r="E749" s="18" t="s">
        <v>2159</v>
      </c>
      <c r="F749" s="18" t="s">
        <v>2650</v>
      </c>
      <c r="G749" s="65" t="n">
        <v>0</v>
      </c>
      <c r="H749" s="65"/>
      <c r="I749" s="54"/>
      <c r="J749" s="18"/>
    </row>
    <row r="750" customFormat="false" ht="15" hidden="false" customHeight="false" outlineLevel="0" collapsed="false">
      <c r="A750" s="18" t="s">
        <v>2182</v>
      </c>
      <c r="B750" s="49" t="n">
        <v>46327</v>
      </c>
      <c r="C750" s="18" t="s">
        <v>2186</v>
      </c>
      <c r="D750" s="18" t="s">
        <v>222</v>
      </c>
      <c r="E750" s="18" t="s">
        <v>99</v>
      </c>
      <c r="F750" s="18" t="s">
        <v>2650</v>
      </c>
      <c r="G750" s="65" t="n">
        <v>0</v>
      </c>
      <c r="H750" s="65"/>
      <c r="I750" s="54"/>
      <c r="J750" s="18"/>
    </row>
    <row r="751" customFormat="false" ht="15" hidden="false" customHeight="false" outlineLevel="0" collapsed="false">
      <c r="A751" s="18" t="s">
        <v>2182</v>
      </c>
      <c r="B751" s="49" t="n">
        <v>46327</v>
      </c>
      <c r="C751" s="18" t="s">
        <v>2186</v>
      </c>
      <c r="D751" s="18" t="s">
        <v>222</v>
      </c>
      <c r="E751" s="18" t="s">
        <v>113</v>
      </c>
      <c r="F751" s="18" t="s">
        <v>2651</v>
      </c>
      <c r="G751" s="65" t="n">
        <v>0</v>
      </c>
      <c r="H751" s="65"/>
      <c r="I751" s="54"/>
      <c r="J751" s="18"/>
    </row>
    <row r="752" customFormat="false" ht="15" hidden="false" customHeight="false" outlineLevel="0" collapsed="false">
      <c r="A752" s="18" t="s">
        <v>2182</v>
      </c>
      <c r="B752" s="49" t="n">
        <v>46327</v>
      </c>
      <c r="C752" s="18" t="s">
        <v>2186</v>
      </c>
      <c r="D752" s="18" t="s">
        <v>222</v>
      </c>
      <c r="E752" s="18" t="s">
        <v>119</v>
      </c>
      <c r="F752" s="18" t="s">
        <v>2651</v>
      </c>
      <c r="G752" s="65" t="n">
        <v>0</v>
      </c>
      <c r="H752" s="65"/>
      <c r="I752" s="54"/>
      <c r="J752" s="18"/>
    </row>
    <row r="753" customFormat="false" ht="15" hidden="false" customHeight="false" outlineLevel="0" collapsed="false">
      <c r="A753" s="18" t="s">
        <v>2182</v>
      </c>
      <c r="B753" s="49" t="n">
        <v>46327</v>
      </c>
      <c r="C753" s="18" t="s">
        <v>2186</v>
      </c>
      <c r="D753" s="18" t="s">
        <v>2168</v>
      </c>
      <c r="E753" s="18" t="s">
        <v>2159</v>
      </c>
      <c r="F753" s="18" t="s">
        <v>2684</v>
      </c>
      <c r="G753" s="65" t="n">
        <v>28389.9022</v>
      </c>
      <c r="H753" s="65"/>
      <c r="I753" s="54"/>
      <c r="J753" s="18"/>
    </row>
    <row r="754" customFormat="false" ht="15" hidden="false" customHeight="false" outlineLevel="0" collapsed="false">
      <c r="A754" s="18" t="s">
        <v>2182</v>
      </c>
      <c r="B754" s="49" t="n">
        <v>46327</v>
      </c>
      <c r="C754" s="18" t="s">
        <v>2186</v>
      </c>
      <c r="D754" s="18" t="s">
        <v>2168</v>
      </c>
      <c r="E754" s="18" t="s">
        <v>99</v>
      </c>
      <c r="F754" s="18" t="s">
        <v>2685</v>
      </c>
      <c r="G754" s="65" t="n">
        <v>-10140.8596</v>
      </c>
      <c r="H754" s="65"/>
      <c r="I754" s="54"/>
      <c r="J754" s="18"/>
    </row>
    <row r="755" customFormat="false" ht="15" hidden="false" customHeight="false" outlineLevel="0" collapsed="false">
      <c r="A755" s="18" t="s">
        <v>2182</v>
      </c>
      <c r="B755" s="49" t="n">
        <v>46327</v>
      </c>
      <c r="C755" s="18" t="s">
        <v>2186</v>
      </c>
      <c r="D755" s="18" t="s">
        <v>2168</v>
      </c>
      <c r="E755" s="18" t="s">
        <v>113</v>
      </c>
      <c r="F755" s="18" t="s">
        <v>2686</v>
      </c>
      <c r="G755" s="65" t="n">
        <v>-8670.1393</v>
      </c>
      <c r="H755" s="65"/>
      <c r="I755" s="54"/>
      <c r="J755" s="18"/>
    </row>
    <row r="756" customFormat="false" ht="15" hidden="false" customHeight="false" outlineLevel="0" collapsed="false">
      <c r="A756" s="18" t="s">
        <v>2182</v>
      </c>
      <c r="B756" s="49" t="n">
        <v>46327</v>
      </c>
      <c r="C756" s="18" t="s">
        <v>2186</v>
      </c>
      <c r="D756" s="18" t="s">
        <v>2168</v>
      </c>
      <c r="E756" s="18" t="s">
        <v>119</v>
      </c>
      <c r="F756" s="18" t="s">
        <v>2687</v>
      </c>
      <c r="G756" s="65" t="n">
        <v>47200.9011</v>
      </c>
      <c r="H756" s="65"/>
      <c r="I756" s="54"/>
      <c r="J756" s="18"/>
    </row>
    <row r="757" customFormat="false" ht="15" hidden="false" customHeight="false" outlineLevel="0" collapsed="false">
      <c r="A757" s="18" t="s">
        <v>2182</v>
      </c>
      <c r="B757" s="49" t="n">
        <v>46327</v>
      </c>
      <c r="C757" s="18" t="s">
        <v>2186</v>
      </c>
      <c r="D757" s="18" t="s">
        <v>2174</v>
      </c>
      <c r="E757" s="18" t="s">
        <v>2159</v>
      </c>
      <c r="F757" s="18" t="s">
        <v>2650</v>
      </c>
      <c r="G757" s="65" t="n">
        <v>0</v>
      </c>
      <c r="H757" s="65"/>
      <c r="I757" s="54"/>
      <c r="J757" s="18"/>
    </row>
    <row r="758" customFormat="false" ht="15" hidden="false" customHeight="false" outlineLevel="0" collapsed="false">
      <c r="A758" s="18" t="s">
        <v>2182</v>
      </c>
      <c r="B758" s="49" t="n">
        <v>46327</v>
      </c>
      <c r="C758" s="18" t="s">
        <v>2186</v>
      </c>
      <c r="D758" s="18" t="s">
        <v>2174</v>
      </c>
      <c r="E758" s="18" t="s">
        <v>99</v>
      </c>
      <c r="F758" s="18" t="s">
        <v>2650</v>
      </c>
      <c r="G758" s="65" t="n">
        <v>0</v>
      </c>
      <c r="H758" s="65"/>
      <c r="I758" s="54"/>
      <c r="J758" s="18"/>
    </row>
    <row r="759" customFormat="false" ht="15" hidden="false" customHeight="false" outlineLevel="0" collapsed="false">
      <c r="A759" s="18" t="s">
        <v>2182</v>
      </c>
      <c r="B759" s="49" t="n">
        <v>46327</v>
      </c>
      <c r="C759" s="18" t="s">
        <v>2186</v>
      </c>
      <c r="D759" s="18" t="s">
        <v>2174</v>
      </c>
      <c r="E759" s="18" t="s">
        <v>113</v>
      </c>
      <c r="F759" s="18" t="s">
        <v>2651</v>
      </c>
      <c r="G759" s="65" t="n">
        <v>0</v>
      </c>
      <c r="H759" s="65"/>
      <c r="I759" s="54"/>
      <c r="J759" s="18"/>
    </row>
    <row r="760" customFormat="false" ht="15" hidden="false" customHeight="false" outlineLevel="0" collapsed="false">
      <c r="A760" s="18" t="s">
        <v>2182</v>
      </c>
      <c r="B760" s="49" t="n">
        <v>46327</v>
      </c>
      <c r="C760" s="18" t="s">
        <v>2186</v>
      </c>
      <c r="D760" s="18" t="s">
        <v>2174</v>
      </c>
      <c r="E760" s="18" t="s">
        <v>119</v>
      </c>
      <c r="F760" s="18" t="s">
        <v>2651</v>
      </c>
      <c r="G760" s="65" t="n">
        <v>0</v>
      </c>
      <c r="H760" s="65"/>
      <c r="I760" s="54"/>
      <c r="J760" s="18"/>
    </row>
    <row r="761" customFormat="false" ht="15" hidden="false" customHeight="false" outlineLevel="0" collapsed="false">
      <c r="A761" s="18" t="s">
        <v>2182</v>
      </c>
      <c r="B761" s="49" t="n">
        <v>46327</v>
      </c>
      <c r="C761" s="18" t="s">
        <v>2186</v>
      </c>
      <c r="D761" s="18" t="s">
        <v>2180</v>
      </c>
      <c r="E761" s="18" t="s">
        <v>2159</v>
      </c>
      <c r="F761" s="18" t="s">
        <v>2688</v>
      </c>
      <c r="G761" s="65" t="n">
        <v>50468.6451</v>
      </c>
      <c r="H761" s="65"/>
      <c r="I761" s="54"/>
      <c r="J761" s="18"/>
    </row>
    <row r="762" customFormat="false" ht="15" hidden="false" customHeight="false" outlineLevel="0" collapsed="false">
      <c r="A762" s="18" t="s">
        <v>2182</v>
      </c>
      <c r="B762" s="49" t="n">
        <v>46327</v>
      </c>
      <c r="C762" s="18" t="s">
        <v>2186</v>
      </c>
      <c r="D762" s="18" t="s">
        <v>2180</v>
      </c>
      <c r="E762" s="18" t="s">
        <v>99</v>
      </c>
      <c r="F762" s="18" t="s">
        <v>2689</v>
      </c>
      <c r="G762" s="65" t="n">
        <v>10140.8596</v>
      </c>
      <c r="H762" s="65"/>
      <c r="I762" s="54"/>
      <c r="J762" s="18"/>
    </row>
    <row r="763" customFormat="false" ht="15" hidden="false" customHeight="false" outlineLevel="0" collapsed="false">
      <c r="A763" s="18" t="s">
        <v>2182</v>
      </c>
      <c r="B763" s="49" t="n">
        <v>46327</v>
      </c>
      <c r="C763" s="18" t="s">
        <v>2186</v>
      </c>
      <c r="D763" s="18" t="s">
        <v>2180</v>
      </c>
      <c r="E763" s="18" t="s">
        <v>113</v>
      </c>
      <c r="F763" s="18" t="s">
        <v>2690</v>
      </c>
      <c r="G763" s="65" t="n">
        <v>8670.1393</v>
      </c>
      <c r="H763" s="65"/>
      <c r="I763" s="54"/>
      <c r="J763" s="18"/>
    </row>
    <row r="764" customFormat="false" ht="15" hidden="false" customHeight="false" outlineLevel="0" collapsed="false">
      <c r="A764" s="18" t="s">
        <v>2182</v>
      </c>
      <c r="B764" s="49" t="n">
        <v>46327</v>
      </c>
      <c r="C764" s="18" t="s">
        <v>2186</v>
      </c>
      <c r="D764" s="18" t="s">
        <v>2180</v>
      </c>
      <c r="E764" s="18" t="s">
        <v>119</v>
      </c>
      <c r="F764" s="18" t="s">
        <v>2691</v>
      </c>
      <c r="G764" s="65" t="n">
        <v>31657.6461</v>
      </c>
      <c r="H764" s="65"/>
      <c r="I764" s="54"/>
      <c r="J764" s="18"/>
    </row>
    <row r="765" customFormat="false" ht="15" hidden="false" customHeight="false" outlineLevel="0" collapsed="false">
      <c r="A765" s="18" t="s">
        <v>2182</v>
      </c>
      <c r="B765" s="49" t="n">
        <v>46357</v>
      </c>
      <c r="C765" s="18" t="s">
        <v>2157</v>
      </c>
      <c r="D765" s="18" t="s">
        <v>2158</v>
      </c>
      <c r="E765" s="18" t="s">
        <v>2159</v>
      </c>
      <c r="F765" s="18" t="s">
        <v>2640</v>
      </c>
      <c r="G765" s="65" t="n">
        <v>0</v>
      </c>
      <c r="H765" s="65" t="n">
        <v>0</v>
      </c>
      <c r="I765" s="54" t="n">
        <v>0</v>
      </c>
      <c r="J765" s="18" t="b">
        <f aca="false">FALSE()</f>
        <v>0</v>
      </c>
    </row>
    <row r="766" customFormat="false" ht="15" hidden="false" customHeight="false" outlineLevel="0" collapsed="false">
      <c r="A766" s="18" t="s">
        <v>2182</v>
      </c>
      <c r="B766" s="49" t="n">
        <v>46357</v>
      </c>
      <c r="C766" s="18" t="s">
        <v>2157</v>
      </c>
      <c r="D766" s="18" t="s">
        <v>2158</v>
      </c>
      <c r="E766" s="18" t="s">
        <v>99</v>
      </c>
      <c r="F766" s="18" t="s">
        <v>2640</v>
      </c>
      <c r="G766" s="65" t="n">
        <v>0</v>
      </c>
      <c r="H766" s="65"/>
      <c r="I766" s="54"/>
      <c r="J766" s="18"/>
    </row>
    <row r="767" customFormat="false" ht="15" hidden="false" customHeight="false" outlineLevel="0" collapsed="false">
      <c r="A767" s="18" t="s">
        <v>2182</v>
      </c>
      <c r="B767" s="49" t="n">
        <v>46357</v>
      </c>
      <c r="C767" s="18" t="s">
        <v>2157</v>
      </c>
      <c r="D767" s="18" t="s">
        <v>2158</v>
      </c>
      <c r="E767" s="18" t="s">
        <v>113</v>
      </c>
      <c r="F767" s="18" t="s">
        <v>2641</v>
      </c>
      <c r="G767" s="65" t="n">
        <v>0</v>
      </c>
      <c r="H767" s="65"/>
      <c r="I767" s="54"/>
      <c r="J767" s="18"/>
    </row>
    <row r="768" customFormat="false" ht="15" hidden="false" customHeight="false" outlineLevel="0" collapsed="false">
      <c r="A768" s="18" t="s">
        <v>2182</v>
      </c>
      <c r="B768" s="49" t="n">
        <v>46357</v>
      </c>
      <c r="C768" s="18" t="s">
        <v>2157</v>
      </c>
      <c r="D768" s="18" t="s">
        <v>2158</v>
      </c>
      <c r="E768" s="18" t="s">
        <v>119</v>
      </c>
      <c r="F768" s="18" t="s">
        <v>2641</v>
      </c>
      <c r="G768" s="65" t="n">
        <v>0</v>
      </c>
      <c r="H768" s="65"/>
      <c r="I768" s="54"/>
      <c r="J768" s="18"/>
    </row>
    <row r="769" customFormat="false" ht="15" hidden="false" customHeight="false" outlineLevel="0" collapsed="false">
      <c r="A769" s="18" t="s">
        <v>2182</v>
      </c>
      <c r="B769" s="49" t="n">
        <v>46357</v>
      </c>
      <c r="C769" s="18" t="s">
        <v>2157</v>
      </c>
      <c r="D769" s="18" t="s">
        <v>222</v>
      </c>
      <c r="E769" s="18" t="s">
        <v>2159</v>
      </c>
      <c r="F769" s="18" t="s">
        <v>2640</v>
      </c>
      <c r="G769" s="65" t="n">
        <v>0</v>
      </c>
      <c r="H769" s="65" t="n">
        <v>0</v>
      </c>
      <c r="I769" s="54" t="n">
        <v>0</v>
      </c>
      <c r="J769" s="18" t="b">
        <f aca="false">FALSE()</f>
        <v>0</v>
      </c>
    </row>
    <row r="770" customFormat="false" ht="15" hidden="false" customHeight="false" outlineLevel="0" collapsed="false">
      <c r="A770" s="18" t="s">
        <v>2182</v>
      </c>
      <c r="B770" s="49" t="n">
        <v>46357</v>
      </c>
      <c r="C770" s="18" t="s">
        <v>2157</v>
      </c>
      <c r="D770" s="18" t="s">
        <v>222</v>
      </c>
      <c r="E770" s="18" t="s">
        <v>99</v>
      </c>
      <c r="F770" s="18" t="s">
        <v>2640</v>
      </c>
      <c r="G770" s="65" t="n">
        <v>0</v>
      </c>
      <c r="H770" s="65"/>
      <c r="I770" s="54"/>
      <c r="J770" s="18"/>
    </row>
    <row r="771" customFormat="false" ht="15" hidden="false" customHeight="false" outlineLevel="0" collapsed="false">
      <c r="A771" s="18" t="s">
        <v>2182</v>
      </c>
      <c r="B771" s="49" t="n">
        <v>46357</v>
      </c>
      <c r="C771" s="18" t="s">
        <v>2157</v>
      </c>
      <c r="D771" s="18" t="s">
        <v>222</v>
      </c>
      <c r="E771" s="18" t="s">
        <v>113</v>
      </c>
      <c r="F771" s="18" t="s">
        <v>2641</v>
      </c>
      <c r="G771" s="65" t="n">
        <v>0</v>
      </c>
      <c r="H771" s="65"/>
      <c r="I771" s="54"/>
      <c r="J771" s="18"/>
    </row>
    <row r="772" customFormat="false" ht="15" hidden="false" customHeight="false" outlineLevel="0" collapsed="false">
      <c r="A772" s="18" t="s">
        <v>2182</v>
      </c>
      <c r="B772" s="49" t="n">
        <v>46357</v>
      </c>
      <c r="C772" s="18" t="s">
        <v>2157</v>
      </c>
      <c r="D772" s="18" t="s">
        <v>222</v>
      </c>
      <c r="E772" s="18" t="s">
        <v>119</v>
      </c>
      <c r="F772" s="18" t="s">
        <v>2641</v>
      </c>
      <c r="G772" s="65" t="n">
        <v>0</v>
      </c>
      <c r="H772" s="65"/>
      <c r="I772" s="54"/>
      <c r="J772" s="18"/>
    </row>
    <row r="773" customFormat="false" ht="15" hidden="false" customHeight="false" outlineLevel="0" collapsed="false">
      <c r="A773" s="18" t="s">
        <v>2182</v>
      </c>
      <c r="B773" s="49" t="n">
        <v>46357</v>
      </c>
      <c r="C773" s="18" t="s">
        <v>2157</v>
      </c>
      <c r="D773" s="18" t="s">
        <v>2168</v>
      </c>
      <c r="E773" s="18" t="s">
        <v>2159</v>
      </c>
      <c r="F773" s="18" t="s">
        <v>2692</v>
      </c>
      <c r="G773" s="65" t="n">
        <v>31740.5339</v>
      </c>
      <c r="H773" s="65" t="n">
        <v>610.394882879452</v>
      </c>
      <c r="I773" s="54" t="n">
        <v>0.0067847278945593</v>
      </c>
      <c r="J773" s="18" t="b">
        <f aca="false">FALSE()</f>
        <v>0</v>
      </c>
    </row>
    <row r="774" customFormat="false" ht="15" hidden="false" customHeight="false" outlineLevel="0" collapsed="false">
      <c r="A774" s="18" t="s">
        <v>2182</v>
      </c>
      <c r="B774" s="49" t="n">
        <v>46357</v>
      </c>
      <c r="C774" s="18" t="s">
        <v>2157</v>
      </c>
      <c r="D774" s="18" t="s">
        <v>2168</v>
      </c>
      <c r="E774" s="18" t="s">
        <v>99</v>
      </c>
      <c r="F774" s="18" t="s">
        <v>2693</v>
      </c>
      <c r="G774" s="65" t="n">
        <v>-12173.9152</v>
      </c>
      <c r="H774" s="65"/>
      <c r="I774" s="54"/>
      <c r="J774" s="18"/>
    </row>
    <row r="775" customFormat="false" ht="15" hidden="false" customHeight="false" outlineLevel="0" collapsed="false">
      <c r="A775" s="18" t="s">
        <v>2182</v>
      </c>
      <c r="B775" s="49" t="n">
        <v>46357</v>
      </c>
      <c r="C775" s="18" t="s">
        <v>2157</v>
      </c>
      <c r="D775" s="18" t="s">
        <v>2168</v>
      </c>
      <c r="E775" s="18" t="s">
        <v>113</v>
      </c>
      <c r="F775" s="18" t="s">
        <v>2694</v>
      </c>
      <c r="G775" s="65" t="n">
        <v>-10065.1556</v>
      </c>
      <c r="H775" s="65"/>
      <c r="I775" s="54"/>
      <c r="J775" s="18"/>
    </row>
    <row r="776" customFormat="false" ht="15" hidden="false" customHeight="false" outlineLevel="0" collapsed="false">
      <c r="A776" s="18" t="s">
        <v>2182</v>
      </c>
      <c r="B776" s="49" t="n">
        <v>46357</v>
      </c>
      <c r="C776" s="18" t="s">
        <v>2157</v>
      </c>
      <c r="D776" s="18" t="s">
        <v>2168</v>
      </c>
      <c r="E776" s="18" t="s">
        <v>119</v>
      </c>
      <c r="F776" s="18" t="s">
        <v>2695</v>
      </c>
      <c r="G776" s="65" t="n">
        <v>53979.6047</v>
      </c>
      <c r="H776" s="65"/>
      <c r="I776" s="54"/>
      <c r="J776" s="18"/>
    </row>
    <row r="777" customFormat="false" ht="15" hidden="false" customHeight="false" outlineLevel="0" collapsed="false">
      <c r="A777" s="18" t="s">
        <v>2182</v>
      </c>
      <c r="B777" s="49" t="n">
        <v>46357</v>
      </c>
      <c r="C777" s="18" t="s">
        <v>2157</v>
      </c>
      <c r="D777" s="18" t="s">
        <v>2174</v>
      </c>
      <c r="E777" s="18" t="s">
        <v>2159</v>
      </c>
      <c r="F777" s="18" t="s">
        <v>2640</v>
      </c>
      <c r="G777" s="65" t="n">
        <v>0</v>
      </c>
      <c r="H777" s="65" t="n">
        <v>0</v>
      </c>
      <c r="I777" s="54" t="n">
        <v>0</v>
      </c>
      <c r="J777" s="18" t="b">
        <f aca="false">FALSE()</f>
        <v>0</v>
      </c>
    </row>
    <row r="778" customFormat="false" ht="15" hidden="false" customHeight="false" outlineLevel="0" collapsed="false">
      <c r="A778" s="18" t="s">
        <v>2182</v>
      </c>
      <c r="B778" s="49" t="n">
        <v>46357</v>
      </c>
      <c r="C778" s="18" t="s">
        <v>2157</v>
      </c>
      <c r="D778" s="18" t="s">
        <v>2174</v>
      </c>
      <c r="E778" s="18" t="s">
        <v>99</v>
      </c>
      <c r="F778" s="18" t="s">
        <v>2640</v>
      </c>
      <c r="G778" s="65" t="n">
        <v>0</v>
      </c>
      <c r="H778" s="65"/>
      <c r="I778" s="54"/>
      <c r="J778" s="18"/>
    </row>
    <row r="779" customFormat="false" ht="15" hidden="false" customHeight="false" outlineLevel="0" collapsed="false">
      <c r="A779" s="18" t="s">
        <v>2182</v>
      </c>
      <c r="B779" s="49" t="n">
        <v>46357</v>
      </c>
      <c r="C779" s="18" t="s">
        <v>2157</v>
      </c>
      <c r="D779" s="18" t="s">
        <v>2174</v>
      </c>
      <c r="E779" s="18" t="s">
        <v>113</v>
      </c>
      <c r="F779" s="18" t="s">
        <v>2641</v>
      </c>
      <c r="G779" s="65" t="n">
        <v>0</v>
      </c>
      <c r="H779" s="65"/>
      <c r="I779" s="54"/>
      <c r="J779" s="18"/>
    </row>
    <row r="780" customFormat="false" ht="15" hidden="false" customHeight="false" outlineLevel="0" collapsed="false">
      <c r="A780" s="18" t="s">
        <v>2182</v>
      </c>
      <c r="B780" s="49" t="n">
        <v>46357</v>
      </c>
      <c r="C780" s="18" t="s">
        <v>2157</v>
      </c>
      <c r="D780" s="18" t="s">
        <v>2174</v>
      </c>
      <c r="E780" s="18" t="s">
        <v>119</v>
      </c>
      <c r="F780" s="18" t="s">
        <v>2641</v>
      </c>
      <c r="G780" s="65" t="n">
        <v>0</v>
      </c>
      <c r="H780" s="65"/>
      <c r="I780" s="54"/>
      <c r="J780" s="18"/>
    </row>
    <row r="781" customFormat="false" ht="15" hidden="false" customHeight="false" outlineLevel="0" collapsed="false">
      <c r="A781" s="18" t="s">
        <v>2182</v>
      </c>
      <c r="B781" s="49" t="n">
        <v>46357</v>
      </c>
      <c r="C781" s="18" t="s">
        <v>2157</v>
      </c>
      <c r="D781" s="18" t="s">
        <v>2180</v>
      </c>
      <c r="E781" s="18" t="s">
        <v>2159</v>
      </c>
      <c r="F781" s="18" t="s">
        <v>2696</v>
      </c>
      <c r="G781" s="65" t="n">
        <v>58225.4739</v>
      </c>
      <c r="H781" s="65" t="n">
        <v>610.394882879452</v>
      </c>
      <c r="I781" s="54" t="n">
        <v>0.0067847278945593</v>
      </c>
      <c r="J781" s="18" t="b">
        <f aca="false">FALSE()</f>
        <v>0</v>
      </c>
    </row>
    <row r="782" customFormat="false" ht="15" hidden="false" customHeight="false" outlineLevel="0" collapsed="false">
      <c r="A782" s="18" t="s">
        <v>2182</v>
      </c>
      <c r="B782" s="49" t="n">
        <v>46357</v>
      </c>
      <c r="C782" s="18" t="s">
        <v>2157</v>
      </c>
      <c r="D782" s="18" t="s">
        <v>2180</v>
      </c>
      <c r="E782" s="18" t="s">
        <v>99</v>
      </c>
      <c r="F782" s="18" t="s">
        <v>2697</v>
      </c>
      <c r="G782" s="65" t="n">
        <v>12173.9152</v>
      </c>
      <c r="H782" s="65"/>
      <c r="I782" s="54"/>
      <c r="J782" s="18"/>
    </row>
    <row r="783" customFormat="false" ht="15" hidden="false" customHeight="false" outlineLevel="0" collapsed="false">
      <c r="A783" s="18" t="s">
        <v>2182</v>
      </c>
      <c r="B783" s="49" t="n">
        <v>46357</v>
      </c>
      <c r="C783" s="18" t="s">
        <v>2157</v>
      </c>
      <c r="D783" s="18" t="s">
        <v>2180</v>
      </c>
      <c r="E783" s="18" t="s">
        <v>113</v>
      </c>
      <c r="F783" s="18" t="s">
        <v>2698</v>
      </c>
      <c r="G783" s="65" t="n">
        <v>10065.1556</v>
      </c>
      <c r="H783" s="65"/>
      <c r="I783" s="54"/>
      <c r="J783" s="18"/>
    </row>
    <row r="784" customFormat="false" ht="15" hidden="false" customHeight="false" outlineLevel="0" collapsed="false">
      <c r="A784" s="18" t="s">
        <v>2182</v>
      </c>
      <c r="B784" s="49" t="n">
        <v>46357</v>
      </c>
      <c r="C784" s="18" t="s">
        <v>2157</v>
      </c>
      <c r="D784" s="18" t="s">
        <v>2180</v>
      </c>
      <c r="E784" s="18" t="s">
        <v>119</v>
      </c>
      <c r="F784" s="18" t="s">
        <v>2699</v>
      </c>
      <c r="G784" s="65" t="n">
        <v>35986.4031</v>
      </c>
      <c r="H784" s="65"/>
      <c r="I784" s="54"/>
      <c r="J784" s="18"/>
    </row>
    <row r="785" customFormat="false" ht="15" hidden="false" customHeight="false" outlineLevel="0" collapsed="false">
      <c r="A785" s="18" t="s">
        <v>2182</v>
      </c>
      <c r="B785" s="49" t="n">
        <v>46357</v>
      </c>
      <c r="C785" s="18" t="s">
        <v>2186</v>
      </c>
      <c r="D785" s="18" t="s">
        <v>2158</v>
      </c>
      <c r="E785" s="18" t="s">
        <v>2159</v>
      </c>
      <c r="F785" s="18" t="s">
        <v>2650</v>
      </c>
      <c r="G785" s="65" t="n">
        <v>0</v>
      </c>
      <c r="H785" s="65"/>
      <c r="I785" s="54"/>
      <c r="J785" s="18"/>
    </row>
    <row r="786" customFormat="false" ht="15" hidden="false" customHeight="false" outlineLevel="0" collapsed="false">
      <c r="A786" s="18" t="s">
        <v>2182</v>
      </c>
      <c r="B786" s="49" t="n">
        <v>46357</v>
      </c>
      <c r="C786" s="18" t="s">
        <v>2186</v>
      </c>
      <c r="D786" s="18" t="s">
        <v>2158</v>
      </c>
      <c r="E786" s="18" t="s">
        <v>99</v>
      </c>
      <c r="F786" s="18" t="s">
        <v>2650</v>
      </c>
      <c r="G786" s="65" t="n">
        <v>0</v>
      </c>
      <c r="H786" s="65"/>
      <c r="I786" s="54"/>
      <c r="J786" s="18"/>
    </row>
    <row r="787" customFormat="false" ht="15" hidden="false" customHeight="false" outlineLevel="0" collapsed="false">
      <c r="A787" s="18" t="s">
        <v>2182</v>
      </c>
      <c r="B787" s="49" t="n">
        <v>46357</v>
      </c>
      <c r="C787" s="18" t="s">
        <v>2186</v>
      </c>
      <c r="D787" s="18" t="s">
        <v>2158</v>
      </c>
      <c r="E787" s="18" t="s">
        <v>113</v>
      </c>
      <c r="F787" s="18" t="s">
        <v>2651</v>
      </c>
      <c r="G787" s="65" t="n">
        <v>0</v>
      </c>
      <c r="H787" s="65"/>
      <c r="I787" s="54"/>
      <c r="J787" s="18"/>
    </row>
    <row r="788" customFormat="false" ht="15" hidden="false" customHeight="false" outlineLevel="0" collapsed="false">
      <c r="A788" s="18" t="s">
        <v>2182</v>
      </c>
      <c r="B788" s="49" t="n">
        <v>46357</v>
      </c>
      <c r="C788" s="18" t="s">
        <v>2186</v>
      </c>
      <c r="D788" s="18" t="s">
        <v>2158</v>
      </c>
      <c r="E788" s="18" t="s">
        <v>119</v>
      </c>
      <c r="F788" s="18" t="s">
        <v>2651</v>
      </c>
      <c r="G788" s="65" t="n">
        <v>0</v>
      </c>
      <c r="H788" s="65"/>
      <c r="I788" s="54"/>
      <c r="J788" s="18"/>
    </row>
    <row r="789" customFormat="false" ht="15" hidden="false" customHeight="false" outlineLevel="0" collapsed="false">
      <c r="A789" s="18" t="s">
        <v>2182</v>
      </c>
      <c r="B789" s="49" t="n">
        <v>46357</v>
      </c>
      <c r="C789" s="18" t="s">
        <v>2186</v>
      </c>
      <c r="D789" s="18" t="s">
        <v>222</v>
      </c>
      <c r="E789" s="18" t="s">
        <v>2159</v>
      </c>
      <c r="F789" s="18" t="s">
        <v>2650</v>
      </c>
      <c r="G789" s="65" t="n">
        <v>0</v>
      </c>
      <c r="H789" s="65"/>
      <c r="I789" s="54"/>
      <c r="J789" s="18"/>
    </row>
    <row r="790" customFormat="false" ht="15" hidden="false" customHeight="false" outlineLevel="0" collapsed="false">
      <c r="A790" s="18" t="s">
        <v>2182</v>
      </c>
      <c r="B790" s="49" t="n">
        <v>46357</v>
      </c>
      <c r="C790" s="18" t="s">
        <v>2186</v>
      </c>
      <c r="D790" s="18" t="s">
        <v>222</v>
      </c>
      <c r="E790" s="18" t="s">
        <v>99</v>
      </c>
      <c r="F790" s="18" t="s">
        <v>2650</v>
      </c>
      <c r="G790" s="65" t="n">
        <v>0</v>
      </c>
      <c r="H790" s="65"/>
      <c r="I790" s="54"/>
      <c r="J790" s="18"/>
    </row>
    <row r="791" customFormat="false" ht="15" hidden="false" customHeight="false" outlineLevel="0" collapsed="false">
      <c r="A791" s="18" t="s">
        <v>2182</v>
      </c>
      <c r="B791" s="49" t="n">
        <v>46357</v>
      </c>
      <c r="C791" s="18" t="s">
        <v>2186</v>
      </c>
      <c r="D791" s="18" t="s">
        <v>222</v>
      </c>
      <c r="E791" s="18" t="s">
        <v>113</v>
      </c>
      <c r="F791" s="18" t="s">
        <v>2651</v>
      </c>
      <c r="G791" s="65" t="n">
        <v>0</v>
      </c>
      <c r="H791" s="65"/>
      <c r="I791" s="54"/>
      <c r="J791" s="18"/>
    </row>
    <row r="792" customFormat="false" ht="15" hidden="false" customHeight="false" outlineLevel="0" collapsed="false">
      <c r="A792" s="18" t="s">
        <v>2182</v>
      </c>
      <c r="B792" s="49" t="n">
        <v>46357</v>
      </c>
      <c r="C792" s="18" t="s">
        <v>2186</v>
      </c>
      <c r="D792" s="18" t="s">
        <v>222</v>
      </c>
      <c r="E792" s="18" t="s">
        <v>119</v>
      </c>
      <c r="F792" s="18" t="s">
        <v>2651</v>
      </c>
      <c r="G792" s="65" t="n">
        <v>0</v>
      </c>
      <c r="H792" s="65"/>
      <c r="I792" s="54"/>
      <c r="J792" s="18"/>
    </row>
    <row r="793" customFormat="false" ht="15" hidden="false" customHeight="false" outlineLevel="0" collapsed="false">
      <c r="A793" s="18" t="s">
        <v>2182</v>
      </c>
      <c r="B793" s="49" t="n">
        <v>46357</v>
      </c>
      <c r="C793" s="18" t="s">
        <v>2186</v>
      </c>
      <c r="D793" s="18" t="s">
        <v>2168</v>
      </c>
      <c r="E793" s="18" t="s">
        <v>2159</v>
      </c>
      <c r="F793" s="18" t="s">
        <v>2700</v>
      </c>
      <c r="G793" s="65" t="n">
        <v>31130.139</v>
      </c>
      <c r="H793" s="65"/>
      <c r="I793" s="54"/>
      <c r="J793" s="18"/>
    </row>
    <row r="794" customFormat="false" ht="15" hidden="false" customHeight="false" outlineLevel="0" collapsed="false">
      <c r="A794" s="18" t="s">
        <v>2182</v>
      </c>
      <c r="B794" s="49" t="n">
        <v>46357</v>
      </c>
      <c r="C794" s="18" t="s">
        <v>2186</v>
      </c>
      <c r="D794" s="18" t="s">
        <v>2168</v>
      </c>
      <c r="E794" s="18" t="s">
        <v>99</v>
      </c>
      <c r="F794" s="18" t="s">
        <v>2701</v>
      </c>
      <c r="G794" s="65" t="n">
        <v>-11939.8014</v>
      </c>
      <c r="H794" s="65"/>
      <c r="I794" s="54"/>
      <c r="J794" s="18"/>
    </row>
    <row r="795" customFormat="false" ht="15" hidden="false" customHeight="false" outlineLevel="0" collapsed="false">
      <c r="A795" s="18" t="s">
        <v>2182</v>
      </c>
      <c r="B795" s="49" t="n">
        <v>46357</v>
      </c>
      <c r="C795" s="18" t="s">
        <v>2186</v>
      </c>
      <c r="D795" s="18" t="s">
        <v>2168</v>
      </c>
      <c r="E795" s="18" t="s">
        <v>113</v>
      </c>
      <c r="F795" s="18" t="s">
        <v>2702</v>
      </c>
      <c r="G795" s="65" t="n">
        <v>-9871.5949</v>
      </c>
      <c r="H795" s="65"/>
      <c r="I795" s="54"/>
      <c r="J795" s="18"/>
    </row>
    <row r="796" customFormat="false" ht="15" hidden="false" customHeight="false" outlineLevel="0" collapsed="false">
      <c r="A796" s="18" t="s">
        <v>2182</v>
      </c>
      <c r="B796" s="49" t="n">
        <v>46357</v>
      </c>
      <c r="C796" s="18" t="s">
        <v>2186</v>
      </c>
      <c r="D796" s="18" t="s">
        <v>2168</v>
      </c>
      <c r="E796" s="18" t="s">
        <v>119</v>
      </c>
      <c r="F796" s="18" t="s">
        <v>2703</v>
      </c>
      <c r="G796" s="65" t="n">
        <v>52941.5354</v>
      </c>
      <c r="H796" s="65"/>
      <c r="I796" s="54"/>
      <c r="J796" s="18"/>
    </row>
    <row r="797" customFormat="false" ht="15" hidden="false" customHeight="false" outlineLevel="0" collapsed="false">
      <c r="A797" s="18" t="s">
        <v>2182</v>
      </c>
      <c r="B797" s="49" t="n">
        <v>46357</v>
      </c>
      <c r="C797" s="18" t="s">
        <v>2186</v>
      </c>
      <c r="D797" s="18" t="s">
        <v>2174</v>
      </c>
      <c r="E797" s="18" t="s">
        <v>2159</v>
      </c>
      <c r="F797" s="18" t="s">
        <v>2650</v>
      </c>
      <c r="G797" s="65" t="n">
        <v>0</v>
      </c>
      <c r="H797" s="65"/>
      <c r="I797" s="54"/>
      <c r="J797" s="18"/>
    </row>
    <row r="798" customFormat="false" ht="15" hidden="false" customHeight="false" outlineLevel="0" collapsed="false">
      <c r="A798" s="18" t="s">
        <v>2182</v>
      </c>
      <c r="B798" s="49" t="n">
        <v>46357</v>
      </c>
      <c r="C798" s="18" t="s">
        <v>2186</v>
      </c>
      <c r="D798" s="18" t="s">
        <v>2174</v>
      </c>
      <c r="E798" s="18" t="s">
        <v>99</v>
      </c>
      <c r="F798" s="18" t="s">
        <v>2650</v>
      </c>
      <c r="G798" s="65" t="n">
        <v>0</v>
      </c>
      <c r="H798" s="65"/>
      <c r="I798" s="54"/>
      <c r="J798" s="18"/>
    </row>
    <row r="799" customFormat="false" ht="15" hidden="false" customHeight="false" outlineLevel="0" collapsed="false">
      <c r="A799" s="18" t="s">
        <v>2182</v>
      </c>
      <c r="B799" s="49" t="n">
        <v>46357</v>
      </c>
      <c r="C799" s="18" t="s">
        <v>2186</v>
      </c>
      <c r="D799" s="18" t="s">
        <v>2174</v>
      </c>
      <c r="E799" s="18" t="s">
        <v>113</v>
      </c>
      <c r="F799" s="18" t="s">
        <v>2651</v>
      </c>
      <c r="G799" s="65" t="n">
        <v>0</v>
      </c>
      <c r="H799" s="65"/>
      <c r="I799" s="54"/>
      <c r="J799" s="18"/>
    </row>
    <row r="800" customFormat="false" ht="15" hidden="false" customHeight="false" outlineLevel="0" collapsed="false">
      <c r="A800" s="18" t="s">
        <v>2182</v>
      </c>
      <c r="B800" s="49" t="n">
        <v>46357</v>
      </c>
      <c r="C800" s="18" t="s">
        <v>2186</v>
      </c>
      <c r="D800" s="18" t="s">
        <v>2174</v>
      </c>
      <c r="E800" s="18" t="s">
        <v>119</v>
      </c>
      <c r="F800" s="18" t="s">
        <v>2651</v>
      </c>
      <c r="G800" s="65" t="n">
        <v>0</v>
      </c>
      <c r="H800" s="65"/>
      <c r="I800" s="54"/>
      <c r="J800" s="18"/>
    </row>
    <row r="801" customFormat="false" ht="15" hidden="false" customHeight="false" outlineLevel="0" collapsed="false">
      <c r="A801" s="18" t="s">
        <v>2182</v>
      </c>
      <c r="B801" s="49" t="n">
        <v>46357</v>
      </c>
      <c r="C801" s="18" t="s">
        <v>2186</v>
      </c>
      <c r="D801" s="18" t="s">
        <v>2180</v>
      </c>
      <c r="E801" s="18" t="s">
        <v>2159</v>
      </c>
      <c r="F801" s="18" t="s">
        <v>2704</v>
      </c>
      <c r="G801" s="65" t="n">
        <v>58835.8688</v>
      </c>
      <c r="H801" s="65"/>
      <c r="I801" s="54"/>
      <c r="J801" s="18"/>
    </row>
    <row r="802" customFormat="false" ht="15" hidden="false" customHeight="false" outlineLevel="0" collapsed="false">
      <c r="A802" s="18" t="s">
        <v>2182</v>
      </c>
      <c r="B802" s="49" t="n">
        <v>46357</v>
      </c>
      <c r="C802" s="18" t="s">
        <v>2186</v>
      </c>
      <c r="D802" s="18" t="s">
        <v>2180</v>
      </c>
      <c r="E802" s="18" t="s">
        <v>99</v>
      </c>
      <c r="F802" s="18" t="s">
        <v>2705</v>
      </c>
      <c r="G802" s="65" t="n">
        <v>11939.8014</v>
      </c>
      <c r="H802" s="65"/>
      <c r="I802" s="54"/>
      <c r="J802" s="18"/>
    </row>
    <row r="803" customFormat="false" ht="15" hidden="false" customHeight="false" outlineLevel="0" collapsed="false">
      <c r="A803" s="18" t="s">
        <v>2182</v>
      </c>
      <c r="B803" s="49" t="n">
        <v>46357</v>
      </c>
      <c r="C803" s="18" t="s">
        <v>2186</v>
      </c>
      <c r="D803" s="18" t="s">
        <v>2180</v>
      </c>
      <c r="E803" s="18" t="s">
        <v>113</v>
      </c>
      <c r="F803" s="18" t="s">
        <v>2706</v>
      </c>
      <c r="G803" s="65" t="n">
        <v>9871.5949</v>
      </c>
      <c r="H803" s="65"/>
      <c r="I803" s="54"/>
      <c r="J803" s="18"/>
    </row>
    <row r="804" customFormat="false" ht="15" hidden="false" customHeight="false" outlineLevel="0" collapsed="false">
      <c r="A804" s="21" t="s">
        <v>2182</v>
      </c>
      <c r="B804" s="55" t="n">
        <v>46357</v>
      </c>
      <c r="C804" s="21" t="s">
        <v>2186</v>
      </c>
      <c r="D804" s="21" t="s">
        <v>2180</v>
      </c>
      <c r="E804" s="21" t="s">
        <v>119</v>
      </c>
      <c r="F804" s="21" t="s">
        <v>2707</v>
      </c>
      <c r="G804" s="68" t="n">
        <v>37024.4725</v>
      </c>
      <c r="H804" s="68"/>
      <c r="I804" s="60"/>
      <c r="J804" s="21"/>
    </row>
  </sheetData>
  <mergeCells count="2">
    <mergeCell ref="A1:S1"/>
    <mergeCell ref="A2:S2"/>
  </mergeCells>
  <conditionalFormatting sqref="R5:S24">
    <cfRule type="containsText" priority="2" operator="containsText" aboveAverage="0" equalAverage="0" bottom="0" percent="0" rank="0" text="PASS" dxfId="7">
      <formula>NOT(ISERROR(SEARCH("PASS",R5)))</formula>
    </cfRule>
    <cfRule type="containsText" priority="3" operator="containsText" aboveAverage="0" equalAverage="0" bottom="0" percent="0" rank="0" text="FAIL" dxfId="8">
      <formula>NOT(ISERROR(SEARCH("FAIL",R5)))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9" min="1" style="0" width="18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2" hidden="false" customHeight="true" outlineLevel="0" collapsed="false">
      <c r="A1" s="24" t="s">
        <v>2708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28" hidden="false" customHeight="true" outlineLevel="0" collapsed="false">
      <c r="A2" s="70" t="s">
        <v>2709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4" customFormat="false" ht="30" hidden="false" customHeight="true" outlineLevel="0" collapsed="false">
      <c r="A4" s="37" t="s">
        <v>136</v>
      </c>
      <c r="B4" s="12" t="s">
        <v>137</v>
      </c>
      <c r="C4" s="12" t="s">
        <v>2122</v>
      </c>
      <c r="D4" s="12" t="s">
        <v>2710</v>
      </c>
      <c r="E4" s="12" t="s">
        <v>2711</v>
      </c>
      <c r="F4" s="12" t="s">
        <v>2712</v>
      </c>
      <c r="G4" s="12" t="s">
        <v>2713</v>
      </c>
      <c r="H4" s="12" t="s">
        <v>2714</v>
      </c>
      <c r="I4" s="12" t="s">
        <v>2715</v>
      </c>
      <c r="J4" s="12" t="s">
        <v>2716</v>
      </c>
      <c r="K4" s="13" t="s">
        <v>2717</v>
      </c>
    </row>
    <row r="5" customFormat="false" ht="15" hidden="false" customHeight="false" outlineLevel="0" collapsed="false">
      <c r="A5" s="15" t="s">
        <v>2130</v>
      </c>
      <c r="B5" s="43" t="n">
        <v>46266</v>
      </c>
      <c r="C5" s="83" t="n">
        <f aca="false">Monthly_Summary!C29</f>
        <v>17200</v>
      </c>
      <c r="D5" s="63" t="n">
        <f aca="false">Monthly_Summary!I29</f>
        <v>1555201.0285</v>
      </c>
      <c r="E5" s="63" t="n">
        <f aca="false">Monthly_Summary!I25</f>
        <v>1555201.0285</v>
      </c>
      <c r="F5" s="63" t="n">
        <f aca="false">D5-E5</f>
        <v>0</v>
      </c>
      <c r="G5" s="77" t="n">
        <f aca="false">Monthly_Summary!O29</f>
        <v>0.966143571483085</v>
      </c>
      <c r="H5" s="77" t="n">
        <f aca="false">Monthly_Summary!O25</f>
        <v>0.966143571483085</v>
      </c>
      <c r="I5" s="84" t="n">
        <f aca="false">(G5-H5)*100</f>
        <v>0</v>
      </c>
      <c r="J5" s="38" t="s">
        <v>197</v>
      </c>
      <c r="K5" s="27" t="s">
        <v>2718</v>
      </c>
    </row>
    <row r="6" customFormat="false" ht="15" hidden="false" customHeight="false" outlineLevel="0" collapsed="false">
      <c r="A6" s="18" t="s">
        <v>2130</v>
      </c>
      <c r="B6" s="49" t="n">
        <v>46296</v>
      </c>
      <c r="C6" s="85" t="n">
        <f aca="false">Monthly_Summary!C30</f>
        <v>19500</v>
      </c>
      <c r="D6" s="66" t="n">
        <f aca="false">Monthly_Summary!I30</f>
        <v>1665561.4262</v>
      </c>
      <c r="E6" s="66" t="n">
        <f aca="false">Monthly_Summary!I26</f>
        <v>1665561.4262</v>
      </c>
      <c r="F6" s="66" t="n">
        <f aca="false">D6-E6</f>
        <v>0</v>
      </c>
      <c r="G6" s="78" t="n">
        <f aca="false">Monthly_Summary!O30</f>
        <v>0.96435407587373</v>
      </c>
      <c r="H6" s="78" t="n">
        <f aca="false">Monthly_Summary!O26</f>
        <v>0.96435407587373</v>
      </c>
      <c r="I6" s="86" t="n">
        <f aca="false">(G6-H6)*100</f>
        <v>0</v>
      </c>
      <c r="J6" s="32" t="s">
        <v>197</v>
      </c>
      <c r="K6" s="30" t="s">
        <v>2718</v>
      </c>
    </row>
    <row r="7" customFormat="false" ht="15" hidden="false" customHeight="false" outlineLevel="0" collapsed="false">
      <c r="A7" s="18" t="s">
        <v>2130</v>
      </c>
      <c r="B7" s="49" t="n">
        <v>46327</v>
      </c>
      <c r="C7" s="85" t="n">
        <f aca="false">Monthly_Summary!C31</f>
        <v>24800</v>
      </c>
      <c r="D7" s="66" t="n">
        <f aca="false">Monthly_Summary!I31</f>
        <v>1932682.3787</v>
      </c>
      <c r="E7" s="66" t="n">
        <f aca="false">Monthly_Summary!I27</f>
        <v>1932682.3787</v>
      </c>
      <c r="F7" s="66" t="n">
        <f aca="false">D7-E7</f>
        <v>0</v>
      </c>
      <c r="G7" s="78" t="n">
        <f aca="false">Monthly_Summary!O31</f>
        <v>0.962244798452347</v>
      </c>
      <c r="H7" s="78" t="n">
        <f aca="false">Monthly_Summary!O27</f>
        <v>0.962244798452347</v>
      </c>
      <c r="I7" s="86" t="n">
        <f aca="false">(G7-H7)*100</f>
        <v>0</v>
      </c>
      <c r="J7" s="32" t="s">
        <v>197</v>
      </c>
      <c r="K7" s="30" t="s">
        <v>2718</v>
      </c>
    </row>
    <row r="8" customFormat="false" ht="15" hidden="false" customHeight="false" outlineLevel="0" collapsed="false">
      <c r="A8" s="18" t="s">
        <v>2130</v>
      </c>
      <c r="B8" s="49" t="n">
        <v>46357</v>
      </c>
      <c r="C8" s="85" t="n">
        <f aca="false">Monthly_Summary!C32</f>
        <v>28600</v>
      </c>
      <c r="D8" s="66" t="n">
        <f aca="false">Monthly_Summary!I32</f>
        <v>2106647.848</v>
      </c>
      <c r="E8" s="66" t="n">
        <f aca="false">Monthly_Summary!I28</f>
        <v>2106647.848</v>
      </c>
      <c r="F8" s="66" t="n">
        <f aca="false">D8-E8</f>
        <v>0</v>
      </c>
      <c r="G8" s="78" t="n">
        <f aca="false">Monthly_Summary!O32</f>
        <v>0.960520387108024</v>
      </c>
      <c r="H8" s="78" t="n">
        <f aca="false">Monthly_Summary!O28</f>
        <v>0.960520387108024</v>
      </c>
      <c r="I8" s="86" t="n">
        <f aca="false">(G8-H8)*100</f>
        <v>0</v>
      </c>
      <c r="J8" s="32" t="s">
        <v>197</v>
      </c>
      <c r="K8" s="30" t="s">
        <v>2718</v>
      </c>
    </row>
    <row r="9" customFormat="false" ht="15" hidden="false" customHeight="false" outlineLevel="0" collapsed="false">
      <c r="A9" s="18" t="s">
        <v>2131</v>
      </c>
      <c r="B9" s="49" t="n">
        <v>46266</v>
      </c>
      <c r="C9" s="85" t="n">
        <f aca="false">Monthly_Summary!C33</f>
        <v>17784.8</v>
      </c>
      <c r="D9" s="66" t="n">
        <f aca="false">Monthly_Summary!I33</f>
        <v>1607734.7975</v>
      </c>
      <c r="E9" s="66" t="n">
        <f aca="false">Monthly_Summary!I25</f>
        <v>1555201.0285</v>
      </c>
      <c r="F9" s="66" t="n">
        <f aca="false">D9-E9</f>
        <v>52533.7689999999</v>
      </c>
      <c r="G9" s="78" t="n">
        <f aca="false">Monthly_Summary!O33</f>
        <v>0.965963006486459</v>
      </c>
      <c r="H9" s="78" t="n">
        <f aca="false">Monthly_Summary!O25</f>
        <v>0.966143571483085</v>
      </c>
      <c r="I9" s="86" t="n">
        <f aca="false">(G9-H9)*100</f>
        <v>-0.0180564996625443</v>
      </c>
      <c r="J9" s="32" t="s">
        <v>197</v>
      </c>
      <c r="K9" s="30" t="s">
        <v>2719</v>
      </c>
    </row>
    <row r="10" customFormat="false" ht="15" hidden="false" customHeight="false" outlineLevel="0" collapsed="false">
      <c r="A10" s="18" t="s">
        <v>2131</v>
      </c>
      <c r="B10" s="49" t="n">
        <v>46296</v>
      </c>
      <c r="C10" s="85" t="n">
        <f aca="false">Monthly_Summary!C34</f>
        <v>20202</v>
      </c>
      <c r="D10" s="66" t="n">
        <f aca="false">Monthly_Summary!I34</f>
        <v>1725585.6991</v>
      </c>
      <c r="E10" s="66" t="n">
        <f aca="false">Monthly_Summary!I26</f>
        <v>1665561.4262</v>
      </c>
      <c r="F10" s="66" t="n">
        <f aca="false">D10-E10</f>
        <v>60024.2729</v>
      </c>
      <c r="G10" s="78" t="n">
        <f aca="false">Monthly_Summary!O34</f>
        <v>0.964072919423937</v>
      </c>
      <c r="H10" s="78" t="n">
        <f aca="false">Monthly_Summary!O26</f>
        <v>0.96435407587373</v>
      </c>
      <c r="I10" s="86" t="n">
        <f aca="false">(G10-H10)*100</f>
        <v>-0.0281156449792541</v>
      </c>
      <c r="J10" s="32" t="s">
        <v>197</v>
      </c>
      <c r="K10" s="30" t="s">
        <v>2719</v>
      </c>
    </row>
    <row r="11" customFormat="false" ht="15" hidden="false" customHeight="false" outlineLevel="0" collapsed="false">
      <c r="A11" s="18" t="s">
        <v>2131</v>
      </c>
      <c r="B11" s="49" t="n">
        <v>46327</v>
      </c>
      <c r="C11" s="85" t="n">
        <f aca="false">Monthly_Summary!C35</f>
        <v>25767.2</v>
      </c>
      <c r="D11" s="66" t="n">
        <f aca="false">Monthly_Summary!I35</f>
        <v>2011540.9259</v>
      </c>
      <c r="E11" s="66" t="n">
        <f aca="false">Monthly_Summary!I27</f>
        <v>1932682.3787</v>
      </c>
      <c r="F11" s="66" t="n">
        <f aca="false">D11-E11</f>
        <v>78858.5471999999</v>
      </c>
      <c r="G11" s="78" t="n">
        <f aca="false">Monthly_Summary!O35</f>
        <v>0.961860136010433</v>
      </c>
      <c r="H11" s="78" t="n">
        <f aca="false">Monthly_Summary!O27</f>
        <v>0.962244798452347</v>
      </c>
      <c r="I11" s="86" t="n">
        <f aca="false">(G11-H11)*100</f>
        <v>-0.0384662441914041</v>
      </c>
      <c r="J11" s="32" t="s">
        <v>197</v>
      </c>
      <c r="K11" s="30" t="s">
        <v>2719</v>
      </c>
    </row>
    <row r="12" customFormat="false" ht="15" hidden="false" customHeight="false" outlineLevel="0" collapsed="false">
      <c r="A12" s="18" t="s">
        <v>2131</v>
      </c>
      <c r="B12" s="49" t="n">
        <v>46357</v>
      </c>
      <c r="C12" s="85" t="n">
        <f aca="false">Monthly_Summary!C36</f>
        <v>29744</v>
      </c>
      <c r="D12" s="66" t="n">
        <f aca="false">Monthly_Summary!I36</f>
        <v>2196613.8558</v>
      </c>
      <c r="E12" s="66" t="n">
        <f aca="false">Monthly_Summary!I28</f>
        <v>2106647.848</v>
      </c>
      <c r="F12" s="66" t="n">
        <f aca="false">D12-E12</f>
        <v>89966.0077999998</v>
      </c>
      <c r="G12" s="78" t="n">
        <f aca="false">Monthly_Summary!O36</f>
        <v>0.960047433199058</v>
      </c>
      <c r="H12" s="78" t="n">
        <f aca="false">Monthly_Summary!O28</f>
        <v>0.960520387108024</v>
      </c>
      <c r="I12" s="86" t="n">
        <f aca="false">(G12-H12)*100</f>
        <v>-0.0472953908966289</v>
      </c>
      <c r="J12" s="32" t="s">
        <v>197</v>
      </c>
      <c r="K12" s="30" t="s">
        <v>2719</v>
      </c>
    </row>
    <row r="13" customFormat="false" ht="15" hidden="false" customHeight="false" outlineLevel="0" collapsed="false">
      <c r="A13" s="18" t="s">
        <v>2132</v>
      </c>
      <c r="B13" s="49" t="n">
        <v>46266</v>
      </c>
      <c r="C13" s="85" t="n">
        <f aca="false">Monthly_Summary!C37</f>
        <v>17200</v>
      </c>
      <c r="D13" s="66" t="n">
        <f aca="false">Monthly_Summary!I37</f>
        <v>1555201.0285</v>
      </c>
      <c r="E13" s="66" t="n">
        <f aca="false">Monthly_Summary!I25</f>
        <v>1555201.0285</v>
      </c>
      <c r="F13" s="66" t="n">
        <f aca="false">D13-E13</f>
        <v>0</v>
      </c>
      <c r="G13" s="78" t="n">
        <f aca="false">Monthly_Summary!O37</f>
        <v>0.966143571483085</v>
      </c>
      <c r="H13" s="78" t="n">
        <f aca="false">Monthly_Summary!O25</f>
        <v>0.966143571483085</v>
      </c>
      <c r="I13" s="86" t="n">
        <f aca="false">(G13-H13)*100</f>
        <v>0</v>
      </c>
      <c r="J13" s="32" t="s">
        <v>197</v>
      </c>
      <c r="K13" s="30" t="s">
        <v>2720</v>
      </c>
    </row>
    <row r="14" customFormat="false" ht="15" hidden="false" customHeight="false" outlineLevel="0" collapsed="false">
      <c r="A14" s="18" t="s">
        <v>2132</v>
      </c>
      <c r="B14" s="49" t="n">
        <v>46296</v>
      </c>
      <c r="C14" s="85" t="n">
        <f aca="false">Monthly_Summary!C38</f>
        <v>19500</v>
      </c>
      <c r="D14" s="66" t="n">
        <f aca="false">Monthly_Summary!I38</f>
        <v>1631664.0864</v>
      </c>
      <c r="E14" s="66" t="n">
        <f aca="false">Monthly_Summary!I26</f>
        <v>1665561.4262</v>
      </c>
      <c r="F14" s="66" t="n">
        <f aca="false">D14-E14</f>
        <v>-33897.3398000002</v>
      </c>
      <c r="G14" s="78" t="n">
        <f aca="false">Monthly_Summary!O38</f>
        <v>0.962363401780847</v>
      </c>
      <c r="H14" s="78" t="n">
        <f aca="false">Monthly_Summary!O26</f>
        <v>0.96435407587373</v>
      </c>
      <c r="I14" s="86" t="n">
        <f aca="false">(G14-H14)*100</f>
        <v>-0.1990674092883</v>
      </c>
      <c r="J14" s="32" t="s">
        <v>197</v>
      </c>
      <c r="K14" s="30" t="s">
        <v>2721</v>
      </c>
    </row>
    <row r="15" customFormat="false" ht="15" hidden="false" customHeight="false" outlineLevel="0" collapsed="false">
      <c r="A15" s="18" t="s">
        <v>2132</v>
      </c>
      <c r="B15" s="49" t="n">
        <v>46327</v>
      </c>
      <c r="C15" s="85" t="n">
        <f aca="false">Monthly_Summary!C39</f>
        <v>24800</v>
      </c>
      <c r="D15" s="66" t="n">
        <f aca="false">Monthly_Summary!I39</f>
        <v>1861844.6629</v>
      </c>
      <c r="E15" s="66" t="n">
        <f aca="false">Monthly_Summary!I27</f>
        <v>1932682.3787</v>
      </c>
      <c r="F15" s="66" t="n">
        <f aca="false">D15-E15</f>
        <v>-70837.7157999999</v>
      </c>
      <c r="G15" s="78" t="n">
        <f aca="false">Monthly_Summary!O39</f>
        <v>0.959199111235636</v>
      </c>
      <c r="H15" s="78" t="n">
        <f aca="false">Monthly_Summary!O27</f>
        <v>0.962244798452347</v>
      </c>
      <c r="I15" s="86" t="n">
        <f aca="false">(G15-H15)*100</f>
        <v>-0.304568721671072</v>
      </c>
      <c r="J15" s="32" t="s">
        <v>197</v>
      </c>
      <c r="K15" s="30" t="s">
        <v>2722</v>
      </c>
    </row>
    <row r="16" customFormat="false" ht="15" hidden="false" customHeight="false" outlineLevel="0" collapsed="false">
      <c r="A16" s="21" t="s">
        <v>2132</v>
      </c>
      <c r="B16" s="55" t="n">
        <v>46357</v>
      </c>
      <c r="C16" s="87" t="n">
        <f aca="false">Monthly_Summary!C40</f>
        <v>28600</v>
      </c>
      <c r="D16" s="69" t="n">
        <f aca="false">Monthly_Summary!I40</f>
        <v>2043028.4789</v>
      </c>
      <c r="E16" s="69" t="n">
        <f aca="false">Monthly_Summary!I28</f>
        <v>2106647.848</v>
      </c>
      <c r="F16" s="69" t="n">
        <f aca="false">D16-E16</f>
        <v>-63619.3691000002</v>
      </c>
      <c r="G16" s="79" t="n">
        <f aca="false">Monthly_Summary!O40</f>
        <v>0.958427457337381</v>
      </c>
      <c r="H16" s="79" t="n">
        <f aca="false">Monthly_Summary!O28</f>
        <v>0.960520387108024</v>
      </c>
      <c r="I16" s="88" t="n">
        <f aca="false">(G16-H16)*100</f>
        <v>-0.209292977064302</v>
      </c>
      <c r="J16" s="41" t="s">
        <v>197</v>
      </c>
      <c r="K16" s="35" t="s">
        <v>2722</v>
      </c>
    </row>
  </sheetData>
  <mergeCells count="2">
    <mergeCell ref="A1:K1"/>
    <mergeCell ref="A2:K2"/>
  </mergeCells>
  <conditionalFormatting sqref="F5:F16">
    <cfRule type="cellIs" priority="2" operator="lessThan" aboveAverage="0" equalAverage="0" bottom="0" percent="0" rank="0" text="" dxfId="12">
      <formula>0</formula>
    </cfRule>
  </conditionalFormatting>
  <conditionalFormatting sqref="I5:I16">
    <cfRule type="cellIs" priority="3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80"/>
    <col collapsed="false" customWidth="true" hidden="false" outlineLevel="0" max="5" min="5" style="0" width="46"/>
    <col collapsed="false" customWidth="true" hidden="false" outlineLevel="0" max="6" min="6" style="0" width="58"/>
    <col collapsed="false" customWidth="true" hidden="false" outlineLevel="0" max="7" min="7" style="0" width="30"/>
  </cols>
  <sheetData>
    <row r="1" customFormat="false" ht="32" hidden="false" customHeight="true" outlineLevel="0" collapsed="false">
      <c r="A1" s="24" t="s">
        <v>2723</v>
      </c>
      <c r="B1" s="24"/>
      <c r="C1" s="24"/>
      <c r="D1" s="24"/>
      <c r="E1" s="24"/>
      <c r="F1" s="24"/>
      <c r="G1" s="24"/>
    </row>
    <row r="2" customFormat="false" ht="28" hidden="false" customHeight="true" outlineLevel="0" collapsed="false">
      <c r="A2" s="70" t="s">
        <v>2724</v>
      </c>
      <c r="B2" s="70"/>
      <c r="C2" s="70"/>
      <c r="D2" s="70"/>
      <c r="E2" s="70"/>
      <c r="F2" s="70"/>
      <c r="G2" s="70"/>
    </row>
    <row r="4" customFormat="false" ht="30" hidden="false" customHeight="true" outlineLevel="0" collapsed="false">
      <c r="A4" s="37" t="s">
        <v>2725</v>
      </c>
      <c r="B4" s="12" t="s">
        <v>1936</v>
      </c>
      <c r="C4" s="12" t="s">
        <v>2726</v>
      </c>
      <c r="D4" s="12" t="s">
        <v>2727</v>
      </c>
      <c r="E4" s="12" t="s">
        <v>2728</v>
      </c>
      <c r="F4" s="12" t="s">
        <v>2729</v>
      </c>
      <c r="G4" s="13" t="s">
        <v>2730</v>
      </c>
    </row>
    <row r="5" customFormat="false" ht="58" hidden="false" customHeight="true" outlineLevel="0" collapsed="false">
      <c r="A5" s="38" t="s">
        <v>2731</v>
      </c>
      <c r="B5" s="27" t="s">
        <v>2732</v>
      </c>
      <c r="C5" s="38" t="s">
        <v>2733</v>
      </c>
      <c r="D5" s="27" t="s">
        <v>2734</v>
      </c>
      <c r="E5" s="38" t="s">
        <v>2735</v>
      </c>
      <c r="F5" s="38" t="s">
        <v>2736</v>
      </c>
      <c r="G5" s="38"/>
    </row>
    <row r="6" customFormat="false" ht="58" hidden="false" customHeight="true" outlineLevel="0" collapsed="false">
      <c r="A6" s="32" t="s">
        <v>2737</v>
      </c>
      <c r="B6" s="30" t="s">
        <v>2732</v>
      </c>
      <c r="C6" s="32" t="s">
        <v>2738</v>
      </c>
      <c r="D6" s="30" t="s">
        <v>2739</v>
      </c>
      <c r="E6" s="32" t="s">
        <v>2740</v>
      </c>
      <c r="F6" s="32" t="s">
        <v>2741</v>
      </c>
      <c r="G6" s="32"/>
    </row>
    <row r="7" customFormat="false" ht="58" hidden="false" customHeight="true" outlineLevel="0" collapsed="false">
      <c r="A7" s="32" t="s">
        <v>2742</v>
      </c>
      <c r="B7" s="30" t="s">
        <v>2732</v>
      </c>
      <c r="C7" s="30" t="s">
        <v>2743</v>
      </c>
      <c r="D7" s="30" t="s">
        <v>2744</v>
      </c>
      <c r="E7" s="32" t="s">
        <v>2745</v>
      </c>
      <c r="F7" s="32" t="s">
        <v>2746</v>
      </c>
      <c r="G7" s="32"/>
    </row>
    <row r="8" customFormat="false" ht="58" hidden="false" customHeight="true" outlineLevel="0" collapsed="false">
      <c r="A8" s="32" t="s">
        <v>2747</v>
      </c>
      <c r="B8" s="30" t="s">
        <v>2732</v>
      </c>
      <c r="C8" s="30" t="s">
        <v>2748</v>
      </c>
      <c r="D8" s="30" t="s">
        <v>2749</v>
      </c>
      <c r="E8" s="32" t="s">
        <v>2750</v>
      </c>
      <c r="F8" s="32" t="s">
        <v>2751</v>
      </c>
      <c r="G8" s="32"/>
    </row>
    <row r="9" customFormat="false" ht="58" hidden="false" customHeight="true" outlineLevel="0" collapsed="false">
      <c r="A9" s="32" t="s">
        <v>2752</v>
      </c>
      <c r="B9" s="30" t="s">
        <v>2753</v>
      </c>
      <c r="C9" s="32" t="s">
        <v>2754</v>
      </c>
      <c r="D9" s="30" t="s">
        <v>2755</v>
      </c>
      <c r="E9" s="32" t="s">
        <v>2756</v>
      </c>
      <c r="F9" s="32" t="s">
        <v>2757</v>
      </c>
      <c r="G9" s="32"/>
    </row>
    <row r="10" customFormat="false" ht="58" hidden="false" customHeight="true" outlineLevel="0" collapsed="false">
      <c r="A10" s="32" t="s">
        <v>2758</v>
      </c>
      <c r="B10" s="30" t="s">
        <v>2753</v>
      </c>
      <c r="C10" s="32" t="s">
        <v>2759</v>
      </c>
      <c r="D10" s="30" t="s">
        <v>2760</v>
      </c>
      <c r="E10" s="32" t="s">
        <v>2761</v>
      </c>
      <c r="F10" s="32" t="s">
        <v>2757</v>
      </c>
      <c r="G10" s="32"/>
    </row>
    <row r="11" customFormat="false" ht="58" hidden="false" customHeight="true" outlineLevel="0" collapsed="false">
      <c r="A11" s="32" t="s">
        <v>2762</v>
      </c>
      <c r="B11" s="30" t="s">
        <v>2753</v>
      </c>
      <c r="C11" s="32" t="s">
        <v>2763</v>
      </c>
      <c r="D11" s="30" t="s">
        <v>2764</v>
      </c>
      <c r="E11" s="32" t="s">
        <v>2765</v>
      </c>
      <c r="F11" s="32" t="s">
        <v>2766</v>
      </c>
      <c r="G11" s="32"/>
    </row>
    <row r="12" customFormat="false" ht="58" hidden="false" customHeight="true" outlineLevel="0" collapsed="false">
      <c r="A12" s="32" t="s">
        <v>2767</v>
      </c>
      <c r="B12" s="30" t="s">
        <v>2753</v>
      </c>
      <c r="C12" s="32" t="s">
        <v>2768</v>
      </c>
      <c r="D12" s="30" t="s">
        <v>2769</v>
      </c>
      <c r="E12" s="32" t="s">
        <v>2770</v>
      </c>
      <c r="F12" s="32" t="s">
        <v>2771</v>
      </c>
      <c r="G12" s="32"/>
    </row>
    <row r="13" customFormat="false" ht="58" hidden="false" customHeight="true" outlineLevel="0" collapsed="false">
      <c r="A13" s="32" t="s">
        <v>2772</v>
      </c>
      <c r="B13" s="30" t="s">
        <v>2753</v>
      </c>
      <c r="C13" s="32" t="s">
        <v>2773</v>
      </c>
      <c r="D13" s="30" t="s">
        <v>2774</v>
      </c>
      <c r="E13" s="32" t="s">
        <v>2775</v>
      </c>
      <c r="F13" s="32" t="s">
        <v>2776</v>
      </c>
      <c r="G13" s="32"/>
    </row>
    <row r="14" customFormat="false" ht="58" hidden="false" customHeight="true" outlineLevel="0" collapsed="false">
      <c r="A14" s="32" t="s">
        <v>2777</v>
      </c>
      <c r="B14" s="30" t="s">
        <v>2753</v>
      </c>
      <c r="C14" s="32" t="s">
        <v>2778</v>
      </c>
      <c r="D14" s="30" t="s">
        <v>2779</v>
      </c>
      <c r="E14" s="32" t="s">
        <v>2780</v>
      </c>
      <c r="F14" s="32" t="s">
        <v>2781</v>
      </c>
      <c r="G14" s="32"/>
    </row>
    <row r="15" customFormat="false" ht="58" hidden="false" customHeight="true" outlineLevel="0" collapsed="false">
      <c r="A15" s="32" t="s">
        <v>2782</v>
      </c>
      <c r="B15" s="30" t="s">
        <v>2783</v>
      </c>
      <c r="C15" s="32" t="s">
        <v>2784</v>
      </c>
      <c r="D15" s="30" t="s">
        <v>2785</v>
      </c>
      <c r="E15" s="32" t="s">
        <v>2786</v>
      </c>
      <c r="F15" s="32" t="s">
        <v>2787</v>
      </c>
      <c r="G15" s="32"/>
    </row>
    <row r="16" customFormat="false" ht="58" hidden="false" customHeight="true" outlineLevel="0" collapsed="false">
      <c r="A16" s="32" t="s">
        <v>2788</v>
      </c>
      <c r="B16" s="30" t="s">
        <v>2783</v>
      </c>
      <c r="C16" s="30" t="s">
        <v>2789</v>
      </c>
      <c r="D16" s="30" t="s">
        <v>2790</v>
      </c>
      <c r="E16" s="32" t="s">
        <v>2791</v>
      </c>
      <c r="F16" s="32" t="s">
        <v>2792</v>
      </c>
      <c r="G16" s="32"/>
    </row>
    <row r="17" customFormat="false" ht="58" hidden="false" customHeight="true" outlineLevel="0" collapsed="false">
      <c r="A17" s="32" t="s">
        <v>2793</v>
      </c>
      <c r="B17" s="30" t="s">
        <v>2783</v>
      </c>
      <c r="C17" s="30" t="s">
        <v>2794</v>
      </c>
      <c r="D17" s="30" t="s">
        <v>2795</v>
      </c>
      <c r="E17" s="32" t="s">
        <v>2796</v>
      </c>
      <c r="F17" s="32" t="s">
        <v>2797</v>
      </c>
      <c r="G17" s="32"/>
    </row>
    <row r="18" customFormat="false" ht="58" hidden="false" customHeight="true" outlineLevel="0" collapsed="false">
      <c r="A18" s="32" t="s">
        <v>2798</v>
      </c>
      <c r="B18" s="30" t="s">
        <v>2783</v>
      </c>
      <c r="C18" s="32" t="s">
        <v>2799</v>
      </c>
      <c r="D18" s="32" t="s">
        <v>2800</v>
      </c>
      <c r="E18" s="32" t="s">
        <v>2801</v>
      </c>
      <c r="F18" s="32" t="s">
        <v>2802</v>
      </c>
      <c r="G18" s="32"/>
    </row>
    <row r="19" customFormat="false" ht="58" hidden="false" customHeight="true" outlineLevel="0" collapsed="false">
      <c r="A19" s="32" t="s">
        <v>2803</v>
      </c>
      <c r="B19" s="30" t="s">
        <v>2804</v>
      </c>
      <c r="C19" s="32" t="s">
        <v>2805</v>
      </c>
      <c r="D19" s="30" t="s">
        <v>2806</v>
      </c>
      <c r="E19" s="32" t="s">
        <v>2807</v>
      </c>
      <c r="F19" s="32" t="s">
        <v>2808</v>
      </c>
      <c r="G19" s="32"/>
    </row>
    <row r="20" customFormat="false" ht="58" hidden="false" customHeight="true" outlineLevel="0" collapsed="false">
      <c r="A20" s="32" t="s">
        <v>2809</v>
      </c>
      <c r="B20" s="30" t="s">
        <v>2804</v>
      </c>
      <c r="C20" s="32" t="s">
        <v>2810</v>
      </c>
      <c r="D20" s="32" t="s">
        <v>2811</v>
      </c>
      <c r="E20" s="32" t="s">
        <v>2812</v>
      </c>
      <c r="F20" s="32" t="s">
        <v>2813</v>
      </c>
      <c r="G20" s="32"/>
    </row>
    <row r="21" customFormat="false" ht="58" hidden="false" customHeight="true" outlineLevel="0" collapsed="false">
      <c r="A21" s="32" t="s">
        <v>2814</v>
      </c>
      <c r="B21" s="30" t="s">
        <v>2804</v>
      </c>
      <c r="C21" s="32" t="s">
        <v>2815</v>
      </c>
      <c r="D21" s="32" t="s">
        <v>2816</v>
      </c>
      <c r="E21" s="32" t="s">
        <v>2817</v>
      </c>
      <c r="F21" s="32" t="s">
        <v>2818</v>
      </c>
      <c r="G21" s="32"/>
    </row>
    <row r="22" customFormat="false" ht="58" hidden="false" customHeight="true" outlineLevel="0" collapsed="false">
      <c r="A22" s="32" t="s">
        <v>2819</v>
      </c>
      <c r="B22" s="30" t="s">
        <v>2804</v>
      </c>
      <c r="C22" s="32" t="s">
        <v>2820</v>
      </c>
      <c r="D22" s="30" t="s">
        <v>2821</v>
      </c>
      <c r="E22" s="32" t="s">
        <v>2822</v>
      </c>
      <c r="F22" s="32" t="s">
        <v>2823</v>
      </c>
      <c r="G22" s="32"/>
    </row>
    <row r="23" customFormat="false" ht="58" hidden="false" customHeight="true" outlineLevel="0" collapsed="false">
      <c r="A23" s="32" t="s">
        <v>2824</v>
      </c>
      <c r="B23" s="30" t="s">
        <v>2825</v>
      </c>
      <c r="C23" s="30" t="s">
        <v>2826</v>
      </c>
      <c r="D23" s="30" t="s">
        <v>2827</v>
      </c>
      <c r="E23" s="32" t="s">
        <v>2828</v>
      </c>
      <c r="F23" s="32" t="s">
        <v>2829</v>
      </c>
      <c r="G23" s="30" t="s">
        <v>2830</v>
      </c>
    </row>
    <row r="24" customFormat="false" ht="58" hidden="false" customHeight="true" outlineLevel="0" collapsed="false">
      <c r="A24" s="41" t="s">
        <v>2831</v>
      </c>
      <c r="B24" s="35" t="s">
        <v>2825</v>
      </c>
      <c r="C24" s="35" t="s">
        <v>2832</v>
      </c>
      <c r="D24" s="35" t="s">
        <v>2833</v>
      </c>
      <c r="E24" s="41" t="s">
        <v>2828</v>
      </c>
      <c r="F24" s="41" t="s">
        <v>2834</v>
      </c>
      <c r="G24" s="35" t="s">
        <v>2835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32" hidden="false" customHeight="true" outlineLevel="0" collapsed="false">
      <c r="A1" s="24" t="s">
        <v>2836</v>
      </c>
      <c r="B1" s="24"/>
      <c r="C1" s="24"/>
      <c r="D1" s="24"/>
      <c r="E1" s="24"/>
    </row>
    <row r="2" customFormat="false" ht="28" hidden="false" customHeight="true" outlineLevel="0" collapsed="false">
      <c r="A2" s="70" t="s">
        <v>2837</v>
      </c>
      <c r="B2" s="70"/>
      <c r="C2" s="70"/>
      <c r="D2" s="70"/>
      <c r="E2" s="70"/>
    </row>
    <row r="4" customFormat="false" ht="15" hidden="false" customHeight="false" outlineLevel="0" collapsed="false">
      <c r="A4" s="89" t="s">
        <v>2838</v>
      </c>
      <c r="B4" s="89"/>
      <c r="C4" s="89"/>
      <c r="D4" s="89"/>
      <c r="E4" s="89"/>
    </row>
    <row r="5" customFormat="false" ht="15" hidden="false" customHeight="false" outlineLevel="0" collapsed="false">
      <c r="A5" s="90" t="str">
        <f aca="false">IF(COUNTIF(E9:E19,"FAIL")=0,"PASS","FAIL")</f>
        <v>PASS</v>
      </c>
      <c r="B5" s="90"/>
      <c r="C5" s="90"/>
      <c r="D5" s="90"/>
      <c r="E5" s="90"/>
    </row>
    <row r="6" customFormat="false" ht="15" hidden="false" customHeight="false" outlineLevel="0" collapsed="false">
      <c r="A6" s="90"/>
      <c r="B6" s="90"/>
      <c r="C6" s="90"/>
      <c r="D6" s="90"/>
      <c r="E6" s="90"/>
    </row>
    <row r="8" customFormat="false" ht="30" hidden="false" customHeight="true" outlineLevel="0" collapsed="false">
      <c r="A8" s="37" t="s">
        <v>2839</v>
      </c>
      <c r="B8" s="12" t="s">
        <v>2840</v>
      </c>
      <c r="C8" s="12" t="s">
        <v>2841</v>
      </c>
      <c r="D8" s="12" t="s">
        <v>2842</v>
      </c>
      <c r="E8" s="13" t="s">
        <v>2843</v>
      </c>
    </row>
    <row r="9" customFormat="false" ht="15" hidden="false" customHeight="false" outlineLevel="0" collapsed="false">
      <c r="A9" s="91" t="s">
        <v>2844</v>
      </c>
      <c r="B9" s="80" t="n">
        <f aca="false">COUNTIF(Cost_Facts!$T$5:$T$2164,"&gt;0.0500")+COUNTIF(Cost_Facts!$T$5:$T$2164,"&lt;-0.0500")</f>
        <v>0</v>
      </c>
      <c r="C9" s="15" t="s">
        <v>2845</v>
      </c>
      <c r="D9" s="15" t="s">
        <v>2846</v>
      </c>
      <c r="E9" s="15" t="str">
        <f aca="false">IF(B9=0,"PASS","FAIL")</f>
        <v>PASS</v>
      </c>
    </row>
    <row r="10" customFormat="false" ht="15" hidden="false" customHeight="false" outlineLevel="0" collapsed="false">
      <c r="A10" s="92" t="s">
        <v>2847</v>
      </c>
      <c r="B10" s="81" t="n">
        <f aca="false">COUNTIFS(Cost_Facts!$B$5:$B$2164,"ACTUAL",Cost_Facts!$Q$5:$Q$2164,"&lt;&gt;0")</f>
        <v>0</v>
      </c>
      <c r="C10" s="18" t="s">
        <v>2845</v>
      </c>
      <c r="D10" s="18" t="s">
        <v>2848</v>
      </c>
      <c r="E10" s="18" t="str">
        <f aca="false">IF(B10=0,"PASS","FAIL")</f>
        <v>PASS</v>
      </c>
    </row>
    <row r="11" customFormat="false" ht="15" hidden="false" customHeight="false" outlineLevel="0" collapsed="false">
      <c r="A11" s="92" t="s">
        <v>2849</v>
      </c>
      <c r="B11" s="81" t="n">
        <f aca="false">COUNTIF(Fixed_Costs!$M$5:$M$256,"&gt;0.0500")+COUNTIF(Fixed_Costs!$M$5:$M$256,"&lt;-0.0500")</f>
        <v>0</v>
      </c>
      <c r="C11" s="18" t="s">
        <v>2845</v>
      </c>
      <c r="D11" s="18" t="s">
        <v>2850</v>
      </c>
      <c r="E11" s="18" t="str">
        <f aca="false">IF(B11=0,"PASS","FAIL")</f>
        <v>PASS</v>
      </c>
    </row>
    <row r="12" customFormat="false" ht="15" hidden="false" customHeight="false" outlineLevel="0" collapsed="false">
      <c r="A12" s="92" t="s">
        <v>2851</v>
      </c>
      <c r="B12" s="81" t="n">
        <f aca="false">COUNTIF(GMV_Facts!$L$5:$L$112,"&gt;0.0500")+COUNTIF(GMV_Facts!$L$5:$L$112,"&lt;-0.0500")</f>
        <v>0</v>
      </c>
      <c r="C12" s="18" t="s">
        <v>2845</v>
      </c>
      <c r="D12" s="18" t="s">
        <v>2852</v>
      </c>
      <c r="E12" s="18" t="str">
        <f aca="false">IF(B12=0,"PASS","FAIL")</f>
        <v>PASS</v>
      </c>
    </row>
    <row r="13" customFormat="false" ht="15" hidden="false" customHeight="false" outlineLevel="0" collapsed="false">
      <c r="A13" s="92" t="s">
        <v>2853</v>
      </c>
      <c r="B13" s="81" t="n">
        <f aca="false">COUNTIF(Service_Facts!$P$5:$P$364,"&gt;0.000001")+COUNTIF(Service_Facts!$P$5:$P$364,"&lt;-0.000001")</f>
        <v>0</v>
      </c>
      <c r="C13" s="18" t="s">
        <v>2845</v>
      </c>
      <c r="D13" s="18" t="s">
        <v>2854</v>
      </c>
      <c r="E13" s="18" t="str">
        <f aca="false">IF(B13=0,"PASS","FAIL")</f>
        <v>PASS</v>
      </c>
    </row>
    <row r="14" customFormat="false" ht="15" hidden="false" customHeight="false" outlineLevel="0" collapsed="false">
      <c r="A14" s="92" t="s">
        <v>2855</v>
      </c>
      <c r="B14" s="81" t="n">
        <f aca="false">COUNTIF(Monthly_Summary!$J$5:$J$52,"&gt;0.0500")+COUNTIF(Monthly_Summary!$J$5:$J$52,"&lt;-0.0500")</f>
        <v>0</v>
      </c>
      <c r="C14" s="18" t="s">
        <v>2845</v>
      </c>
      <c r="D14" s="18" t="s">
        <v>2856</v>
      </c>
      <c r="E14" s="18" t="str">
        <f aca="false">IF(B14=0,"PASS","FAIL")</f>
        <v>PASS</v>
      </c>
    </row>
    <row r="15" customFormat="false" ht="15" hidden="false" customHeight="false" outlineLevel="0" collapsed="false">
      <c r="A15" s="92" t="s">
        <v>2857</v>
      </c>
      <c r="B15" s="81" t="n">
        <f aca="false">ROUND(SUMIF(Monthly_Summary!$A$5:$A$52,"LATEST_OUTLOOK",Monthly_Summary!$I$5:$I$52)-SUMIF(Monthly_Summary!$A$5:$A$52,"ACTUAL",Monthly_Summary!$I$5:$I$52)-SUMIF(Monthly_Summary!$A$5:$A$52,"FORECAST",Monthly_Summary!$I$5:$I$52),4)</f>
        <v>0</v>
      </c>
      <c r="C15" s="18" t="s">
        <v>2858</v>
      </c>
      <c r="D15" s="18" t="s">
        <v>2856</v>
      </c>
      <c r="E15" s="18" t="str">
        <f aca="false">IF(ABS(B15)&lt;=0.05,"PASS","FAIL")</f>
        <v>PASS</v>
      </c>
    </row>
    <row r="16" customFormat="false" ht="15" hidden="false" customHeight="false" outlineLevel="0" collapsed="false">
      <c r="A16" s="92" t="s">
        <v>2859</v>
      </c>
      <c r="B16" s="81" t="n">
        <f aca="false">COUNTIF(Attribution!$R$5:$R$24,"FAIL")</f>
        <v>0</v>
      </c>
      <c r="C16" s="18" t="s">
        <v>2845</v>
      </c>
      <c r="D16" s="18" t="s">
        <v>2860</v>
      </c>
      <c r="E16" s="18" t="str">
        <f aca="false">IF(B16=0,"PASS","FAIL")</f>
        <v>PASS</v>
      </c>
    </row>
    <row r="17" customFormat="false" ht="15" hidden="false" customHeight="false" outlineLevel="0" collapsed="false">
      <c r="A17" s="92" t="s">
        <v>2861</v>
      </c>
      <c r="B17" s="81" t="n">
        <f aca="false">COUNTIF(Attribution!$S$5:$S$24,"FAIL")</f>
        <v>0</v>
      </c>
      <c r="C17" s="18" t="s">
        <v>2845</v>
      </c>
      <c r="D17" s="18" t="s">
        <v>2860</v>
      </c>
      <c r="E17" s="18" t="str">
        <f aca="false">IF(B17=0,"PASS","FAIL")</f>
        <v>PASS</v>
      </c>
    </row>
    <row r="18" customFormat="false" ht="15" hidden="false" customHeight="false" outlineLevel="0" collapsed="false">
      <c r="A18" s="92" t="s">
        <v>2862</v>
      </c>
      <c r="B18" s="81" t="n">
        <f aca="false">COUNTA(Evaluation!$A$5:$A$24)</f>
        <v>20</v>
      </c>
      <c r="C18" s="18" t="s">
        <v>2863</v>
      </c>
      <c r="D18" s="18" t="s">
        <v>2864</v>
      </c>
      <c r="E18" s="18" t="str">
        <f aca="false">IF(B18=20,"PASS","FAIL")</f>
        <v>PASS</v>
      </c>
    </row>
    <row r="19" customFormat="false" ht="15" hidden="false" customHeight="false" outlineLevel="0" collapsed="false">
      <c r="A19" s="93" t="s">
        <v>2865</v>
      </c>
      <c r="B19" s="82" t="n">
        <f aca="false">COUNTIF(Evaluation!$B$5:$B$24,"数据不足与越界保护")</f>
        <v>2</v>
      </c>
      <c r="C19" s="21" t="s">
        <v>2866</v>
      </c>
      <c r="D19" s="21" t="s">
        <v>2864</v>
      </c>
      <c r="E19" s="21" t="str">
        <f aca="false">IF(B19=2,"PASS","FAIL")</f>
        <v>PASS</v>
      </c>
    </row>
  </sheetData>
  <mergeCells count="4">
    <mergeCell ref="A1:E1"/>
    <mergeCell ref="A2:E2"/>
    <mergeCell ref="A4:E4"/>
    <mergeCell ref="A5:E6"/>
  </mergeCells>
  <conditionalFormatting sqref="E9:E19">
    <cfRule type="containsText" priority="2" operator="containsText" aboveAverage="0" equalAverage="0" bottom="0" percent="0" rank="0" text="PASS" dxfId="14">
      <formula>NOT(ISERROR(SEARCH("PASS",E9)))</formula>
    </cfRule>
    <cfRule type="containsText" priority="3" operator="containsText" aboveAverage="0" equalAverage="0" bottom="0" percent="0" rank="0" text="FAIL" dxfId="15">
      <formula>NOT(ISERROR(SEARCH("FAIL",E9)))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6" min="3" style="0" width="20"/>
    <col collapsed="false" customWidth="true" hidden="false" outlineLevel="0" max="7" min="7" style="0" width="54"/>
    <col collapsed="false" customWidth="true" hidden="false" outlineLevel="0" max="8" min="8" style="0" width="22"/>
    <col collapsed="false" customWidth="true" hidden="false" outlineLevel="0" max="9" min="9" style="0" width="46"/>
    <col collapsed="false" customWidth="true" hidden="false" outlineLevel="0" max="10" min="10" style="0" width="16"/>
  </cols>
  <sheetData>
    <row r="1" customFormat="false" ht="32" hidden="false" customHeight="true" outlineLevel="0" collapsed="false">
      <c r="A1" s="24" t="s">
        <v>2867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8" hidden="false" customHeight="true" outlineLevel="0" collapsed="false">
      <c r="A2" s="2" t="s">
        <v>2868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7" t="s">
        <v>2869</v>
      </c>
      <c r="B4" s="12" t="s">
        <v>2870</v>
      </c>
      <c r="C4" s="12" t="s">
        <v>2871</v>
      </c>
      <c r="D4" s="12" t="s">
        <v>2872</v>
      </c>
      <c r="E4" s="12" t="s">
        <v>2873</v>
      </c>
      <c r="F4" s="12" t="s">
        <v>2874</v>
      </c>
      <c r="G4" s="12" t="s">
        <v>2875</v>
      </c>
      <c r="H4" s="12" t="s">
        <v>2876</v>
      </c>
      <c r="I4" s="12" t="s">
        <v>2877</v>
      </c>
      <c r="J4" s="13" t="s">
        <v>2878</v>
      </c>
    </row>
    <row r="5" customFormat="false" ht="15" hidden="false" customHeight="false" outlineLevel="0" collapsed="false">
      <c r="A5" s="27" t="s">
        <v>2879</v>
      </c>
      <c r="B5" s="38" t="s">
        <v>2880</v>
      </c>
      <c r="C5" s="38"/>
      <c r="D5" s="38" t="s">
        <v>2881</v>
      </c>
      <c r="E5" s="38" t="s">
        <v>2882</v>
      </c>
      <c r="F5" s="38" t="s">
        <v>2883</v>
      </c>
      <c r="G5" s="38" t="s">
        <v>2884</v>
      </c>
      <c r="H5" s="38" t="s">
        <v>2885</v>
      </c>
      <c r="I5" s="27" t="s">
        <v>2886</v>
      </c>
      <c r="J5" s="38" t="s">
        <v>2887</v>
      </c>
    </row>
    <row r="6" customFormat="false" ht="15" hidden="false" customHeight="false" outlineLevel="0" collapsed="false">
      <c r="A6" s="30" t="s">
        <v>2888</v>
      </c>
      <c r="B6" s="32" t="s">
        <v>2889</v>
      </c>
      <c r="C6" s="32"/>
      <c r="D6" s="32" t="s">
        <v>2887</v>
      </c>
      <c r="E6" s="32" t="s">
        <v>2890</v>
      </c>
      <c r="F6" s="32" t="s">
        <v>2891</v>
      </c>
      <c r="G6" s="32" t="s">
        <v>2892</v>
      </c>
      <c r="H6" s="32" t="s">
        <v>2885</v>
      </c>
      <c r="I6" s="30" t="s">
        <v>2893</v>
      </c>
      <c r="J6" s="32" t="s">
        <v>2887</v>
      </c>
    </row>
    <row r="7" customFormat="false" ht="15" hidden="false" customHeight="false" outlineLevel="0" collapsed="false">
      <c r="A7" s="30" t="s">
        <v>2894</v>
      </c>
      <c r="B7" s="32" t="s">
        <v>2880</v>
      </c>
      <c r="C7" s="32"/>
      <c r="D7" s="32" t="s">
        <v>2881</v>
      </c>
      <c r="E7" s="32" t="s">
        <v>2882</v>
      </c>
      <c r="F7" s="32" t="s">
        <v>2895</v>
      </c>
      <c r="G7" s="32" t="s">
        <v>2896</v>
      </c>
      <c r="H7" s="32" t="s">
        <v>2885</v>
      </c>
      <c r="I7" s="30" t="s">
        <v>2897</v>
      </c>
      <c r="J7" s="32" t="s">
        <v>2887</v>
      </c>
    </row>
    <row r="8" customFormat="false" ht="15" hidden="false" customHeight="false" outlineLevel="0" collapsed="false">
      <c r="A8" s="30" t="s">
        <v>2898</v>
      </c>
      <c r="B8" s="32" t="s">
        <v>2880</v>
      </c>
      <c r="C8" s="32"/>
      <c r="D8" s="32" t="s">
        <v>2881</v>
      </c>
      <c r="E8" s="32" t="s">
        <v>2899</v>
      </c>
      <c r="F8" s="32" t="s">
        <v>2900</v>
      </c>
      <c r="G8" s="32" t="s">
        <v>2901</v>
      </c>
      <c r="H8" s="32" t="s">
        <v>2885</v>
      </c>
      <c r="I8" s="30" t="s">
        <v>2902</v>
      </c>
      <c r="J8" s="32" t="s">
        <v>2887</v>
      </c>
    </row>
    <row r="9" customFormat="false" ht="25.3" hidden="false" customHeight="false" outlineLevel="0" collapsed="false">
      <c r="A9" s="30" t="s">
        <v>2903</v>
      </c>
      <c r="B9" s="32" t="s">
        <v>2904</v>
      </c>
      <c r="C9" s="32" t="s">
        <v>2905</v>
      </c>
      <c r="D9" s="32" t="s">
        <v>2906</v>
      </c>
      <c r="E9" s="32" t="s">
        <v>2907</v>
      </c>
      <c r="F9" s="32" t="s">
        <v>2908</v>
      </c>
      <c r="G9" s="32" t="s">
        <v>2909</v>
      </c>
      <c r="H9" s="32" t="s">
        <v>2885</v>
      </c>
      <c r="I9" s="30" t="s">
        <v>2910</v>
      </c>
      <c r="J9" s="32" t="s">
        <v>2887</v>
      </c>
    </row>
    <row r="10" customFormat="false" ht="25.3" hidden="false" customHeight="false" outlineLevel="0" collapsed="false">
      <c r="A10" s="32" t="s">
        <v>2911</v>
      </c>
      <c r="B10" s="32" t="s">
        <v>2912</v>
      </c>
      <c r="C10" s="32" t="s">
        <v>2913</v>
      </c>
      <c r="D10" s="32" t="s">
        <v>2914</v>
      </c>
      <c r="E10" s="32" t="s">
        <v>2915</v>
      </c>
      <c r="F10" s="32" t="s">
        <v>2916</v>
      </c>
      <c r="G10" s="32" t="s">
        <v>2917</v>
      </c>
      <c r="H10" s="32" t="s">
        <v>2885</v>
      </c>
      <c r="I10" s="30" t="s">
        <v>2918</v>
      </c>
      <c r="J10" s="32" t="s">
        <v>2887</v>
      </c>
    </row>
    <row r="11" customFormat="false" ht="25.3" hidden="false" customHeight="false" outlineLevel="0" collapsed="false">
      <c r="A11" s="35" t="s">
        <v>2919</v>
      </c>
      <c r="B11" s="41" t="s">
        <v>2920</v>
      </c>
      <c r="C11" s="41" t="s">
        <v>2921</v>
      </c>
      <c r="D11" s="41" t="s">
        <v>2914</v>
      </c>
      <c r="E11" s="41" t="s">
        <v>2922</v>
      </c>
      <c r="F11" s="41" t="s">
        <v>2923</v>
      </c>
      <c r="G11" s="41" t="s">
        <v>2924</v>
      </c>
      <c r="H11" s="41" t="s">
        <v>2885</v>
      </c>
      <c r="I11" s="35" t="s">
        <v>2925</v>
      </c>
      <c r="J11" s="41" t="s">
        <v>2887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